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hakeembraimah/Downloads/"/>
    </mc:Choice>
  </mc:AlternateContent>
  <xr:revisionPtr revIDLastSave="0" documentId="8_{9B476262-216B-E844-96A1-7332FEE4B766}" xr6:coauthVersionLast="47" xr6:coauthVersionMax="47" xr10:uidLastSave="{00000000-0000-0000-0000-000000000000}"/>
  <bookViews>
    <workbookView xWindow="0" yWindow="600" windowWidth="38400" windowHeight="18620" activeTab="3" xr2:uid="{560E8AF9-AE92-3248-A73C-6A5F02B0E779}"/>
  </bookViews>
  <sheets>
    <sheet name="Sales_Data_Clean" sheetId="13" r:id="rId1"/>
    <sheet name="Dashboard" sheetId="9" r:id="rId2"/>
    <sheet name="Pivot Analysis" sheetId="10" r:id="rId3"/>
    <sheet name="Notes" sheetId="11" r:id="rId4"/>
  </sheets>
  <definedNames>
    <definedName name="ExternalData_1" localSheetId="0" hidden="1">Sales_Data_Clean!$A$1:$N$5001</definedName>
    <definedName name="Slicer_Gender">#N/A</definedName>
    <definedName name="Slicer_PaymentMethod">#N/A</definedName>
    <definedName name="Slicer_Season">#N/A</definedName>
  </definedNames>
  <calcPr calcId="191029"/>
  <pivotCaches>
    <pivotCache cacheId="69" r:id="rId5"/>
    <pivotCache cacheId="7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AH10" i="9"/>
  <c r="AH9" i="9"/>
  <c r="AH8" i="9"/>
  <c r="AH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68CDAB-B5CC-4B4B-805E-F10BE0486342}" keepAlive="1" name="Query - store_sales" description="Connection to the 'store_sales' query in the workbook." type="5" refreshedVersion="8" background="1" saveData="1">
    <dbPr connection="Provider=Microsoft.Mashup.OleDb.1;Data Source=$Workbook$;Location=store_sales;Extended Properties=&quot;&quot;" command="SELECT * FROM [store_sales]"/>
  </connection>
</connections>
</file>

<file path=xl/sharedStrings.xml><?xml version="1.0" encoding="utf-8"?>
<sst xmlns="http://schemas.openxmlformats.org/spreadsheetml/2006/main" count="30190" uniqueCount="101">
  <si>
    <t>CustomerID</t>
  </si>
  <si>
    <t>Age</t>
  </si>
  <si>
    <t>Gender</t>
  </si>
  <si>
    <t>Category</t>
  </si>
  <si>
    <t>ItemPurchased</t>
  </si>
  <si>
    <t>Amount</t>
  </si>
  <si>
    <t>Season</t>
  </si>
  <si>
    <t>PaymentMethod</t>
  </si>
  <si>
    <t>ItemRating</t>
  </si>
  <si>
    <t>DiscountApplied(%)</t>
  </si>
  <si>
    <t>PreviousPurchases</t>
  </si>
  <si>
    <t>Female</t>
  </si>
  <si>
    <t>Accessories</t>
  </si>
  <si>
    <t>Handbag</t>
  </si>
  <si>
    <t>Autumn</t>
  </si>
  <si>
    <t>Card</t>
  </si>
  <si>
    <t>Male</t>
  </si>
  <si>
    <t>Mens Clothing</t>
  </si>
  <si>
    <t>Shirt</t>
  </si>
  <si>
    <t>Spring</t>
  </si>
  <si>
    <t>Sports</t>
  </si>
  <si>
    <t>Football</t>
  </si>
  <si>
    <t>Home</t>
  </si>
  <si>
    <t>Curtains</t>
  </si>
  <si>
    <t>Winter</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</si>
  <si>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</si>
  <si>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</si>
  <si>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</si>
  <si>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</si>
  <si>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</si>
  <si>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</si>
  <si>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</si>
  <si>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</si>
  <si>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</si>
  <si>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</si>
  <si>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</si>
  <si>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</si>
  <si>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</si>
  <si>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</si>
  <si>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</si>
  <si>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</si>
  <si>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</si>
  <si>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</si>
  <si>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</si>
  <si>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</si>
  <si>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</si>
  <si>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</si>
  <si>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</si>
  <si>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</si>
  <si>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</si>
  <si>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</si>
  <si>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</si>
  <si>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</si>
  <si>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</si>
  <si>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</si>
  <si>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</si>
  <si>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</si>
  <si>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</si>
  <si>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Row Labels</t>
  </si>
  <si>
    <t>Grand Total</t>
  </si>
  <si>
    <t>Sum of Amount</t>
  </si>
  <si>
    <t>Original_Amount</t>
  </si>
  <si>
    <t>Discount_Value</t>
  </si>
  <si>
    <t>Sum of Original_Amount</t>
  </si>
  <si>
    <t>Age_Group</t>
  </si>
  <si>
    <t>TOTAL REVENUE</t>
  </si>
  <si>
    <t>CUSTOMERS</t>
  </si>
  <si>
    <t>AVG TRANSACTION</t>
  </si>
  <si>
    <t>DISCOUNT VALUE</t>
  </si>
  <si>
    <t>Revenue by Category</t>
  </si>
  <si>
    <t>Revenue by Season</t>
  </si>
  <si>
    <t>Revenue by Gender</t>
  </si>
  <si>
    <t>NORTHSTAR RETAIL | SALES PERFORMANCE DASHBOARD</t>
  </si>
  <si>
    <t>Management Overview • 5,000 Customers</t>
  </si>
  <si>
    <t>Top Products by Revenue</t>
  </si>
  <si>
    <t>Top Product by Season</t>
  </si>
  <si>
    <t>Column Labels</t>
  </si>
  <si>
    <t>Average of Amount</t>
  </si>
  <si>
    <t>Average Discount Applied</t>
  </si>
  <si>
    <t>Count of Amount</t>
  </si>
  <si>
    <t>Correlation between discount percentage and transaction value</t>
  </si>
  <si>
    <t>There is virtually no linear relationship between discount percentage and transaction value in this dataset.</t>
  </si>
  <si>
    <t>Statistical Test</t>
  </si>
  <si>
    <t>Result</t>
  </si>
  <si>
    <t>Conclusion</t>
  </si>
  <si>
    <t>Average of ItemRating</t>
  </si>
  <si>
    <t>Average Product Rating</t>
  </si>
  <si>
    <t>Top 5 Product Rating vs Revenue</t>
  </si>
  <si>
    <t>Bottom 5 Product Rating vs Revenue</t>
  </si>
  <si>
    <t>Customer Base by Age</t>
  </si>
  <si>
    <t>18-24</t>
  </si>
  <si>
    <t>25-34</t>
  </si>
  <si>
    <t>35-44</t>
  </si>
  <si>
    <t>45-54</t>
  </si>
  <si>
    <t>55-64</t>
  </si>
  <si>
    <t>65-74</t>
  </si>
  <si>
    <t>Count of CustomerID</t>
  </si>
  <si>
    <t>Customer Base by Gender</t>
  </si>
  <si>
    <t>Revenue by Age Group</t>
  </si>
  <si>
    <t>Count of CustomerID2</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</si>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</sst>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quot;M&quot;"/>
    <numFmt numFmtId="165" formatCode="&quot;$&quot;0.00,&quot;K&quot;"/>
    <numFmt numFmtId="166" formatCode="&quot;$&quot;#,##0.00"/>
  </numFmts>
  <fonts count="24">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4"/>
      <color rgb="FF000000"/>
      <name val="Arial"/>
      <family val="2"/>
    </font>
    <font>
      <b/>
      <sz val="12"/>
      <color rgb="FF000000"/>
      <name val="Arial"/>
      <family val="2"/>
    </font>
    <font>
      <b/>
      <sz val="12"/>
      <color theme="1"/>
      <name val="Aptos Narrow"/>
      <scheme val="minor"/>
    </font>
    <font>
      <b/>
      <sz val="20"/>
      <color theme="1"/>
      <name val="Aptos Narrow (Body)"/>
    </font>
    <font>
      <sz val="14"/>
      <color rgb="FF000000"/>
      <name val="-webkit-standard"/>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0" fontId="18" fillId="0" borderId="0" xfId="0" applyFont="1"/>
    <xf numFmtId="0" fontId="19" fillId="0" borderId="0" xfId="0" applyFont="1"/>
    <xf numFmtId="165" fontId="0" fillId="0" borderId="0" xfId="0" applyNumberFormat="1"/>
    <xf numFmtId="3" fontId="0" fillId="0" borderId="0" xfId="0" applyNumberFormat="1"/>
    <xf numFmtId="166" fontId="0" fillId="0" borderId="0" xfId="0" applyNumberFormat="1"/>
    <xf numFmtId="0" fontId="21" fillId="0" borderId="0" xfId="0" applyFont="1"/>
    <xf numFmtId="0" fontId="22" fillId="0" borderId="0" xfId="0" applyFont="1"/>
    <xf numFmtId="0" fontId="20" fillId="0" borderId="0" xfId="0" applyFont="1"/>
    <xf numFmtId="0" fontId="20" fillId="0" borderId="0" xfId="0" applyFont="1" applyAlignment="1">
      <alignment horizontal="left"/>
    </xf>
    <xf numFmtId="1" fontId="0" fillId="0" borderId="0" xfId="0" applyNumberFormat="1"/>
    <xf numFmtId="0" fontId="0" fillId="0" borderId="0" xfId="0" applyAlignment="1">
      <alignment vertical="center" wrapText="1"/>
    </xf>
    <xf numFmtId="0" fontId="0" fillId="0" borderId="0" xfId="0" applyAlignment="1">
      <alignment vertical="center"/>
    </xf>
    <xf numFmtId="0" fontId="19"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[TestForGithub_NorthStar Retail Data Analysis Dashboard.xlsx]Pivot Analysis!PivotTable13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Analysis'!$A$4:$A$13</c:f>
              <c:strCache>
                <c:ptCount val="9"/>
                <c:pt idx="0">
                  <c:v>Electronics</c:v>
                </c:pt>
                <c:pt idx="1">
                  <c:v>Footwear</c:v>
                </c:pt>
                <c:pt idx="2">
                  <c:v>Sports</c:v>
                </c:pt>
                <c:pt idx="3">
                  <c:v>Womens Clothing</c:v>
                </c:pt>
                <c:pt idx="4">
                  <c:v>Mens Clothing</c:v>
                </c:pt>
                <c:pt idx="5">
                  <c:v>Accessories</c:v>
                </c:pt>
                <c:pt idx="6">
                  <c:v>Home</c:v>
                </c:pt>
                <c:pt idx="7">
                  <c:v>Beauty</c:v>
                </c:pt>
                <c:pt idx="8">
                  <c:v>Groceries</c:v>
                </c:pt>
              </c:strCache>
            </c:strRef>
          </c:cat>
          <c:val>
            <c:numRef>
              <c:f>'Pivot Analysis'!$B$4:$B$13</c:f>
              <c:numCache>
                <c:formatCode>General</c:formatCode>
                <c:ptCount val="9"/>
                <c:pt idx="0">
                  <c:v>895402.34999999974</c:v>
                </c:pt>
                <c:pt idx="1">
                  <c:v>141142.23999999993</c:v>
                </c:pt>
                <c:pt idx="2">
                  <c:v>115598.11000000013</c:v>
                </c:pt>
                <c:pt idx="3">
                  <c:v>61718.40999999996</c:v>
                </c:pt>
                <c:pt idx="4">
                  <c:v>59680.429999999964</c:v>
                </c:pt>
                <c:pt idx="5">
                  <c:v>47633.830000000031</c:v>
                </c:pt>
                <c:pt idx="6">
                  <c:v>46374.220000000023</c:v>
                </c:pt>
                <c:pt idx="7">
                  <c:v>43887.059999999976</c:v>
                </c:pt>
                <c:pt idx="8">
                  <c:v>14015.960000000001</c:v>
                </c:pt>
              </c:numCache>
            </c:numRef>
          </c:val>
          <c:extLst>
            <c:ext xmlns:c16="http://schemas.microsoft.com/office/drawing/2014/chart" uri="{C3380CC4-5D6E-409C-BE32-E72D297353CC}">
              <c16:uniqueId val="{00000000-51F9-F149-AD3A-A79E06CE6865}"/>
            </c:ext>
          </c:extLst>
        </c:ser>
        <c:dLbls>
          <c:showLegendKey val="0"/>
          <c:showVal val="0"/>
          <c:showCatName val="0"/>
          <c:showSerName val="0"/>
          <c:showPercent val="0"/>
          <c:showBubbleSize val="0"/>
        </c:dLbls>
        <c:gapWidth val="219"/>
        <c:axId val="1967651711"/>
        <c:axId val="1967645887"/>
      </c:barChart>
      <c:catAx>
        <c:axId val="19676517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45887"/>
        <c:crosses val="autoZero"/>
        <c:auto val="1"/>
        <c:lblAlgn val="ctr"/>
        <c:lblOffset val="100"/>
        <c:noMultiLvlLbl val="0"/>
      </c:catAx>
      <c:valAx>
        <c:axId val="1967645887"/>
        <c:scaling>
          <c:orientation val="minMax"/>
        </c:scaling>
        <c:delete val="0"/>
        <c:axPos val="t"/>
        <c:numFmt formatCode="&quot;$&quot;0,&quot;K&quot;"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5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[TestForGithub_NorthStar Retail Data Analysis Dashboard.xlsx]Pivot 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Top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Analysis'!$D$4:$D$9</c:f>
              <c:strCache>
                <c:ptCount val="5"/>
                <c:pt idx="0">
                  <c:v>Laptop</c:v>
                </c:pt>
                <c:pt idx="1">
                  <c:v>Mobile Phone</c:v>
                </c:pt>
                <c:pt idx="2">
                  <c:v>Headphones</c:v>
                </c:pt>
                <c:pt idx="3">
                  <c:v>Smart Watch</c:v>
                </c:pt>
                <c:pt idx="4">
                  <c:v>Sneakers</c:v>
                </c:pt>
              </c:strCache>
            </c:strRef>
          </c:cat>
          <c:val>
            <c:numRef>
              <c:f>'Pivot Analysis'!$E$4:$E$9</c:f>
              <c:numCache>
                <c:formatCode>General</c:formatCode>
                <c:ptCount val="5"/>
                <c:pt idx="0">
                  <c:v>265862.26</c:v>
                </c:pt>
                <c:pt idx="1">
                  <c:v>233026.68000000002</c:v>
                </c:pt>
                <c:pt idx="2">
                  <c:v>204660.33999999997</c:v>
                </c:pt>
                <c:pt idx="3">
                  <c:v>191853.07000000004</c:v>
                </c:pt>
                <c:pt idx="4">
                  <c:v>47798.270000000011</c:v>
                </c:pt>
              </c:numCache>
            </c:numRef>
          </c:val>
          <c:extLst>
            <c:ext xmlns:c16="http://schemas.microsoft.com/office/drawing/2014/chart" uri="{C3380CC4-5D6E-409C-BE32-E72D297353CC}">
              <c16:uniqueId val="{00000000-3D99-224E-9165-7D99B090169C}"/>
            </c:ext>
          </c:extLst>
        </c:ser>
        <c:dLbls>
          <c:showLegendKey val="0"/>
          <c:showVal val="0"/>
          <c:showCatName val="0"/>
          <c:showSerName val="0"/>
          <c:showPercent val="0"/>
          <c:showBubbleSize val="0"/>
        </c:dLbls>
        <c:gapWidth val="219"/>
        <c:axId val="1887042431"/>
        <c:axId val="1973275263"/>
      </c:barChart>
      <c:catAx>
        <c:axId val="18870424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75263"/>
        <c:crosses val="autoZero"/>
        <c:auto val="1"/>
        <c:lblAlgn val="ctr"/>
        <c:lblOffset val="100"/>
        <c:noMultiLvlLbl val="0"/>
      </c:catAx>
      <c:valAx>
        <c:axId val="1973275263"/>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4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[TestForGithub_NorthStar Retail Data Analysis Dashboard.xlsx]Pivot 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Analysis'!$G$4:$G$8</c:f>
              <c:strCache>
                <c:ptCount val="4"/>
                <c:pt idx="0">
                  <c:v>Autumn</c:v>
                </c:pt>
                <c:pt idx="1">
                  <c:v>Spring</c:v>
                </c:pt>
                <c:pt idx="2">
                  <c:v>Summer</c:v>
                </c:pt>
                <c:pt idx="3">
                  <c:v>Winter</c:v>
                </c:pt>
              </c:strCache>
            </c:strRef>
          </c:cat>
          <c:val>
            <c:numRef>
              <c:f>'Pivot Analysis'!$H$4:$H$8</c:f>
              <c:numCache>
                <c:formatCode>General</c:formatCode>
                <c:ptCount val="4"/>
                <c:pt idx="0">
                  <c:v>343677.89000000019</c:v>
                </c:pt>
                <c:pt idx="1">
                  <c:v>376029.39999999956</c:v>
                </c:pt>
                <c:pt idx="2">
                  <c:v>350860.36000000045</c:v>
                </c:pt>
                <c:pt idx="3">
                  <c:v>354884.96000000037</c:v>
                </c:pt>
              </c:numCache>
            </c:numRef>
          </c:val>
          <c:extLst>
            <c:ext xmlns:c16="http://schemas.microsoft.com/office/drawing/2014/chart" uri="{C3380CC4-5D6E-409C-BE32-E72D297353CC}">
              <c16:uniqueId val="{00000000-E8BC-0840-8B22-CE3530F0115F}"/>
            </c:ext>
          </c:extLst>
        </c:ser>
        <c:dLbls>
          <c:showLegendKey val="0"/>
          <c:showVal val="0"/>
          <c:showCatName val="0"/>
          <c:showSerName val="0"/>
          <c:showPercent val="0"/>
          <c:showBubbleSize val="0"/>
        </c:dLbls>
        <c:gapWidth val="219"/>
        <c:axId val="1945360511"/>
        <c:axId val="1967915007"/>
      </c:barChart>
      <c:catAx>
        <c:axId val="194536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15007"/>
        <c:crosses val="autoZero"/>
        <c:auto val="1"/>
        <c:lblAlgn val="ctr"/>
        <c:lblOffset val="100"/>
        <c:noMultiLvlLbl val="0"/>
      </c:catAx>
      <c:valAx>
        <c:axId val="1967915007"/>
        <c:scaling>
          <c:orientation val="minMax"/>
        </c:scaling>
        <c:delete val="0"/>
        <c:axPos val="l"/>
        <c:numFmt formatCode="&quot;$&quot;0,&quot;K&quot;"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3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[TestForGithub_NorthStar Retail Data Analysis Dashboard.xlsx]Pivot 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0.23937642169728784"/>
          <c:y val="0.12944152814231555"/>
          <c:w val="0.51400174978127733"/>
          <c:h val="0.84741032370953628"/>
        </c:manualLayout>
      </c:layout>
      <c:doughnutChart>
        <c:varyColors val="1"/>
        <c:ser>
          <c:idx val="0"/>
          <c:order val="0"/>
          <c:tx>
            <c:strRef>
              <c:f>'Pivot Analysis'!$K$3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1B8-A140-BAA5-737F81528D9F}"/>
              </c:ext>
            </c:extLst>
          </c:dPt>
          <c:dPt>
            <c:idx val="1"/>
            <c:bubble3D val="0"/>
            <c:spPr>
              <a:solidFill>
                <a:schemeClr val="accent2"/>
              </a:solidFill>
              <a:ln>
                <a:noFill/>
              </a:ln>
              <a:effectLst/>
            </c:spPr>
            <c:extLst>
              <c:ext xmlns:c16="http://schemas.microsoft.com/office/drawing/2014/chart" uri="{C3380CC4-5D6E-409C-BE32-E72D297353CC}">
                <c16:uniqueId val="{00000003-61B8-A140-BAA5-737F81528D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Analysis'!$J$4:$J$6</c:f>
              <c:strCache>
                <c:ptCount val="2"/>
                <c:pt idx="0">
                  <c:v>Female</c:v>
                </c:pt>
                <c:pt idx="1">
                  <c:v>Male</c:v>
                </c:pt>
              </c:strCache>
            </c:strRef>
          </c:cat>
          <c:val>
            <c:numRef>
              <c:f>'Pivot Analysis'!$K$4:$K$6</c:f>
              <c:numCache>
                <c:formatCode>0.00%</c:formatCode>
                <c:ptCount val="2"/>
                <c:pt idx="0">
                  <c:v>0.1933805801124247</c:v>
                </c:pt>
                <c:pt idx="1">
                  <c:v>0.80661941988757535</c:v>
                </c:pt>
              </c:numCache>
            </c:numRef>
          </c:val>
          <c:extLst>
            <c:ext xmlns:c16="http://schemas.microsoft.com/office/drawing/2014/chart" uri="{C3380CC4-5D6E-409C-BE32-E72D297353CC}">
              <c16:uniqueId val="{00000000-7918-444F-8E64-766844CDB12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114300</xdr:colOff>
      <xdr:row>5</xdr:row>
      <xdr:rowOff>0</xdr:rowOff>
    </xdr:from>
    <xdr:to>
      <xdr:col>4</xdr:col>
      <xdr:colOff>0</xdr:colOff>
      <xdr:row>9</xdr:row>
      <xdr:rowOff>0</xdr:rowOff>
    </xdr:to>
    <xdr:sp macro="" textlink="$AH$7">
      <xdr:nvSpPr>
        <xdr:cNvPr id="2" name="Rounded Rectangle 1">
          <a:extLst>
            <a:ext uri="{FF2B5EF4-FFF2-40B4-BE49-F238E27FC236}">
              <a16:creationId xmlns:a16="http://schemas.microsoft.com/office/drawing/2014/main" id="{CD45FC50-1AD9-EE2A-2AF6-260DCA6B871D}"/>
            </a:ext>
          </a:extLst>
        </xdr:cNvPr>
        <xdr:cNvSpPr/>
      </xdr:nvSpPr>
      <xdr:spPr>
        <a:xfrm>
          <a:off x="939800" y="203200"/>
          <a:ext cx="2362200" cy="81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C71830-1766-5F41-8FDF-D53A07F8A504}" type="TxLink">
            <a:rPr lang="en-US" sz="2400" b="0" i="0" u="none" strike="noStrike">
              <a:solidFill>
                <a:schemeClr val="bg2"/>
              </a:solidFill>
              <a:latin typeface="Aptos Narrow"/>
            </a:rPr>
            <a:pPr algn="ctr"/>
            <a:t>$1.43M</a:t>
          </a:fld>
          <a:endParaRPr lang="en-US" sz="2400">
            <a:solidFill>
              <a:schemeClr val="bg2"/>
            </a:solidFill>
          </a:endParaRPr>
        </a:p>
      </xdr:txBody>
    </xdr:sp>
    <xdr:clientData/>
  </xdr:twoCellAnchor>
  <xdr:twoCellAnchor>
    <xdr:from>
      <xdr:col>10</xdr:col>
      <xdr:colOff>152400</xdr:colOff>
      <xdr:row>5</xdr:row>
      <xdr:rowOff>0</xdr:rowOff>
    </xdr:from>
    <xdr:to>
      <xdr:col>13</xdr:col>
      <xdr:colOff>38100</xdr:colOff>
      <xdr:row>9</xdr:row>
      <xdr:rowOff>0</xdr:rowOff>
    </xdr:to>
    <xdr:sp macro="" textlink="$AH$10">
      <xdr:nvSpPr>
        <xdr:cNvPr id="3" name="Rounded Rectangle 2">
          <a:extLst>
            <a:ext uri="{FF2B5EF4-FFF2-40B4-BE49-F238E27FC236}">
              <a16:creationId xmlns:a16="http://schemas.microsoft.com/office/drawing/2014/main" id="{3636F3DD-63FE-9F47-B0F3-9124AFEA32AB}"/>
            </a:ext>
          </a:extLst>
        </xdr:cNvPr>
        <xdr:cNvSpPr/>
      </xdr:nvSpPr>
      <xdr:spPr>
        <a:xfrm>
          <a:off x="8407400" y="203200"/>
          <a:ext cx="2362200" cy="81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35134B-9461-DD42-86FD-3A1010068C58}" type="TxLink">
            <a:rPr lang="en-US" sz="2400" b="0" i="0" u="none" strike="noStrike">
              <a:solidFill>
                <a:schemeClr val="bg2"/>
              </a:solidFill>
              <a:latin typeface="Aptos Narrow"/>
              <a:ea typeface="+mn-ea"/>
              <a:cs typeface="+mn-cs"/>
            </a:rPr>
            <a:pPr marL="0" indent="0" algn="ctr"/>
            <a:t>$260.78K</a:t>
          </a:fld>
          <a:endParaRPr lang="en-US" sz="2400" b="0" i="0" u="none" strike="noStrike">
            <a:solidFill>
              <a:schemeClr val="bg2"/>
            </a:solidFill>
            <a:latin typeface="Aptos Narrow"/>
            <a:ea typeface="+mn-ea"/>
            <a:cs typeface="+mn-cs"/>
          </a:endParaRPr>
        </a:p>
      </xdr:txBody>
    </xdr:sp>
    <xdr:clientData/>
  </xdr:twoCellAnchor>
  <xdr:twoCellAnchor>
    <xdr:from>
      <xdr:col>4</xdr:col>
      <xdr:colOff>127000</xdr:colOff>
      <xdr:row>5</xdr:row>
      <xdr:rowOff>0</xdr:rowOff>
    </xdr:from>
    <xdr:to>
      <xdr:col>7</xdr:col>
      <xdr:colOff>12700</xdr:colOff>
      <xdr:row>8</xdr:row>
      <xdr:rowOff>190500</xdr:rowOff>
    </xdr:to>
    <xdr:sp macro="" textlink="$AH$8">
      <xdr:nvSpPr>
        <xdr:cNvPr id="4" name="Rounded Rectangle 3">
          <a:extLst>
            <a:ext uri="{FF2B5EF4-FFF2-40B4-BE49-F238E27FC236}">
              <a16:creationId xmlns:a16="http://schemas.microsoft.com/office/drawing/2014/main" id="{4C793E16-16F5-7B4B-989F-2B195381E5B6}"/>
            </a:ext>
          </a:extLst>
        </xdr:cNvPr>
        <xdr:cNvSpPr/>
      </xdr:nvSpPr>
      <xdr:spPr>
        <a:xfrm>
          <a:off x="3429000" y="203200"/>
          <a:ext cx="23622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60E5775-9AFF-8047-9B65-1AE5E11CA156}" type="TxLink">
            <a:rPr lang="en-US" sz="2400" b="0" i="0" u="none" strike="noStrike">
              <a:solidFill>
                <a:schemeClr val="bg2"/>
              </a:solidFill>
              <a:latin typeface="Aptos Narrow"/>
              <a:ea typeface="+mn-ea"/>
              <a:cs typeface="+mn-cs"/>
            </a:rPr>
            <a:pPr marL="0" indent="0" algn="ctr"/>
            <a:t>5,000</a:t>
          </a:fld>
          <a:endParaRPr lang="en-US" sz="2400" b="0" i="0" u="none" strike="noStrike">
            <a:solidFill>
              <a:schemeClr val="bg2"/>
            </a:solidFill>
            <a:latin typeface="Aptos Narrow"/>
            <a:ea typeface="+mn-ea"/>
            <a:cs typeface="+mn-cs"/>
          </a:endParaRPr>
        </a:p>
      </xdr:txBody>
    </xdr:sp>
    <xdr:clientData/>
  </xdr:twoCellAnchor>
  <xdr:twoCellAnchor>
    <xdr:from>
      <xdr:col>7</xdr:col>
      <xdr:colOff>139700</xdr:colOff>
      <xdr:row>5</xdr:row>
      <xdr:rowOff>0</xdr:rowOff>
    </xdr:from>
    <xdr:to>
      <xdr:col>10</xdr:col>
      <xdr:colOff>25400</xdr:colOff>
      <xdr:row>9</xdr:row>
      <xdr:rowOff>0</xdr:rowOff>
    </xdr:to>
    <xdr:sp macro="" textlink="$AH$9">
      <xdr:nvSpPr>
        <xdr:cNvPr id="6" name="Rounded Rectangle 5">
          <a:extLst>
            <a:ext uri="{FF2B5EF4-FFF2-40B4-BE49-F238E27FC236}">
              <a16:creationId xmlns:a16="http://schemas.microsoft.com/office/drawing/2014/main" id="{1AB0E057-9028-FE42-949E-873904100813}"/>
            </a:ext>
          </a:extLst>
        </xdr:cNvPr>
        <xdr:cNvSpPr/>
      </xdr:nvSpPr>
      <xdr:spPr>
        <a:xfrm>
          <a:off x="5918200" y="203200"/>
          <a:ext cx="2362200" cy="81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A69F49-E3AA-5A49-A678-DB6645AB750D}" type="TxLink">
            <a:rPr lang="en-US" sz="2400" b="0" i="0" u="none" strike="noStrike">
              <a:solidFill>
                <a:schemeClr val="bg2"/>
              </a:solidFill>
              <a:latin typeface="Aptos Narrow"/>
              <a:ea typeface="+mn-ea"/>
              <a:cs typeface="+mn-cs"/>
            </a:rPr>
            <a:pPr marL="0" indent="0" algn="ctr"/>
            <a:t>$285.09</a:t>
          </a:fld>
          <a:endParaRPr lang="en-US" sz="2400" b="0" i="0" u="none" strike="noStrike">
            <a:solidFill>
              <a:schemeClr val="bg2"/>
            </a:solidFill>
            <a:latin typeface="Aptos Narrow"/>
            <a:ea typeface="+mn-ea"/>
            <a:cs typeface="+mn-cs"/>
          </a:endParaRPr>
        </a:p>
      </xdr:txBody>
    </xdr:sp>
    <xdr:clientData/>
  </xdr:twoCellAnchor>
  <xdr:twoCellAnchor>
    <xdr:from>
      <xdr:col>1</xdr:col>
      <xdr:colOff>228600</xdr:colOff>
      <xdr:row>11</xdr:row>
      <xdr:rowOff>82550</xdr:rowOff>
    </xdr:from>
    <xdr:to>
      <xdr:col>6</xdr:col>
      <xdr:colOff>673100</xdr:colOff>
      <xdr:row>24</xdr:row>
      <xdr:rowOff>184150</xdr:rowOff>
    </xdr:to>
    <xdr:graphicFrame macro="">
      <xdr:nvGraphicFramePr>
        <xdr:cNvPr id="9" name="Chart 8">
          <a:extLst>
            <a:ext uri="{FF2B5EF4-FFF2-40B4-BE49-F238E27FC236}">
              <a16:creationId xmlns:a16="http://schemas.microsoft.com/office/drawing/2014/main" id="{5FD250D9-F668-EF41-B1FC-D935B311E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11</xdr:row>
      <xdr:rowOff>82550</xdr:rowOff>
    </xdr:from>
    <xdr:to>
      <xdr:col>12</xdr:col>
      <xdr:colOff>520700</xdr:colOff>
      <xdr:row>24</xdr:row>
      <xdr:rowOff>184150</xdr:rowOff>
    </xdr:to>
    <xdr:graphicFrame macro="">
      <xdr:nvGraphicFramePr>
        <xdr:cNvPr id="10" name="Chart 9">
          <a:extLst>
            <a:ext uri="{FF2B5EF4-FFF2-40B4-BE49-F238E27FC236}">
              <a16:creationId xmlns:a16="http://schemas.microsoft.com/office/drawing/2014/main" id="{B86674F4-7633-7D88-89B4-D90B34F10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241300</xdr:colOff>
      <xdr:row>26</xdr:row>
      <xdr:rowOff>69850</xdr:rowOff>
    </xdr:from>
    <xdr:to>
      <xdr:col>6</xdr:col>
      <xdr:colOff>685800</xdr:colOff>
      <xdr:row>39</xdr:row>
      <xdr:rowOff>171450</xdr:rowOff>
    </xdr:to>
    <xdr:graphicFrame macro="">
      <xdr:nvGraphicFramePr>
        <xdr:cNvPr id="11" name="Chart 10">
          <a:extLst>
            <a:ext uri="{FF2B5EF4-FFF2-40B4-BE49-F238E27FC236}">
              <a16:creationId xmlns:a16="http://schemas.microsoft.com/office/drawing/2014/main" id="{2D31DF6D-F8FB-501D-A7A1-B46F01AAF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63500</xdr:colOff>
      <xdr:row>26</xdr:row>
      <xdr:rowOff>69850</xdr:rowOff>
    </xdr:from>
    <xdr:to>
      <xdr:col>12</xdr:col>
      <xdr:colOff>508000</xdr:colOff>
      <xdr:row>39</xdr:row>
      <xdr:rowOff>171450</xdr:rowOff>
    </xdr:to>
    <xdr:graphicFrame macro="">
      <xdr:nvGraphicFramePr>
        <xdr:cNvPr id="12" name="Chart 11">
          <a:extLst>
            <a:ext uri="{FF2B5EF4-FFF2-40B4-BE49-F238E27FC236}">
              <a16:creationId xmlns:a16="http://schemas.microsoft.com/office/drawing/2014/main" id="{6FDCD547-7A6F-412A-1563-61FB84461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800100</xdr:colOff>
      <xdr:row>19</xdr:row>
      <xdr:rowOff>38100</xdr:rowOff>
    </xdr:from>
    <xdr:to>
      <xdr:col>14</xdr:col>
      <xdr:colOff>635000</xdr:colOff>
      <xdr:row>26</xdr:row>
      <xdr:rowOff>63500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6BCB9280-7519-B3CB-AB04-70FB5440A30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98244" y="3402945"/>
              <a:ext cx="1825003" cy="1491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800100</xdr:colOff>
      <xdr:row>11</xdr:row>
      <xdr:rowOff>76200</xdr:rowOff>
    </xdr:from>
    <xdr:to>
      <xdr:col>14</xdr:col>
      <xdr:colOff>635000</xdr:colOff>
      <xdr:row>19</xdr:row>
      <xdr:rowOff>12700</xdr:rowOff>
    </xdr:to>
    <mc:AlternateContent xmlns:mc="http://schemas.openxmlformats.org/markup-compatibility/2006" xmlns:a14="http://schemas.microsoft.com/office/drawing/2010/main">
      <mc:Choice Requires="a14">
        <xdr:graphicFrame macro="">
          <xdr:nvGraphicFramePr>
            <xdr:cNvPr id="14" name="Season">
              <a:extLst>
                <a:ext uri="{FF2B5EF4-FFF2-40B4-BE49-F238E27FC236}">
                  <a16:creationId xmlns:a16="http://schemas.microsoft.com/office/drawing/2014/main" id="{5409AECE-42EF-9337-BF8E-D9F0BBCCCE4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698244" y="1765169"/>
              <a:ext cx="1825003" cy="1612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800100</xdr:colOff>
      <xdr:row>26</xdr:row>
      <xdr:rowOff>114300</xdr:rowOff>
    </xdr:from>
    <xdr:to>
      <xdr:col>14</xdr:col>
      <xdr:colOff>635000</xdr:colOff>
      <xdr:row>34</xdr:row>
      <xdr:rowOff>139700</xdr:rowOff>
    </xdr:to>
    <mc:AlternateContent xmlns:mc="http://schemas.openxmlformats.org/markup-compatibility/2006" xmlns:a14="http://schemas.microsoft.com/office/drawing/2010/main">
      <mc:Choice Requires="a14">
        <xdr:graphicFrame macro="">
          <xdr:nvGraphicFramePr>
            <xdr:cNvPr id="15" name="PaymentMethod">
              <a:extLst>
                <a:ext uri="{FF2B5EF4-FFF2-40B4-BE49-F238E27FC236}">
                  <a16:creationId xmlns:a16="http://schemas.microsoft.com/office/drawing/2014/main" id="{2F498BF3-36FE-A487-E659-7319850BF8C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698244" y="4945537"/>
              <a:ext cx="1825003" cy="1701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1079500</xdr:colOff>
      <xdr:row>11</xdr:row>
      <xdr:rowOff>101600</xdr:rowOff>
    </xdr:from>
    <xdr:ext cx="7038026" cy="1876989"/>
    <xdr:sp macro="" textlink="">
      <xdr:nvSpPr>
        <xdr:cNvPr id="16" name="TextBox 15">
          <a:extLst>
            <a:ext uri="{FF2B5EF4-FFF2-40B4-BE49-F238E27FC236}">
              <a16:creationId xmlns:a16="http://schemas.microsoft.com/office/drawing/2014/main" id="{79BF5D81-11EB-4B54-643B-1F47DF847DAD}"/>
            </a:ext>
          </a:extLst>
        </xdr:cNvPr>
        <xdr:cNvSpPr txBox="1"/>
      </xdr:nvSpPr>
      <xdr:spPr>
        <a:xfrm>
          <a:off x="12967747" y="1790569"/>
          <a:ext cx="7038026" cy="1876989"/>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CA" sz="1600" b="1" i="0">
              <a:solidFill>
                <a:schemeClr val="bg2"/>
              </a:solidFill>
              <a:effectLst/>
              <a:latin typeface="+mn-lt"/>
              <a:ea typeface="+mn-ea"/>
              <a:cs typeface="+mn-cs"/>
            </a:rPr>
            <a:t>KEY INSIGHTS</a:t>
          </a:r>
        </a:p>
        <a:p>
          <a:pPr marL="285750" lvl="0" indent="-285750">
            <a:buFont typeface="Arial" panose="020B0604020202020204" pitchFamily="34" charset="0"/>
            <a:buChar char="•"/>
          </a:pPr>
          <a:r>
            <a:rPr lang="en-CA" sz="1400" b="0" i="0" u="none" strike="noStrike">
              <a:solidFill>
                <a:schemeClr val="bg2"/>
              </a:solidFill>
              <a:effectLst/>
              <a:latin typeface="+mn-lt"/>
              <a:ea typeface="+mn-ea"/>
              <a:cs typeface="+mn-cs"/>
            </a:rPr>
            <a:t>Electronics generates </a:t>
          </a:r>
          <a:r>
            <a:rPr lang="en-CA" sz="1400" b="1" i="0">
              <a:solidFill>
                <a:schemeClr val="bg2"/>
              </a:solidFill>
              <a:effectLst/>
              <a:latin typeface="+mn-lt"/>
              <a:ea typeface="+mn-ea"/>
              <a:cs typeface="+mn-cs"/>
            </a:rPr>
            <a:t>62.82% of revenue</a:t>
          </a:r>
          <a:r>
            <a:rPr lang="en-CA" sz="1400" b="0" i="0" u="none" strike="noStrike">
              <a:solidFill>
                <a:schemeClr val="bg2"/>
              </a:solidFill>
              <a:effectLst/>
              <a:latin typeface="+mn-lt"/>
              <a:ea typeface="+mn-ea"/>
              <a:cs typeface="+mn-cs"/>
            </a:rPr>
            <a:t>, creating significant category concentration.</a:t>
          </a:r>
        </a:p>
        <a:p>
          <a:pPr marL="285750" lvl="0" indent="-285750">
            <a:buFont typeface="Arial" panose="020B0604020202020204" pitchFamily="34" charset="0"/>
            <a:buChar char="•"/>
          </a:pPr>
          <a:r>
            <a:rPr lang="en-CA" sz="1400" b="0" i="0" u="none" strike="noStrike">
              <a:solidFill>
                <a:schemeClr val="bg2"/>
              </a:solidFill>
              <a:effectLst/>
              <a:latin typeface="+mn-lt"/>
              <a:ea typeface="+mn-ea"/>
              <a:cs typeface="+mn-cs"/>
            </a:rPr>
            <a:t>Male customers generate </a:t>
          </a:r>
          <a:r>
            <a:rPr lang="en-CA" sz="1400" b="1" i="0">
              <a:solidFill>
                <a:schemeClr val="bg2"/>
              </a:solidFill>
              <a:effectLst/>
              <a:latin typeface="+mn-lt"/>
              <a:ea typeface="+mn-ea"/>
              <a:cs typeface="+mn-cs"/>
            </a:rPr>
            <a:t>80.66% of revenue</a:t>
          </a:r>
          <a:r>
            <a:rPr lang="en-CA" sz="1400" b="0" i="0" u="none" strike="noStrike">
              <a:solidFill>
                <a:schemeClr val="bg2"/>
              </a:solidFill>
              <a:effectLst/>
              <a:latin typeface="+mn-lt"/>
              <a:ea typeface="+mn-ea"/>
              <a:cs typeface="+mn-cs"/>
            </a:rPr>
            <a:t> despite representing only </a:t>
          </a:r>
          <a:r>
            <a:rPr lang="en-CA" sz="1400" b="1" i="0">
              <a:solidFill>
                <a:schemeClr val="bg2"/>
              </a:solidFill>
              <a:effectLst/>
              <a:latin typeface="+mn-lt"/>
              <a:ea typeface="+mn-ea"/>
              <a:cs typeface="+mn-cs"/>
            </a:rPr>
            <a:t>49.92% of customers</a:t>
          </a:r>
          <a:r>
            <a:rPr lang="en-CA" sz="1400" b="0" i="0" u="none" strike="noStrike">
              <a:solidFill>
                <a:schemeClr val="bg2"/>
              </a:solidFill>
              <a:effectLst/>
              <a:latin typeface="+mn-lt"/>
              <a:ea typeface="+mn-ea"/>
              <a:cs typeface="+mn-cs"/>
            </a:rPr>
            <a:t>, heavily influenced by product mix.</a:t>
          </a:r>
        </a:p>
        <a:p>
          <a:pPr marL="285750" lvl="0" indent="-285750">
            <a:buFont typeface="Arial" panose="020B0604020202020204" pitchFamily="34" charset="0"/>
            <a:buChar char="•"/>
          </a:pPr>
          <a:r>
            <a:rPr lang="en-CA" sz="1400" b="0" i="0" u="none" strike="noStrike">
              <a:solidFill>
                <a:schemeClr val="bg2"/>
              </a:solidFill>
              <a:effectLst/>
              <a:latin typeface="+mn-lt"/>
              <a:ea typeface="+mn-ea"/>
              <a:cs typeface="+mn-cs"/>
            </a:rPr>
            <a:t>Smart Watch is the </a:t>
          </a:r>
          <a:r>
            <a:rPr lang="en-CA" sz="1400" b="1" i="0">
              <a:solidFill>
                <a:schemeClr val="bg2"/>
              </a:solidFill>
              <a:effectLst/>
              <a:latin typeface="+mn-lt"/>
              <a:ea typeface="+mn-ea"/>
              <a:cs typeface="+mn-cs"/>
            </a:rPr>
            <a:t>#4 revenue product ($191.9K)</a:t>
          </a:r>
          <a:r>
            <a:rPr lang="en-CA" sz="1400" b="0" i="0" u="none" strike="noStrike">
              <a:solidFill>
                <a:schemeClr val="bg2"/>
              </a:solidFill>
              <a:effectLst/>
              <a:latin typeface="+mn-lt"/>
              <a:ea typeface="+mn-ea"/>
              <a:cs typeface="+mn-cs"/>
            </a:rPr>
            <a:t> but ranks among the </a:t>
          </a:r>
          <a:r>
            <a:rPr lang="en-CA" sz="1400" b="1" i="0">
              <a:solidFill>
                <a:schemeClr val="bg2"/>
              </a:solidFill>
              <a:effectLst/>
              <a:latin typeface="+mn-lt"/>
              <a:ea typeface="+mn-ea"/>
              <a:cs typeface="+mn-cs"/>
            </a:rPr>
            <a:t>bottom five for ratings (3.70)</a:t>
          </a:r>
          <a:r>
            <a:rPr lang="en-CA" sz="1400" b="0" i="0" u="none" strike="noStrike">
              <a:solidFill>
                <a:schemeClr val="bg2"/>
              </a:solidFill>
              <a:effectLst/>
              <a:latin typeface="+mn-lt"/>
              <a:ea typeface="+mn-ea"/>
              <a:cs typeface="+mn-cs"/>
            </a:rPr>
            <a:t>.</a:t>
          </a:r>
        </a:p>
        <a:p>
          <a:pPr marL="285750" lvl="0" indent="-285750">
            <a:buFont typeface="Arial" panose="020B0604020202020204" pitchFamily="34" charset="0"/>
            <a:buChar char="•"/>
          </a:pPr>
          <a:r>
            <a:rPr lang="en-CA" sz="1400" b="0" i="0" u="none" strike="noStrike">
              <a:solidFill>
                <a:schemeClr val="bg2"/>
              </a:solidFill>
              <a:effectLst/>
              <a:latin typeface="+mn-lt"/>
              <a:ea typeface="+mn-ea"/>
              <a:cs typeface="+mn-cs"/>
            </a:rPr>
            <a:t>Estimated discounts total </a:t>
          </a:r>
          <a:r>
            <a:rPr lang="en-CA" sz="1400" b="1" i="0">
              <a:solidFill>
                <a:schemeClr val="bg2"/>
              </a:solidFill>
              <a:effectLst/>
              <a:latin typeface="+mn-lt"/>
              <a:ea typeface="+mn-ea"/>
              <a:cs typeface="+mn-cs"/>
            </a:rPr>
            <a:t>$260.8K</a:t>
          </a:r>
          <a:r>
            <a:rPr lang="en-CA" sz="1400" b="0" i="0" u="none" strike="noStrike">
              <a:solidFill>
                <a:schemeClr val="bg2"/>
              </a:solidFill>
              <a:effectLst/>
              <a:latin typeface="+mn-lt"/>
              <a:ea typeface="+mn-ea"/>
              <a:cs typeface="+mn-cs"/>
            </a:rPr>
            <a:t>, while discount % has virtually no linear relationship with transaction value (</a:t>
          </a:r>
          <a:r>
            <a:rPr lang="en-CA" sz="1400" b="1" i="0">
              <a:solidFill>
                <a:schemeClr val="bg2"/>
              </a:solidFill>
              <a:effectLst/>
              <a:latin typeface="+mn-lt"/>
              <a:ea typeface="+mn-ea"/>
              <a:cs typeface="+mn-cs"/>
            </a:rPr>
            <a:t>r = 0.004</a:t>
          </a:r>
          <a:r>
            <a:rPr lang="en-CA" sz="1400" b="0" i="0" u="none" strike="noStrike">
              <a:solidFill>
                <a:schemeClr val="bg2"/>
              </a:solidFill>
              <a:effectLst/>
              <a:latin typeface="+mn-lt"/>
              <a:ea typeface="+mn-ea"/>
              <a:cs typeface="+mn-cs"/>
            </a:rPr>
            <a:t>).</a:t>
          </a:r>
          <a:endParaRPr lang="en-US" sz="1400">
            <a:solidFill>
              <a:schemeClr val="bg2"/>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81E70B240A6A31B4/Documents/NorthStar%20Retail%20Data%20Analysis%20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Braimah" refreshedDate="46249.934484606485" createdVersion="8" refreshedVersion="8" minRefreshableVersion="3" recordCount="5000" xr:uid="{93F74F67-B0D3-6C4B-B83B-B796B5EE52D6}">
  <cacheSource type="worksheet">
    <worksheetSource ref="A1:O5001" sheet="Sales_Data" r:id="rId2"/>
  </cacheSource>
  <cacheFields count="15">
    <cacheField name="CustomerID" numFmtId="0">
      <sharedItems containsSemiMixedTypes="0" containsString="0" containsNumber="1" containsInteger="1" minValue="1" maxValue="5000"/>
    </cacheField>
    <cacheField name="Age" numFmtId="0">
      <sharedItems containsSemiMixedTypes="0" containsString="0" containsNumber="1" containsInteger="1" minValue="20" maxValue="70"/>
    </cacheField>
    <cacheField name="Gender" numFmtId="0">
      <sharedItems/>
    </cacheField>
    <cacheField name="Category" numFmtId="0">
      <sharedItems/>
    </cacheField>
    <cacheField name="ItemPurchased" numFmtId="0">
      <sharedItems/>
    </cacheField>
    <cacheField name="Amount" numFmtId="0">
      <sharedItems containsSemiMixedTypes="0" containsString="0" containsNumber="1" minValue="5.08" maxValue="2997.94"/>
    </cacheField>
    <cacheField name="Season" numFmtId="0">
      <sharedItems/>
    </cacheField>
    <cacheField name="PaymentMethod" numFmtId="0">
      <sharedItems/>
    </cacheField>
    <cacheField name="ItemRating" numFmtId="0">
      <sharedItems containsSemiMixedTypes="0" containsString="0" containsNumber="1" minValue="1.1000000000000001" maxValue="5"/>
    </cacheField>
    <cacheField name="DiscountApplied(%)" numFmtId="0">
      <sharedItems containsSemiMixedTypes="0" containsString="0" containsNumber="1" containsInteger="1" minValue="0" maxValue="36" count="32">
        <n v="18"/>
        <n v="13"/>
        <n v="11"/>
        <n v="20"/>
        <n v="14"/>
        <n v="8"/>
        <n v="16"/>
        <n v="10"/>
        <n v="12"/>
        <n v="27"/>
        <n v="22"/>
        <n v="26"/>
        <n v="19"/>
        <n v="9"/>
        <n v="17"/>
        <n v="2"/>
        <n v="6"/>
        <n v="4"/>
        <n v="24"/>
        <n v="15"/>
        <n v="32"/>
        <n v="21"/>
        <n v="23"/>
        <n v="7"/>
        <n v="28"/>
        <n v="30"/>
        <n v="5"/>
        <n v="25"/>
        <n v="29"/>
        <n v="0"/>
        <n v="34"/>
        <n v="36"/>
      </sharedItems>
    </cacheField>
    <cacheField name="PreviousPurchases" numFmtId="0">
      <sharedItems containsSemiMixedTypes="0" containsString="0" containsNumber="1" containsInteger="1" minValue="0" maxValue="13"/>
    </cacheField>
    <cacheField name="Original_Amount" numFmtId="2">
      <sharedItems containsSemiMixedTypes="0" containsString="0" containsNumber="1" minValue="6.120481927710844" maxValue="4148.1857142857143"/>
    </cacheField>
    <cacheField name="Discount_Value" numFmtId="2">
      <sharedItems containsSemiMixedTypes="0" containsString="0" containsNumber="1" minValue="0" maxValue="1244.4557142857143"/>
    </cacheField>
    <cacheField name="Age_Group" numFmtId="0">
      <sharedItems count="6">
        <s v="55-64"/>
        <s v="35-44"/>
        <s v="65-74"/>
        <s v="18-24"/>
        <s v="45-54"/>
        <s v="25-34"/>
      </sharedItems>
    </cacheField>
    <cacheField name="Uniqueness"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729916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Braimah" refreshedDate="46249.934485069447" createdVersion="8" refreshedVersion="8" minRefreshableVersion="3" recordCount="5000" xr:uid="{5AF0F6DD-0DCD-014B-94BC-59514F1A3C23}">
  <cacheSource type="worksheet">
    <worksheetSource ref="A1:O5001" sheet="Sales_Data_Clean"/>
  </cacheSource>
  <cacheFields count="15">
    <cacheField name="CustomerID" numFmtId="0">
      <sharedItems containsSemiMixedTypes="0" containsString="0" containsNumber="1" containsInteger="1" minValue="1" maxValue="5000"/>
    </cacheField>
    <cacheField name="Age" numFmtId="0">
      <sharedItems containsSemiMixedTypes="0" containsString="0" containsNumber="1" containsInteger="1" minValue="20" maxValue="70"/>
    </cacheField>
    <cacheField name="Gender" numFmtId="0">
      <sharedItems count="2">
        <s v="Female"/>
        <s v="Male"/>
      </sharedItems>
    </cacheField>
    <cacheField name="Category" numFmtId="0">
      <sharedItems count="9">
        <s v="Accessories"/>
        <s v="Mens Clothing"/>
        <s v="Sports"/>
        <s v="Home"/>
        <s v="Groceries"/>
        <s v="Electronics"/>
        <s v="Beauty"/>
        <s v="Footwear"/>
        <s v="Womens Clothing"/>
      </sharedItems>
    </cacheField>
    <cacheField name="ItemPurchased" numFmtId="0">
      <sharedItems count="30">
        <s v="Handbag"/>
        <s v="Shirt"/>
        <s v="Football"/>
        <s v="Curtains"/>
        <s v="Snacks"/>
        <s v="Mobile Phone"/>
        <s v="Perfume"/>
        <s v="Smart Watch"/>
        <s v="Formal Shoes"/>
        <s v="T-Shirt"/>
        <s v="Yoga Mat"/>
        <s v="Sandals"/>
        <s v="Dumbbells"/>
        <s v="Sneakers"/>
        <s v="Jeans"/>
        <s v="Lamp"/>
        <s v="Skirt"/>
        <s v="Top"/>
        <s v="Dress"/>
        <s v="Rice Pack"/>
        <s v="Jacket"/>
        <s v="Laptop"/>
        <s v="Sunglasses"/>
        <s v="Makeup Set"/>
        <s v="Kitchen Set"/>
        <s v="Headphones"/>
        <s v="Cooking Oil"/>
        <s v="Skincare Kit"/>
        <s v="Wallet"/>
        <s v="Beverages"/>
      </sharedItems>
    </cacheField>
    <cacheField name="Amount" numFmtId="0">
      <sharedItems containsSemiMixedTypes="0" containsString="0" containsNumber="1" minValue="5.08" maxValue="2997.94"/>
    </cacheField>
    <cacheField name="Season" numFmtId="0">
      <sharedItems count="4">
        <s v="Autumn"/>
        <s v="Spring"/>
        <s v="Winter"/>
        <s v="Summer"/>
      </sharedItems>
    </cacheField>
    <cacheField name="PaymentMethod" numFmtId="0">
      <sharedItems count="2">
        <s v="Card"/>
        <s v="Cash on Delivery"/>
      </sharedItems>
    </cacheField>
    <cacheField name="ItemRating" numFmtId="0">
      <sharedItems containsSemiMixedTypes="0" containsString="0" containsNumber="1" minValue="1.1000000000000001" maxValue="5"/>
    </cacheField>
    <cacheField name="DiscountApplied(%)" numFmtId="0">
      <sharedItems containsSemiMixedTypes="0" containsString="0" containsNumber="1" containsInteger="1" minValue="0" maxValue="36"/>
    </cacheField>
    <cacheField name="PreviousPurchases" numFmtId="0">
      <sharedItems containsSemiMixedTypes="0" containsString="0" containsNumber="1" containsInteger="1" minValue="0" maxValue="13"/>
    </cacheField>
    <cacheField name="Original_Amount" numFmtId="2">
      <sharedItems containsSemiMixedTypes="0" containsString="0" containsNumber="1" minValue="6.120481927710844" maxValue="4148.1857142857143"/>
    </cacheField>
    <cacheField name="Discount_Value" numFmtId="2">
      <sharedItems containsSemiMixedTypes="0" containsString="0" containsNumber="1" minValue="0" maxValue="1244.4557142857143"/>
    </cacheField>
    <cacheField name="Age_Group" numFmtId="0">
      <sharedItems count="6">
        <s v="55-64"/>
        <s v="35-44"/>
        <s v="65-74"/>
        <s v="20-24"/>
        <s v="45-54"/>
        <s v="25-34"/>
      </sharedItems>
    </cacheField>
    <cacheField name="Field15" caption="Field15" numFmtId="0">
      <sharedItems containsNonDate="0" containsString="0" containsBlank="1"/>
    </cacheField>
  </cacheFields>
  <extLst>
    <ext xmlns:x14="http://schemas.microsoft.com/office/spreadsheetml/2009/9/main" uri="{725AE2AE-9491-48be-B2B4-4EB974FC3084}">
      <x14:pivotCacheDefinition pivotCacheId="704747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58"/>
    <s v="Female"/>
    <s v="Accessories"/>
    <s v="Handbag"/>
    <n v="115.5"/>
    <s v="Autumn"/>
    <s v="Card"/>
    <n v="3.5"/>
    <x v="0"/>
    <n v="4"/>
    <n v="140.85365853658536"/>
    <n v="25.353658536585357"/>
    <x v="0"/>
    <n v="1"/>
  </r>
  <r>
    <n v="2"/>
    <n v="40"/>
    <s v="Male"/>
    <s v="Mens Clothing"/>
    <s v="Shirt"/>
    <n v="103.43"/>
    <s v="Spring"/>
    <s v="Card"/>
    <n v="4.0999999999999996"/>
    <x v="1"/>
    <n v="4"/>
    <n v="118.88505747126437"/>
    <n v="15.455057471264368"/>
    <x v="1"/>
    <n v="1"/>
  </r>
  <r>
    <n v="3"/>
    <n v="66"/>
    <s v="Female"/>
    <s v="Sports"/>
    <s v="Football"/>
    <n v="35.450000000000003"/>
    <s v="Spring"/>
    <s v="Card"/>
    <n v="3.3"/>
    <x v="2"/>
    <n v="3"/>
    <n v="39.831460674157306"/>
    <n v="4.381460674157303"/>
    <x v="2"/>
    <n v="1"/>
  </r>
  <r>
    <n v="4"/>
    <n v="39"/>
    <s v="Female"/>
    <s v="Accessories"/>
    <s v="Handbag"/>
    <n v="153.31"/>
    <s v="Spring"/>
    <s v="Card"/>
    <n v="4.4000000000000004"/>
    <x v="1"/>
    <n v="4"/>
    <n v="176.2183908045977"/>
    <n v="22.908390804597701"/>
    <x v="1"/>
    <n v="1"/>
  </r>
  <r>
    <n v="5"/>
    <n v="23"/>
    <s v="Female"/>
    <s v="Home"/>
    <s v="Curtains"/>
    <n v="151.43"/>
    <s v="Winter"/>
    <s v="Card"/>
    <n v="4.0999999999999996"/>
    <x v="3"/>
    <n v="10"/>
    <n v="189.28749999999999"/>
    <n v="37.857499999999987"/>
    <x v="3"/>
    <n v="1"/>
  </r>
  <r>
    <n v="6"/>
    <n v="48"/>
    <s v="Male"/>
    <s v="Groceries"/>
    <s v="Snacks"/>
    <n v="36.76"/>
    <s v="Autumn"/>
    <s v="Card"/>
    <n v="2.5"/>
    <x v="4"/>
    <n v="2"/>
    <n v="42.744186046511629"/>
    <n v="5.9841860465116312"/>
    <x v="4"/>
    <n v="1"/>
  </r>
  <r>
    <n v="7"/>
    <n v="54"/>
    <s v="Male"/>
    <s v="Electronics"/>
    <s v="Mobile Phone"/>
    <n v="1396.16"/>
    <s v="Autumn"/>
    <s v="Card"/>
    <n v="4.7"/>
    <x v="0"/>
    <n v="4"/>
    <n v="1702.6341463414633"/>
    <n v="306.47414634146321"/>
    <x v="4"/>
    <n v="1"/>
  </r>
  <r>
    <n v="8"/>
    <n v="59"/>
    <s v="Female"/>
    <s v="Beauty"/>
    <s v="Perfume"/>
    <n v="35.549999999999997"/>
    <s v="Summer"/>
    <s v="Card"/>
    <n v="4.5999999999999996"/>
    <x v="4"/>
    <n v="7"/>
    <n v="41.337209302325576"/>
    <n v="5.7872093023255786"/>
    <x v="0"/>
    <n v="1"/>
  </r>
  <r>
    <n v="9"/>
    <n v="51"/>
    <s v="Male"/>
    <s v="Electronics"/>
    <s v="Smart Watch"/>
    <n v="2238.79"/>
    <s v="Spring"/>
    <s v="Card"/>
    <n v="4.3"/>
    <x v="3"/>
    <n v="5"/>
    <n v="2798.4874999999997"/>
    <n v="559.69749999999976"/>
    <x v="4"/>
    <n v="1"/>
  </r>
  <r>
    <n v="10"/>
    <n v="47"/>
    <s v="Female"/>
    <s v="Footwear"/>
    <s v="Formal Shoes"/>
    <n v="225.49"/>
    <s v="Spring"/>
    <s v="Card"/>
    <n v="4.7"/>
    <x v="0"/>
    <n v="4"/>
    <n v="274.98780487804879"/>
    <n v="49.497804878048782"/>
    <x v="4"/>
    <n v="1"/>
  </r>
  <r>
    <n v="11"/>
    <n v="32"/>
    <s v="Male"/>
    <s v="Mens Clothing"/>
    <s v="T-Shirt"/>
    <n v="120.8"/>
    <s v="Spring"/>
    <s v="Card"/>
    <n v="3.2"/>
    <x v="5"/>
    <n v="4"/>
    <n v="131.30434782608694"/>
    <n v="10.504347826086942"/>
    <x v="5"/>
    <n v="1"/>
  </r>
  <r>
    <n v="12"/>
    <n v="31"/>
    <s v="Female"/>
    <s v="Accessories"/>
    <s v="Handbag"/>
    <n v="43.69"/>
    <s v="Summer"/>
    <s v="Card"/>
    <n v="3.6"/>
    <x v="5"/>
    <n v="4"/>
    <n v="47.489130434782602"/>
    <n v="3.7991304347826045"/>
    <x v="5"/>
    <n v="1"/>
  </r>
  <r>
    <n v="13"/>
    <n v="21"/>
    <s v="Male"/>
    <s v="Sports"/>
    <s v="Yoga Mat"/>
    <n v="79.459999999999994"/>
    <s v="Winter"/>
    <s v="Cash on Delivery"/>
    <n v="3.8"/>
    <x v="6"/>
    <n v="8"/>
    <n v="94.595238095238088"/>
    <n v="15.135238095238094"/>
    <x v="3"/>
    <n v="1"/>
  </r>
  <r>
    <n v="14"/>
    <n v="22"/>
    <s v="Female"/>
    <s v="Footwear"/>
    <s v="Sandals"/>
    <n v="189.34"/>
    <s v="Summer"/>
    <s v="Card"/>
    <n v="2.9"/>
    <x v="7"/>
    <n v="5"/>
    <n v="210.37777777777777"/>
    <n v="21.037777777777762"/>
    <x v="3"/>
    <n v="1"/>
  </r>
  <r>
    <n v="15"/>
    <n v="47"/>
    <s v="Male"/>
    <s v="Sports"/>
    <s v="Dumbbells"/>
    <n v="222.4"/>
    <s v="Winter"/>
    <s v="Card"/>
    <n v="3.9"/>
    <x v="8"/>
    <n v="6"/>
    <n v="252.72727272727272"/>
    <n v="30.327272727272714"/>
    <x v="4"/>
    <n v="1"/>
  </r>
  <r>
    <n v="16"/>
    <n v="60"/>
    <s v="Male"/>
    <s v="Sports"/>
    <s v="Dumbbells"/>
    <n v="217.67"/>
    <s v="Spring"/>
    <s v="Card"/>
    <n v="4.5999999999999996"/>
    <x v="9"/>
    <n v="11"/>
    <n v="298.17808219178079"/>
    <n v="80.508082191780801"/>
    <x v="0"/>
    <n v="1"/>
  </r>
  <r>
    <n v="17"/>
    <n v="54"/>
    <s v="Female"/>
    <s v="Footwear"/>
    <s v="Sneakers"/>
    <n v="43.8"/>
    <s v="Spring"/>
    <s v="Cash on Delivery"/>
    <n v="2.9"/>
    <x v="3"/>
    <n v="5"/>
    <n v="54.749999999999993"/>
    <n v="10.949999999999996"/>
    <x v="4"/>
    <n v="1"/>
  </r>
  <r>
    <n v="18"/>
    <n v="57"/>
    <s v="Female"/>
    <s v="Womens Clothing"/>
    <s v="Jeans"/>
    <n v="137.29"/>
    <s v="Autumn"/>
    <s v="Card"/>
    <n v="3.4"/>
    <x v="10"/>
    <n v="6"/>
    <n v="176.0128205128205"/>
    <n v="38.722820512820505"/>
    <x v="0"/>
    <n v="1"/>
  </r>
  <r>
    <n v="19"/>
    <n v="68"/>
    <s v="Female"/>
    <s v="Home"/>
    <s v="Lamp"/>
    <n v="105.48"/>
    <s v="Autumn"/>
    <s v="Card"/>
    <n v="4.5"/>
    <x v="4"/>
    <n v="7"/>
    <n v="122.65116279069768"/>
    <n v="17.171162790697679"/>
    <x v="2"/>
    <n v="1"/>
  </r>
  <r>
    <n v="20"/>
    <n v="22"/>
    <s v="Female"/>
    <s v="Womens Clothing"/>
    <s v="Skirt"/>
    <n v="173.52"/>
    <s v="Summer"/>
    <s v="Card"/>
    <n v="3.6"/>
    <x v="0"/>
    <n v="4"/>
    <n v="211.60975609756096"/>
    <n v="38.089756097560951"/>
    <x v="3"/>
    <n v="1"/>
  </r>
  <r>
    <n v="21"/>
    <n v="61"/>
    <s v="Female"/>
    <s v="Footwear"/>
    <s v="Sneakers"/>
    <n v="68.69"/>
    <s v="Autumn"/>
    <s v="Card"/>
    <n v="4.9000000000000004"/>
    <x v="10"/>
    <n v="6"/>
    <n v="88.064102564102555"/>
    <n v="19.374102564102557"/>
    <x v="0"/>
    <n v="1"/>
  </r>
  <r>
    <n v="22"/>
    <n v="65"/>
    <s v="Female"/>
    <s v="Sports"/>
    <s v="Dumbbells"/>
    <n v="31.21"/>
    <s v="Spring"/>
    <s v="Cash on Delivery"/>
    <n v="3.8"/>
    <x v="4"/>
    <n v="7"/>
    <n v="36.29069767441861"/>
    <n v="5.0806976744186088"/>
    <x v="0"/>
    <n v="1"/>
  </r>
  <r>
    <n v="23"/>
    <n v="25"/>
    <s v="Male"/>
    <s v="Sports"/>
    <s v="Football"/>
    <n v="142.5"/>
    <s v="Autumn"/>
    <s v="Card"/>
    <n v="5"/>
    <x v="1"/>
    <n v="4"/>
    <n v="163.79310344827587"/>
    <n v="21.293103448275872"/>
    <x v="3"/>
    <n v="1"/>
  </r>
  <r>
    <n v="24"/>
    <n v="35"/>
    <s v="Male"/>
    <s v="Mens Clothing"/>
    <s v="Jeans"/>
    <n v="36.979999999999997"/>
    <s v="Summer"/>
    <s v="Card"/>
    <n v="4.2"/>
    <x v="1"/>
    <n v="4"/>
    <n v="42.505747126436781"/>
    <n v="5.5257471264367837"/>
    <x v="5"/>
    <n v="1"/>
  </r>
  <r>
    <n v="25"/>
    <n v="28"/>
    <s v="Female"/>
    <s v="Womens Clothing"/>
    <s v="Top"/>
    <n v="56.59"/>
    <s v="Winter"/>
    <s v="Card"/>
    <n v="4.0999999999999996"/>
    <x v="11"/>
    <n v="8"/>
    <n v="76.472972972972983"/>
    <n v="19.882972972972979"/>
    <x v="5"/>
    <n v="1"/>
  </r>
  <r>
    <n v="26"/>
    <n v="41"/>
    <s v="Male"/>
    <s v="Sports"/>
    <s v="Football"/>
    <n v="46.19"/>
    <s v="Winter"/>
    <s v="Cash on Delivery"/>
    <n v="3.3"/>
    <x v="2"/>
    <n v="3"/>
    <n v="51.898876404494381"/>
    <n v="5.7088764044943829"/>
    <x v="1"/>
    <n v="1"/>
  </r>
  <r>
    <n v="27"/>
    <n v="58"/>
    <s v="Female"/>
    <s v="Home"/>
    <s v="Lamp"/>
    <n v="137.6"/>
    <s v="Autumn"/>
    <s v="Card"/>
    <n v="3.7"/>
    <x v="2"/>
    <n v="3"/>
    <n v="154.6067415730337"/>
    <n v="17.006741573033707"/>
    <x v="0"/>
    <n v="1"/>
  </r>
  <r>
    <n v="28"/>
    <n v="24"/>
    <s v="Male"/>
    <s v="Sports"/>
    <s v="Yoga Mat"/>
    <n v="30.97"/>
    <s v="Autumn"/>
    <s v="Card"/>
    <n v="4.4000000000000004"/>
    <x v="3"/>
    <n v="10"/>
    <n v="38.712499999999999"/>
    <n v="7.7424999999999997"/>
    <x v="3"/>
    <n v="1"/>
  </r>
  <r>
    <n v="29"/>
    <n v="50"/>
    <s v="Female"/>
    <s v="Sports"/>
    <s v="Yoga Mat"/>
    <n v="178.68"/>
    <s v="Spring"/>
    <s v="Card"/>
    <n v="3.7"/>
    <x v="2"/>
    <n v="3"/>
    <n v="200.76404494382024"/>
    <n v="22.084044943820231"/>
    <x v="4"/>
    <n v="1"/>
  </r>
  <r>
    <n v="30"/>
    <n v="69"/>
    <s v="Male"/>
    <s v="Sports"/>
    <s v="Football"/>
    <n v="205.78"/>
    <s v="Autumn"/>
    <s v="Card"/>
    <n v="2.7"/>
    <x v="10"/>
    <n v="6"/>
    <n v="263.82051282051282"/>
    <n v="58.040512820512816"/>
    <x v="2"/>
    <n v="1"/>
  </r>
  <r>
    <n v="31"/>
    <n v="43"/>
    <s v="Male"/>
    <s v="Electronics"/>
    <s v="Smart Watch"/>
    <n v="1572.49"/>
    <s v="Autumn"/>
    <s v="Card"/>
    <n v="3.5"/>
    <x v="4"/>
    <n v="7"/>
    <n v="1828.4767441860465"/>
    <n v="255.98674418604651"/>
    <x v="1"/>
    <n v="1"/>
  </r>
  <r>
    <n v="32"/>
    <n v="33"/>
    <s v="Male"/>
    <s v="Footwear"/>
    <s v="Formal Shoes"/>
    <n v="172.69"/>
    <s v="Spring"/>
    <s v="Card"/>
    <n v="4.5999999999999996"/>
    <x v="12"/>
    <n v="7"/>
    <n v="213.19753086419752"/>
    <n v="40.50753086419752"/>
    <x v="5"/>
    <n v="1"/>
  </r>
  <r>
    <n v="33"/>
    <n v="58"/>
    <s v="Female"/>
    <s v="Beauty"/>
    <s v="Perfume"/>
    <n v="135.4"/>
    <s v="Spring"/>
    <s v="Card"/>
    <n v="3.7"/>
    <x v="13"/>
    <n v="2"/>
    <n v="148.79120879120879"/>
    <n v="13.391208791208783"/>
    <x v="0"/>
    <n v="1"/>
  </r>
  <r>
    <n v="34"/>
    <n v="26"/>
    <s v="Female"/>
    <s v="Womens Clothing"/>
    <s v="Dress"/>
    <n v="169.72"/>
    <s v="Autumn"/>
    <s v="Card"/>
    <n v="3.8"/>
    <x v="4"/>
    <n v="2"/>
    <n v="197.34883720930233"/>
    <n v="27.628837209302333"/>
    <x v="5"/>
    <n v="1"/>
  </r>
  <r>
    <n v="35"/>
    <n v="67"/>
    <s v="Male"/>
    <s v="Sports"/>
    <s v="Football"/>
    <n v="238.13"/>
    <s v="Winter"/>
    <s v="Card"/>
    <n v="3.3"/>
    <x v="14"/>
    <n v="6"/>
    <n v="286.90361445783134"/>
    <n v="48.773614457831343"/>
    <x v="2"/>
    <n v="1"/>
  </r>
  <r>
    <n v="36"/>
    <n v="32"/>
    <s v="Female"/>
    <s v="Womens Clothing"/>
    <s v="Jeans"/>
    <n v="50.2"/>
    <s v="Winter"/>
    <s v="Cash on Delivery"/>
    <n v="2.4"/>
    <x v="8"/>
    <n v="6"/>
    <n v="57.045454545454547"/>
    <n v="6.8454545454545439"/>
    <x v="5"/>
    <n v="1"/>
  </r>
  <r>
    <n v="37"/>
    <n v="25"/>
    <s v="Female"/>
    <s v="Groceries"/>
    <s v="Rice Pack"/>
    <n v="29.2"/>
    <s v="Summer"/>
    <s v="Cash on Delivery"/>
    <n v="5"/>
    <x v="5"/>
    <n v="4"/>
    <n v="31.739130434782606"/>
    <n v="2.5391304347826065"/>
    <x v="3"/>
    <n v="1"/>
  </r>
  <r>
    <n v="38"/>
    <n v="50"/>
    <s v="Male"/>
    <s v="Mens Clothing"/>
    <s v="Jacket"/>
    <n v="183.2"/>
    <s v="Autumn"/>
    <s v="Card"/>
    <n v="3.9"/>
    <x v="5"/>
    <n v="4"/>
    <n v="199.13043478260869"/>
    <n v="15.9304347826087"/>
    <x v="4"/>
    <n v="1"/>
  </r>
  <r>
    <n v="39"/>
    <n v="47"/>
    <s v="Female"/>
    <s v="Womens Clothing"/>
    <s v="Jeans"/>
    <n v="129.22"/>
    <s v="Winter"/>
    <s v="Card"/>
    <n v="3.7"/>
    <x v="4"/>
    <n v="7"/>
    <n v="150.25581395348837"/>
    <n v="21.035813953488372"/>
    <x v="4"/>
    <n v="1"/>
  </r>
  <r>
    <n v="40"/>
    <n v="66"/>
    <s v="Male"/>
    <s v="Sports"/>
    <s v="Yoga Mat"/>
    <n v="219.86"/>
    <s v="Spring"/>
    <s v="Card"/>
    <n v="4"/>
    <x v="15"/>
    <n v="1"/>
    <n v="224.34693877551021"/>
    <n v="4.4869387755101968"/>
    <x v="2"/>
    <n v="1"/>
  </r>
  <r>
    <n v="41"/>
    <n v="20"/>
    <s v="Female"/>
    <s v="Beauty"/>
    <s v="Perfume"/>
    <n v="97.24"/>
    <s v="Spring"/>
    <s v="Card"/>
    <n v="4.0999999999999996"/>
    <x v="12"/>
    <n v="7"/>
    <n v="120.04938271604937"/>
    <n v="22.80938271604937"/>
    <x v="3"/>
    <n v="1"/>
  </r>
  <r>
    <n v="42"/>
    <n v="22"/>
    <s v="Male"/>
    <s v="Electronics"/>
    <s v="Laptop"/>
    <n v="2392.6999999999998"/>
    <s v="Winter"/>
    <s v="Card"/>
    <n v="5"/>
    <x v="16"/>
    <n v="3"/>
    <n v="2545.4255319148938"/>
    <n v="152.72553191489396"/>
    <x v="3"/>
    <n v="1"/>
  </r>
  <r>
    <n v="43"/>
    <n v="23"/>
    <s v="Female"/>
    <s v="Footwear"/>
    <s v="Formal Shoes"/>
    <n v="115.21"/>
    <s v="Summer"/>
    <s v="Card"/>
    <n v="4.2"/>
    <x v="12"/>
    <n v="7"/>
    <n v="142.23456790123456"/>
    <n v="27.024567901234562"/>
    <x v="3"/>
    <n v="1"/>
  </r>
  <r>
    <n v="44"/>
    <n v="66"/>
    <s v="Male"/>
    <s v="Electronics"/>
    <s v="Mobile Phone"/>
    <n v="2260.1999999999998"/>
    <s v="Spring"/>
    <s v="Card"/>
    <n v="4.5999999999999996"/>
    <x v="13"/>
    <n v="2"/>
    <n v="2483.7362637362635"/>
    <n v="223.53626373626366"/>
    <x v="2"/>
    <n v="1"/>
  </r>
  <r>
    <n v="45"/>
    <n v="53"/>
    <s v="Female"/>
    <s v="Accessories"/>
    <s v="Sunglasses"/>
    <n v="164.67"/>
    <s v="Autumn"/>
    <s v="Card"/>
    <n v="2.6"/>
    <x v="4"/>
    <n v="7"/>
    <n v="191.47674418604649"/>
    <n v="26.806744186046501"/>
    <x v="4"/>
    <n v="1"/>
  </r>
  <r>
    <n v="46"/>
    <n v="24"/>
    <s v="Female"/>
    <s v="Womens Clothing"/>
    <s v="Dress"/>
    <n v="65.55"/>
    <s v="Autumn"/>
    <s v="Card"/>
    <n v="3.7"/>
    <x v="4"/>
    <n v="7"/>
    <n v="76.220930232558132"/>
    <n v="10.670930232558135"/>
    <x v="3"/>
    <n v="1"/>
  </r>
  <r>
    <n v="47"/>
    <n v="22"/>
    <s v="Male"/>
    <s v="Mens Clothing"/>
    <s v="Shirt"/>
    <n v="62.69"/>
    <s v="Winter"/>
    <s v="Card"/>
    <n v="3.6"/>
    <x v="17"/>
    <n v="2"/>
    <n v="65.302083333333329"/>
    <n v="2.6120833333333309"/>
    <x v="3"/>
    <n v="1"/>
  </r>
  <r>
    <n v="48"/>
    <n v="31"/>
    <s v="Female"/>
    <s v="Beauty"/>
    <s v="Makeup Set"/>
    <n v="62.91"/>
    <s v="Autumn"/>
    <s v="Card"/>
    <n v="3.5"/>
    <x v="0"/>
    <n v="4"/>
    <n v="76.719512195121936"/>
    <n v="13.80951219512194"/>
    <x v="5"/>
    <n v="1"/>
  </r>
  <r>
    <n v="49"/>
    <n v="36"/>
    <s v="Female"/>
    <s v="Footwear"/>
    <s v="Sneakers"/>
    <n v="165.43"/>
    <s v="Summer"/>
    <s v="Card"/>
    <n v="4.5999999999999996"/>
    <x v="18"/>
    <n v="7"/>
    <n v="217.67105263157896"/>
    <n v="52.241052631578953"/>
    <x v="1"/>
    <n v="1"/>
  </r>
  <r>
    <n v="50"/>
    <n v="42"/>
    <s v="Female"/>
    <s v="Footwear"/>
    <s v="Sneakers"/>
    <n v="222.12"/>
    <s v="Winter"/>
    <s v="Card"/>
    <n v="3.2"/>
    <x v="0"/>
    <n v="4"/>
    <n v="270.8780487804878"/>
    <n v="48.758048780487798"/>
    <x v="1"/>
    <n v="1"/>
  </r>
  <r>
    <n v="51"/>
    <n v="36"/>
    <s v="Male"/>
    <s v="Home"/>
    <s v="Lamp"/>
    <n v="270.44"/>
    <s v="Winter"/>
    <s v="Card"/>
    <n v="2.2999999999999998"/>
    <x v="8"/>
    <n v="6"/>
    <n v="307.31818181818181"/>
    <n v="36.878181818181815"/>
    <x v="1"/>
    <n v="1"/>
  </r>
  <r>
    <n v="52"/>
    <n v="25"/>
    <s v="Female"/>
    <s v="Womens Clothing"/>
    <s v="Skirt"/>
    <n v="90.54"/>
    <s v="Autumn"/>
    <s v="Cash on Delivery"/>
    <n v="4.5999999999999996"/>
    <x v="0"/>
    <n v="4"/>
    <n v="110.41463414634146"/>
    <n v="19.87463414634145"/>
    <x v="3"/>
    <n v="1"/>
  </r>
  <r>
    <n v="53"/>
    <n v="49"/>
    <s v="Male"/>
    <s v="Home"/>
    <s v="Kitchen Set"/>
    <n v="45.03"/>
    <s v="Summer"/>
    <s v="Cash on Delivery"/>
    <n v="3.9"/>
    <x v="17"/>
    <n v="2"/>
    <n v="46.90625"/>
    <n v="1.8762499999999989"/>
    <x v="4"/>
    <n v="1"/>
  </r>
  <r>
    <n v="54"/>
    <n v="25"/>
    <s v="Female"/>
    <s v="Footwear"/>
    <s v="Formal Shoes"/>
    <n v="180.42"/>
    <s v="Autumn"/>
    <s v="Card"/>
    <n v="3.9"/>
    <x v="10"/>
    <n v="6"/>
    <n v="231.30769230769229"/>
    <n v="50.887692307692305"/>
    <x v="3"/>
    <n v="1"/>
  </r>
  <r>
    <n v="55"/>
    <n v="52"/>
    <s v="Female"/>
    <s v="Accessories"/>
    <s v="Handbag"/>
    <n v="117.7"/>
    <s v="Winter"/>
    <s v="Card"/>
    <n v="3.1"/>
    <x v="5"/>
    <n v="4"/>
    <n v="127.93478260869566"/>
    <n v="10.234782608695653"/>
    <x v="4"/>
    <n v="1"/>
  </r>
  <r>
    <n v="56"/>
    <n v="42"/>
    <s v="Female"/>
    <s v="Beauty"/>
    <s v="Makeup Set"/>
    <n v="31.42"/>
    <s v="Summer"/>
    <s v="Card"/>
    <n v="2"/>
    <x v="15"/>
    <n v="1"/>
    <n v="32.061224489795919"/>
    <n v="0.64122448979591695"/>
    <x v="1"/>
    <n v="1"/>
  </r>
  <r>
    <n v="57"/>
    <n v="43"/>
    <s v="Female"/>
    <s v="Womens Clothing"/>
    <s v="Skirt"/>
    <n v="188.02"/>
    <s v="Autumn"/>
    <s v="Card"/>
    <n v="4.2"/>
    <x v="14"/>
    <n v="6"/>
    <n v="226.53012048192772"/>
    <n v="38.510120481927714"/>
    <x v="1"/>
    <n v="1"/>
  </r>
  <r>
    <n v="58"/>
    <n v="49"/>
    <s v="Male"/>
    <s v="Groceries"/>
    <s v="Snacks"/>
    <n v="54.89"/>
    <s v="Summer"/>
    <s v="Card"/>
    <n v="4.4000000000000004"/>
    <x v="12"/>
    <n v="7"/>
    <n v="67.76543209876543"/>
    <n v="12.87543209876543"/>
    <x v="4"/>
    <n v="1"/>
  </r>
  <r>
    <n v="59"/>
    <n v="34"/>
    <s v="Male"/>
    <s v="Electronics"/>
    <s v="Headphones"/>
    <n v="1459.73"/>
    <s v="Spring"/>
    <s v="Card"/>
    <n v="4"/>
    <x v="18"/>
    <n v="7"/>
    <n v="1920.6973684210527"/>
    <n v="460.9673684210527"/>
    <x v="5"/>
    <n v="1"/>
  </r>
  <r>
    <n v="60"/>
    <n v="58"/>
    <s v="Male"/>
    <s v="Mens Clothing"/>
    <s v="Shirt"/>
    <n v="82.99"/>
    <s v="Spring"/>
    <s v="Cash on Delivery"/>
    <n v="4.4000000000000004"/>
    <x v="13"/>
    <n v="2"/>
    <n v="91.19780219780219"/>
    <n v="8.2078021978021951"/>
    <x v="0"/>
    <n v="1"/>
  </r>
  <r>
    <n v="61"/>
    <n v="24"/>
    <s v="Male"/>
    <s v="Mens Clothing"/>
    <s v="Jeans"/>
    <n v="121.2"/>
    <s v="Summer"/>
    <s v="Card"/>
    <n v="4.3"/>
    <x v="8"/>
    <n v="6"/>
    <n v="137.72727272727272"/>
    <n v="16.527272727272717"/>
    <x v="3"/>
    <n v="1"/>
  </r>
  <r>
    <n v="62"/>
    <n v="55"/>
    <s v="Female"/>
    <s v="Accessories"/>
    <s v="Handbag"/>
    <n v="152.29"/>
    <s v="Winter"/>
    <s v="Card"/>
    <n v="4.7"/>
    <x v="19"/>
    <n v="5"/>
    <n v="179.16470588235293"/>
    <n v="26.874705882352941"/>
    <x v="4"/>
    <n v="1"/>
  </r>
  <r>
    <n v="63"/>
    <n v="59"/>
    <s v="Female"/>
    <s v="Groceries"/>
    <s v="Snacks"/>
    <n v="59.46"/>
    <s v="Winter"/>
    <s v="Cash on Delivery"/>
    <n v="4"/>
    <x v="0"/>
    <n v="4"/>
    <n v="72.512195121951208"/>
    <n v="13.052195121951208"/>
    <x v="0"/>
    <n v="1"/>
  </r>
  <r>
    <n v="64"/>
    <n v="70"/>
    <s v="Male"/>
    <s v="Groceries"/>
    <s v="Cooking Oil"/>
    <n v="73.3"/>
    <s v="Winter"/>
    <s v="Card"/>
    <n v="2.9"/>
    <x v="13"/>
    <n v="2"/>
    <n v="80.54945054945054"/>
    <n v="7.2494505494505432"/>
    <x v="2"/>
    <n v="1"/>
  </r>
  <r>
    <n v="65"/>
    <n v="20"/>
    <s v="Male"/>
    <s v="Footwear"/>
    <s v="Sandals"/>
    <n v="123.79"/>
    <s v="Spring"/>
    <s v="Card"/>
    <n v="3.5"/>
    <x v="16"/>
    <n v="3"/>
    <n v="131.69148936170214"/>
    <n v="7.9014893617021329"/>
    <x v="3"/>
    <n v="1"/>
  </r>
  <r>
    <n v="66"/>
    <n v="30"/>
    <s v="Female"/>
    <s v="Womens Clothing"/>
    <s v="Skirt"/>
    <n v="155.38"/>
    <s v="Summer"/>
    <s v="Card"/>
    <n v="3"/>
    <x v="16"/>
    <n v="3"/>
    <n v="165.29787234042553"/>
    <n v="9.9178723404255322"/>
    <x v="5"/>
    <n v="1"/>
  </r>
  <r>
    <n v="67"/>
    <n v="25"/>
    <s v="Male"/>
    <s v="Electronics"/>
    <s v="Laptop"/>
    <n v="1951.47"/>
    <s v="Autumn"/>
    <s v="Card"/>
    <n v="3.8"/>
    <x v="4"/>
    <n v="2"/>
    <n v="2269.1511627906975"/>
    <n v="317.6811627906975"/>
    <x v="3"/>
    <n v="1"/>
  </r>
  <r>
    <n v="68"/>
    <n v="41"/>
    <s v="Female"/>
    <s v="Footwear"/>
    <s v="Sneakers"/>
    <n v="102.92"/>
    <s v="Spring"/>
    <s v="Card"/>
    <n v="4"/>
    <x v="8"/>
    <n v="6"/>
    <n v="116.95454545454545"/>
    <n v="14.034545454545452"/>
    <x v="1"/>
    <n v="1"/>
  </r>
  <r>
    <n v="69"/>
    <n v="35"/>
    <s v="Female"/>
    <s v="Beauty"/>
    <s v="Makeup Set"/>
    <n v="112.83"/>
    <s v="Spring"/>
    <s v="Card"/>
    <n v="3.8"/>
    <x v="7"/>
    <n v="5"/>
    <n v="125.36666666666666"/>
    <n v="12.536666666666662"/>
    <x v="5"/>
    <n v="1"/>
  </r>
  <r>
    <n v="70"/>
    <n v="29"/>
    <s v="Male"/>
    <s v="Sports"/>
    <s v="Football"/>
    <n v="30.71"/>
    <s v="Autumn"/>
    <s v="Card"/>
    <n v="3.7"/>
    <x v="6"/>
    <n v="3"/>
    <n v="36.55952380952381"/>
    <n v="5.8495238095238093"/>
    <x v="5"/>
    <n v="1"/>
  </r>
  <r>
    <n v="71"/>
    <n v="42"/>
    <s v="Male"/>
    <s v="Sports"/>
    <s v="Yoga Mat"/>
    <n v="101.34"/>
    <s v="Spring"/>
    <s v="Card"/>
    <n v="3"/>
    <x v="20"/>
    <n v="11"/>
    <n v="149.02941176470591"/>
    <n v="47.689411764705909"/>
    <x v="1"/>
    <n v="1"/>
  </r>
  <r>
    <n v="72"/>
    <n v="20"/>
    <s v="Male"/>
    <s v="Footwear"/>
    <s v="Formal Shoes"/>
    <n v="213.27"/>
    <s v="Winter"/>
    <s v="Card"/>
    <n v="5"/>
    <x v="2"/>
    <n v="3"/>
    <n v="239.62921348314609"/>
    <n v="26.359213483146078"/>
    <x v="3"/>
    <n v="1"/>
  </r>
  <r>
    <n v="73"/>
    <n v="53"/>
    <s v="Male"/>
    <s v="Sports"/>
    <s v="Yoga Mat"/>
    <n v="196.81"/>
    <s v="Winter"/>
    <s v="Card"/>
    <n v="4.4000000000000004"/>
    <x v="14"/>
    <n v="6"/>
    <n v="237.12048192771087"/>
    <n v="40.310481927710867"/>
    <x v="4"/>
    <n v="1"/>
  </r>
  <r>
    <n v="74"/>
    <n v="58"/>
    <s v="Male"/>
    <s v="Sports"/>
    <s v="Yoga Mat"/>
    <n v="246.49"/>
    <s v="Autumn"/>
    <s v="Card"/>
    <n v="4.5"/>
    <x v="2"/>
    <n v="3"/>
    <n v="276.95505617977528"/>
    <n v="30.465056179775274"/>
    <x v="0"/>
    <n v="1"/>
  </r>
  <r>
    <n v="75"/>
    <n v="40"/>
    <s v="Female"/>
    <s v="Womens Clothing"/>
    <s v="Top"/>
    <n v="124.21"/>
    <s v="Summer"/>
    <s v="Card"/>
    <n v="3"/>
    <x v="16"/>
    <n v="3"/>
    <n v="132.13829787234042"/>
    <n v="7.9282978723404227"/>
    <x v="1"/>
    <n v="1"/>
  </r>
  <r>
    <n v="76"/>
    <n v="59"/>
    <s v="Female"/>
    <s v="Beauty"/>
    <s v="Skincare Kit"/>
    <n v="42.8"/>
    <s v="Winter"/>
    <s v="Card"/>
    <n v="3.1"/>
    <x v="1"/>
    <n v="4"/>
    <n v="49.195402298850574"/>
    <n v="6.395402298850577"/>
    <x v="0"/>
    <n v="1"/>
  </r>
  <r>
    <n v="77"/>
    <n v="70"/>
    <s v="Male"/>
    <s v="Mens Clothing"/>
    <s v="Shirt"/>
    <n v="96.18"/>
    <s v="Autumn"/>
    <s v="Card"/>
    <n v="2.7"/>
    <x v="3"/>
    <n v="5"/>
    <n v="120.22500000000001"/>
    <n v="24.045000000000002"/>
    <x v="2"/>
    <n v="1"/>
  </r>
  <r>
    <n v="78"/>
    <n v="38"/>
    <s v="Male"/>
    <s v="Electronics"/>
    <s v="Mobile Phone"/>
    <n v="2888.09"/>
    <s v="Winter"/>
    <s v="Card"/>
    <n v="3.6"/>
    <x v="5"/>
    <n v="4"/>
    <n v="3139.228260869565"/>
    <n v="251.13826086956487"/>
    <x v="1"/>
    <n v="1"/>
  </r>
  <r>
    <n v="79"/>
    <n v="62"/>
    <s v="Female"/>
    <s v="Accessories"/>
    <s v="Sunglasses"/>
    <n v="151.06"/>
    <s v="Autumn"/>
    <s v="Card"/>
    <n v="4.0999999999999996"/>
    <x v="3"/>
    <n v="5"/>
    <n v="188.82499999999999"/>
    <n v="37.764999999999986"/>
    <x v="0"/>
    <n v="1"/>
  </r>
  <r>
    <n v="80"/>
    <n v="35"/>
    <s v="Female"/>
    <s v="Accessories"/>
    <s v="Handbag"/>
    <n v="141.44999999999999"/>
    <s v="Autumn"/>
    <s v="Card"/>
    <n v="5"/>
    <x v="12"/>
    <n v="7"/>
    <n v="174.62962962962959"/>
    <n v="33.179629629629602"/>
    <x v="5"/>
    <n v="1"/>
  </r>
  <r>
    <n v="81"/>
    <n v="26"/>
    <s v="Male"/>
    <s v="Groceries"/>
    <s v="Cooking Oil"/>
    <n v="73.66"/>
    <s v="Spring"/>
    <s v="Card"/>
    <n v="4.7"/>
    <x v="2"/>
    <n v="3"/>
    <n v="82.764044943820224"/>
    <n v="9.1040449438202273"/>
    <x v="5"/>
    <n v="1"/>
  </r>
  <r>
    <n v="82"/>
    <n v="58"/>
    <s v="Male"/>
    <s v="Mens Clothing"/>
    <s v="Jacket"/>
    <n v="36.29"/>
    <s v="Autumn"/>
    <s v="Card"/>
    <n v="3.4"/>
    <x v="16"/>
    <n v="3"/>
    <n v="38.606382978723403"/>
    <n v="2.3163829787234036"/>
    <x v="0"/>
    <n v="1"/>
  </r>
  <r>
    <n v="83"/>
    <n v="45"/>
    <s v="Male"/>
    <s v="Footwear"/>
    <s v="Sandals"/>
    <n v="208.84"/>
    <s v="Summer"/>
    <s v="Card"/>
    <n v="4.4000000000000004"/>
    <x v="0"/>
    <n v="9"/>
    <n v="254.68292682926827"/>
    <n v="45.842926829268265"/>
    <x v="1"/>
    <n v="1"/>
  </r>
  <r>
    <n v="84"/>
    <n v="58"/>
    <s v="Female"/>
    <s v="Womens Clothing"/>
    <s v="Dress"/>
    <n v="98.33"/>
    <s v="Spring"/>
    <s v="Card"/>
    <n v="4.0999999999999996"/>
    <x v="11"/>
    <n v="8"/>
    <n v="132.87837837837839"/>
    <n v="34.548378378378388"/>
    <x v="0"/>
    <n v="1"/>
  </r>
  <r>
    <n v="85"/>
    <n v="49"/>
    <s v="Female"/>
    <s v="Womens Clothing"/>
    <s v="Dress"/>
    <n v="37.159999999999997"/>
    <s v="Summer"/>
    <s v="Cash on Delivery"/>
    <n v="3.7"/>
    <x v="6"/>
    <n v="3"/>
    <n v="44.238095238095234"/>
    <n v="7.0780952380952371"/>
    <x v="4"/>
    <n v="1"/>
  </r>
  <r>
    <n v="86"/>
    <n v="65"/>
    <s v="Female"/>
    <s v="Beauty"/>
    <s v="Makeup Set"/>
    <n v="41.71"/>
    <s v="Winter"/>
    <s v="Card"/>
    <n v="3.3"/>
    <x v="12"/>
    <n v="7"/>
    <n v="51.493827160493822"/>
    <n v="9.7838271604938214"/>
    <x v="0"/>
    <n v="1"/>
  </r>
  <r>
    <n v="87"/>
    <n v="22"/>
    <s v="Female"/>
    <s v="Beauty"/>
    <s v="Makeup Set"/>
    <n v="145.97999999999999"/>
    <s v="Summer"/>
    <s v="Card"/>
    <n v="3.5"/>
    <x v="18"/>
    <n v="7"/>
    <n v="192.07894736842104"/>
    <n v="46.098947368421051"/>
    <x v="3"/>
    <n v="1"/>
  </r>
  <r>
    <n v="88"/>
    <n v="44"/>
    <s v="Male"/>
    <s v="Electronics"/>
    <s v="Mobile Phone"/>
    <n v="1643.58"/>
    <s v="Autumn"/>
    <s v="Card"/>
    <n v="3.2"/>
    <x v="2"/>
    <n v="3"/>
    <n v="1846.7191011235955"/>
    <n v="203.13910112359554"/>
    <x v="1"/>
    <n v="1"/>
  </r>
  <r>
    <n v="89"/>
    <n v="61"/>
    <s v="Male"/>
    <s v="Electronics"/>
    <s v="Laptop"/>
    <n v="2338.0300000000002"/>
    <s v="Spring"/>
    <s v="Card"/>
    <n v="3.8"/>
    <x v="4"/>
    <n v="2"/>
    <n v="2718.6395348837214"/>
    <n v="380.60953488372115"/>
    <x v="0"/>
    <n v="1"/>
  </r>
  <r>
    <n v="90"/>
    <n v="56"/>
    <s v="Female"/>
    <s v="Groceries"/>
    <s v="Rice Pack"/>
    <n v="68.84"/>
    <s v="Summer"/>
    <s v="Cash on Delivery"/>
    <n v="5"/>
    <x v="12"/>
    <n v="7"/>
    <n v="84.987654320987659"/>
    <n v="16.147654320987655"/>
    <x v="0"/>
    <n v="1"/>
  </r>
  <r>
    <n v="91"/>
    <n v="35"/>
    <s v="Female"/>
    <s v="Accessories"/>
    <s v="Sunglasses"/>
    <n v="45.66"/>
    <s v="Spring"/>
    <s v="Cash on Delivery"/>
    <n v="4.5999999999999996"/>
    <x v="0"/>
    <n v="4"/>
    <n v="55.682926829268283"/>
    <n v="10.022926829268286"/>
    <x v="5"/>
    <n v="1"/>
  </r>
  <r>
    <n v="92"/>
    <n v="51"/>
    <s v="Male"/>
    <s v="Footwear"/>
    <s v="Sandals"/>
    <n v="40.24"/>
    <s v="Winter"/>
    <s v="Card"/>
    <n v="3.8"/>
    <x v="0"/>
    <n v="4"/>
    <n v="49.073170731707314"/>
    <n v="8.8331707317073125"/>
    <x v="4"/>
    <n v="1"/>
  </r>
  <r>
    <n v="93"/>
    <n v="36"/>
    <s v="Female"/>
    <s v="Footwear"/>
    <s v="Sneakers"/>
    <n v="203.77"/>
    <s v="Spring"/>
    <s v="Card"/>
    <n v="4.4000000000000004"/>
    <x v="12"/>
    <n v="7"/>
    <n v="251.5679012345679"/>
    <n v="47.797901234567888"/>
    <x v="1"/>
    <n v="1"/>
  </r>
  <r>
    <n v="94"/>
    <n v="20"/>
    <s v="Female"/>
    <s v="Accessories"/>
    <s v="Wallet"/>
    <n v="159.44999999999999"/>
    <s v="Winter"/>
    <s v="Card"/>
    <n v="4.5999999999999996"/>
    <x v="3"/>
    <n v="5"/>
    <n v="199.31249999999997"/>
    <n v="39.862499999999983"/>
    <x v="3"/>
    <n v="1"/>
  </r>
  <r>
    <n v="95"/>
    <n v="25"/>
    <s v="Male"/>
    <s v="Footwear"/>
    <s v="Sandals"/>
    <n v="183.49"/>
    <s v="Autumn"/>
    <s v="Card"/>
    <n v="3.5"/>
    <x v="3"/>
    <n v="5"/>
    <n v="229.36250000000001"/>
    <n v="45.872500000000002"/>
    <x v="3"/>
    <n v="1"/>
  </r>
  <r>
    <n v="96"/>
    <n v="21"/>
    <s v="Male"/>
    <s v="Mens Clothing"/>
    <s v="Jacket"/>
    <n v="76.45"/>
    <s v="Summer"/>
    <s v="Card"/>
    <n v="4.4000000000000004"/>
    <x v="8"/>
    <n v="6"/>
    <n v="86.875"/>
    <n v="10.424999999999997"/>
    <x v="3"/>
    <n v="1"/>
  </r>
  <r>
    <n v="97"/>
    <n v="20"/>
    <s v="Female"/>
    <s v="Accessories"/>
    <s v="Wallet"/>
    <n v="54.1"/>
    <s v="Summer"/>
    <s v="Card"/>
    <n v="4.0999999999999996"/>
    <x v="6"/>
    <n v="3"/>
    <n v="64.404761904761912"/>
    <n v="10.304761904761911"/>
    <x v="3"/>
    <n v="1"/>
  </r>
  <r>
    <n v="98"/>
    <n v="65"/>
    <s v="Female"/>
    <s v="Accessories"/>
    <s v="Handbag"/>
    <n v="41"/>
    <s v="Autumn"/>
    <s v="Cash on Delivery"/>
    <n v="4"/>
    <x v="7"/>
    <n v="5"/>
    <n v="45.555555555555557"/>
    <n v="4.5555555555555571"/>
    <x v="0"/>
    <n v="1"/>
  </r>
  <r>
    <n v="99"/>
    <n v="39"/>
    <s v="Female"/>
    <s v="Footwear"/>
    <s v="Sneakers"/>
    <n v="73.77"/>
    <s v="Spring"/>
    <s v="Card"/>
    <n v="3.5"/>
    <x v="14"/>
    <n v="6"/>
    <n v="88.879518072289159"/>
    <n v="15.109518072289163"/>
    <x v="1"/>
    <n v="1"/>
  </r>
  <r>
    <n v="100"/>
    <n v="51"/>
    <s v="Male"/>
    <s v="Electronics"/>
    <s v="Smart Watch"/>
    <n v="2449.63"/>
    <s v="Autumn"/>
    <s v="Card"/>
    <n v="1.9"/>
    <x v="17"/>
    <n v="2"/>
    <n v="2551.697916666667"/>
    <n v="102.06791666666686"/>
    <x v="4"/>
    <n v="1"/>
  </r>
  <r>
    <n v="101"/>
    <n v="65"/>
    <s v="Female"/>
    <s v="Home"/>
    <s v="Curtains"/>
    <n v="86.79"/>
    <s v="Spring"/>
    <s v="Cash on Delivery"/>
    <n v="3.6"/>
    <x v="8"/>
    <n v="6"/>
    <n v="98.625"/>
    <n v="11.834999999999994"/>
    <x v="0"/>
    <n v="1"/>
  </r>
  <r>
    <n v="102"/>
    <n v="58"/>
    <s v="Female"/>
    <s v="Womens Clothing"/>
    <s v="Skirt"/>
    <n v="64.03"/>
    <s v="Summer"/>
    <s v="Card"/>
    <n v="3.2"/>
    <x v="1"/>
    <n v="4"/>
    <n v="73.597701149425291"/>
    <n v="9.5677011494252895"/>
    <x v="0"/>
    <n v="1"/>
  </r>
  <r>
    <n v="103"/>
    <n v="50"/>
    <s v="Female"/>
    <s v="Footwear"/>
    <s v="Formal Shoes"/>
    <n v="171.31"/>
    <s v="Autumn"/>
    <s v="Card"/>
    <n v="5"/>
    <x v="21"/>
    <n v="8"/>
    <n v="216.84810126582278"/>
    <n v="45.538101265822775"/>
    <x v="4"/>
    <n v="1"/>
  </r>
  <r>
    <n v="104"/>
    <n v="42"/>
    <s v="Female"/>
    <s v="Groceries"/>
    <s v="Snacks"/>
    <n v="21.44"/>
    <s v="Autumn"/>
    <s v="Card"/>
    <n v="3.6"/>
    <x v="12"/>
    <n v="7"/>
    <n v="26.469135802469136"/>
    <n v="5.0291358024691348"/>
    <x v="1"/>
    <n v="1"/>
  </r>
  <r>
    <n v="105"/>
    <n v="60"/>
    <s v="Male"/>
    <s v="Mens Clothing"/>
    <s v="Jacket"/>
    <n v="145.63999999999999"/>
    <s v="Winter"/>
    <s v="Card"/>
    <n v="3.3"/>
    <x v="15"/>
    <n v="1"/>
    <n v="148.61224489795919"/>
    <n v="2.9722448979592002"/>
    <x v="0"/>
    <n v="1"/>
  </r>
  <r>
    <n v="106"/>
    <n v="50"/>
    <s v="Female"/>
    <s v="Footwear"/>
    <s v="Sneakers"/>
    <n v="112.65"/>
    <s v="Spring"/>
    <s v="Card"/>
    <n v="3.9"/>
    <x v="7"/>
    <n v="5"/>
    <n v="125.16666666666667"/>
    <n v="12.516666666666666"/>
    <x v="4"/>
    <n v="1"/>
  </r>
  <r>
    <n v="107"/>
    <n v="55"/>
    <s v="Female"/>
    <s v="Footwear"/>
    <s v="Formal Shoes"/>
    <n v="177.55"/>
    <s v="Summer"/>
    <s v="Card"/>
    <n v="4.2"/>
    <x v="14"/>
    <n v="6"/>
    <n v="213.91566265060243"/>
    <n v="36.365662650602417"/>
    <x v="4"/>
    <n v="1"/>
  </r>
  <r>
    <n v="108"/>
    <n v="61"/>
    <s v="Female"/>
    <s v="Womens Clothing"/>
    <s v="Skirt"/>
    <n v="100.22"/>
    <s v="Summer"/>
    <s v="Card"/>
    <n v="3.8"/>
    <x v="17"/>
    <n v="2"/>
    <n v="104.39583333333334"/>
    <n v="4.1758333333333439"/>
    <x v="0"/>
    <n v="1"/>
  </r>
  <r>
    <n v="109"/>
    <n v="33"/>
    <s v="Female"/>
    <s v="Footwear"/>
    <s v="Formal Shoes"/>
    <n v="60"/>
    <s v="Summer"/>
    <s v="Card"/>
    <n v="3.3"/>
    <x v="5"/>
    <n v="4"/>
    <n v="65.217391304347828"/>
    <n v="5.2173913043478279"/>
    <x v="5"/>
    <n v="1"/>
  </r>
  <r>
    <n v="110"/>
    <n v="66"/>
    <s v="Male"/>
    <s v="Footwear"/>
    <s v="Formal Shoes"/>
    <n v="75.650000000000006"/>
    <s v="Winter"/>
    <s v="Card"/>
    <n v="4"/>
    <x v="4"/>
    <n v="7"/>
    <n v="87.965116279069775"/>
    <n v="12.31511627906977"/>
    <x v="2"/>
    <n v="1"/>
  </r>
  <r>
    <n v="111"/>
    <n v="66"/>
    <s v="Male"/>
    <s v="Electronics"/>
    <s v="Laptop"/>
    <n v="2263.46"/>
    <s v="Autumn"/>
    <s v="Card"/>
    <n v="3.8"/>
    <x v="1"/>
    <n v="4"/>
    <n v="2601.6781609195405"/>
    <n v="338.21816091954042"/>
    <x v="2"/>
    <n v="1"/>
  </r>
  <r>
    <n v="112"/>
    <n v="45"/>
    <s v="Male"/>
    <s v="Footwear"/>
    <s v="Formal Shoes"/>
    <n v="77.8"/>
    <s v="Winter"/>
    <s v="Cash on Delivery"/>
    <n v="3.2"/>
    <x v="13"/>
    <n v="2"/>
    <n v="85.494505494505489"/>
    <n v="7.694505494505492"/>
    <x v="1"/>
    <n v="1"/>
  </r>
  <r>
    <n v="113"/>
    <n v="69"/>
    <s v="Female"/>
    <s v="Womens Clothing"/>
    <s v="Top"/>
    <n v="84.93"/>
    <s v="Autumn"/>
    <s v="Cash on Delivery"/>
    <n v="4.5999999999999996"/>
    <x v="14"/>
    <n v="6"/>
    <n v="102.3253012048193"/>
    <n v="17.39530120481929"/>
    <x v="2"/>
    <n v="1"/>
  </r>
  <r>
    <n v="114"/>
    <n v="27"/>
    <s v="Female"/>
    <s v="Sports"/>
    <s v="Football"/>
    <n v="124.84"/>
    <s v="Spring"/>
    <s v="Card"/>
    <n v="3.2"/>
    <x v="3"/>
    <n v="10"/>
    <n v="156.04999999999998"/>
    <n v="31.20999999999998"/>
    <x v="5"/>
    <n v="1"/>
  </r>
  <r>
    <n v="115"/>
    <n v="23"/>
    <s v="Male"/>
    <s v="Footwear"/>
    <s v="Formal Shoes"/>
    <n v="122.71"/>
    <s v="Summer"/>
    <s v="Card"/>
    <n v="3.4"/>
    <x v="5"/>
    <n v="4"/>
    <n v="133.38043478260869"/>
    <n v="10.670434782608694"/>
    <x v="3"/>
    <n v="1"/>
  </r>
  <r>
    <n v="116"/>
    <n v="60"/>
    <s v="Male"/>
    <s v="Electronics"/>
    <s v="Mobile Phone"/>
    <n v="1317.58"/>
    <s v="Winter"/>
    <s v="Card"/>
    <n v="4.2"/>
    <x v="11"/>
    <n v="8"/>
    <n v="1780.5135135135135"/>
    <n v="462.93351351351362"/>
    <x v="0"/>
    <n v="1"/>
  </r>
  <r>
    <n v="117"/>
    <n v="31"/>
    <s v="Female"/>
    <s v="Beauty"/>
    <s v="Perfume"/>
    <n v="70.510000000000005"/>
    <s v="Spring"/>
    <s v="Cash on Delivery"/>
    <n v="4.2"/>
    <x v="0"/>
    <n v="4"/>
    <n v="85.987804878048777"/>
    <n v="15.477804878048772"/>
    <x v="5"/>
    <n v="1"/>
  </r>
  <r>
    <n v="118"/>
    <n v="28"/>
    <s v="Male"/>
    <s v="Sports"/>
    <s v="Yoga Mat"/>
    <n v="132.82"/>
    <s v="Autumn"/>
    <s v="Card"/>
    <n v="2.9"/>
    <x v="13"/>
    <n v="2"/>
    <n v="145.95604395604394"/>
    <n v="13.136043956043949"/>
    <x v="5"/>
    <n v="1"/>
  </r>
  <r>
    <n v="119"/>
    <n v="56"/>
    <s v="Male"/>
    <s v="Footwear"/>
    <s v="Sandals"/>
    <n v="200.63"/>
    <s v="Summer"/>
    <s v="Card"/>
    <n v="4"/>
    <x v="0"/>
    <n v="4"/>
    <n v="244.67073170731706"/>
    <n v="44.040731707317065"/>
    <x v="0"/>
    <n v="1"/>
  </r>
  <r>
    <n v="120"/>
    <n v="34"/>
    <s v="Female"/>
    <s v="Womens Clothing"/>
    <s v="Skirt"/>
    <n v="47.24"/>
    <s v="Spring"/>
    <s v="Cash on Delivery"/>
    <n v="4.0999999999999996"/>
    <x v="19"/>
    <n v="5"/>
    <n v="55.576470588235296"/>
    <n v="8.3364705882352936"/>
    <x v="5"/>
    <n v="1"/>
  </r>
  <r>
    <n v="121"/>
    <n v="37"/>
    <s v="Female"/>
    <s v="Footwear"/>
    <s v="Formal Shoes"/>
    <n v="65.599999999999994"/>
    <s v="Winter"/>
    <s v="Cash on Delivery"/>
    <n v="3.2"/>
    <x v="19"/>
    <n v="5"/>
    <n v="77.17647058823529"/>
    <n v="11.576470588235296"/>
    <x v="1"/>
    <n v="1"/>
  </r>
  <r>
    <n v="122"/>
    <n v="63"/>
    <s v="Female"/>
    <s v="Accessories"/>
    <s v="Sunglasses"/>
    <n v="20.41"/>
    <s v="Autumn"/>
    <s v="Cash on Delivery"/>
    <n v="3.7"/>
    <x v="14"/>
    <n v="6"/>
    <n v="24.590361445783135"/>
    <n v="4.1803614457831344"/>
    <x v="0"/>
    <n v="1"/>
  </r>
  <r>
    <n v="123"/>
    <n v="35"/>
    <s v="Male"/>
    <s v="Electronics"/>
    <s v="Smart Watch"/>
    <n v="1187.02"/>
    <s v="Autumn"/>
    <s v="Card"/>
    <n v="3.5"/>
    <x v="19"/>
    <n v="5"/>
    <n v="1396.4941176470588"/>
    <n v="209.47411764705885"/>
    <x v="5"/>
    <n v="1"/>
  </r>
  <r>
    <n v="124"/>
    <n v="53"/>
    <s v="Male"/>
    <s v="Electronics"/>
    <s v="Mobile Phone"/>
    <n v="559.1"/>
    <s v="Autumn"/>
    <s v="Card"/>
    <n v="3.4"/>
    <x v="14"/>
    <n v="6"/>
    <n v="673.61445783132535"/>
    <n v="114.51445783132533"/>
    <x v="4"/>
    <n v="1"/>
  </r>
  <r>
    <n v="125"/>
    <n v="54"/>
    <s v="Male"/>
    <s v="Footwear"/>
    <s v="Formal Shoes"/>
    <n v="129.91999999999999"/>
    <s v="Winter"/>
    <s v="Card"/>
    <n v="4.2"/>
    <x v="1"/>
    <n v="4"/>
    <n v="149.33333333333331"/>
    <n v="19.413333333333327"/>
    <x v="4"/>
    <n v="1"/>
  </r>
  <r>
    <n v="126"/>
    <n v="65"/>
    <s v="Female"/>
    <s v="Groceries"/>
    <s v="Beverages"/>
    <n v="19.39"/>
    <s v="Spring"/>
    <s v="Cash on Delivery"/>
    <n v="3.4"/>
    <x v="16"/>
    <n v="3"/>
    <n v="20.627659574468087"/>
    <n v="1.2376595744680863"/>
    <x v="0"/>
    <n v="1"/>
  </r>
  <r>
    <n v="127"/>
    <n v="24"/>
    <s v="Female"/>
    <s v="Beauty"/>
    <s v="Makeup Set"/>
    <n v="97.07"/>
    <s v="Autumn"/>
    <s v="Cash on Delivery"/>
    <n v="2.4"/>
    <x v="1"/>
    <n v="4"/>
    <n v="111.57471264367815"/>
    <n v="14.504712643678161"/>
    <x v="3"/>
    <n v="1"/>
  </r>
  <r>
    <n v="128"/>
    <n v="55"/>
    <s v="Male"/>
    <s v="Sports"/>
    <s v="Dumbbells"/>
    <n v="70.209999999999994"/>
    <s v="Spring"/>
    <s v="Cash on Delivery"/>
    <n v="3.4"/>
    <x v="0"/>
    <n v="4"/>
    <n v="85.621951219512184"/>
    <n v="15.41195121951219"/>
    <x v="4"/>
    <n v="1"/>
  </r>
  <r>
    <n v="129"/>
    <n v="64"/>
    <s v="Male"/>
    <s v="Sports"/>
    <s v="Yoga Mat"/>
    <n v="248.31"/>
    <s v="Winter"/>
    <s v="Card"/>
    <n v="3.7"/>
    <x v="12"/>
    <n v="7"/>
    <n v="306.55555555555554"/>
    <n v="58.245555555555541"/>
    <x v="0"/>
    <n v="1"/>
  </r>
  <r>
    <n v="130"/>
    <n v="21"/>
    <s v="Male"/>
    <s v="Sports"/>
    <s v="Football"/>
    <n v="149.61000000000001"/>
    <s v="Autumn"/>
    <s v="Card"/>
    <n v="3.6"/>
    <x v="21"/>
    <n v="8"/>
    <n v="189.37974683544306"/>
    <n v="39.769746835443044"/>
    <x v="3"/>
    <n v="1"/>
  </r>
  <r>
    <n v="131"/>
    <n v="66"/>
    <s v="Male"/>
    <s v="Home"/>
    <s v="Lamp"/>
    <n v="132.77000000000001"/>
    <s v="Spring"/>
    <s v="Card"/>
    <n v="3.5"/>
    <x v="14"/>
    <n v="6"/>
    <n v="159.96385542168676"/>
    <n v="27.193855421686749"/>
    <x v="2"/>
    <n v="1"/>
  </r>
  <r>
    <n v="132"/>
    <n v="39"/>
    <s v="Female"/>
    <s v="Beauty"/>
    <s v="Makeup Set"/>
    <n v="37.229999999999997"/>
    <s v="Winter"/>
    <s v="Card"/>
    <n v="3.4"/>
    <x v="4"/>
    <n v="7"/>
    <n v="43.290697674418603"/>
    <n v="6.0606976744186056"/>
    <x v="1"/>
    <n v="1"/>
  </r>
  <r>
    <n v="133"/>
    <n v="53"/>
    <s v="Female"/>
    <s v="Footwear"/>
    <s v="Sneakers"/>
    <n v="88.84"/>
    <s v="Summer"/>
    <s v="Cash on Delivery"/>
    <n v="1.8"/>
    <x v="6"/>
    <n v="3"/>
    <n v="105.76190476190477"/>
    <n v="16.92190476190477"/>
    <x v="4"/>
    <n v="1"/>
  </r>
  <r>
    <n v="134"/>
    <n v="25"/>
    <s v="Female"/>
    <s v="Womens Clothing"/>
    <s v="Top"/>
    <n v="140.53"/>
    <s v="Spring"/>
    <s v="Card"/>
    <n v="3.9"/>
    <x v="2"/>
    <n v="3"/>
    <n v="157.89887640449439"/>
    <n v="17.368876404494387"/>
    <x v="3"/>
    <n v="1"/>
  </r>
  <r>
    <n v="135"/>
    <n v="30"/>
    <s v="Female"/>
    <s v="Sports"/>
    <s v="Football"/>
    <n v="121.83"/>
    <s v="Autumn"/>
    <s v="Card"/>
    <n v="3.5"/>
    <x v="6"/>
    <n v="3"/>
    <n v="145.03571428571428"/>
    <n v="23.205714285714279"/>
    <x v="5"/>
    <n v="1"/>
  </r>
  <r>
    <n v="136"/>
    <n v="23"/>
    <s v="Male"/>
    <s v="Electronics"/>
    <s v="Headphones"/>
    <n v="1052.01"/>
    <s v="Autumn"/>
    <s v="Card"/>
    <n v="4.0999999999999996"/>
    <x v="18"/>
    <n v="7"/>
    <n v="1384.2236842105262"/>
    <n v="332.21368421052625"/>
    <x v="3"/>
    <n v="1"/>
  </r>
  <r>
    <n v="137"/>
    <n v="41"/>
    <s v="Female"/>
    <s v="Groceries"/>
    <s v="Cooking Oil"/>
    <n v="77.290000000000006"/>
    <s v="Winter"/>
    <s v="Card"/>
    <n v="3.9"/>
    <x v="0"/>
    <n v="4"/>
    <n v="94.256097560975604"/>
    <n v="16.966097560975598"/>
    <x v="1"/>
    <n v="1"/>
  </r>
  <r>
    <n v="138"/>
    <n v="40"/>
    <s v="Female"/>
    <s v="Beauty"/>
    <s v="Skincare Kit"/>
    <n v="124.2"/>
    <s v="Spring"/>
    <s v="Card"/>
    <n v="3.1"/>
    <x v="14"/>
    <n v="6"/>
    <n v="149.63855421686748"/>
    <n v="25.438554216867473"/>
    <x v="1"/>
    <n v="1"/>
  </r>
  <r>
    <n v="139"/>
    <n v="23"/>
    <s v="Female"/>
    <s v="Footwear"/>
    <s v="Formal Shoes"/>
    <n v="139.96"/>
    <s v="Autumn"/>
    <s v="Card"/>
    <n v="4.0999999999999996"/>
    <x v="0"/>
    <n v="9"/>
    <n v="170.6829268292683"/>
    <n v="30.722926829268289"/>
    <x v="3"/>
    <n v="1"/>
  </r>
  <r>
    <n v="140"/>
    <n v="59"/>
    <s v="Male"/>
    <s v="Footwear"/>
    <s v="Formal Shoes"/>
    <n v="121.13"/>
    <s v="Summer"/>
    <s v="Card"/>
    <n v="3.6"/>
    <x v="7"/>
    <n v="5"/>
    <n v="134.58888888888887"/>
    <n v="13.458888888888879"/>
    <x v="0"/>
    <n v="1"/>
  </r>
  <r>
    <n v="141"/>
    <n v="56"/>
    <s v="Female"/>
    <s v="Groceries"/>
    <s v="Snacks"/>
    <n v="58.72"/>
    <s v="Autumn"/>
    <s v="Card"/>
    <n v="2.6"/>
    <x v="15"/>
    <n v="1"/>
    <n v="59.918367346938773"/>
    <n v="1.1983673469387739"/>
    <x v="0"/>
    <n v="1"/>
  </r>
  <r>
    <n v="142"/>
    <n v="34"/>
    <s v="Male"/>
    <s v="Sports"/>
    <s v="Dumbbells"/>
    <n v="64.17"/>
    <s v="Autumn"/>
    <s v="Card"/>
    <n v="3"/>
    <x v="5"/>
    <n v="4"/>
    <n v="69.75"/>
    <n v="5.5799999999999983"/>
    <x v="5"/>
    <n v="1"/>
  </r>
  <r>
    <n v="143"/>
    <n v="59"/>
    <s v="Male"/>
    <s v="Footwear"/>
    <s v="Formal Shoes"/>
    <n v="42.19"/>
    <s v="Spring"/>
    <s v="Cash on Delivery"/>
    <n v="3.2"/>
    <x v="17"/>
    <n v="2"/>
    <n v="43.947916666666664"/>
    <n v="1.7579166666666666"/>
    <x v="0"/>
    <n v="1"/>
  </r>
  <r>
    <n v="144"/>
    <n v="40"/>
    <s v="Female"/>
    <s v="Footwear"/>
    <s v="Formal Shoes"/>
    <n v="166.4"/>
    <s v="Autumn"/>
    <s v="Card"/>
    <n v="3.8"/>
    <x v="4"/>
    <n v="7"/>
    <n v="193.48837209302326"/>
    <n v="27.088372093023253"/>
    <x v="1"/>
    <n v="1"/>
  </r>
  <r>
    <n v="145"/>
    <n v="33"/>
    <s v="Female"/>
    <s v="Womens Clothing"/>
    <s v="Top"/>
    <n v="76.540000000000006"/>
    <s v="Summer"/>
    <s v="Card"/>
    <n v="4.2"/>
    <x v="16"/>
    <n v="3"/>
    <n v="81.425531914893625"/>
    <n v="4.8855319148936189"/>
    <x v="5"/>
    <n v="1"/>
  </r>
  <r>
    <n v="146"/>
    <n v="68"/>
    <s v="Female"/>
    <s v="Womens Clothing"/>
    <s v="Dress"/>
    <n v="158.36000000000001"/>
    <s v="Spring"/>
    <s v="Card"/>
    <n v="3.6"/>
    <x v="22"/>
    <n v="9"/>
    <n v="205.66233766233768"/>
    <n v="47.302337662337663"/>
    <x v="2"/>
    <n v="1"/>
  </r>
  <r>
    <n v="147"/>
    <n v="48"/>
    <s v="Male"/>
    <s v="Footwear"/>
    <s v="Formal Shoes"/>
    <n v="84.84"/>
    <s v="Summer"/>
    <s v="Card"/>
    <n v="4.7"/>
    <x v="11"/>
    <n v="8"/>
    <n v="114.64864864864866"/>
    <n v="29.808648648648656"/>
    <x v="4"/>
    <n v="1"/>
  </r>
  <r>
    <n v="148"/>
    <n v="27"/>
    <s v="Female"/>
    <s v="Footwear"/>
    <s v="Sneakers"/>
    <n v="195.76"/>
    <s v="Summer"/>
    <s v="Card"/>
    <n v="4"/>
    <x v="14"/>
    <n v="6"/>
    <n v="235.85542168674698"/>
    <n v="40.095421686746988"/>
    <x v="5"/>
    <n v="1"/>
  </r>
  <r>
    <n v="149"/>
    <n v="46"/>
    <s v="Male"/>
    <s v="Sports"/>
    <s v="Football"/>
    <n v="146.21"/>
    <s v="Summer"/>
    <s v="Card"/>
    <n v="3.6"/>
    <x v="5"/>
    <n v="4"/>
    <n v="158.92391304347825"/>
    <n v="12.713913043478243"/>
    <x v="4"/>
    <n v="1"/>
  </r>
  <r>
    <n v="150"/>
    <n v="35"/>
    <s v="Male"/>
    <s v="Mens Clothing"/>
    <s v="T-Shirt"/>
    <n v="115.35"/>
    <s v="Winter"/>
    <s v="Card"/>
    <n v="4.0999999999999996"/>
    <x v="1"/>
    <n v="4"/>
    <n v="132.58620689655172"/>
    <n v="17.236206896551721"/>
    <x v="5"/>
    <n v="1"/>
  </r>
  <r>
    <n v="151"/>
    <n v="57"/>
    <s v="Male"/>
    <s v="Sports"/>
    <s v="Football"/>
    <n v="31.54"/>
    <s v="Winter"/>
    <s v="Cash on Delivery"/>
    <n v="5"/>
    <x v="6"/>
    <n v="3"/>
    <n v="37.547619047619051"/>
    <n v="6.0076190476190519"/>
    <x v="0"/>
    <n v="1"/>
  </r>
  <r>
    <n v="152"/>
    <n v="35"/>
    <s v="Female"/>
    <s v="Footwear"/>
    <s v="Formal Shoes"/>
    <n v="142.19"/>
    <s v="Spring"/>
    <s v="Card"/>
    <n v="3.6"/>
    <x v="6"/>
    <n v="3"/>
    <n v="169.27380952380952"/>
    <n v="27.083809523809521"/>
    <x v="5"/>
    <n v="1"/>
  </r>
  <r>
    <n v="153"/>
    <n v="38"/>
    <s v="Female"/>
    <s v="Footwear"/>
    <s v="Formal Shoes"/>
    <n v="246.21"/>
    <s v="Autumn"/>
    <s v="Card"/>
    <n v="3.1"/>
    <x v="5"/>
    <n v="4"/>
    <n v="267.61956521739131"/>
    <n v="21.409565217391304"/>
    <x v="1"/>
    <n v="1"/>
  </r>
  <r>
    <n v="154"/>
    <n v="68"/>
    <s v="Male"/>
    <s v="Footwear"/>
    <s v="Sandals"/>
    <n v="194.06"/>
    <s v="Spring"/>
    <s v="Card"/>
    <n v="3.8"/>
    <x v="0"/>
    <n v="4"/>
    <n v="236.65853658536585"/>
    <n v="42.598536585365849"/>
    <x v="2"/>
    <n v="1"/>
  </r>
  <r>
    <n v="155"/>
    <n v="66"/>
    <s v="Female"/>
    <s v="Accessories"/>
    <s v="Handbag"/>
    <n v="172.05"/>
    <s v="Winter"/>
    <s v="Card"/>
    <n v="2.5"/>
    <x v="14"/>
    <n v="6"/>
    <n v="207.28915662650604"/>
    <n v="35.239156626506031"/>
    <x v="2"/>
    <n v="1"/>
  </r>
  <r>
    <n v="156"/>
    <n v="38"/>
    <s v="Female"/>
    <s v="Womens Clothing"/>
    <s v="Skirt"/>
    <n v="94.08"/>
    <s v="Summer"/>
    <s v="Cash on Delivery"/>
    <n v="4.0999999999999996"/>
    <x v="10"/>
    <n v="6"/>
    <n v="120.61538461538461"/>
    <n v="26.535384615384615"/>
    <x v="1"/>
    <n v="1"/>
  </r>
  <r>
    <n v="157"/>
    <n v="20"/>
    <s v="Female"/>
    <s v="Womens Clothing"/>
    <s v="Dress"/>
    <n v="57.01"/>
    <s v="Summer"/>
    <s v="Card"/>
    <n v="3.1"/>
    <x v="19"/>
    <n v="5"/>
    <n v="67.07058823529411"/>
    <n v="10.060588235294112"/>
    <x v="3"/>
    <n v="1"/>
  </r>
  <r>
    <n v="158"/>
    <n v="47"/>
    <s v="Female"/>
    <s v="Footwear"/>
    <s v="Formal Shoes"/>
    <n v="130.07"/>
    <s v="Spring"/>
    <s v="Card"/>
    <n v="3.1"/>
    <x v="1"/>
    <n v="4"/>
    <n v="149.50574712643677"/>
    <n v="19.43574712643678"/>
    <x v="4"/>
    <n v="1"/>
  </r>
  <r>
    <n v="159"/>
    <n v="62"/>
    <s v="Male"/>
    <s v="Mens Clothing"/>
    <s v="Shirt"/>
    <n v="161.22"/>
    <s v="Autumn"/>
    <s v="Card"/>
    <n v="4.7"/>
    <x v="0"/>
    <n v="4"/>
    <n v="196.60975609756096"/>
    <n v="35.389756097560962"/>
    <x v="0"/>
    <n v="1"/>
  </r>
  <r>
    <n v="160"/>
    <n v="33"/>
    <s v="Male"/>
    <s v="Electronics"/>
    <s v="Mobile Phone"/>
    <n v="862.41"/>
    <s v="Spring"/>
    <s v="Card"/>
    <n v="3.5"/>
    <x v="8"/>
    <n v="6"/>
    <n v="980.01136363636363"/>
    <n v="117.60136363636366"/>
    <x v="5"/>
    <n v="1"/>
  </r>
  <r>
    <n v="161"/>
    <n v="23"/>
    <s v="Male"/>
    <s v="Footwear"/>
    <s v="Formal Shoes"/>
    <n v="157.86000000000001"/>
    <s v="Spring"/>
    <s v="Card"/>
    <n v="5"/>
    <x v="1"/>
    <n v="4"/>
    <n v="181.44827586206898"/>
    <n v="23.588275862068969"/>
    <x v="3"/>
    <n v="1"/>
  </r>
  <r>
    <n v="162"/>
    <n v="25"/>
    <s v="Female"/>
    <s v="Beauty"/>
    <s v="Skincare Kit"/>
    <n v="142.94"/>
    <s v="Autumn"/>
    <s v="Card"/>
    <n v="4.5"/>
    <x v="14"/>
    <n v="6"/>
    <n v="172.21686746987953"/>
    <n v="29.276867469879534"/>
    <x v="3"/>
    <n v="1"/>
  </r>
  <r>
    <n v="163"/>
    <n v="29"/>
    <s v="Male"/>
    <s v="Sports"/>
    <s v="Football"/>
    <n v="70.31"/>
    <s v="Summer"/>
    <s v="Cash on Delivery"/>
    <n v="3"/>
    <x v="5"/>
    <n v="4"/>
    <n v="76.423913043478265"/>
    <n v="6.1139130434782629"/>
    <x v="5"/>
    <n v="1"/>
  </r>
  <r>
    <n v="164"/>
    <n v="60"/>
    <s v="Female"/>
    <s v="Womens Clothing"/>
    <s v="Dress"/>
    <n v="34.619999999999997"/>
    <s v="Summer"/>
    <s v="Card"/>
    <n v="4.2"/>
    <x v="3"/>
    <n v="5"/>
    <n v="43.274999999999991"/>
    <n v="8.654999999999994"/>
    <x v="0"/>
    <n v="1"/>
  </r>
  <r>
    <n v="165"/>
    <n v="69"/>
    <s v="Male"/>
    <s v="Footwear"/>
    <s v="Sandals"/>
    <n v="82.79"/>
    <s v="Summer"/>
    <s v="Cash on Delivery"/>
    <n v="5"/>
    <x v="21"/>
    <n v="8"/>
    <n v="104.79746835443038"/>
    <n v="22.007468354430372"/>
    <x v="2"/>
    <n v="1"/>
  </r>
  <r>
    <n v="166"/>
    <n v="35"/>
    <s v="Male"/>
    <s v="Footwear"/>
    <s v="Formal Shoes"/>
    <n v="75.459999999999994"/>
    <s v="Autumn"/>
    <s v="Card"/>
    <n v="2.5"/>
    <x v="6"/>
    <n v="3"/>
    <n v="89.833333333333329"/>
    <n v="14.373333333333335"/>
    <x v="5"/>
    <n v="1"/>
  </r>
  <r>
    <n v="167"/>
    <n v="49"/>
    <s v="Female"/>
    <s v="Accessories"/>
    <s v="Handbag"/>
    <n v="148.58000000000001"/>
    <s v="Summer"/>
    <s v="Card"/>
    <n v="4.3"/>
    <x v="11"/>
    <n v="8"/>
    <n v="200.7837837837838"/>
    <n v="52.203783783783791"/>
    <x v="4"/>
    <n v="1"/>
  </r>
  <r>
    <n v="168"/>
    <n v="52"/>
    <s v="Female"/>
    <s v="Womens Clothing"/>
    <s v="Top"/>
    <n v="43.5"/>
    <s v="Autumn"/>
    <s v="Cash on Delivery"/>
    <n v="3.4"/>
    <x v="18"/>
    <n v="7"/>
    <n v="57.236842105263158"/>
    <n v="13.736842105263158"/>
    <x v="4"/>
    <n v="1"/>
  </r>
  <r>
    <n v="169"/>
    <n v="28"/>
    <s v="Male"/>
    <s v="Mens Clothing"/>
    <s v="Jacket"/>
    <n v="179.57"/>
    <s v="Winter"/>
    <s v="Card"/>
    <n v="3.2"/>
    <x v="16"/>
    <n v="3"/>
    <n v="191.03191489361703"/>
    <n v="11.461914893617035"/>
    <x v="5"/>
    <n v="1"/>
  </r>
  <r>
    <n v="170"/>
    <n v="70"/>
    <s v="Male"/>
    <s v="Sports"/>
    <s v="Football"/>
    <n v="122.99"/>
    <s v="Autumn"/>
    <s v="Card"/>
    <n v="3.4"/>
    <x v="7"/>
    <n v="5"/>
    <n v="136.65555555555554"/>
    <n v="13.665555555555542"/>
    <x v="2"/>
    <n v="1"/>
  </r>
  <r>
    <n v="171"/>
    <n v="53"/>
    <s v="Female"/>
    <s v="Footwear"/>
    <s v="Sandals"/>
    <n v="76.73"/>
    <s v="Autumn"/>
    <s v="Cash on Delivery"/>
    <n v="5"/>
    <x v="18"/>
    <n v="7"/>
    <n v="100.96052631578948"/>
    <n v="24.230526315789476"/>
    <x v="4"/>
    <n v="1"/>
  </r>
  <r>
    <n v="172"/>
    <n v="36"/>
    <s v="Male"/>
    <s v="Sports"/>
    <s v="Football"/>
    <n v="227.24"/>
    <s v="Summer"/>
    <s v="Card"/>
    <n v="3.4"/>
    <x v="4"/>
    <n v="2"/>
    <n v="264.23255813953489"/>
    <n v="36.992558139534879"/>
    <x v="1"/>
    <n v="1"/>
  </r>
  <r>
    <n v="173"/>
    <n v="53"/>
    <s v="Female"/>
    <s v="Womens Clothing"/>
    <s v="Jeans"/>
    <n v="94.87"/>
    <s v="Winter"/>
    <s v="Cash on Delivery"/>
    <n v="3.6"/>
    <x v="1"/>
    <n v="4"/>
    <n v="109.04597701149426"/>
    <n v="14.175977011494254"/>
    <x v="4"/>
    <n v="1"/>
  </r>
  <r>
    <n v="174"/>
    <n v="38"/>
    <s v="Female"/>
    <s v="Womens Clothing"/>
    <s v="Skirt"/>
    <n v="166.83"/>
    <s v="Winter"/>
    <s v="Card"/>
    <n v="4.0999999999999996"/>
    <x v="6"/>
    <n v="3"/>
    <n v="198.60714285714289"/>
    <n v="31.777142857142877"/>
    <x v="1"/>
    <n v="1"/>
  </r>
  <r>
    <n v="175"/>
    <n v="38"/>
    <s v="Male"/>
    <s v="Sports"/>
    <s v="Yoga Mat"/>
    <n v="52.06"/>
    <s v="Winter"/>
    <s v="Card"/>
    <n v="2.2999999999999998"/>
    <x v="17"/>
    <n v="2"/>
    <n v="54.229166666666671"/>
    <n v="2.1691666666666691"/>
    <x v="1"/>
    <n v="1"/>
  </r>
  <r>
    <n v="176"/>
    <n v="54"/>
    <s v="Male"/>
    <s v="Mens Clothing"/>
    <s v="Shirt"/>
    <n v="38.18"/>
    <s v="Winter"/>
    <s v="Cash on Delivery"/>
    <n v="3.5"/>
    <x v="8"/>
    <n v="6"/>
    <n v="43.386363636363633"/>
    <n v="5.2063636363636334"/>
    <x v="4"/>
    <n v="1"/>
  </r>
  <r>
    <n v="177"/>
    <n v="67"/>
    <s v="Female"/>
    <s v="Accessories"/>
    <s v="Wallet"/>
    <n v="156.91"/>
    <s v="Summer"/>
    <s v="Card"/>
    <n v="3.3"/>
    <x v="5"/>
    <n v="4"/>
    <n v="170.55434782608694"/>
    <n v="13.644347826086943"/>
    <x v="2"/>
    <n v="1"/>
  </r>
  <r>
    <n v="178"/>
    <n v="36"/>
    <s v="Female"/>
    <s v="Beauty"/>
    <s v="Skincare Kit"/>
    <n v="110.28"/>
    <s v="Spring"/>
    <s v="Card"/>
    <n v="3.8"/>
    <x v="6"/>
    <n v="3"/>
    <n v="131.28571428571431"/>
    <n v="21.005714285714305"/>
    <x v="1"/>
    <n v="1"/>
  </r>
  <r>
    <n v="179"/>
    <n v="48"/>
    <s v="Female"/>
    <s v="Accessories"/>
    <s v="Wallet"/>
    <n v="114.67"/>
    <s v="Winter"/>
    <s v="Card"/>
    <n v="3.5"/>
    <x v="5"/>
    <n v="4"/>
    <n v="124.64130434782608"/>
    <n v="9.9713043478260772"/>
    <x v="4"/>
    <n v="1"/>
  </r>
  <r>
    <n v="180"/>
    <n v="20"/>
    <s v="Female"/>
    <s v="Womens Clothing"/>
    <s v="Top"/>
    <n v="73.25"/>
    <s v="Winter"/>
    <s v="Card"/>
    <n v="2.5"/>
    <x v="2"/>
    <n v="3"/>
    <n v="82.303370786516851"/>
    <n v="9.0533707865168509"/>
    <x v="3"/>
    <n v="1"/>
  </r>
  <r>
    <n v="181"/>
    <n v="48"/>
    <s v="Male"/>
    <s v="Sports"/>
    <s v="Yoga Mat"/>
    <n v="162.43"/>
    <s v="Summer"/>
    <s v="Card"/>
    <n v="3.4"/>
    <x v="2"/>
    <n v="3"/>
    <n v="182.50561797752809"/>
    <n v="20.075617977528083"/>
    <x v="4"/>
    <n v="1"/>
  </r>
  <r>
    <n v="182"/>
    <n v="40"/>
    <s v="Male"/>
    <s v="Mens Clothing"/>
    <s v="Jeans"/>
    <n v="79.89"/>
    <s v="Summer"/>
    <s v="Card"/>
    <n v="4.4000000000000004"/>
    <x v="0"/>
    <n v="4"/>
    <n v="97.426829268292678"/>
    <n v="17.536829268292678"/>
    <x v="1"/>
    <n v="1"/>
  </r>
  <r>
    <n v="183"/>
    <n v="60"/>
    <s v="Male"/>
    <s v="Footwear"/>
    <s v="Formal Shoes"/>
    <n v="248.49"/>
    <s v="Autumn"/>
    <s v="Card"/>
    <n v="4.2"/>
    <x v="16"/>
    <n v="3"/>
    <n v="264.35106382978728"/>
    <n v="15.86106382978727"/>
    <x v="0"/>
    <n v="1"/>
  </r>
  <r>
    <n v="184"/>
    <n v="52"/>
    <s v="Male"/>
    <s v="Sports"/>
    <s v="Yoga Mat"/>
    <n v="187.31"/>
    <s v="Winter"/>
    <s v="Card"/>
    <n v="4.7"/>
    <x v="23"/>
    <n v="1"/>
    <n v="201.40860215053766"/>
    <n v="14.098602150537658"/>
    <x v="4"/>
    <n v="1"/>
  </r>
  <r>
    <n v="185"/>
    <n v="66"/>
    <s v="Male"/>
    <s v="Home"/>
    <s v="Curtains"/>
    <n v="60.91"/>
    <s v="Winter"/>
    <s v="Card"/>
    <n v="4"/>
    <x v="5"/>
    <n v="4"/>
    <n v="66.206521739130423"/>
    <n v="5.2965217391304265"/>
    <x v="2"/>
    <n v="1"/>
  </r>
  <r>
    <n v="186"/>
    <n v="60"/>
    <s v="Female"/>
    <s v="Accessories"/>
    <s v="Handbag"/>
    <n v="21.62"/>
    <s v="Spring"/>
    <s v="Cash on Delivery"/>
    <n v="3.8"/>
    <x v="12"/>
    <n v="7"/>
    <n v="26.691358024691358"/>
    <n v="5.0713580246913565"/>
    <x v="0"/>
    <n v="1"/>
  </r>
  <r>
    <n v="187"/>
    <n v="36"/>
    <s v="Male"/>
    <s v="Footwear"/>
    <s v="Sandals"/>
    <n v="142.06"/>
    <s v="Autumn"/>
    <s v="Card"/>
    <n v="3.5"/>
    <x v="17"/>
    <n v="2"/>
    <n v="147.97916666666669"/>
    <n v="5.9191666666666833"/>
    <x v="1"/>
    <n v="1"/>
  </r>
  <r>
    <n v="188"/>
    <n v="57"/>
    <s v="Female"/>
    <s v="Accessories"/>
    <s v="Wallet"/>
    <n v="84.62"/>
    <s v="Autumn"/>
    <s v="Card"/>
    <n v="2.8"/>
    <x v="0"/>
    <n v="4"/>
    <n v="103.19512195121951"/>
    <n v="18.575121951219501"/>
    <x v="0"/>
    <n v="1"/>
  </r>
  <r>
    <n v="189"/>
    <n v="63"/>
    <s v="Male"/>
    <s v="Footwear"/>
    <s v="Sandals"/>
    <n v="162.26"/>
    <s v="Autumn"/>
    <s v="Card"/>
    <n v="3.5"/>
    <x v="8"/>
    <n v="6"/>
    <n v="184.38636363636363"/>
    <n v="22.126363636363635"/>
    <x v="0"/>
    <n v="1"/>
  </r>
  <r>
    <n v="190"/>
    <n v="38"/>
    <s v="Male"/>
    <s v="Mens Clothing"/>
    <s v="T-Shirt"/>
    <n v="31.14"/>
    <s v="Summer"/>
    <s v="Card"/>
    <n v="4.4000000000000004"/>
    <x v="12"/>
    <n v="7"/>
    <n v="38.444444444444443"/>
    <n v="7.3044444444444423"/>
    <x v="1"/>
    <n v="1"/>
  </r>
  <r>
    <n v="191"/>
    <n v="23"/>
    <s v="Male"/>
    <s v="Groceries"/>
    <s v="Cooking Oil"/>
    <n v="7.07"/>
    <s v="Spring"/>
    <s v="Cash on Delivery"/>
    <n v="3.7"/>
    <x v="0"/>
    <n v="4"/>
    <n v="8.6219512195121943"/>
    <n v="1.5519512195121941"/>
    <x v="3"/>
    <n v="1"/>
  </r>
  <r>
    <n v="192"/>
    <n v="56"/>
    <s v="Female"/>
    <s v="Home"/>
    <s v="Lamp"/>
    <n v="157.97999999999999"/>
    <s v="Winter"/>
    <s v="Card"/>
    <n v="4.8"/>
    <x v="7"/>
    <n v="5"/>
    <n v="175.53333333333333"/>
    <n v="17.553333333333342"/>
    <x v="0"/>
    <n v="1"/>
  </r>
  <r>
    <n v="193"/>
    <n v="51"/>
    <s v="Female"/>
    <s v="Beauty"/>
    <s v="Skincare Kit"/>
    <n v="82.12"/>
    <s v="Winter"/>
    <s v="Card"/>
    <n v="3.2"/>
    <x v="1"/>
    <n v="4"/>
    <n v="94.390804597701148"/>
    <n v="12.270804597701144"/>
    <x v="4"/>
    <n v="1"/>
  </r>
  <r>
    <n v="194"/>
    <n v="65"/>
    <s v="Male"/>
    <s v="Sports"/>
    <s v="Dumbbells"/>
    <n v="150.47999999999999"/>
    <s v="Winter"/>
    <s v="Card"/>
    <n v="3.5"/>
    <x v="3"/>
    <n v="5"/>
    <n v="188.09999999999997"/>
    <n v="37.619999999999976"/>
    <x v="0"/>
    <n v="1"/>
  </r>
  <r>
    <n v="195"/>
    <n v="36"/>
    <s v="Male"/>
    <s v="Sports"/>
    <s v="Yoga Mat"/>
    <n v="153.11000000000001"/>
    <s v="Summer"/>
    <s v="Card"/>
    <n v="4"/>
    <x v="16"/>
    <n v="3"/>
    <n v="162.88297872340428"/>
    <n v="9.7729787234042647"/>
    <x v="1"/>
    <n v="1"/>
  </r>
  <r>
    <n v="196"/>
    <n v="46"/>
    <s v="Male"/>
    <s v="Mens Clothing"/>
    <s v="Shirt"/>
    <n v="107.94"/>
    <s v="Spring"/>
    <s v="Card"/>
    <n v="3.8"/>
    <x v="16"/>
    <n v="3"/>
    <n v="114.82978723404256"/>
    <n v="6.8897872340425579"/>
    <x v="4"/>
    <n v="1"/>
  </r>
  <r>
    <n v="197"/>
    <n v="31"/>
    <s v="Female"/>
    <s v="Sports"/>
    <s v="Yoga Mat"/>
    <n v="245.72"/>
    <s v="Winter"/>
    <s v="Card"/>
    <n v="4.0999999999999996"/>
    <x v="3"/>
    <n v="5"/>
    <n v="307.14999999999998"/>
    <n v="61.429999999999978"/>
    <x v="5"/>
    <n v="1"/>
  </r>
  <r>
    <n v="198"/>
    <n v="70"/>
    <s v="Female"/>
    <s v="Beauty"/>
    <s v="Makeup Set"/>
    <n v="79.28"/>
    <s v="Winter"/>
    <s v="Card"/>
    <n v="2"/>
    <x v="8"/>
    <n v="6"/>
    <n v="90.090909090909093"/>
    <n v="10.810909090909092"/>
    <x v="2"/>
    <n v="1"/>
  </r>
  <r>
    <n v="199"/>
    <n v="68"/>
    <s v="Male"/>
    <s v="Footwear"/>
    <s v="Sandals"/>
    <n v="225.53"/>
    <s v="Spring"/>
    <s v="Card"/>
    <n v="4.5"/>
    <x v="1"/>
    <n v="4"/>
    <n v="259.22988505747128"/>
    <n v="33.699885057471278"/>
    <x v="2"/>
    <n v="1"/>
  </r>
  <r>
    <n v="200"/>
    <n v="29"/>
    <s v="Female"/>
    <s v="Beauty"/>
    <s v="Makeup Set"/>
    <n v="63.34"/>
    <s v="Summer"/>
    <s v="Card"/>
    <n v="4.5"/>
    <x v="14"/>
    <n v="6"/>
    <n v="76.313253012048207"/>
    <n v="12.973253012048204"/>
    <x v="5"/>
    <n v="1"/>
  </r>
  <r>
    <n v="201"/>
    <n v="20"/>
    <s v="Female"/>
    <s v="Beauty"/>
    <s v="Perfume"/>
    <n v="38.57"/>
    <s v="Spring"/>
    <s v="Card"/>
    <n v="4.5999999999999996"/>
    <x v="12"/>
    <n v="7"/>
    <n v="47.617283950617278"/>
    <n v="9.0472839506172775"/>
    <x v="3"/>
    <n v="1"/>
  </r>
  <r>
    <n v="202"/>
    <n v="30"/>
    <s v="Male"/>
    <s v="Mens Clothing"/>
    <s v="T-Shirt"/>
    <n v="128.1"/>
    <s v="Summer"/>
    <s v="Card"/>
    <n v="3"/>
    <x v="8"/>
    <n v="1"/>
    <n v="145.56818181818181"/>
    <n v="17.468181818181819"/>
    <x v="5"/>
    <n v="1"/>
  </r>
  <r>
    <n v="203"/>
    <n v="57"/>
    <s v="Female"/>
    <s v="Beauty"/>
    <s v="Perfume"/>
    <n v="129.47"/>
    <s v="Spring"/>
    <s v="Card"/>
    <n v="4.4000000000000004"/>
    <x v="19"/>
    <n v="5"/>
    <n v="152.31764705882352"/>
    <n v="22.847647058823526"/>
    <x v="0"/>
    <n v="1"/>
  </r>
  <r>
    <n v="204"/>
    <n v="46"/>
    <s v="Female"/>
    <s v="Beauty"/>
    <s v="Perfume"/>
    <n v="49.38"/>
    <s v="Spring"/>
    <s v="Cash on Delivery"/>
    <n v="3.4"/>
    <x v="12"/>
    <n v="7"/>
    <n v="60.962962962962962"/>
    <n v="11.582962962962959"/>
    <x v="4"/>
    <n v="1"/>
  </r>
  <r>
    <n v="205"/>
    <n v="55"/>
    <s v="Female"/>
    <s v="Footwear"/>
    <s v="Formal Shoes"/>
    <n v="90.81"/>
    <s v="Autumn"/>
    <s v="Card"/>
    <n v="4.4000000000000004"/>
    <x v="18"/>
    <n v="7"/>
    <n v="119.48684210526316"/>
    <n v="28.676842105263162"/>
    <x v="4"/>
    <n v="1"/>
  </r>
  <r>
    <n v="206"/>
    <n v="68"/>
    <s v="Male"/>
    <s v="Groceries"/>
    <s v="Cooking Oil"/>
    <n v="63.73"/>
    <s v="Winter"/>
    <s v="Card"/>
    <n v="4.5"/>
    <x v="18"/>
    <n v="7"/>
    <n v="83.855263157894726"/>
    <n v="20.125263157894729"/>
    <x v="2"/>
    <n v="1"/>
  </r>
  <r>
    <n v="207"/>
    <n v="62"/>
    <s v="Male"/>
    <s v="Mens Clothing"/>
    <s v="T-Shirt"/>
    <n v="127.21"/>
    <s v="Autumn"/>
    <s v="Card"/>
    <n v="4.9000000000000004"/>
    <x v="4"/>
    <n v="7"/>
    <n v="147.91860465116278"/>
    <n v="20.708604651162787"/>
    <x v="0"/>
    <n v="1"/>
  </r>
  <r>
    <n v="208"/>
    <n v="29"/>
    <s v="Male"/>
    <s v="Groceries"/>
    <s v="Snacks"/>
    <n v="54.98"/>
    <s v="Autumn"/>
    <s v="Cash on Delivery"/>
    <n v="2.9"/>
    <x v="6"/>
    <n v="8"/>
    <n v="65.452380952380949"/>
    <n v="10.472380952380952"/>
    <x v="5"/>
    <n v="1"/>
  </r>
  <r>
    <n v="209"/>
    <n v="58"/>
    <s v="Female"/>
    <s v="Accessories"/>
    <s v="Sunglasses"/>
    <n v="37.76"/>
    <s v="Autumn"/>
    <s v="Card"/>
    <n v="3.5"/>
    <x v="4"/>
    <n v="2"/>
    <n v="43.906976744186046"/>
    <n v="6.1469767441860483"/>
    <x v="0"/>
    <n v="1"/>
  </r>
  <r>
    <n v="210"/>
    <n v="50"/>
    <s v="Female"/>
    <s v="Beauty"/>
    <s v="Makeup Set"/>
    <n v="81.400000000000006"/>
    <s v="Spring"/>
    <s v="Cash on Delivery"/>
    <n v="4.9000000000000004"/>
    <x v="3"/>
    <n v="5"/>
    <n v="101.75"/>
    <n v="20.349999999999994"/>
    <x v="4"/>
    <n v="1"/>
  </r>
  <r>
    <n v="211"/>
    <n v="22"/>
    <s v="Female"/>
    <s v="Footwear"/>
    <s v="Sneakers"/>
    <n v="183.26"/>
    <s v="Winter"/>
    <s v="Card"/>
    <n v="2.4"/>
    <x v="16"/>
    <n v="3"/>
    <n v="194.95744680851064"/>
    <n v="11.697446808510648"/>
    <x v="3"/>
    <n v="1"/>
  </r>
  <r>
    <n v="212"/>
    <n v="29"/>
    <s v="Female"/>
    <s v="Womens Clothing"/>
    <s v="Jeans"/>
    <n v="172.51"/>
    <s v="Autumn"/>
    <s v="Card"/>
    <n v="3.8"/>
    <x v="1"/>
    <n v="4"/>
    <n v="198.28735632183907"/>
    <n v="25.777356321839079"/>
    <x v="5"/>
    <n v="1"/>
  </r>
  <r>
    <n v="213"/>
    <n v="43"/>
    <s v="Male"/>
    <s v="Sports"/>
    <s v="Yoga Mat"/>
    <n v="141.78"/>
    <s v="Winter"/>
    <s v="Card"/>
    <n v="2.9"/>
    <x v="18"/>
    <n v="7"/>
    <n v="186.55263157894737"/>
    <n v="44.772631578947369"/>
    <x v="1"/>
    <n v="1"/>
  </r>
  <r>
    <n v="214"/>
    <n v="25"/>
    <s v="Male"/>
    <s v="Groceries"/>
    <s v="Rice Pack"/>
    <n v="62.99"/>
    <s v="Autumn"/>
    <s v="Card"/>
    <n v="2.9"/>
    <x v="6"/>
    <n v="3"/>
    <n v="74.988095238095241"/>
    <n v="11.998095238095239"/>
    <x v="3"/>
    <n v="1"/>
  </r>
  <r>
    <n v="215"/>
    <n v="32"/>
    <s v="Male"/>
    <s v="Footwear"/>
    <s v="Sneakers"/>
    <n v="154.86000000000001"/>
    <s v="Spring"/>
    <s v="Card"/>
    <n v="4.0999999999999996"/>
    <x v="0"/>
    <n v="4"/>
    <n v="188.85365853658536"/>
    <n v="33.993658536585343"/>
    <x v="5"/>
    <n v="1"/>
  </r>
  <r>
    <n v="216"/>
    <n v="47"/>
    <s v="Male"/>
    <s v="Footwear"/>
    <s v="Formal Shoes"/>
    <n v="162.26"/>
    <s v="Autumn"/>
    <s v="Card"/>
    <n v="4"/>
    <x v="12"/>
    <n v="7"/>
    <n v="200.32098765432096"/>
    <n v="38.060987654320968"/>
    <x v="4"/>
    <n v="1"/>
  </r>
  <r>
    <n v="217"/>
    <n v="26"/>
    <s v="Female"/>
    <s v="Beauty"/>
    <s v="Makeup Set"/>
    <n v="60.97"/>
    <s v="Spring"/>
    <s v="Card"/>
    <n v="4.5999999999999996"/>
    <x v="21"/>
    <n v="8"/>
    <n v="77.177215189873408"/>
    <n v="16.207215189873409"/>
    <x v="5"/>
    <n v="1"/>
  </r>
  <r>
    <n v="218"/>
    <n v="69"/>
    <s v="Female"/>
    <s v="Groceries"/>
    <s v="Beverages"/>
    <n v="52.32"/>
    <s v="Winter"/>
    <s v="Cash on Delivery"/>
    <n v="3.6"/>
    <x v="7"/>
    <n v="5"/>
    <n v="58.133333333333333"/>
    <n v="5.8133333333333326"/>
    <x v="2"/>
    <n v="1"/>
  </r>
  <r>
    <n v="219"/>
    <n v="25"/>
    <s v="Female"/>
    <s v="Womens Clothing"/>
    <s v="Top"/>
    <n v="122.97"/>
    <s v="Autumn"/>
    <s v="Card"/>
    <n v="4.3"/>
    <x v="18"/>
    <n v="7"/>
    <n v="161.80263157894737"/>
    <n v="38.832631578947371"/>
    <x v="3"/>
    <n v="1"/>
  </r>
  <r>
    <n v="220"/>
    <n v="63"/>
    <s v="Female"/>
    <s v="Sports"/>
    <s v="Dumbbells"/>
    <n v="245.76"/>
    <s v="Spring"/>
    <s v="Card"/>
    <n v="4"/>
    <x v="1"/>
    <n v="4"/>
    <n v="282.48275862068965"/>
    <n v="36.72275862068966"/>
    <x v="0"/>
    <n v="1"/>
  </r>
  <r>
    <n v="221"/>
    <n v="45"/>
    <s v="Female"/>
    <s v="Sports"/>
    <s v="Football"/>
    <n v="229.28"/>
    <s v="Autumn"/>
    <s v="Card"/>
    <n v="4.9000000000000004"/>
    <x v="6"/>
    <n v="8"/>
    <n v="272.95238095238096"/>
    <n v="43.672380952380962"/>
    <x v="1"/>
    <n v="1"/>
  </r>
  <r>
    <n v="222"/>
    <n v="43"/>
    <s v="Female"/>
    <s v="Womens Clothing"/>
    <s v="Jeans"/>
    <n v="32.06"/>
    <s v="Summer"/>
    <s v="Card"/>
    <n v="3.5"/>
    <x v="23"/>
    <n v="1"/>
    <n v="34.473118279569896"/>
    <n v="2.4131182795698933"/>
    <x v="1"/>
    <n v="1"/>
  </r>
  <r>
    <n v="223"/>
    <n v="40"/>
    <s v="Female"/>
    <s v="Footwear"/>
    <s v="Formal Shoes"/>
    <n v="148.08000000000001"/>
    <s v="Winter"/>
    <s v="Card"/>
    <n v="3.7"/>
    <x v="7"/>
    <n v="5"/>
    <n v="164.53333333333333"/>
    <n v="16.453333333333319"/>
    <x v="1"/>
    <n v="1"/>
  </r>
  <r>
    <n v="224"/>
    <n v="48"/>
    <s v="Male"/>
    <s v="Sports"/>
    <s v="Football"/>
    <n v="32.340000000000003"/>
    <s v="Winter"/>
    <s v="Cash on Delivery"/>
    <n v="4.0999999999999996"/>
    <x v="16"/>
    <n v="3"/>
    <n v="34.404255319148945"/>
    <n v="2.0642553191489412"/>
    <x v="4"/>
    <n v="1"/>
  </r>
  <r>
    <n v="225"/>
    <n v="39"/>
    <s v="Male"/>
    <s v="Sports"/>
    <s v="Football"/>
    <n v="79.09"/>
    <s v="Winter"/>
    <s v="Card"/>
    <n v="4"/>
    <x v="5"/>
    <n v="4"/>
    <n v="85.967391304347828"/>
    <n v="6.8773913043478245"/>
    <x v="1"/>
    <n v="1"/>
  </r>
  <r>
    <n v="226"/>
    <n v="23"/>
    <s v="Male"/>
    <s v="Sports"/>
    <s v="Dumbbells"/>
    <n v="121.19"/>
    <s v="Autumn"/>
    <s v="Card"/>
    <n v="3.2"/>
    <x v="14"/>
    <n v="6"/>
    <n v="146.01204819277109"/>
    <n v="24.822048192771092"/>
    <x v="3"/>
    <n v="1"/>
  </r>
  <r>
    <n v="227"/>
    <n v="42"/>
    <s v="Female"/>
    <s v="Womens Clothing"/>
    <s v="Jeans"/>
    <n v="64.760000000000005"/>
    <s v="Summer"/>
    <s v="Card"/>
    <n v="3.7"/>
    <x v="2"/>
    <n v="3"/>
    <n v="72.764044943820224"/>
    <n v="8.0040449438202188"/>
    <x v="1"/>
    <n v="1"/>
  </r>
  <r>
    <n v="228"/>
    <n v="43"/>
    <s v="Male"/>
    <s v="Electronics"/>
    <s v="Smart Watch"/>
    <n v="2234.0500000000002"/>
    <s v="Summer"/>
    <s v="Card"/>
    <n v="4.2"/>
    <x v="8"/>
    <n v="6"/>
    <n v="2538.693181818182"/>
    <n v="304.6431818181818"/>
    <x v="1"/>
    <n v="1"/>
  </r>
  <r>
    <n v="229"/>
    <n v="60"/>
    <s v="Male"/>
    <s v="Sports"/>
    <s v="Yoga Mat"/>
    <n v="106.49"/>
    <s v="Summer"/>
    <s v="Card"/>
    <n v="3.4"/>
    <x v="6"/>
    <n v="3"/>
    <n v="126.77380952380952"/>
    <n v="20.283809523809524"/>
    <x v="0"/>
    <n v="1"/>
  </r>
  <r>
    <n v="230"/>
    <n v="55"/>
    <s v="Male"/>
    <s v="Electronics"/>
    <s v="Headphones"/>
    <n v="2024.08"/>
    <s v="Summer"/>
    <s v="Card"/>
    <n v="3.2"/>
    <x v="0"/>
    <n v="4"/>
    <n v="2468.3902439024387"/>
    <n v="444.31024390243874"/>
    <x v="4"/>
    <n v="1"/>
  </r>
  <r>
    <n v="231"/>
    <n v="55"/>
    <s v="Male"/>
    <s v="Mens Clothing"/>
    <s v="Shirt"/>
    <n v="122.22"/>
    <s v="Summer"/>
    <s v="Card"/>
    <n v="4.0999999999999996"/>
    <x v="1"/>
    <n v="4"/>
    <n v="140.48275862068965"/>
    <n v="18.262758620689652"/>
    <x v="4"/>
    <n v="1"/>
  </r>
  <r>
    <n v="232"/>
    <n v="51"/>
    <s v="Female"/>
    <s v="Beauty"/>
    <s v="Perfume"/>
    <n v="112.88"/>
    <s v="Autumn"/>
    <s v="Card"/>
    <n v="4.9000000000000004"/>
    <x v="10"/>
    <n v="6"/>
    <n v="144.7179487179487"/>
    <n v="31.837948717948706"/>
    <x v="4"/>
    <n v="1"/>
  </r>
  <r>
    <n v="233"/>
    <n v="58"/>
    <s v="Male"/>
    <s v="Footwear"/>
    <s v="Sandals"/>
    <n v="66.28"/>
    <s v="Winter"/>
    <s v="Cash on Delivery"/>
    <n v="2.7"/>
    <x v="16"/>
    <n v="3"/>
    <n v="70.510638297872347"/>
    <n v="4.2306382978723462"/>
    <x v="0"/>
    <n v="1"/>
  </r>
  <r>
    <n v="234"/>
    <n v="22"/>
    <s v="Male"/>
    <s v="Sports"/>
    <s v="Dumbbells"/>
    <n v="122.95"/>
    <s v="Autumn"/>
    <s v="Card"/>
    <n v="3.1"/>
    <x v="10"/>
    <n v="6"/>
    <n v="157.62820512820514"/>
    <n v="34.678205128205136"/>
    <x v="3"/>
    <n v="1"/>
  </r>
  <r>
    <n v="235"/>
    <n v="54"/>
    <s v="Female"/>
    <s v="Beauty"/>
    <s v="Makeup Set"/>
    <n v="129.63"/>
    <s v="Spring"/>
    <s v="Card"/>
    <n v="5"/>
    <x v="7"/>
    <n v="5"/>
    <n v="144.03333333333333"/>
    <n v="14.403333333333336"/>
    <x v="4"/>
    <n v="1"/>
  </r>
  <r>
    <n v="236"/>
    <n v="59"/>
    <s v="Male"/>
    <s v="Mens Clothing"/>
    <s v="Jacket"/>
    <n v="191.92"/>
    <s v="Autumn"/>
    <s v="Card"/>
    <n v="3.9"/>
    <x v="21"/>
    <n v="8"/>
    <n v="242.93670886075947"/>
    <n v="51.016708860759479"/>
    <x v="0"/>
    <n v="1"/>
  </r>
  <r>
    <n v="237"/>
    <n v="22"/>
    <s v="Female"/>
    <s v="Accessories"/>
    <s v="Sunglasses"/>
    <n v="21.95"/>
    <s v="Winter"/>
    <s v="Cash on Delivery"/>
    <n v="3.6"/>
    <x v="6"/>
    <n v="3"/>
    <n v="26.13095238095238"/>
    <n v="4.1809523809523803"/>
    <x v="3"/>
    <n v="1"/>
  </r>
  <r>
    <n v="238"/>
    <n v="24"/>
    <s v="Male"/>
    <s v="Electronics"/>
    <s v="Mobile Phone"/>
    <n v="1117.83"/>
    <s v="Summer"/>
    <s v="Card"/>
    <n v="2.9"/>
    <x v="1"/>
    <n v="4"/>
    <n v="1284.8620689655172"/>
    <n v="167.03206896551728"/>
    <x v="3"/>
    <n v="1"/>
  </r>
  <r>
    <n v="239"/>
    <n v="58"/>
    <s v="Female"/>
    <s v="Footwear"/>
    <s v="Formal Shoes"/>
    <n v="194.03"/>
    <s v="Spring"/>
    <s v="Card"/>
    <n v="3"/>
    <x v="21"/>
    <n v="8"/>
    <n v="245.60759493670886"/>
    <n v="51.577594936708863"/>
    <x v="0"/>
    <n v="1"/>
  </r>
  <r>
    <n v="240"/>
    <n v="24"/>
    <s v="Female"/>
    <s v="Beauty"/>
    <s v="Makeup Set"/>
    <n v="111.59"/>
    <s v="Summer"/>
    <s v="Card"/>
    <n v="3.7"/>
    <x v="5"/>
    <n v="4"/>
    <n v="121.29347826086956"/>
    <n v="9.7034782608695593"/>
    <x v="3"/>
    <n v="1"/>
  </r>
  <r>
    <n v="241"/>
    <n v="35"/>
    <s v="Female"/>
    <s v="Womens Clothing"/>
    <s v="Top"/>
    <n v="194.65"/>
    <s v="Autumn"/>
    <s v="Card"/>
    <n v="3.6"/>
    <x v="13"/>
    <n v="2"/>
    <n v="213.90109890109889"/>
    <n v="19.251098901098885"/>
    <x v="5"/>
    <n v="1"/>
  </r>
  <r>
    <n v="242"/>
    <n v="63"/>
    <s v="Male"/>
    <s v="Footwear"/>
    <s v="Formal Shoes"/>
    <n v="96.15"/>
    <s v="Winter"/>
    <s v="Card"/>
    <n v="3.2"/>
    <x v="13"/>
    <n v="2"/>
    <n v="105.65934065934066"/>
    <n v="9.5093406593406513"/>
    <x v="0"/>
    <n v="1"/>
  </r>
  <r>
    <n v="243"/>
    <n v="51"/>
    <s v="Female"/>
    <s v="Accessories"/>
    <s v="Sunglasses"/>
    <n v="115.63"/>
    <s v="Winter"/>
    <s v="Card"/>
    <n v="2.9"/>
    <x v="12"/>
    <n v="7"/>
    <n v="142.75308641975306"/>
    <n v="27.123086419753065"/>
    <x v="4"/>
    <n v="1"/>
  </r>
  <r>
    <n v="244"/>
    <n v="47"/>
    <s v="Male"/>
    <s v="Sports"/>
    <s v="Football"/>
    <n v="146.94999999999999"/>
    <s v="Spring"/>
    <s v="Card"/>
    <n v="5"/>
    <x v="18"/>
    <n v="7"/>
    <n v="193.35526315789471"/>
    <n v="46.405263157894723"/>
    <x v="4"/>
    <n v="1"/>
  </r>
  <r>
    <n v="245"/>
    <n v="69"/>
    <s v="Male"/>
    <s v="Electronics"/>
    <s v="Headphones"/>
    <n v="2517.9699999999998"/>
    <s v="Autumn"/>
    <s v="Card"/>
    <n v="4.3"/>
    <x v="24"/>
    <n v="9"/>
    <n v="3497.1805555555552"/>
    <n v="979.2105555555554"/>
    <x v="2"/>
    <n v="1"/>
  </r>
  <r>
    <n v="246"/>
    <n v="66"/>
    <s v="Female"/>
    <s v="Beauty"/>
    <s v="Makeup Set"/>
    <n v="55.2"/>
    <s v="Summer"/>
    <s v="Card"/>
    <n v="3.6"/>
    <x v="2"/>
    <n v="3"/>
    <n v="62.022471910112358"/>
    <n v="6.8224719101123554"/>
    <x v="2"/>
    <n v="1"/>
  </r>
  <r>
    <n v="247"/>
    <n v="35"/>
    <s v="Female"/>
    <s v="Accessories"/>
    <s v="Wallet"/>
    <n v="161.59"/>
    <s v="Spring"/>
    <s v="Card"/>
    <n v="3.4"/>
    <x v="10"/>
    <n v="6"/>
    <n v="207.16666666666666"/>
    <n v="45.576666666666654"/>
    <x v="5"/>
    <n v="1"/>
  </r>
  <r>
    <n v="248"/>
    <n v="36"/>
    <s v="Male"/>
    <s v="Footwear"/>
    <s v="Sneakers"/>
    <n v="110.06"/>
    <s v="Spring"/>
    <s v="Card"/>
    <n v="3.9"/>
    <x v="12"/>
    <n v="7"/>
    <n v="135.87654320987653"/>
    <n v="25.816543209876528"/>
    <x v="1"/>
    <n v="1"/>
  </r>
  <r>
    <n v="249"/>
    <n v="59"/>
    <s v="Female"/>
    <s v="Accessories"/>
    <s v="Handbag"/>
    <n v="145.44"/>
    <s v="Summer"/>
    <s v="Card"/>
    <n v="4.5"/>
    <x v="10"/>
    <n v="6"/>
    <n v="186.46153846153845"/>
    <n v="41.021538461538455"/>
    <x v="0"/>
    <n v="1"/>
  </r>
  <r>
    <n v="250"/>
    <n v="20"/>
    <s v="Male"/>
    <s v="Mens Clothing"/>
    <s v="Jeans"/>
    <n v="99.49"/>
    <s v="Autumn"/>
    <s v="Cash on Delivery"/>
    <n v="3.8"/>
    <x v="0"/>
    <n v="9"/>
    <n v="121.32926829268291"/>
    <n v="21.839268292682917"/>
    <x v="3"/>
    <n v="1"/>
  </r>
  <r>
    <n v="251"/>
    <n v="46"/>
    <s v="Female"/>
    <s v="Beauty"/>
    <s v="Skincare Kit"/>
    <n v="116.53"/>
    <s v="Winter"/>
    <s v="Card"/>
    <n v="4.2"/>
    <x v="8"/>
    <n v="6"/>
    <n v="132.42045454545453"/>
    <n v="15.890454545454531"/>
    <x v="4"/>
    <n v="1"/>
  </r>
  <r>
    <n v="252"/>
    <n v="68"/>
    <s v="Male"/>
    <s v="Mens Clothing"/>
    <s v="Jacket"/>
    <n v="170.91"/>
    <s v="Winter"/>
    <s v="Card"/>
    <n v="3.8"/>
    <x v="4"/>
    <n v="7"/>
    <n v="198.73255813953489"/>
    <n v="27.822558139534891"/>
    <x v="2"/>
    <n v="1"/>
  </r>
  <r>
    <n v="253"/>
    <n v="66"/>
    <s v="Male"/>
    <s v="Sports"/>
    <s v="Yoga Mat"/>
    <n v="111.58"/>
    <s v="Autumn"/>
    <s v="Card"/>
    <n v="3.4"/>
    <x v="21"/>
    <n v="8"/>
    <n v="141.24050632911391"/>
    <n v="29.660506329113915"/>
    <x v="2"/>
    <n v="1"/>
  </r>
  <r>
    <n v="254"/>
    <n v="70"/>
    <s v="Female"/>
    <s v="Home"/>
    <s v="Kitchen Set"/>
    <n v="96.25"/>
    <s v="Autumn"/>
    <s v="Cash on Delivery"/>
    <n v="2.9"/>
    <x v="4"/>
    <n v="2"/>
    <n v="111.91860465116279"/>
    <n v="15.668604651162795"/>
    <x v="2"/>
    <n v="1"/>
  </r>
  <r>
    <n v="255"/>
    <n v="43"/>
    <s v="Female"/>
    <s v="Beauty"/>
    <s v="Perfume"/>
    <n v="118"/>
    <s v="Winter"/>
    <s v="Card"/>
    <n v="4.0999999999999996"/>
    <x v="8"/>
    <n v="6"/>
    <n v="134.09090909090909"/>
    <n v="16.090909090909093"/>
    <x v="1"/>
    <n v="1"/>
  </r>
  <r>
    <n v="256"/>
    <n v="67"/>
    <s v="Male"/>
    <s v="Electronics"/>
    <s v="Laptop"/>
    <n v="1597.74"/>
    <s v="Summer"/>
    <s v="Card"/>
    <n v="5"/>
    <x v="25"/>
    <n v="10"/>
    <n v="2282.4857142857145"/>
    <n v="684.74571428571448"/>
    <x v="2"/>
    <n v="1"/>
  </r>
  <r>
    <n v="257"/>
    <n v="48"/>
    <s v="Male"/>
    <s v="Mens Clothing"/>
    <s v="T-Shirt"/>
    <n v="179.87"/>
    <s v="Summer"/>
    <s v="Card"/>
    <n v="3.7"/>
    <x v="14"/>
    <n v="6"/>
    <n v="216.71084337349399"/>
    <n v="36.840843373493982"/>
    <x v="4"/>
    <n v="1"/>
  </r>
  <r>
    <n v="258"/>
    <n v="38"/>
    <s v="Female"/>
    <s v="Accessories"/>
    <s v="Sunglasses"/>
    <n v="22.14"/>
    <s v="Autumn"/>
    <s v="Cash on Delivery"/>
    <n v="4.7"/>
    <x v="13"/>
    <n v="2"/>
    <n v="24.329670329670328"/>
    <n v="2.1896703296703279"/>
    <x v="1"/>
    <n v="1"/>
  </r>
  <r>
    <n v="259"/>
    <n v="41"/>
    <s v="Female"/>
    <s v="Beauty"/>
    <s v="Perfume"/>
    <n v="28.65"/>
    <s v="Summer"/>
    <s v="Card"/>
    <n v="2.2999999999999998"/>
    <x v="5"/>
    <n v="4"/>
    <n v="31.141304347826082"/>
    <n v="2.4913043478260839"/>
    <x v="1"/>
    <n v="1"/>
  </r>
  <r>
    <n v="260"/>
    <n v="33"/>
    <s v="Female"/>
    <s v="Accessories"/>
    <s v="Wallet"/>
    <n v="79.92"/>
    <s v="Summer"/>
    <s v="Cash on Delivery"/>
    <n v="4.2"/>
    <x v="4"/>
    <n v="2"/>
    <n v="92.930232558139537"/>
    <n v="13.010232558139535"/>
    <x v="5"/>
    <n v="1"/>
  </r>
  <r>
    <n v="261"/>
    <n v="21"/>
    <s v="Female"/>
    <s v="Beauty"/>
    <s v="Perfume"/>
    <n v="124.58"/>
    <s v="Summer"/>
    <s v="Card"/>
    <n v="4.3"/>
    <x v="12"/>
    <n v="7"/>
    <n v="153.80246913580245"/>
    <n v="29.222469135802456"/>
    <x v="3"/>
    <n v="1"/>
  </r>
  <r>
    <n v="262"/>
    <n v="26"/>
    <s v="Female"/>
    <s v="Home"/>
    <s v="Lamp"/>
    <n v="72.84"/>
    <s v="Summer"/>
    <s v="Card"/>
    <n v="3.1"/>
    <x v="4"/>
    <n v="7"/>
    <n v="84.697674418604663"/>
    <n v="11.85767441860466"/>
    <x v="5"/>
    <n v="1"/>
  </r>
  <r>
    <n v="263"/>
    <n v="35"/>
    <s v="Female"/>
    <s v="Beauty"/>
    <s v="Skincare Kit"/>
    <n v="47.94"/>
    <s v="Spring"/>
    <s v="Card"/>
    <n v="3.6"/>
    <x v="1"/>
    <n v="4"/>
    <n v="55.103448275862064"/>
    <n v="7.1634482758620663"/>
    <x v="5"/>
    <n v="1"/>
  </r>
  <r>
    <n v="264"/>
    <n v="51"/>
    <s v="Male"/>
    <s v="Mens Clothing"/>
    <s v="Shirt"/>
    <n v="74.89"/>
    <s v="Spring"/>
    <s v="Cash on Delivery"/>
    <n v="3.2"/>
    <x v="10"/>
    <n v="6"/>
    <n v="96.012820512820511"/>
    <n v="21.12282051282051"/>
    <x v="4"/>
    <n v="1"/>
  </r>
  <r>
    <n v="265"/>
    <n v="58"/>
    <s v="Male"/>
    <s v="Sports"/>
    <s v="Dumbbells"/>
    <n v="246.24"/>
    <s v="Winter"/>
    <s v="Card"/>
    <n v="3.5"/>
    <x v="8"/>
    <n v="6"/>
    <n v="279.81818181818181"/>
    <n v="33.578181818181804"/>
    <x v="0"/>
    <n v="1"/>
  </r>
  <r>
    <n v="266"/>
    <n v="65"/>
    <s v="Female"/>
    <s v="Beauty"/>
    <s v="Makeup Set"/>
    <n v="135.46"/>
    <s v="Autumn"/>
    <s v="Card"/>
    <n v="4.3"/>
    <x v="18"/>
    <n v="7"/>
    <n v="178.23684210526318"/>
    <n v="42.776842105263171"/>
    <x v="0"/>
    <n v="1"/>
  </r>
  <r>
    <n v="267"/>
    <n v="31"/>
    <s v="Male"/>
    <s v="Footwear"/>
    <s v="Sneakers"/>
    <n v="220.18"/>
    <s v="Spring"/>
    <s v="Card"/>
    <n v="3.4"/>
    <x v="16"/>
    <n v="3"/>
    <n v="234.2340425531915"/>
    <n v="14.054042553191493"/>
    <x v="5"/>
    <n v="1"/>
  </r>
  <r>
    <n v="268"/>
    <n v="67"/>
    <s v="Male"/>
    <s v="Mens Clothing"/>
    <s v="Jacket"/>
    <n v="159.94"/>
    <s v="Winter"/>
    <s v="Card"/>
    <n v="4.5"/>
    <x v="7"/>
    <n v="5"/>
    <n v="177.71111111111111"/>
    <n v="17.771111111111111"/>
    <x v="2"/>
    <n v="1"/>
  </r>
  <r>
    <n v="269"/>
    <n v="29"/>
    <s v="Male"/>
    <s v="Electronics"/>
    <s v="Laptop"/>
    <n v="2391.83"/>
    <s v="Winter"/>
    <s v="Card"/>
    <n v="3.4"/>
    <x v="4"/>
    <n v="7"/>
    <n v="2781.1976744186045"/>
    <n v="389.36767441860457"/>
    <x v="5"/>
    <n v="1"/>
  </r>
  <r>
    <n v="270"/>
    <n v="31"/>
    <s v="Female"/>
    <s v="Beauty"/>
    <s v="Makeup Set"/>
    <n v="112.96"/>
    <s v="Autumn"/>
    <s v="Card"/>
    <n v="5"/>
    <x v="1"/>
    <n v="4"/>
    <n v="129.83908045977012"/>
    <n v="16.879080459770123"/>
    <x v="5"/>
    <n v="1"/>
  </r>
  <r>
    <n v="271"/>
    <n v="42"/>
    <s v="Male"/>
    <s v="Groceries"/>
    <s v="Snacks"/>
    <n v="56.82"/>
    <s v="Spring"/>
    <s v="Card"/>
    <n v="5"/>
    <x v="14"/>
    <n v="6"/>
    <n v="68.457831325301214"/>
    <n v="11.637831325301214"/>
    <x v="1"/>
    <n v="1"/>
  </r>
  <r>
    <n v="272"/>
    <n v="33"/>
    <s v="Female"/>
    <s v="Groceries"/>
    <s v="Snacks"/>
    <n v="17.86"/>
    <s v="Autumn"/>
    <s v="Cash on Delivery"/>
    <n v="3.7"/>
    <x v="25"/>
    <n v="10"/>
    <n v="25.514285714285716"/>
    <n v="7.6542857142857166"/>
    <x v="5"/>
    <n v="1"/>
  </r>
  <r>
    <n v="273"/>
    <n v="59"/>
    <s v="Male"/>
    <s v="Groceries"/>
    <s v="Beverages"/>
    <n v="22.31"/>
    <s v="Spring"/>
    <s v="Card"/>
    <n v="3.9"/>
    <x v="24"/>
    <n v="9"/>
    <n v="30.986111111111111"/>
    <n v="8.676111111111112"/>
    <x v="0"/>
    <n v="1"/>
  </r>
  <r>
    <n v="274"/>
    <n v="36"/>
    <s v="Male"/>
    <s v="Electronics"/>
    <s v="Smart Watch"/>
    <n v="2851.93"/>
    <s v="Autumn"/>
    <s v="Card"/>
    <n v="3.4"/>
    <x v="5"/>
    <n v="4"/>
    <n v="3099.923913043478"/>
    <n v="247.99391304347819"/>
    <x v="1"/>
    <n v="1"/>
  </r>
  <r>
    <n v="275"/>
    <n v="61"/>
    <s v="Female"/>
    <s v="Womens Clothing"/>
    <s v="Skirt"/>
    <n v="164.2"/>
    <s v="Autumn"/>
    <s v="Card"/>
    <n v="3.6"/>
    <x v="2"/>
    <n v="3"/>
    <n v="184.49438202247188"/>
    <n v="20.294382022471893"/>
    <x v="0"/>
    <n v="1"/>
  </r>
  <r>
    <n v="276"/>
    <n v="22"/>
    <s v="Male"/>
    <s v="Sports"/>
    <s v="Dumbbells"/>
    <n v="204.62"/>
    <s v="Autumn"/>
    <s v="Card"/>
    <n v="3.3"/>
    <x v="6"/>
    <n v="3"/>
    <n v="243.5952380952381"/>
    <n v="38.975238095238097"/>
    <x v="3"/>
    <n v="1"/>
  </r>
  <r>
    <n v="277"/>
    <n v="68"/>
    <s v="Female"/>
    <s v="Footwear"/>
    <s v="Sneakers"/>
    <n v="75.72"/>
    <s v="Spring"/>
    <s v="Cash on Delivery"/>
    <n v="4.3"/>
    <x v="3"/>
    <n v="5"/>
    <n v="94.649999999999991"/>
    <n v="18.929999999999993"/>
    <x v="2"/>
    <n v="1"/>
  </r>
  <r>
    <n v="278"/>
    <n v="24"/>
    <s v="Female"/>
    <s v="Footwear"/>
    <s v="Formal Shoes"/>
    <n v="105.45"/>
    <s v="Summer"/>
    <s v="Card"/>
    <n v="2.2999999999999998"/>
    <x v="26"/>
    <n v="0"/>
    <n v="111.00000000000001"/>
    <n v="5.5500000000000114"/>
    <x v="3"/>
    <n v="1"/>
  </r>
  <r>
    <n v="279"/>
    <n v="36"/>
    <s v="Male"/>
    <s v="Footwear"/>
    <s v="Formal Shoes"/>
    <n v="212.7"/>
    <s v="Autumn"/>
    <s v="Card"/>
    <n v="4"/>
    <x v="0"/>
    <n v="4"/>
    <n v="259.39024390243901"/>
    <n v="46.690243902439022"/>
    <x v="1"/>
    <n v="1"/>
  </r>
  <r>
    <n v="280"/>
    <n v="28"/>
    <s v="Female"/>
    <s v="Accessories"/>
    <s v="Handbag"/>
    <n v="98.3"/>
    <s v="Autumn"/>
    <s v="Card"/>
    <n v="3.3"/>
    <x v="18"/>
    <n v="7"/>
    <n v="129.34210526315789"/>
    <n v="31.042105263157893"/>
    <x v="5"/>
    <n v="1"/>
  </r>
  <r>
    <n v="281"/>
    <n v="59"/>
    <s v="Male"/>
    <s v="Electronics"/>
    <s v="Laptop"/>
    <n v="1775.37"/>
    <s v="Winter"/>
    <s v="Card"/>
    <n v="3.2"/>
    <x v="6"/>
    <n v="8"/>
    <n v="2113.5357142857142"/>
    <n v="338.16571428571433"/>
    <x v="0"/>
    <n v="1"/>
  </r>
  <r>
    <n v="282"/>
    <n v="53"/>
    <s v="Female"/>
    <s v="Beauty"/>
    <s v="Makeup Set"/>
    <n v="146.09"/>
    <s v="Summer"/>
    <s v="Card"/>
    <n v="3.2"/>
    <x v="7"/>
    <n v="5"/>
    <n v="162.32222222222222"/>
    <n v="16.232222222222219"/>
    <x v="4"/>
    <n v="1"/>
  </r>
  <r>
    <n v="283"/>
    <n v="50"/>
    <s v="Male"/>
    <s v="Mens Clothing"/>
    <s v="T-Shirt"/>
    <n v="144.37"/>
    <s v="Winter"/>
    <s v="Card"/>
    <n v="4.5999999999999996"/>
    <x v="5"/>
    <n v="4"/>
    <n v="156.92391304347825"/>
    <n v="12.553913043478246"/>
    <x v="4"/>
    <n v="1"/>
  </r>
  <r>
    <n v="284"/>
    <n v="39"/>
    <s v="Female"/>
    <s v="Womens Clothing"/>
    <s v="Jeans"/>
    <n v="107.92"/>
    <s v="Autumn"/>
    <s v="Card"/>
    <n v="4.9000000000000004"/>
    <x v="1"/>
    <n v="4"/>
    <n v="124.04597701149426"/>
    <n v="16.125977011494257"/>
    <x v="1"/>
    <n v="1"/>
  </r>
  <r>
    <n v="285"/>
    <n v="27"/>
    <s v="Male"/>
    <s v="Footwear"/>
    <s v="Sneakers"/>
    <n v="138.29"/>
    <s v="Summer"/>
    <s v="Card"/>
    <n v="3.6"/>
    <x v="4"/>
    <n v="7"/>
    <n v="160.80232558139534"/>
    <n v="22.512325581395345"/>
    <x v="5"/>
    <n v="1"/>
  </r>
  <r>
    <n v="286"/>
    <n v="40"/>
    <s v="Female"/>
    <s v="Accessories"/>
    <s v="Handbag"/>
    <n v="101.69"/>
    <s v="Winter"/>
    <s v="Card"/>
    <n v="5"/>
    <x v="7"/>
    <n v="5"/>
    <n v="112.98888888888888"/>
    <n v="11.298888888888882"/>
    <x v="1"/>
    <n v="1"/>
  </r>
  <r>
    <n v="287"/>
    <n v="28"/>
    <s v="Female"/>
    <s v="Footwear"/>
    <s v="Sandals"/>
    <n v="198.28"/>
    <s v="Autumn"/>
    <s v="Card"/>
    <n v="3.6"/>
    <x v="3"/>
    <n v="5"/>
    <n v="247.85"/>
    <n v="49.569999999999993"/>
    <x v="5"/>
    <n v="1"/>
  </r>
  <r>
    <n v="288"/>
    <n v="61"/>
    <s v="Female"/>
    <s v="Sports"/>
    <s v="Dumbbells"/>
    <n v="171.59"/>
    <s v="Winter"/>
    <s v="Card"/>
    <n v="3"/>
    <x v="6"/>
    <n v="8"/>
    <n v="204.27380952380955"/>
    <n v="32.683809523809543"/>
    <x v="0"/>
    <n v="1"/>
  </r>
  <r>
    <n v="289"/>
    <n v="54"/>
    <s v="Male"/>
    <s v="Electronics"/>
    <s v="Laptop"/>
    <n v="2903.73"/>
    <s v="Spring"/>
    <s v="Card"/>
    <n v="3.7"/>
    <x v="25"/>
    <n v="10"/>
    <n v="4148.1857142857143"/>
    <n v="1244.4557142857143"/>
    <x v="4"/>
    <n v="1"/>
  </r>
  <r>
    <n v="290"/>
    <n v="51"/>
    <s v="Male"/>
    <s v="Footwear"/>
    <s v="Formal Shoes"/>
    <n v="206.84"/>
    <s v="Summer"/>
    <s v="Card"/>
    <n v="2.2000000000000002"/>
    <x v="5"/>
    <n v="4"/>
    <n v="224.82608695652172"/>
    <n v="17.986086956521717"/>
    <x v="4"/>
    <n v="1"/>
  </r>
  <r>
    <n v="291"/>
    <n v="31"/>
    <s v="Female"/>
    <s v="Womens Clothing"/>
    <s v="Jeans"/>
    <n v="63.74"/>
    <s v="Autumn"/>
    <s v="Cash on Delivery"/>
    <n v="3.7"/>
    <x v="5"/>
    <n v="4"/>
    <n v="69.282608695652172"/>
    <n v="5.5426086956521701"/>
    <x v="5"/>
    <n v="1"/>
  </r>
  <r>
    <n v="292"/>
    <n v="61"/>
    <s v="Male"/>
    <s v="Sports"/>
    <s v="Yoga Mat"/>
    <n v="64.87"/>
    <s v="Summer"/>
    <s v="Cash on Delivery"/>
    <n v="1.8"/>
    <x v="10"/>
    <n v="6"/>
    <n v="83.166666666666671"/>
    <n v="18.296666666666667"/>
    <x v="0"/>
    <n v="1"/>
  </r>
  <r>
    <n v="293"/>
    <n v="50"/>
    <s v="Female"/>
    <s v="Accessories"/>
    <s v="Sunglasses"/>
    <n v="67.819999999999993"/>
    <s v="Spring"/>
    <s v="Card"/>
    <n v="2.5"/>
    <x v="4"/>
    <n v="7"/>
    <n v="78.860465116279059"/>
    <n v="11.040465116279066"/>
    <x v="4"/>
    <n v="1"/>
  </r>
  <r>
    <n v="294"/>
    <n v="65"/>
    <s v="Female"/>
    <s v="Beauty"/>
    <s v="Skincare Kit"/>
    <n v="95.87"/>
    <s v="Autumn"/>
    <s v="Card"/>
    <n v="4"/>
    <x v="4"/>
    <n v="2"/>
    <n v="111.47674418604652"/>
    <n v="15.606744186046512"/>
    <x v="0"/>
    <n v="1"/>
  </r>
  <r>
    <n v="295"/>
    <n v="46"/>
    <s v="Female"/>
    <s v="Sports"/>
    <s v="Yoga Mat"/>
    <n v="142.71"/>
    <s v="Spring"/>
    <s v="Card"/>
    <n v="3.2"/>
    <x v="7"/>
    <n v="5"/>
    <n v="158.56666666666666"/>
    <n v="15.856666666666655"/>
    <x v="4"/>
    <n v="1"/>
  </r>
  <r>
    <n v="296"/>
    <n v="48"/>
    <s v="Male"/>
    <s v="Home"/>
    <s v="Lamp"/>
    <n v="218.92"/>
    <s v="Winter"/>
    <s v="Card"/>
    <n v="3.7"/>
    <x v="21"/>
    <n v="8"/>
    <n v="277.11392405063287"/>
    <n v="58.193924050632887"/>
    <x v="4"/>
    <n v="1"/>
  </r>
  <r>
    <n v="297"/>
    <n v="58"/>
    <s v="Male"/>
    <s v="Sports"/>
    <s v="Dumbbells"/>
    <n v="57.47"/>
    <s v="Winter"/>
    <s v="Card"/>
    <n v="2.5"/>
    <x v="15"/>
    <n v="1"/>
    <n v="58.642857142857146"/>
    <n v="1.172857142857147"/>
    <x v="0"/>
    <n v="1"/>
  </r>
  <r>
    <n v="298"/>
    <n v="20"/>
    <s v="Male"/>
    <s v="Mens Clothing"/>
    <s v="Jeans"/>
    <n v="170"/>
    <s v="Spring"/>
    <s v="Card"/>
    <n v="3.6"/>
    <x v="8"/>
    <n v="6"/>
    <n v="193.18181818181819"/>
    <n v="23.181818181818187"/>
    <x v="3"/>
    <n v="1"/>
  </r>
  <r>
    <n v="299"/>
    <n v="36"/>
    <s v="Female"/>
    <s v="Womens Clothing"/>
    <s v="Skirt"/>
    <n v="67.61"/>
    <s v="Spring"/>
    <s v="Cash on Delivery"/>
    <n v="3.8"/>
    <x v="12"/>
    <n v="7"/>
    <n v="83.469135802469125"/>
    <n v="15.859135802469126"/>
    <x v="1"/>
    <n v="1"/>
  </r>
  <r>
    <n v="300"/>
    <n v="66"/>
    <s v="Male"/>
    <s v="Mens Clothing"/>
    <s v="Jeans"/>
    <n v="141.21"/>
    <s v="Summer"/>
    <s v="Card"/>
    <n v="3.4"/>
    <x v="10"/>
    <n v="6"/>
    <n v="181.03846153846155"/>
    <n v="39.828461538461539"/>
    <x v="2"/>
    <n v="1"/>
  </r>
  <r>
    <n v="301"/>
    <n v="66"/>
    <s v="Female"/>
    <s v="Accessories"/>
    <s v="Sunglasses"/>
    <n v="57.04"/>
    <s v="Autumn"/>
    <s v="Cash on Delivery"/>
    <n v="3.5"/>
    <x v="0"/>
    <n v="4"/>
    <n v="69.560975609756085"/>
    <n v="12.520975609756086"/>
    <x v="2"/>
    <n v="1"/>
  </r>
  <r>
    <n v="302"/>
    <n v="32"/>
    <s v="Female"/>
    <s v="Womens Clothing"/>
    <s v="Dress"/>
    <n v="41.92"/>
    <s v="Autumn"/>
    <s v="Cash on Delivery"/>
    <n v="3.5"/>
    <x v="5"/>
    <n v="4"/>
    <n v="45.565217391304351"/>
    <n v="3.6452173913043495"/>
    <x v="5"/>
    <n v="1"/>
  </r>
  <r>
    <n v="303"/>
    <n v="51"/>
    <s v="Male"/>
    <s v="Footwear"/>
    <s v="Formal Shoes"/>
    <n v="106.72"/>
    <s v="Autumn"/>
    <s v="Card"/>
    <n v="2.8"/>
    <x v="0"/>
    <n v="4"/>
    <n v="130.14634146341461"/>
    <n v="23.426341463414616"/>
    <x v="4"/>
    <n v="1"/>
  </r>
  <r>
    <n v="304"/>
    <n v="54"/>
    <s v="Female"/>
    <s v="Womens Clothing"/>
    <s v="Top"/>
    <n v="145.16"/>
    <s v="Summer"/>
    <s v="Card"/>
    <n v="3.1"/>
    <x v="4"/>
    <n v="7"/>
    <n v="168.7906976744186"/>
    <n v="23.630697674418599"/>
    <x v="4"/>
    <n v="1"/>
  </r>
  <r>
    <n v="305"/>
    <n v="25"/>
    <s v="Female"/>
    <s v="Accessories"/>
    <s v="Wallet"/>
    <n v="102.26"/>
    <s v="Autumn"/>
    <s v="Card"/>
    <n v="4.2"/>
    <x v="6"/>
    <n v="3"/>
    <n v="121.73809523809526"/>
    <n v="19.47809523809525"/>
    <x v="3"/>
    <n v="1"/>
  </r>
  <r>
    <n v="306"/>
    <n v="23"/>
    <s v="Male"/>
    <s v="Electronics"/>
    <s v="Headphones"/>
    <n v="1364.52"/>
    <s v="Spring"/>
    <s v="Card"/>
    <n v="4.5999999999999996"/>
    <x v="18"/>
    <n v="7"/>
    <n v="1795.421052631579"/>
    <n v="430.90105263157898"/>
    <x v="3"/>
    <n v="1"/>
  </r>
  <r>
    <n v="307"/>
    <n v="52"/>
    <s v="Female"/>
    <s v="Groceries"/>
    <s v="Rice Pack"/>
    <n v="18.59"/>
    <s v="Spring"/>
    <s v="Cash on Delivery"/>
    <n v="2.5"/>
    <x v="7"/>
    <n v="5"/>
    <n v="20.655555555555555"/>
    <n v="2.0655555555555551"/>
    <x v="4"/>
    <n v="1"/>
  </r>
  <r>
    <n v="308"/>
    <n v="61"/>
    <s v="Male"/>
    <s v="Mens Clothing"/>
    <s v="Jacket"/>
    <n v="166.84"/>
    <s v="Summer"/>
    <s v="Card"/>
    <n v="5"/>
    <x v="13"/>
    <n v="2"/>
    <n v="183.34065934065933"/>
    <n v="16.500659340659325"/>
    <x v="0"/>
    <n v="1"/>
  </r>
  <r>
    <n v="309"/>
    <n v="30"/>
    <s v="Male"/>
    <s v="Mens Clothing"/>
    <s v="Shirt"/>
    <n v="81.78"/>
    <s v="Summer"/>
    <s v="Card"/>
    <n v="2.4"/>
    <x v="2"/>
    <n v="3"/>
    <n v="91.887640449438209"/>
    <n v="10.107640449438207"/>
    <x v="5"/>
    <n v="1"/>
  </r>
  <r>
    <n v="310"/>
    <n v="45"/>
    <s v="Female"/>
    <s v="Sports"/>
    <s v="Dumbbells"/>
    <n v="80.77"/>
    <s v="Summer"/>
    <s v="Card"/>
    <n v="4.5999999999999996"/>
    <x v="2"/>
    <n v="3"/>
    <n v="90.752808988764045"/>
    <n v="9.9828089887640488"/>
    <x v="1"/>
    <n v="1"/>
  </r>
  <r>
    <n v="311"/>
    <n v="46"/>
    <s v="Male"/>
    <s v="Footwear"/>
    <s v="Sandals"/>
    <n v="118.69"/>
    <s v="Summer"/>
    <s v="Card"/>
    <n v="2.7"/>
    <x v="7"/>
    <n v="5"/>
    <n v="131.87777777777777"/>
    <n v="13.187777777777768"/>
    <x v="4"/>
    <n v="1"/>
  </r>
  <r>
    <n v="312"/>
    <n v="35"/>
    <s v="Female"/>
    <s v="Beauty"/>
    <s v="Skincare Kit"/>
    <n v="77.47"/>
    <s v="Summer"/>
    <s v="Card"/>
    <n v="4.3"/>
    <x v="5"/>
    <n v="4"/>
    <n v="84.206521739130423"/>
    <n v="6.7365217391304242"/>
    <x v="5"/>
    <n v="1"/>
  </r>
  <r>
    <n v="313"/>
    <n v="48"/>
    <s v="Female"/>
    <s v="Accessories"/>
    <s v="Wallet"/>
    <n v="85.35"/>
    <s v="Spring"/>
    <s v="Card"/>
    <n v="4.3"/>
    <x v="17"/>
    <n v="2"/>
    <n v="88.90625"/>
    <n v="3.5562500000000057"/>
    <x v="4"/>
    <n v="1"/>
  </r>
  <r>
    <n v="314"/>
    <n v="48"/>
    <s v="Female"/>
    <s v="Footwear"/>
    <s v="Sandals"/>
    <n v="102.43"/>
    <s v="Spring"/>
    <s v="Card"/>
    <n v="3.6"/>
    <x v="18"/>
    <n v="7"/>
    <n v="134.7763157894737"/>
    <n v="32.346315789473692"/>
    <x v="4"/>
    <n v="1"/>
  </r>
  <r>
    <n v="315"/>
    <n v="30"/>
    <s v="Male"/>
    <s v="Groceries"/>
    <s v="Beverages"/>
    <n v="11.09"/>
    <s v="Autumn"/>
    <s v="Cash on Delivery"/>
    <n v="2.8"/>
    <x v="22"/>
    <n v="9"/>
    <n v="14.402597402597403"/>
    <n v="3.3125974025974028"/>
    <x v="5"/>
    <n v="1"/>
  </r>
  <r>
    <n v="316"/>
    <n v="43"/>
    <s v="Male"/>
    <s v="Sports"/>
    <s v="Yoga Mat"/>
    <n v="30.29"/>
    <s v="Summer"/>
    <s v="Cash on Delivery"/>
    <n v="2.4"/>
    <x v="6"/>
    <n v="3"/>
    <n v="36.05952380952381"/>
    <n v="5.7695238095238111"/>
    <x v="1"/>
    <n v="1"/>
  </r>
  <r>
    <n v="317"/>
    <n v="69"/>
    <s v="Female"/>
    <s v="Groceries"/>
    <s v="Snacks"/>
    <n v="79.400000000000006"/>
    <s v="Winter"/>
    <s v="Card"/>
    <n v="3.4"/>
    <x v="19"/>
    <n v="5"/>
    <n v="93.411764705882362"/>
    <n v="14.011764705882356"/>
    <x v="2"/>
    <n v="1"/>
  </r>
  <r>
    <n v="318"/>
    <n v="22"/>
    <s v="Female"/>
    <s v="Sports"/>
    <s v="Football"/>
    <n v="237.38"/>
    <s v="Spring"/>
    <s v="Card"/>
    <n v="3.4"/>
    <x v="23"/>
    <n v="1"/>
    <n v="255.24731182795699"/>
    <n v="17.867311827956996"/>
    <x v="3"/>
    <n v="1"/>
  </r>
  <r>
    <n v="319"/>
    <n v="39"/>
    <s v="Female"/>
    <s v="Groceries"/>
    <s v="Cooking Oil"/>
    <n v="56.93"/>
    <s v="Summer"/>
    <s v="Card"/>
    <n v="4.4000000000000004"/>
    <x v="5"/>
    <n v="4"/>
    <n v="61.880434782608695"/>
    <n v="4.9504347826086956"/>
    <x v="1"/>
    <n v="1"/>
  </r>
  <r>
    <n v="320"/>
    <n v="60"/>
    <s v="Female"/>
    <s v="Womens Clothing"/>
    <s v="Dress"/>
    <n v="187.91"/>
    <s v="Spring"/>
    <s v="Card"/>
    <n v="3.8"/>
    <x v="17"/>
    <n v="2"/>
    <n v="195.73958333333334"/>
    <n v="7.8295833333333462"/>
    <x v="0"/>
    <n v="1"/>
  </r>
  <r>
    <n v="321"/>
    <n v="67"/>
    <s v="Female"/>
    <s v="Womens Clothing"/>
    <s v="Dress"/>
    <n v="144.38"/>
    <s v="Spring"/>
    <s v="Card"/>
    <n v="3.4"/>
    <x v="18"/>
    <n v="7"/>
    <n v="189.9736842105263"/>
    <n v="45.593684210526305"/>
    <x v="2"/>
    <n v="1"/>
  </r>
  <r>
    <n v="322"/>
    <n v="56"/>
    <s v="Female"/>
    <s v="Home"/>
    <s v="Curtains"/>
    <n v="139.78"/>
    <s v="Spring"/>
    <s v="Card"/>
    <n v="3.9"/>
    <x v="12"/>
    <n v="7"/>
    <n v="172.5679012345679"/>
    <n v="32.787901234567897"/>
    <x v="0"/>
    <n v="1"/>
  </r>
  <r>
    <n v="323"/>
    <n v="22"/>
    <s v="Male"/>
    <s v="Sports"/>
    <s v="Dumbbells"/>
    <n v="232.96"/>
    <s v="Summer"/>
    <s v="Card"/>
    <n v="4.0999999999999996"/>
    <x v="16"/>
    <n v="3"/>
    <n v="247.82978723404258"/>
    <n v="14.869787234042576"/>
    <x v="3"/>
    <n v="1"/>
  </r>
  <r>
    <n v="324"/>
    <n v="65"/>
    <s v="Female"/>
    <s v="Beauty"/>
    <s v="Skincare Kit"/>
    <n v="79.89"/>
    <s v="Autumn"/>
    <s v="Card"/>
    <n v="5"/>
    <x v="18"/>
    <n v="7"/>
    <n v="105.11842105263158"/>
    <n v="25.228421052631575"/>
    <x v="0"/>
    <n v="1"/>
  </r>
  <r>
    <n v="325"/>
    <n v="38"/>
    <s v="Female"/>
    <s v="Sports"/>
    <s v="Football"/>
    <n v="240.47"/>
    <s v="Autumn"/>
    <s v="Card"/>
    <n v="3.4"/>
    <x v="5"/>
    <n v="4"/>
    <n v="261.38043478260869"/>
    <n v="20.910434782608689"/>
    <x v="1"/>
    <n v="1"/>
  </r>
  <r>
    <n v="326"/>
    <n v="42"/>
    <s v="Female"/>
    <s v="Sports"/>
    <s v="Yoga Mat"/>
    <n v="124.92"/>
    <s v="Autumn"/>
    <s v="Card"/>
    <n v="2.2000000000000002"/>
    <x v="21"/>
    <n v="8"/>
    <n v="158.12658227848101"/>
    <n v="33.206582278481008"/>
    <x v="1"/>
    <n v="1"/>
  </r>
  <r>
    <n v="327"/>
    <n v="48"/>
    <s v="Female"/>
    <s v="Sports"/>
    <s v="Dumbbells"/>
    <n v="174.99"/>
    <s v="Winter"/>
    <s v="Card"/>
    <n v="4.4000000000000004"/>
    <x v="0"/>
    <n v="4"/>
    <n v="213.40243902439025"/>
    <n v="38.412439024390238"/>
    <x v="4"/>
    <n v="1"/>
  </r>
  <r>
    <n v="328"/>
    <n v="32"/>
    <s v="Female"/>
    <s v="Footwear"/>
    <s v="Sandals"/>
    <n v="169.59"/>
    <s v="Summer"/>
    <s v="Card"/>
    <n v="4.8"/>
    <x v="1"/>
    <n v="4"/>
    <n v="194.93103448275863"/>
    <n v="25.34103448275863"/>
    <x v="5"/>
    <n v="1"/>
  </r>
  <r>
    <n v="329"/>
    <n v="62"/>
    <s v="Male"/>
    <s v="Sports"/>
    <s v="Dumbbells"/>
    <n v="212.29"/>
    <s v="Spring"/>
    <s v="Card"/>
    <n v="5"/>
    <x v="2"/>
    <n v="3"/>
    <n v="238.52808988764045"/>
    <n v="26.238089887640456"/>
    <x v="0"/>
    <n v="1"/>
  </r>
  <r>
    <n v="330"/>
    <n v="57"/>
    <s v="Male"/>
    <s v="Electronics"/>
    <s v="Headphones"/>
    <n v="2524.81"/>
    <s v="Autumn"/>
    <s v="Card"/>
    <n v="3.8"/>
    <x v="14"/>
    <n v="6"/>
    <n v="3041.9397590361446"/>
    <n v="517.12975903614461"/>
    <x v="0"/>
    <n v="1"/>
  </r>
  <r>
    <n v="331"/>
    <n v="62"/>
    <s v="Male"/>
    <s v="Mens Clothing"/>
    <s v="Shirt"/>
    <n v="83.68"/>
    <s v="Spring"/>
    <s v="Cash on Delivery"/>
    <n v="2.9"/>
    <x v="7"/>
    <n v="5"/>
    <n v="92.977777777777789"/>
    <n v="9.2977777777777817"/>
    <x v="0"/>
    <n v="1"/>
  </r>
  <r>
    <n v="332"/>
    <n v="60"/>
    <s v="Male"/>
    <s v="Mens Clothing"/>
    <s v="T-Shirt"/>
    <n v="128.55000000000001"/>
    <s v="Spring"/>
    <s v="Card"/>
    <n v="4.5999999999999996"/>
    <x v="0"/>
    <n v="4"/>
    <n v="156.76829268292684"/>
    <n v="28.21829268292683"/>
    <x v="0"/>
    <n v="1"/>
  </r>
  <r>
    <n v="333"/>
    <n v="47"/>
    <s v="Male"/>
    <s v="Home"/>
    <s v="Curtains"/>
    <n v="284.08"/>
    <s v="Autumn"/>
    <s v="Card"/>
    <n v="3.3"/>
    <x v="6"/>
    <n v="3"/>
    <n v="338.1904761904762"/>
    <n v="54.11047619047622"/>
    <x v="4"/>
    <n v="1"/>
  </r>
  <r>
    <n v="334"/>
    <n v="57"/>
    <s v="Female"/>
    <s v="Womens Clothing"/>
    <s v="Skirt"/>
    <n v="140.29"/>
    <s v="Autumn"/>
    <s v="Card"/>
    <n v="5"/>
    <x v="8"/>
    <n v="6"/>
    <n v="159.42045454545453"/>
    <n v="19.13045454545454"/>
    <x v="0"/>
    <n v="1"/>
  </r>
  <r>
    <n v="335"/>
    <n v="53"/>
    <s v="Female"/>
    <s v="Accessories"/>
    <s v="Wallet"/>
    <n v="29.37"/>
    <s v="Autumn"/>
    <s v="Cash on Delivery"/>
    <n v="3.2"/>
    <x v="18"/>
    <n v="7"/>
    <n v="38.644736842105267"/>
    <n v="9.2747368421052663"/>
    <x v="4"/>
    <n v="1"/>
  </r>
  <r>
    <n v="336"/>
    <n v="48"/>
    <s v="Female"/>
    <s v="Accessories"/>
    <s v="Sunglasses"/>
    <n v="79.45"/>
    <s v="Spring"/>
    <s v="Card"/>
    <n v="4"/>
    <x v="19"/>
    <n v="5"/>
    <n v="93.47058823529413"/>
    <n v="14.020588235294127"/>
    <x v="4"/>
    <n v="1"/>
  </r>
  <r>
    <n v="337"/>
    <n v="63"/>
    <s v="Female"/>
    <s v="Womens Clothing"/>
    <s v="Top"/>
    <n v="77.099999999999994"/>
    <s v="Winter"/>
    <s v="Cash on Delivery"/>
    <n v="2.1"/>
    <x v="14"/>
    <n v="6"/>
    <n v="92.891566265060234"/>
    <n v="15.79156626506024"/>
    <x v="0"/>
    <n v="1"/>
  </r>
  <r>
    <n v="338"/>
    <n v="49"/>
    <s v="Male"/>
    <s v="Mens Clothing"/>
    <s v="Shirt"/>
    <n v="163.61000000000001"/>
    <s v="Winter"/>
    <s v="Card"/>
    <n v="2.9"/>
    <x v="16"/>
    <n v="3"/>
    <n v="174.05319148936172"/>
    <n v="10.443191489361709"/>
    <x v="4"/>
    <n v="1"/>
  </r>
  <r>
    <n v="339"/>
    <n v="62"/>
    <s v="Female"/>
    <s v="Womens Clothing"/>
    <s v="Jeans"/>
    <n v="34.1"/>
    <s v="Autumn"/>
    <s v="Card"/>
    <n v="2.8"/>
    <x v="13"/>
    <n v="2"/>
    <n v="37.472527472527474"/>
    <n v="3.372527472527473"/>
    <x v="0"/>
    <n v="1"/>
  </r>
  <r>
    <n v="340"/>
    <n v="50"/>
    <s v="Female"/>
    <s v="Accessories"/>
    <s v="Wallet"/>
    <n v="62.32"/>
    <s v="Winter"/>
    <s v="Card"/>
    <n v="3.5"/>
    <x v="0"/>
    <n v="4"/>
    <n v="76"/>
    <n v="13.68"/>
    <x v="4"/>
    <n v="1"/>
  </r>
  <r>
    <n v="341"/>
    <n v="35"/>
    <s v="Male"/>
    <s v="Sports"/>
    <s v="Dumbbells"/>
    <n v="165.77"/>
    <s v="Summer"/>
    <s v="Card"/>
    <n v="3.3"/>
    <x v="4"/>
    <n v="2"/>
    <n v="192.7558139534884"/>
    <n v="26.985813953488389"/>
    <x v="5"/>
    <n v="1"/>
  </r>
  <r>
    <n v="342"/>
    <n v="29"/>
    <s v="Male"/>
    <s v="Footwear"/>
    <s v="Sandals"/>
    <n v="132.79"/>
    <s v="Summer"/>
    <s v="Card"/>
    <n v="4.4000000000000004"/>
    <x v="4"/>
    <n v="2"/>
    <n v="154.40697674418604"/>
    <n v="21.616976744186047"/>
    <x v="5"/>
    <n v="1"/>
  </r>
  <r>
    <n v="343"/>
    <n v="25"/>
    <s v="Female"/>
    <s v="Beauty"/>
    <s v="Skincare Kit"/>
    <n v="82.83"/>
    <s v="Autumn"/>
    <s v="Card"/>
    <n v="4.4000000000000004"/>
    <x v="5"/>
    <n v="4"/>
    <n v="90.032608695652172"/>
    <n v="7.2026086956521738"/>
    <x v="3"/>
    <n v="1"/>
  </r>
  <r>
    <n v="344"/>
    <n v="28"/>
    <s v="Female"/>
    <s v="Beauty"/>
    <s v="Skincare Kit"/>
    <n v="139.28"/>
    <s v="Autumn"/>
    <s v="Card"/>
    <n v="5"/>
    <x v="21"/>
    <n v="8"/>
    <n v="176.30379746835442"/>
    <n v="37.023797468354417"/>
    <x v="5"/>
    <n v="1"/>
  </r>
  <r>
    <n v="345"/>
    <n v="44"/>
    <s v="Male"/>
    <s v="Mens Clothing"/>
    <s v="T-Shirt"/>
    <n v="145.69"/>
    <s v="Spring"/>
    <s v="Card"/>
    <n v="3.4"/>
    <x v="16"/>
    <n v="3"/>
    <n v="154.98936170212767"/>
    <n v="9.2993617021276691"/>
    <x v="1"/>
    <n v="1"/>
  </r>
  <r>
    <n v="346"/>
    <n v="47"/>
    <s v="Female"/>
    <s v="Accessories"/>
    <s v="Handbag"/>
    <n v="28.87"/>
    <s v="Autumn"/>
    <s v="Cash on Delivery"/>
    <n v="3"/>
    <x v="7"/>
    <n v="5"/>
    <n v="32.077777777777776"/>
    <n v="3.2077777777777747"/>
    <x v="4"/>
    <n v="1"/>
  </r>
  <r>
    <n v="347"/>
    <n v="22"/>
    <s v="Female"/>
    <s v="Footwear"/>
    <s v="Sandals"/>
    <n v="122.56"/>
    <s v="Winter"/>
    <s v="Card"/>
    <n v="4.0999999999999996"/>
    <x v="4"/>
    <n v="2"/>
    <n v="142.51162790697674"/>
    <n v="19.951627906976739"/>
    <x v="3"/>
    <n v="1"/>
  </r>
  <r>
    <n v="348"/>
    <n v="69"/>
    <s v="Male"/>
    <s v="Footwear"/>
    <s v="Sneakers"/>
    <n v="98.93"/>
    <s v="Summer"/>
    <s v="Card"/>
    <n v="3"/>
    <x v="18"/>
    <n v="7"/>
    <n v="130.17105263157896"/>
    <n v="31.241052631578953"/>
    <x v="2"/>
    <n v="1"/>
  </r>
  <r>
    <n v="349"/>
    <n v="41"/>
    <s v="Male"/>
    <s v="Sports"/>
    <s v="Yoga Mat"/>
    <n v="207.36"/>
    <s v="Spring"/>
    <s v="Card"/>
    <n v="3.9"/>
    <x v="1"/>
    <n v="4"/>
    <n v="238.34482758620692"/>
    <n v="30.984827586206904"/>
    <x v="1"/>
    <n v="1"/>
  </r>
  <r>
    <n v="350"/>
    <n v="54"/>
    <s v="Female"/>
    <s v="Beauty"/>
    <s v="Makeup Set"/>
    <n v="87.55"/>
    <s v="Spring"/>
    <s v="Card"/>
    <n v="3.6"/>
    <x v="0"/>
    <n v="4"/>
    <n v="106.76829268292681"/>
    <n v="19.218292682926815"/>
    <x v="4"/>
    <n v="1"/>
  </r>
  <r>
    <n v="351"/>
    <n v="40"/>
    <s v="Female"/>
    <s v="Beauty"/>
    <s v="Skincare Kit"/>
    <n v="47.08"/>
    <s v="Winter"/>
    <s v="Card"/>
    <n v="3"/>
    <x v="8"/>
    <n v="6"/>
    <n v="53.5"/>
    <n v="6.4200000000000017"/>
    <x v="1"/>
    <n v="1"/>
  </r>
  <r>
    <n v="352"/>
    <n v="63"/>
    <s v="Female"/>
    <s v="Sports"/>
    <s v="Dumbbells"/>
    <n v="104.84"/>
    <s v="Spring"/>
    <s v="Card"/>
    <n v="4.3"/>
    <x v="0"/>
    <n v="9"/>
    <n v="127.85365853658536"/>
    <n v="23.013658536585353"/>
    <x v="0"/>
    <n v="1"/>
  </r>
  <r>
    <n v="353"/>
    <n v="47"/>
    <s v="Male"/>
    <s v="Mens Clothing"/>
    <s v="Shirt"/>
    <n v="84.24"/>
    <s v="Autumn"/>
    <s v="Cash on Delivery"/>
    <n v="3.1"/>
    <x v="1"/>
    <n v="4"/>
    <n v="96.827586206896541"/>
    <n v="12.587586206896546"/>
    <x v="4"/>
    <n v="1"/>
  </r>
  <r>
    <n v="354"/>
    <n v="68"/>
    <s v="Female"/>
    <s v="Beauty"/>
    <s v="Perfume"/>
    <n v="136.55000000000001"/>
    <s v="Summer"/>
    <s v="Card"/>
    <n v="3.6"/>
    <x v="23"/>
    <n v="1"/>
    <n v="146.82795698924733"/>
    <n v="10.277956989247315"/>
    <x v="2"/>
    <n v="1"/>
  </r>
  <r>
    <n v="355"/>
    <n v="53"/>
    <s v="Male"/>
    <s v="Electronics"/>
    <s v="Headphones"/>
    <n v="2520.9899999999998"/>
    <s v="Winter"/>
    <s v="Card"/>
    <n v="3.1"/>
    <x v="0"/>
    <n v="4"/>
    <n v="3074.3780487804875"/>
    <n v="553.38804878048768"/>
    <x v="4"/>
    <n v="1"/>
  </r>
  <r>
    <n v="356"/>
    <n v="25"/>
    <s v="Male"/>
    <s v="Sports"/>
    <s v="Football"/>
    <n v="43.35"/>
    <s v="Summer"/>
    <s v="Card"/>
    <n v="2.2000000000000002"/>
    <x v="16"/>
    <n v="3"/>
    <n v="46.11702127659575"/>
    <n v="2.7670212765957487"/>
    <x v="3"/>
    <n v="1"/>
  </r>
  <r>
    <n v="357"/>
    <n v="34"/>
    <s v="Female"/>
    <s v="Beauty"/>
    <s v="Skincare Kit"/>
    <n v="123.83"/>
    <s v="Spring"/>
    <s v="Card"/>
    <n v="5"/>
    <x v="17"/>
    <n v="2"/>
    <n v="128.98958333333334"/>
    <n v="5.1595833333333445"/>
    <x v="5"/>
    <n v="1"/>
  </r>
  <r>
    <n v="358"/>
    <n v="66"/>
    <s v="Female"/>
    <s v="Footwear"/>
    <s v="Formal Shoes"/>
    <n v="194.54"/>
    <s v="Spring"/>
    <s v="Card"/>
    <n v="2.6"/>
    <x v="16"/>
    <n v="3"/>
    <n v="206.95744680851064"/>
    <n v="12.417446808510647"/>
    <x v="2"/>
    <n v="1"/>
  </r>
  <r>
    <n v="359"/>
    <n v="30"/>
    <s v="Male"/>
    <s v="Mens Clothing"/>
    <s v="Shirt"/>
    <n v="65.61"/>
    <s v="Summer"/>
    <s v="Card"/>
    <n v="3.3"/>
    <x v="6"/>
    <n v="3"/>
    <n v="78.107142857142861"/>
    <n v="12.497142857142862"/>
    <x v="5"/>
    <n v="1"/>
  </r>
  <r>
    <n v="360"/>
    <n v="59"/>
    <s v="Female"/>
    <s v="Accessories"/>
    <s v="Handbag"/>
    <n v="68.540000000000006"/>
    <s v="Spring"/>
    <s v="Card"/>
    <n v="2.7"/>
    <x v="21"/>
    <n v="8"/>
    <n v="86.759493670886073"/>
    <n v="18.219493670886067"/>
    <x v="0"/>
    <n v="1"/>
  </r>
  <r>
    <n v="361"/>
    <n v="22"/>
    <s v="Female"/>
    <s v="Sports"/>
    <s v="Yoga Mat"/>
    <n v="95.48"/>
    <s v="Winter"/>
    <s v="Cash on Delivery"/>
    <n v="4.0999999999999996"/>
    <x v="13"/>
    <n v="2"/>
    <n v="104.92307692307692"/>
    <n v="9.4430769230769158"/>
    <x v="3"/>
    <n v="1"/>
  </r>
  <r>
    <n v="362"/>
    <n v="23"/>
    <s v="Male"/>
    <s v="Footwear"/>
    <s v="Sandals"/>
    <n v="217.69"/>
    <s v="Spring"/>
    <s v="Card"/>
    <n v="3.4"/>
    <x v="0"/>
    <n v="4"/>
    <n v="265.47560975609753"/>
    <n v="47.785609756097529"/>
    <x v="3"/>
    <n v="1"/>
  </r>
  <r>
    <n v="363"/>
    <n v="59"/>
    <s v="Male"/>
    <s v="Sports"/>
    <s v="Dumbbells"/>
    <n v="221.98"/>
    <s v="Summer"/>
    <s v="Card"/>
    <n v="3"/>
    <x v="6"/>
    <n v="8"/>
    <n v="264.26190476190476"/>
    <n v="42.281904761904769"/>
    <x v="0"/>
    <n v="1"/>
  </r>
  <r>
    <n v="364"/>
    <n v="70"/>
    <s v="Female"/>
    <s v="Accessories"/>
    <s v="Sunglasses"/>
    <n v="157.83000000000001"/>
    <s v="Summer"/>
    <s v="Card"/>
    <n v="4.5"/>
    <x v="18"/>
    <n v="7"/>
    <n v="207.67105263157896"/>
    <n v="49.841052631578947"/>
    <x v="2"/>
    <n v="1"/>
  </r>
  <r>
    <n v="365"/>
    <n v="28"/>
    <s v="Male"/>
    <s v="Footwear"/>
    <s v="Formal Shoes"/>
    <n v="92.99"/>
    <s v="Winter"/>
    <s v="Card"/>
    <n v="3.8"/>
    <x v="6"/>
    <n v="3"/>
    <n v="110.70238095238095"/>
    <n v="17.712380952380954"/>
    <x v="5"/>
    <n v="1"/>
  </r>
  <r>
    <n v="366"/>
    <n v="30"/>
    <s v="Female"/>
    <s v="Womens Clothing"/>
    <s v="Skirt"/>
    <n v="152.47"/>
    <s v="Autumn"/>
    <s v="Card"/>
    <n v="4"/>
    <x v="18"/>
    <n v="7"/>
    <n v="200.61842105263156"/>
    <n v="48.148421052631562"/>
    <x v="5"/>
    <n v="1"/>
  </r>
  <r>
    <n v="367"/>
    <n v="50"/>
    <s v="Male"/>
    <s v="Sports"/>
    <s v="Dumbbells"/>
    <n v="162.69999999999999"/>
    <s v="Summer"/>
    <s v="Card"/>
    <n v="2.8"/>
    <x v="2"/>
    <n v="3"/>
    <n v="182.80898876404493"/>
    <n v="20.108988764044938"/>
    <x v="4"/>
    <n v="1"/>
  </r>
  <r>
    <n v="368"/>
    <n v="66"/>
    <s v="Male"/>
    <s v="Sports"/>
    <s v="Football"/>
    <n v="56.33"/>
    <s v="Spring"/>
    <s v="Cash on Delivery"/>
    <n v="4.0999999999999996"/>
    <x v="15"/>
    <n v="1"/>
    <n v="57.479591836734691"/>
    <n v="1.1495918367346931"/>
    <x v="2"/>
    <n v="1"/>
  </r>
  <r>
    <n v="369"/>
    <n v="34"/>
    <s v="Female"/>
    <s v="Beauty"/>
    <s v="Makeup Set"/>
    <n v="41.77"/>
    <s v="Winter"/>
    <s v="Cash on Delivery"/>
    <n v="3.5"/>
    <x v="17"/>
    <n v="2"/>
    <n v="43.510416666666671"/>
    <n v="1.7404166666666683"/>
    <x v="5"/>
    <n v="1"/>
  </r>
  <r>
    <n v="370"/>
    <n v="49"/>
    <s v="Male"/>
    <s v="Electronics"/>
    <s v="Laptop"/>
    <n v="2544.06"/>
    <s v="Summer"/>
    <s v="Card"/>
    <n v="3.6"/>
    <x v="7"/>
    <n v="5"/>
    <n v="2826.7333333333331"/>
    <n v="282.67333333333318"/>
    <x v="4"/>
    <n v="1"/>
  </r>
  <r>
    <n v="371"/>
    <n v="53"/>
    <s v="Female"/>
    <s v="Accessories"/>
    <s v="Handbag"/>
    <n v="89.64"/>
    <s v="Spring"/>
    <s v="Cash on Delivery"/>
    <n v="4.0999999999999996"/>
    <x v="16"/>
    <n v="3"/>
    <n v="95.361702127659584"/>
    <n v="5.721702127659583"/>
    <x v="4"/>
    <n v="1"/>
  </r>
  <r>
    <n v="372"/>
    <n v="53"/>
    <s v="Male"/>
    <s v="Footwear"/>
    <s v="Formal Shoes"/>
    <n v="224"/>
    <s v="Autumn"/>
    <s v="Card"/>
    <n v="5"/>
    <x v="3"/>
    <n v="5"/>
    <n v="280"/>
    <n v="56"/>
    <x v="4"/>
    <n v="1"/>
  </r>
  <r>
    <n v="373"/>
    <n v="52"/>
    <s v="Female"/>
    <s v="Accessories"/>
    <s v="Wallet"/>
    <n v="37.28"/>
    <s v="Winter"/>
    <s v="Card"/>
    <n v="3.3"/>
    <x v="1"/>
    <n v="4"/>
    <n v="42.850574712643677"/>
    <n v="5.5705747126436762"/>
    <x v="4"/>
    <n v="1"/>
  </r>
  <r>
    <n v="374"/>
    <n v="61"/>
    <s v="Male"/>
    <s v="Footwear"/>
    <s v="Formal Shoes"/>
    <n v="42.08"/>
    <s v="Spring"/>
    <s v="Cash on Delivery"/>
    <n v="2.5"/>
    <x v="3"/>
    <n v="10"/>
    <n v="52.599999999999994"/>
    <n v="10.519999999999996"/>
    <x v="0"/>
    <n v="1"/>
  </r>
  <r>
    <n v="375"/>
    <n v="28"/>
    <s v="Male"/>
    <s v="Mens Clothing"/>
    <s v="Jacket"/>
    <n v="50.72"/>
    <s v="Summer"/>
    <s v="Cash on Delivery"/>
    <n v="2.6"/>
    <x v="17"/>
    <n v="2"/>
    <n v="52.833333333333336"/>
    <n v="2.1133333333333368"/>
    <x v="5"/>
    <n v="1"/>
  </r>
  <r>
    <n v="376"/>
    <n v="54"/>
    <s v="Female"/>
    <s v="Womens Clothing"/>
    <s v="Skirt"/>
    <n v="183.9"/>
    <s v="Spring"/>
    <s v="Card"/>
    <n v="4"/>
    <x v="0"/>
    <n v="4"/>
    <n v="224.26829268292681"/>
    <n v="40.368292682926807"/>
    <x v="4"/>
    <n v="1"/>
  </r>
  <r>
    <n v="377"/>
    <n v="36"/>
    <s v="Female"/>
    <s v="Beauty"/>
    <s v="Perfume"/>
    <n v="121.81"/>
    <s v="Winter"/>
    <s v="Card"/>
    <n v="3.8"/>
    <x v="6"/>
    <n v="3"/>
    <n v="145.01190476190476"/>
    <n v="23.201904761904757"/>
    <x v="1"/>
    <n v="1"/>
  </r>
  <r>
    <n v="378"/>
    <n v="35"/>
    <s v="Female"/>
    <s v="Womens Clothing"/>
    <s v="Jeans"/>
    <n v="66.09"/>
    <s v="Summer"/>
    <s v="Card"/>
    <n v="2.9"/>
    <x v="6"/>
    <n v="3"/>
    <n v="78.678571428571431"/>
    <n v="12.588571428571427"/>
    <x v="5"/>
    <n v="1"/>
  </r>
  <r>
    <n v="379"/>
    <n v="63"/>
    <s v="Male"/>
    <s v="Footwear"/>
    <s v="Formal Shoes"/>
    <n v="119.18"/>
    <s v="Spring"/>
    <s v="Card"/>
    <n v="4.5"/>
    <x v="5"/>
    <n v="4"/>
    <n v="129.54347826086956"/>
    <n v="10.363478260869556"/>
    <x v="0"/>
    <n v="1"/>
  </r>
  <r>
    <n v="380"/>
    <n v="51"/>
    <s v="Male"/>
    <s v="Mens Clothing"/>
    <s v="Jacket"/>
    <n v="123"/>
    <s v="Winter"/>
    <s v="Card"/>
    <n v="3.6"/>
    <x v="2"/>
    <n v="3"/>
    <n v="138.20224719101122"/>
    <n v="15.202247191011224"/>
    <x v="4"/>
    <n v="1"/>
  </r>
  <r>
    <n v="381"/>
    <n v="26"/>
    <s v="Male"/>
    <s v="Mens Clothing"/>
    <s v="Shirt"/>
    <n v="37.33"/>
    <s v="Spring"/>
    <s v="Card"/>
    <n v="3.6"/>
    <x v="3"/>
    <n v="5"/>
    <n v="46.662499999999994"/>
    <n v="9.332499999999996"/>
    <x v="5"/>
    <n v="1"/>
  </r>
  <r>
    <n v="382"/>
    <n v="54"/>
    <s v="Male"/>
    <s v="Electronics"/>
    <s v="Mobile Phone"/>
    <n v="1625.71"/>
    <s v="Spring"/>
    <s v="Card"/>
    <n v="5"/>
    <x v="11"/>
    <n v="13"/>
    <n v="2196.9054054054054"/>
    <n v="571.19540540540538"/>
    <x v="4"/>
    <n v="1"/>
  </r>
  <r>
    <n v="383"/>
    <n v="70"/>
    <s v="Male"/>
    <s v="Footwear"/>
    <s v="Sneakers"/>
    <n v="150.47999999999999"/>
    <s v="Spring"/>
    <s v="Card"/>
    <n v="4.5999999999999996"/>
    <x v="8"/>
    <n v="6"/>
    <n v="171"/>
    <n v="20.52000000000001"/>
    <x v="2"/>
    <n v="1"/>
  </r>
  <r>
    <n v="384"/>
    <n v="45"/>
    <s v="Male"/>
    <s v="Electronics"/>
    <s v="Laptop"/>
    <n v="1400.99"/>
    <s v="Winter"/>
    <s v="Card"/>
    <n v="2.8"/>
    <x v="16"/>
    <n v="3"/>
    <n v="1490.4148936170213"/>
    <n v="89.424893617021326"/>
    <x v="1"/>
    <n v="1"/>
  </r>
  <r>
    <n v="385"/>
    <n v="43"/>
    <s v="Male"/>
    <s v="Sports"/>
    <s v="Football"/>
    <n v="80.25"/>
    <s v="Winter"/>
    <s v="Card"/>
    <n v="3.9"/>
    <x v="14"/>
    <n v="6"/>
    <n v="96.686746987951807"/>
    <n v="16.436746987951807"/>
    <x v="1"/>
    <n v="1"/>
  </r>
  <r>
    <n v="386"/>
    <n v="37"/>
    <s v="Female"/>
    <s v="Groceries"/>
    <s v="Rice Pack"/>
    <n v="29.59"/>
    <s v="Summer"/>
    <s v="Card"/>
    <n v="4.7"/>
    <x v="18"/>
    <n v="7"/>
    <n v="38.934210526315788"/>
    <n v="9.3442105263157877"/>
    <x v="1"/>
    <n v="1"/>
  </r>
  <r>
    <n v="387"/>
    <n v="47"/>
    <s v="Male"/>
    <s v="Mens Clothing"/>
    <s v="T-Shirt"/>
    <n v="112.86"/>
    <s v="Winter"/>
    <s v="Card"/>
    <n v="4.5999999999999996"/>
    <x v="4"/>
    <n v="7"/>
    <n v="131.23255813953489"/>
    <n v="18.372558139534888"/>
    <x v="4"/>
    <n v="1"/>
  </r>
  <r>
    <n v="388"/>
    <n v="45"/>
    <s v="Male"/>
    <s v="Sports"/>
    <s v="Football"/>
    <n v="160.31"/>
    <s v="Winter"/>
    <s v="Card"/>
    <n v="3"/>
    <x v="16"/>
    <n v="3"/>
    <n v="170.54255319148936"/>
    <n v="10.232553191489359"/>
    <x v="1"/>
    <n v="1"/>
  </r>
  <r>
    <n v="389"/>
    <n v="44"/>
    <s v="Female"/>
    <s v="Home"/>
    <s v="Lamp"/>
    <n v="155.34"/>
    <s v="Winter"/>
    <s v="Card"/>
    <n v="4.5"/>
    <x v="1"/>
    <n v="4"/>
    <n v="178.55172413793105"/>
    <n v="23.211724137931043"/>
    <x v="1"/>
    <n v="1"/>
  </r>
  <r>
    <n v="390"/>
    <n v="39"/>
    <s v="Male"/>
    <s v="Groceries"/>
    <s v="Cooking Oil"/>
    <n v="76.790000000000006"/>
    <s v="Winter"/>
    <s v="Cash on Delivery"/>
    <n v="3.3"/>
    <x v="12"/>
    <n v="7"/>
    <n v="94.802469135802468"/>
    <n v="18.012469135802462"/>
    <x v="1"/>
    <n v="1"/>
  </r>
  <r>
    <n v="391"/>
    <n v="42"/>
    <s v="Male"/>
    <s v="Electronics"/>
    <s v="Mobile Phone"/>
    <n v="845.92"/>
    <s v="Autumn"/>
    <s v="Card"/>
    <n v="2.9"/>
    <x v="27"/>
    <n v="10"/>
    <n v="1127.8933333333332"/>
    <n v="281.97333333333324"/>
    <x v="1"/>
    <n v="1"/>
  </r>
  <r>
    <n v="392"/>
    <n v="26"/>
    <s v="Female"/>
    <s v="Womens Clothing"/>
    <s v="Jeans"/>
    <n v="177.84"/>
    <s v="Winter"/>
    <s v="Card"/>
    <n v="4.5"/>
    <x v="1"/>
    <n v="4"/>
    <n v="204.41379310344828"/>
    <n v="26.573793103448281"/>
    <x v="5"/>
    <n v="1"/>
  </r>
  <r>
    <n v="393"/>
    <n v="42"/>
    <s v="Male"/>
    <s v="Footwear"/>
    <s v="Sandals"/>
    <n v="81.260000000000005"/>
    <s v="Summer"/>
    <s v="Card"/>
    <n v="4.0999999999999996"/>
    <x v="4"/>
    <n v="2"/>
    <n v="94.488372093023258"/>
    <n v="13.228372093023253"/>
    <x v="1"/>
    <n v="1"/>
  </r>
  <r>
    <n v="394"/>
    <n v="33"/>
    <s v="Male"/>
    <s v="Sports"/>
    <s v="Yoga Mat"/>
    <n v="143.71"/>
    <s v="Summer"/>
    <s v="Card"/>
    <n v="3.9"/>
    <x v="2"/>
    <n v="3"/>
    <n v="161.47191011235955"/>
    <n v="17.761910112359544"/>
    <x v="5"/>
    <n v="1"/>
  </r>
  <r>
    <n v="395"/>
    <n v="70"/>
    <s v="Male"/>
    <s v="Sports"/>
    <s v="Yoga Mat"/>
    <n v="62.41"/>
    <s v="Summer"/>
    <s v="Cash on Delivery"/>
    <n v="3.7"/>
    <x v="24"/>
    <n v="9"/>
    <n v="86.680555555555557"/>
    <n v="24.270555555555561"/>
    <x v="2"/>
    <n v="1"/>
  </r>
  <r>
    <n v="396"/>
    <n v="55"/>
    <s v="Female"/>
    <s v="Footwear"/>
    <s v="Sneakers"/>
    <n v="120.97"/>
    <s v="Summer"/>
    <s v="Card"/>
    <n v="2.9"/>
    <x v="3"/>
    <n v="5"/>
    <n v="151.21249999999998"/>
    <n v="30.242499999999978"/>
    <x v="4"/>
    <n v="1"/>
  </r>
  <r>
    <n v="397"/>
    <n v="28"/>
    <s v="Male"/>
    <s v="Mens Clothing"/>
    <s v="Jeans"/>
    <n v="176.62"/>
    <s v="Spring"/>
    <s v="Card"/>
    <n v="3.7"/>
    <x v="6"/>
    <n v="3"/>
    <n v="210.26190476190479"/>
    <n v="33.641904761904783"/>
    <x v="5"/>
    <n v="1"/>
  </r>
  <r>
    <n v="398"/>
    <n v="27"/>
    <s v="Male"/>
    <s v="Electronics"/>
    <s v="Laptop"/>
    <n v="1091.52"/>
    <s v="Summer"/>
    <s v="Card"/>
    <n v="4.9000000000000004"/>
    <x v="2"/>
    <n v="3"/>
    <n v="1226.4269662921347"/>
    <n v="134.90696629213471"/>
    <x v="5"/>
    <n v="1"/>
  </r>
  <r>
    <n v="399"/>
    <n v="29"/>
    <s v="Female"/>
    <s v="Womens Clothing"/>
    <s v="Jeans"/>
    <n v="196.8"/>
    <s v="Summer"/>
    <s v="Card"/>
    <n v="3.7"/>
    <x v="11"/>
    <n v="8"/>
    <n v="265.94594594594594"/>
    <n v="69.145945945945925"/>
    <x v="5"/>
    <n v="1"/>
  </r>
  <r>
    <n v="400"/>
    <n v="70"/>
    <s v="Female"/>
    <s v="Womens Clothing"/>
    <s v="Top"/>
    <n v="89.53"/>
    <s v="Spring"/>
    <s v="Cash on Delivery"/>
    <n v="3.8"/>
    <x v="6"/>
    <n v="8"/>
    <n v="106.58333333333334"/>
    <n v="17.053333333333342"/>
    <x v="2"/>
    <n v="1"/>
  </r>
  <r>
    <n v="401"/>
    <n v="38"/>
    <s v="Female"/>
    <s v="Accessories"/>
    <s v="Wallet"/>
    <n v="141.24"/>
    <s v="Spring"/>
    <s v="Card"/>
    <n v="3.9"/>
    <x v="2"/>
    <n v="3"/>
    <n v="158.69662921348316"/>
    <n v="17.456629213483154"/>
    <x v="1"/>
    <n v="1"/>
  </r>
  <r>
    <n v="402"/>
    <n v="32"/>
    <s v="Male"/>
    <s v="Mens Clothing"/>
    <s v="T-Shirt"/>
    <n v="125.07"/>
    <s v="Winter"/>
    <s v="Card"/>
    <n v="4.2"/>
    <x v="13"/>
    <n v="2"/>
    <n v="137.43956043956044"/>
    <n v="12.369560439560445"/>
    <x v="5"/>
    <n v="1"/>
  </r>
  <r>
    <n v="403"/>
    <n v="56"/>
    <s v="Female"/>
    <s v="Accessories"/>
    <s v="Handbag"/>
    <n v="83.05"/>
    <s v="Autumn"/>
    <s v="Cash on Delivery"/>
    <n v="4.0999999999999996"/>
    <x v="0"/>
    <n v="4"/>
    <n v="101.28048780487804"/>
    <n v="18.230487804878038"/>
    <x v="0"/>
    <n v="1"/>
  </r>
  <r>
    <n v="404"/>
    <n v="32"/>
    <s v="Male"/>
    <s v="Home"/>
    <s v="Kitchen Set"/>
    <n v="84.48"/>
    <s v="Winter"/>
    <s v="Card"/>
    <n v="4.5"/>
    <x v="12"/>
    <n v="7"/>
    <n v="104.29629629629629"/>
    <n v="19.816296296296287"/>
    <x v="5"/>
    <n v="1"/>
  </r>
  <r>
    <n v="405"/>
    <n v="42"/>
    <s v="Male"/>
    <s v="Electronics"/>
    <s v="Laptop"/>
    <n v="1607.07"/>
    <s v="Autumn"/>
    <s v="Card"/>
    <n v="4"/>
    <x v="21"/>
    <n v="8"/>
    <n v="2034.2658227848099"/>
    <n v="427.19582278480993"/>
    <x v="1"/>
    <n v="1"/>
  </r>
  <r>
    <n v="406"/>
    <n v="28"/>
    <s v="Female"/>
    <s v="Footwear"/>
    <s v="Formal Shoes"/>
    <n v="170.45"/>
    <s v="Spring"/>
    <s v="Card"/>
    <n v="3.8"/>
    <x v="1"/>
    <n v="4"/>
    <n v="195.91954022988506"/>
    <n v="25.469540229885069"/>
    <x v="5"/>
    <n v="1"/>
  </r>
  <r>
    <n v="407"/>
    <n v="30"/>
    <s v="Female"/>
    <s v="Beauty"/>
    <s v="Skincare Kit"/>
    <n v="47.97"/>
    <s v="Spring"/>
    <s v="Card"/>
    <n v="3.7"/>
    <x v="0"/>
    <n v="4"/>
    <n v="58.499999999999993"/>
    <n v="10.529999999999994"/>
    <x v="5"/>
    <n v="1"/>
  </r>
  <r>
    <n v="408"/>
    <n v="31"/>
    <s v="Female"/>
    <s v="Womens Clothing"/>
    <s v="Jeans"/>
    <n v="152"/>
    <s v="Spring"/>
    <s v="Card"/>
    <n v="3.5"/>
    <x v="18"/>
    <n v="7"/>
    <n v="200"/>
    <n v="48"/>
    <x v="5"/>
    <n v="1"/>
  </r>
  <r>
    <n v="409"/>
    <n v="60"/>
    <s v="Female"/>
    <s v="Beauty"/>
    <s v="Perfume"/>
    <n v="77.790000000000006"/>
    <s v="Autumn"/>
    <s v="Card"/>
    <n v="4.7"/>
    <x v="2"/>
    <n v="3"/>
    <n v="87.404494382022477"/>
    <n v="9.6144943820224711"/>
    <x v="0"/>
    <n v="1"/>
  </r>
  <r>
    <n v="410"/>
    <n v="46"/>
    <s v="Female"/>
    <s v="Womens Clothing"/>
    <s v="Top"/>
    <n v="55.8"/>
    <s v="Summer"/>
    <s v="Cash on Delivery"/>
    <n v="3.1"/>
    <x v="10"/>
    <n v="6"/>
    <n v="71.538461538461533"/>
    <n v="15.738461538461536"/>
    <x v="4"/>
    <n v="1"/>
  </r>
  <r>
    <n v="411"/>
    <n v="66"/>
    <s v="Male"/>
    <s v="Sports"/>
    <s v="Dumbbells"/>
    <n v="140.76"/>
    <s v="Winter"/>
    <s v="Card"/>
    <n v="3.7"/>
    <x v="11"/>
    <n v="8"/>
    <n v="190.2162162162162"/>
    <n v="49.456216216216205"/>
    <x v="2"/>
    <n v="1"/>
  </r>
  <r>
    <n v="412"/>
    <n v="69"/>
    <s v="Male"/>
    <s v="Sports"/>
    <s v="Dumbbells"/>
    <n v="31.84"/>
    <s v="Autumn"/>
    <s v="Cash on Delivery"/>
    <n v="4"/>
    <x v="0"/>
    <n v="4"/>
    <n v="38.829268292682926"/>
    <n v="6.9892682926829259"/>
    <x v="2"/>
    <n v="1"/>
  </r>
  <r>
    <n v="413"/>
    <n v="56"/>
    <s v="Male"/>
    <s v="Mens Clothing"/>
    <s v="Shirt"/>
    <n v="175.84"/>
    <s v="Autumn"/>
    <s v="Card"/>
    <n v="2.7"/>
    <x v="6"/>
    <n v="3"/>
    <n v="209.33333333333334"/>
    <n v="33.493333333333339"/>
    <x v="0"/>
    <n v="1"/>
  </r>
  <r>
    <n v="414"/>
    <n v="23"/>
    <s v="Male"/>
    <s v="Electronics"/>
    <s v="Headphones"/>
    <n v="2970.31"/>
    <s v="Autumn"/>
    <s v="Card"/>
    <n v="3.6"/>
    <x v="8"/>
    <n v="6"/>
    <n v="3375.3522727272725"/>
    <n v="405.04227272727258"/>
    <x v="3"/>
    <n v="1"/>
  </r>
  <r>
    <n v="415"/>
    <n v="68"/>
    <s v="Male"/>
    <s v="Mens Clothing"/>
    <s v="Shirt"/>
    <n v="43.47"/>
    <s v="Summer"/>
    <s v="Cash on Delivery"/>
    <n v="5"/>
    <x v="23"/>
    <n v="1"/>
    <n v="46.741935483870968"/>
    <n v="3.2719354838709691"/>
    <x v="2"/>
    <n v="1"/>
  </r>
  <r>
    <n v="416"/>
    <n v="38"/>
    <s v="Female"/>
    <s v="Beauty"/>
    <s v="Makeup Set"/>
    <n v="99.24"/>
    <s v="Autumn"/>
    <s v="Card"/>
    <n v="3.5"/>
    <x v="22"/>
    <n v="9"/>
    <n v="128.88311688311688"/>
    <n v="29.643116883116889"/>
    <x v="1"/>
    <n v="1"/>
  </r>
  <r>
    <n v="417"/>
    <n v="39"/>
    <s v="Female"/>
    <s v="Footwear"/>
    <s v="Sneakers"/>
    <n v="69.989999999999995"/>
    <s v="Summer"/>
    <s v="Card"/>
    <n v="3"/>
    <x v="7"/>
    <n v="5"/>
    <n v="77.766666666666666"/>
    <n v="7.7766666666666708"/>
    <x v="1"/>
    <n v="1"/>
  </r>
  <r>
    <n v="418"/>
    <n v="64"/>
    <s v="Female"/>
    <s v="Groceries"/>
    <s v="Cooking Oil"/>
    <n v="27.74"/>
    <s v="Summer"/>
    <s v="Card"/>
    <n v="2.2999999999999998"/>
    <x v="19"/>
    <n v="5"/>
    <n v="32.635294117647057"/>
    <n v="4.8952941176470581"/>
    <x v="0"/>
    <n v="1"/>
  </r>
  <r>
    <n v="419"/>
    <n v="26"/>
    <s v="Female"/>
    <s v="Home"/>
    <s v="Kitchen Set"/>
    <n v="175.14"/>
    <s v="Winter"/>
    <s v="Card"/>
    <n v="4.5"/>
    <x v="8"/>
    <n v="1"/>
    <n v="199.02272727272725"/>
    <n v="23.882727272727266"/>
    <x v="5"/>
    <n v="1"/>
  </r>
  <r>
    <n v="420"/>
    <n v="58"/>
    <s v="Female"/>
    <s v="Accessories"/>
    <s v="Sunglasses"/>
    <n v="105.33"/>
    <s v="Autumn"/>
    <s v="Card"/>
    <n v="4.5"/>
    <x v="10"/>
    <n v="6"/>
    <n v="135.03846153846152"/>
    <n v="29.70846153846152"/>
    <x v="0"/>
    <n v="1"/>
  </r>
  <r>
    <n v="421"/>
    <n v="33"/>
    <s v="Male"/>
    <s v="Electronics"/>
    <s v="Headphones"/>
    <n v="2028.35"/>
    <s v="Winter"/>
    <s v="Card"/>
    <n v="3.6"/>
    <x v="5"/>
    <n v="4"/>
    <n v="2204.728260869565"/>
    <n v="176.37826086956511"/>
    <x v="5"/>
    <n v="1"/>
  </r>
  <r>
    <n v="422"/>
    <n v="54"/>
    <s v="Female"/>
    <s v="Beauty"/>
    <s v="Skincare Kit"/>
    <n v="44.38"/>
    <s v="Spring"/>
    <s v="Cash on Delivery"/>
    <n v="4.9000000000000004"/>
    <x v="6"/>
    <n v="3"/>
    <n v="52.833333333333336"/>
    <n v="8.4533333333333331"/>
    <x v="4"/>
    <n v="1"/>
  </r>
  <r>
    <n v="423"/>
    <n v="37"/>
    <s v="Female"/>
    <s v="Accessories"/>
    <s v="Wallet"/>
    <n v="124.7"/>
    <s v="Spring"/>
    <s v="Card"/>
    <n v="4.5999999999999996"/>
    <x v="10"/>
    <n v="6"/>
    <n v="159.87179487179486"/>
    <n v="35.171794871794859"/>
    <x v="1"/>
    <n v="1"/>
  </r>
  <r>
    <n v="424"/>
    <n v="27"/>
    <s v="Male"/>
    <s v="Mens Clothing"/>
    <s v="Shirt"/>
    <n v="117.37"/>
    <s v="Summer"/>
    <s v="Card"/>
    <n v="3.7"/>
    <x v="3"/>
    <n v="5"/>
    <n v="146.71250000000001"/>
    <n v="29.342500000000001"/>
    <x v="5"/>
    <n v="1"/>
  </r>
  <r>
    <n v="425"/>
    <n v="67"/>
    <s v="Female"/>
    <s v="Accessories"/>
    <s v="Sunglasses"/>
    <n v="81.81"/>
    <s v="Spring"/>
    <s v="Cash on Delivery"/>
    <n v="3.8"/>
    <x v="1"/>
    <n v="4"/>
    <n v="94.034482758620697"/>
    <n v="12.224482758620695"/>
    <x v="2"/>
    <n v="1"/>
  </r>
  <r>
    <n v="426"/>
    <n v="34"/>
    <s v="Female"/>
    <s v="Beauty"/>
    <s v="Perfume"/>
    <n v="108.57"/>
    <s v="Winter"/>
    <s v="Card"/>
    <n v="4.9000000000000004"/>
    <x v="1"/>
    <n v="4"/>
    <n v="124.79310344827586"/>
    <n v="16.223103448275864"/>
    <x v="5"/>
    <n v="1"/>
  </r>
  <r>
    <n v="427"/>
    <n v="70"/>
    <s v="Female"/>
    <s v="Accessories"/>
    <s v="Wallet"/>
    <n v="150.37"/>
    <s v="Autumn"/>
    <s v="Card"/>
    <n v="4.5"/>
    <x v="7"/>
    <n v="5"/>
    <n v="167.07777777777778"/>
    <n v="16.707777777777778"/>
    <x v="2"/>
    <n v="1"/>
  </r>
  <r>
    <n v="428"/>
    <n v="21"/>
    <s v="Female"/>
    <s v="Groceries"/>
    <s v="Beverages"/>
    <n v="21.02"/>
    <s v="Autumn"/>
    <s v="Card"/>
    <n v="2.7"/>
    <x v="4"/>
    <n v="7"/>
    <n v="24.441860465116278"/>
    <n v="3.4218604651162785"/>
    <x v="3"/>
    <n v="1"/>
  </r>
  <r>
    <n v="429"/>
    <n v="67"/>
    <s v="Female"/>
    <s v="Footwear"/>
    <s v="Sneakers"/>
    <n v="203.32"/>
    <s v="Summer"/>
    <s v="Card"/>
    <n v="3.3"/>
    <x v="7"/>
    <n v="5"/>
    <n v="225.9111111111111"/>
    <n v="22.591111111111104"/>
    <x v="2"/>
    <n v="1"/>
  </r>
  <r>
    <n v="430"/>
    <n v="45"/>
    <s v="Female"/>
    <s v="Accessories"/>
    <s v="Sunglasses"/>
    <n v="67.03"/>
    <s v="Autumn"/>
    <s v="Cash on Delivery"/>
    <n v="3.6"/>
    <x v="21"/>
    <n v="8"/>
    <n v="84.848101265822777"/>
    <n v="17.818101265822776"/>
    <x v="1"/>
    <n v="1"/>
  </r>
  <r>
    <n v="431"/>
    <n v="64"/>
    <s v="Male"/>
    <s v="Electronics"/>
    <s v="Mobile Phone"/>
    <n v="1948.28"/>
    <s v="Summer"/>
    <s v="Card"/>
    <n v="4.2"/>
    <x v="3"/>
    <n v="5"/>
    <n v="2435.35"/>
    <n v="487.06999999999994"/>
    <x v="0"/>
    <n v="1"/>
  </r>
  <r>
    <n v="432"/>
    <n v="51"/>
    <s v="Female"/>
    <s v="Womens Clothing"/>
    <s v="Jeans"/>
    <n v="108.88"/>
    <s v="Autumn"/>
    <s v="Card"/>
    <n v="3.7"/>
    <x v="19"/>
    <n v="5"/>
    <n v="128.09411764705882"/>
    <n v="19.214117647058828"/>
    <x v="4"/>
    <n v="1"/>
  </r>
  <r>
    <n v="433"/>
    <n v="41"/>
    <s v="Female"/>
    <s v="Groceries"/>
    <s v="Rice Pack"/>
    <n v="42.47"/>
    <s v="Summer"/>
    <s v="Cash on Delivery"/>
    <n v="2.5"/>
    <x v="7"/>
    <n v="5"/>
    <n v="47.18888888888889"/>
    <n v="4.7188888888888911"/>
    <x v="1"/>
    <n v="1"/>
  </r>
  <r>
    <n v="434"/>
    <n v="61"/>
    <s v="Male"/>
    <s v="Mens Clothing"/>
    <s v="Jacket"/>
    <n v="57.77"/>
    <s v="Summer"/>
    <s v="Card"/>
    <n v="3.5"/>
    <x v="0"/>
    <n v="4"/>
    <n v="70.451219512195124"/>
    <n v="12.681219512195121"/>
    <x v="0"/>
    <n v="1"/>
  </r>
  <r>
    <n v="435"/>
    <n v="47"/>
    <s v="Male"/>
    <s v="Groceries"/>
    <s v="Snacks"/>
    <n v="28.68"/>
    <s v="Summer"/>
    <s v="Cash on Delivery"/>
    <n v="3.8"/>
    <x v="19"/>
    <n v="5"/>
    <n v="33.741176470588236"/>
    <n v="5.0611764705882365"/>
    <x v="4"/>
    <n v="1"/>
  </r>
  <r>
    <n v="436"/>
    <n v="38"/>
    <s v="Male"/>
    <s v="Mens Clothing"/>
    <s v="Shirt"/>
    <n v="59"/>
    <s v="Summer"/>
    <s v="Card"/>
    <n v="4.0999999999999996"/>
    <x v="8"/>
    <n v="6"/>
    <n v="67.045454545454547"/>
    <n v="8.0454545454545467"/>
    <x v="1"/>
    <n v="1"/>
  </r>
  <r>
    <n v="437"/>
    <n v="50"/>
    <s v="Female"/>
    <s v="Accessories"/>
    <s v="Sunglasses"/>
    <n v="128.94999999999999"/>
    <s v="Autumn"/>
    <s v="Card"/>
    <n v="4.3"/>
    <x v="12"/>
    <n v="7"/>
    <n v="159.19753086419752"/>
    <n v="30.247530864197529"/>
    <x v="4"/>
    <n v="1"/>
  </r>
  <r>
    <n v="438"/>
    <n v="29"/>
    <s v="Male"/>
    <s v="Mens Clothing"/>
    <s v="T-Shirt"/>
    <n v="163.33000000000001"/>
    <s v="Autumn"/>
    <s v="Card"/>
    <n v="4.7"/>
    <x v="9"/>
    <n v="11"/>
    <n v="223.7397260273973"/>
    <n v="60.409726027397284"/>
    <x v="5"/>
    <n v="1"/>
  </r>
  <r>
    <n v="439"/>
    <n v="24"/>
    <s v="Female"/>
    <s v="Footwear"/>
    <s v="Sneakers"/>
    <n v="42.5"/>
    <s v="Summer"/>
    <s v="Card"/>
    <n v="3.6"/>
    <x v="0"/>
    <n v="9"/>
    <n v="51.829268292682926"/>
    <n v="9.3292682926829258"/>
    <x v="3"/>
    <n v="1"/>
  </r>
  <r>
    <n v="440"/>
    <n v="57"/>
    <s v="Male"/>
    <s v="Mens Clothing"/>
    <s v="Jacket"/>
    <n v="34.25"/>
    <s v="Summer"/>
    <s v="Cash on Delivery"/>
    <n v="4.3"/>
    <x v="3"/>
    <n v="10"/>
    <n v="42.8125"/>
    <n v="8.5625"/>
    <x v="0"/>
    <n v="1"/>
  </r>
  <r>
    <n v="441"/>
    <n v="42"/>
    <s v="Male"/>
    <s v="Sports"/>
    <s v="Yoga Mat"/>
    <n v="36.03"/>
    <s v="Summer"/>
    <s v="Cash on Delivery"/>
    <n v="4.4000000000000004"/>
    <x v="10"/>
    <n v="6"/>
    <n v="46.192307692307693"/>
    <n v="10.162307692307692"/>
    <x v="1"/>
    <n v="1"/>
  </r>
  <r>
    <n v="442"/>
    <n v="48"/>
    <s v="Male"/>
    <s v="Mens Clothing"/>
    <s v="T-Shirt"/>
    <n v="78.25"/>
    <s v="Winter"/>
    <s v="Cash on Delivery"/>
    <n v="3.3"/>
    <x v="7"/>
    <n v="5"/>
    <n v="86.944444444444443"/>
    <n v="8.6944444444444429"/>
    <x v="4"/>
    <n v="1"/>
  </r>
  <r>
    <n v="443"/>
    <n v="22"/>
    <s v="Female"/>
    <s v="Womens Clothing"/>
    <s v="Dress"/>
    <n v="162.85"/>
    <s v="Winter"/>
    <s v="Card"/>
    <n v="3.7"/>
    <x v="7"/>
    <n v="5"/>
    <n v="180.94444444444443"/>
    <n v="18.094444444444434"/>
    <x v="3"/>
    <n v="1"/>
  </r>
  <r>
    <n v="444"/>
    <n v="64"/>
    <s v="Female"/>
    <s v="Accessories"/>
    <s v="Wallet"/>
    <n v="143.93"/>
    <s v="Winter"/>
    <s v="Card"/>
    <n v="3.3"/>
    <x v="17"/>
    <n v="2"/>
    <n v="149.92708333333334"/>
    <n v="5.997083333333336"/>
    <x v="0"/>
    <n v="1"/>
  </r>
  <r>
    <n v="445"/>
    <n v="43"/>
    <s v="Male"/>
    <s v="Sports"/>
    <s v="Dumbbells"/>
    <n v="170.33"/>
    <s v="Autumn"/>
    <s v="Card"/>
    <n v="3.8"/>
    <x v="3"/>
    <n v="5"/>
    <n v="212.91249999999999"/>
    <n v="42.582499999999982"/>
    <x v="1"/>
    <n v="1"/>
  </r>
  <r>
    <n v="446"/>
    <n v="26"/>
    <s v="Male"/>
    <s v="Electronics"/>
    <s v="Smart Watch"/>
    <n v="2141.41"/>
    <s v="Spring"/>
    <s v="Card"/>
    <n v="4.8"/>
    <x v="12"/>
    <n v="7"/>
    <n v="2643.7160493827155"/>
    <n v="502.30604938271563"/>
    <x v="5"/>
    <n v="1"/>
  </r>
  <r>
    <n v="447"/>
    <n v="55"/>
    <s v="Male"/>
    <s v="Sports"/>
    <s v="Yoga Mat"/>
    <n v="140.47999999999999"/>
    <s v="Autumn"/>
    <s v="Card"/>
    <n v="2.8"/>
    <x v="8"/>
    <n v="6"/>
    <n v="159.63636363636363"/>
    <n v="19.156363636363636"/>
    <x v="4"/>
    <n v="1"/>
  </r>
  <r>
    <n v="448"/>
    <n v="63"/>
    <s v="Male"/>
    <s v="Groceries"/>
    <s v="Cooking Oil"/>
    <n v="17.91"/>
    <s v="Autumn"/>
    <s v="Cash on Delivery"/>
    <n v="3.3"/>
    <x v="1"/>
    <n v="4"/>
    <n v="20.586206896551726"/>
    <n v="2.6762068965517258"/>
    <x v="0"/>
    <n v="1"/>
  </r>
  <r>
    <n v="449"/>
    <n v="65"/>
    <s v="Female"/>
    <s v="Accessories"/>
    <s v="Wallet"/>
    <n v="129.87"/>
    <s v="Summer"/>
    <s v="Card"/>
    <n v="2.5"/>
    <x v="7"/>
    <n v="5"/>
    <n v="144.30000000000001"/>
    <n v="14.430000000000007"/>
    <x v="0"/>
    <n v="1"/>
  </r>
  <r>
    <n v="450"/>
    <n v="24"/>
    <s v="Male"/>
    <s v="Home"/>
    <s v="Kitchen Set"/>
    <n v="77.19"/>
    <s v="Winter"/>
    <s v="Card"/>
    <n v="2.2999999999999998"/>
    <x v="5"/>
    <n v="4"/>
    <n v="83.90217391304347"/>
    <n v="6.7121739130434719"/>
    <x v="3"/>
    <n v="1"/>
  </r>
  <r>
    <n v="451"/>
    <n v="69"/>
    <s v="Female"/>
    <s v="Womens Clothing"/>
    <s v="Jeans"/>
    <n v="164.53"/>
    <s v="Spring"/>
    <s v="Card"/>
    <n v="3.7"/>
    <x v="12"/>
    <n v="7"/>
    <n v="203.12345679012344"/>
    <n v="38.59345679012344"/>
    <x v="2"/>
    <n v="1"/>
  </r>
  <r>
    <n v="452"/>
    <n v="67"/>
    <s v="Male"/>
    <s v="Electronics"/>
    <s v="Smart Watch"/>
    <n v="1534.27"/>
    <s v="Summer"/>
    <s v="Card"/>
    <n v="4"/>
    <x v="5"/>
    <n v="4"/>
    <n v="1667.6847826086955"/>
    <n v="133.41478260869553"/>
    <x v="2"/>
    <n v="1"/>
  </r>
  <r>
    <n v="453"/>
    <n v="64"/>
    <s v="Male"/>
    <s v="Groceries"/>
    <s v="Cooking Oil"/>
    <n v="44.13"/>
    <s v="Summer"/>
    <s v="Card"/>
    <n v="3.8"/>
    <x v="1"/>
    <n v="4"/>
    <n v="50.724137931034484"/>
    <n v="6.5941379310344814"/>
    <x v="0"/>
    <n v="1"/>
  </r>
  <r>
    <n v="454"/>
    <n v="32"/>
    <s v="Male"/>
    <s v="Footwear"/>
    <s v="Sandals"/>
    <n v="99.11"/>
    <s v="Summer"/>
    <s v="Cash on Delivery"/>
    <n v="3.8"/>
    <x v="8"/>
    <n v="1"/>
    <n v="112.625"/>
    <n v="13.515000000000001"/>
    <x v="5"/>
    <n v="1"/>
  </r>
  <r>
    <n v="455"/>
    <n v="21"/>
    <s v="Female"/>
    <s v="Womens Clothing"/>
    <s v="Dress"/>
    <n v="105.8"/>
    <s v="Summer"/>
    <s v="Card"/>
    <n v="2.6"/>
    <x v="19"/>
    <n v="5"/>
    <n v="124.47058823529412"/>
    <n v="18.670588235294119"/>
    <x v="3"/>
    <n v="1"/>
  </r>
  <r>
    <n v="456"/>
    <n v="45"/>
    <s v="Male"/>
    <s v="Electronics"/>
    <s v="Mobile Phone"/>
    <n v="2490.98"/>
    <s v="Autumn"/>
    <s v="Card"/>
    <n v="4.3"/>
    <x v="14"/>
    <n v="6"/>
    <n v="3001.1807228915663"/>
    <n v="510.20072289156633"/>
    <x v="1"/>
    <n v="1"/>
  </r>
  <r>
    <n v="457"/>
    <n v="41"/>
    <s v="Male"/>
    <s v="Mens Clothing"/>
    <s v="Jacket"/>
    <n v="155.13"/>
    <s v="Autumn"/>
    <s v="Card"/>
    <n v="3.2"/>
    <x v="18"/>
    <n v="7"/>
    <n v="204.11842105263156"/>
    <n v="48.988421052631566"/>
    <x v="1"/>
    <n v="1"/>
  </r>
  <r>
    <n v="458"/>
    <n v="69"/>
    <s v="Female"/>
    <s v="Footwear"/>
    <s v="Sneakers"/>
    <n v="70.56"/>
    <s v="Winter"/>
    <s v="Cash on Delivery"/>
    <n v="5"/>
    <x v="19"/>
    <n v="5"/>
    <n v="83.011764705882356"/>
    <n v="12.451764705882354"/>
    <x v="2"/>
    <n v="1"/>
  </r>
  <r>
    <n v="459"/>
    <n v="24"/>
    <s v="Male"/>
    <s v="Mens Clothing"/>
    <s v="Jacket"/>
    <n v="177.39"/>
    <s v="Winter"/>
    <s v="Card"/>
    <n v="1.9"/>
    <x v="3"/>
    <n v="5"/>
    <n v="221.73749999999998"/>
    <n v="44.347499999999997"/>
    <x v="3"/>
    <n v="1"/>
  </r>
  <r>
    <n v="460"/>
    <n v="57"/>
    <s v="Female"/>
    <s v="Womens Clothing"/>
    <s v="Top"/>
    <n v="106.69"/>
    <s v="Spring"/>
    <s v="Card"/>
    <n v="4.0999999999999996"/>
    <x v="19"/>
    <n v="5"/>
    <n v="125.51764705882353"/>
    <n v="18.82764705882353"/>
    <x v="0"/>
    <n v="1"/>
  </r>
  <r>
    <n v="461"/>
    <n v="41"/>
    <s v="Female"/>
    <s v="Accessories"/>
    <s v="Sunglasses"/>
    <n v="121.93"/>
    <s v="Spring"/>
    <s v="Card"/>
    <n v="3.5"/>
    <x v="3"/>
    <n v="5"/>
    <n v="152.41249999999999"/>
    <n v="30.482499999999987"/>
    <x v="1"/>
    <n v="1"/>
  </r>
  <r>
    <n v="462"/>
    <n v="44"/>
    <s v="Male"/>
    <s v="Mens Clothing"/>
    <s v="Jeans"/>
    <n v="51.29"/>
    <s v="Summer"/>
    <s v="Card"/>
    <n v="3.3"/>
    <x v="16"/>
    <n v="3"/>
    <n v="54.563829787234042"/>
    <n v="3.2738297872340425"/>
    <x v="1"/>
    <n v="1"/>
  </r>
  <r>
    <n v="463"/>
    <n v="37"/>
    <s v="Male"/>
    <s v="Sports"/>
    <s v="Football"/>
    <n v="242.01"/>
    <s v="Autumn"/>
    <s v="Card"/>
    <n v="2.8"/>
    <x v="16"/>
    <n v="3"/>
    <n v="257.45744680851067"/>
    <n v="15.447446808510676"/>
    <x v="1"/>
    <n v="1"/>
  </r>
  <r>
    <n v="464"/>
    <n v="43"/>
    <s v="Male"/>
    <s v="Footwear"/>
    <s v="Sandals"/>
    <n v="208.11"/>
    <s v="Summer"/>
    <s v="Card"/>
    <n v="3.1"/>
    <x v="16"/>
    <n v="3"/>
    <n v="221.39361702127661"/>
    <n v="13.283617021276598"/>
    <x v="1"/>
    <n v="1"/>
  </r>
  <r>
    <n v="465"/>
    <n v="35"/>
    <s v="Female"/>
    <s v="Sports"/>
    <s v="Yoga Mat"/>
    <n v="85.49"/>
    <s v="Spring"/>
    <s v="Card"/>
    <n v="2.7"/>
    <x v="8"/>
    <n v="6"/>
    <n v="97.147727272727266"/>
    <n v="11.657727272727271"/>
    <x v="5"/>
    <n v="1"/>
  </r>
  <r>
    <n v="466"/>
    <n v="42"/>
    <s v="Male"/>
    <s v="Electronics"/>
    <s v="Headphones"/>
    <n v="2867.88"/>
    <s v="Spring"/>
    <s v="Card"/>
    <n v="4.5999999999999996"/>
    <x v="21"/>
    <n v="8"/>
    <n v="3630.2278481012659"/>
    <n v="762.34784810126575"/>
    <x v="1"/>
    <n v="1"/>
  </r>
  <r>
    <n v="467"/>
    <n v="42"/>
    <s v="Female"/>
    <s v="Groceries"/>
    <s v="Snacks"/>
    <n v="18.72"/>
    <s v="Spring"/>
    <s v="Card"/>
    <n v="3.8"/>
    <x v="4"/>
    <n v="7"/>
    <n v="21.767441860465116"/>
    <n v="3.047441860465117"/>
    <x v="1"/>
    <n v="1"/>
  </r>
  <r>
    <n v="468"/>
    <n v="58"/>
    <s v="Male"/>
    <s v="Electronics"/>
    <s v="Smart Watch"/>
    <n v="1855.04"/>
    <s v="Spring"/>
    <s v="Card"/>
    <n v="3.6"/>
    <x v="1"/>
    <n v="4"/>
    <n v="2132.2298850574712"/>
    <n v="277.1898850574712"/>
    <x v="0"/>
    <n v="1"/>
  </r>
  <r>
    <n v="469"/>
    <n v="60"/>
    <s v="Male"/>
    <s v="Electronics"/>
    <s v="Headphones"/>
    <n v="2649.85"/>
    <s v="Summer"/>
    <s v="Card"/>
    <n v="2.8"/>
    <x v="1"/>
    <n v="4"/>
    <n v="3045.8045977011493"/>
    <n v="395.9545977011494"/>
    <x v="0"/>
    <n v="1"/>
  </r>
  <r>
    <n v="470"/>
    <n v="22"/>
    <s v="Female"/>
    <s v="Accessories"/>
    <s v="Handbag"/>
    <n v="92.79"/>
    <s v="Spring"/>
    <s v="Card"/>
    <n v="4.2"/>
    <x v="5"/>
    <n v="4"/>
    <n v="100.85869565217392"/>
    <n v="8.0686956521739148"/>
    <x v="3"/>
    <n v="1"/>
  </r>
  <r>
    <n v="471"/>
    <n v="58"/>
    <s v="Male"/>
    <s v="Home"/>
    <s v="Kitchen Set"/>
    <n v="150.83000000000001"/>
    <s v="Spring"/>
    <s v="Card"/>
    <n v="2.6"/>
    <x v="23"/>
    <n v="1"/>
    <n v="162.18279569892476"/>
    <n v="11.352795698924751"/>
    <x v="0"/>
    <n v="1"/>
  </r>
  <r>
    <n v="472"/>
    <n v="34"/>
    <s v="Female"/>
    <s v="Groceries"/>
    <s v="Cooking Oil"/>
    <n v="29"/>
    <s v="Summer"/>
    <s v="Cash on Delivery"/>
    <n v="4.8"/>
    <x v="0"/>
    <n v="4"/>
    <n v="35.365853658536579"/>
    <n v="6.3658536585365795"/>
    <x v="5"/>
    <n v="1"/>
  </r>
  <r>
    <n v="473"/>
    <n v="45"/>
    <s v="Female"/>
    <s v="Beauty"/>
    <s v="Makeup Set"/>
    <n v="95.57"/>
    <s v="Winter"/>
    <s v="Card"/>
    <n v="2.1"/>
    <x v="2"/>
    <n v="3"/>
    <n v="107.3820224719101"/>
    <n v="11.812022471910112"/>
    <x v="1"/>
    <n v="1"/>
  </r>
  <r>
    <n v="474"/>
    <n v="58"/>
    <s v="Female"/>
    <s v="Accessories"/>
    <s v="Wallet"/>
    <n v="155.49"/>
    <s v="Spring"/>
    <s v="Card"/>
    <n v="4.3"/>
    <x v="8"/>
    <n v="6"/>
    <n v="176.69318181818184"/>
    <n v="21.203181818181832"/>
    <x v="0"/>
    <n v="1"/>
  </r>
  <r>
    <n v="475"/>
    <n v="39"/>
    <s v="Male"/>
    <s v="Home"/>
    <s v="Lamp"/>
    <n v="58.69"/>
    <s v="Summer"/>
    <s v="Cash on Delivery"/>
    <n v="3.3"/>
    <x v="14"/>
    <n v="6"/>
    <n v="70.710843373493972"/>
    <n v="12.020843373493975"/>
    <x v="1"/>
    <n v="1"/>
  </r>
  <r>
    <n v="476"/>
    <n v="55"/>
    <s v="Female"/>
    <s v="Beauty"/>
    <s v="Makeup Set"/>
    <n v="79.510000000000005"/>
    <s v="Spring"/>
    <s v="Cash on Delivery"/>
    <n v="2.4"/>
    <x v="6"/>
    <n v="3"/>
    <n v="94.654761904761912"/>
    <n v="15.144761904761907"/>
    <x v="4"/>
    <n v="1"/>
  </r>
  <r>
    <n v="477"/>
    <n v="58"/>
    <s v="Male"/>
    <s v="Electronics"/>
    <s v="Mobile Phone"/>
    <n v="2792.69"/>
    <s v="Autumn"/>
    <s v="Card"/>
    <n v="3.7"/>
    <x v="4"/>
    <n v="7"/>
    <n v="3247.3139534883721"/>
    <n v="454.62395348837208"/>
    <x v="0"/>
    <n v="1"/>
  </r>
  <r>
    <n v="478"/>
    <n v="55"/>
    <s v="Female"/>
    <s v="Groceries"/>
    <s v="Snacks"/>
    <n v="78.239999999999995"/>
    <s v="Summer"/>
    <s v="Cash on Delivery"/>
    <n v="3.8"/>
    <x v="12"/>
    <n v="7"/>
    <n v="96.592592592592581"/>
    <n v="18.352592592592586"/>
    <x v="4"/>
    <n v="1"/>
  </r>
  <r>
    <n v="479"/>
    <n v="49"/>
    <s v="Male"/>
    <s v="Sports"/>
    <s v="Dumbbells"/>
    <n v="213.36"/>
    <s v="Spring"/>
    <s v="Card"/>
    <n v="3.2"/>
    <x v="8"/>
    <n v="6"/>
    <n v="242.45454545454547"/>
    <n v="29.094545454545454"/>
    <x v="4"/>
    <n v="1"/>
  </r>
  <r>
    <n v="480"/>
    <n v="39"/>
    <s v="Male"/>
    <s v="Mens Clothing"/>
    <s v="Jeans"/>
    <n v="49.04"/>
    <s v="Spring"/>
    <s v="Cash on Delivery"/>
    <n v="3.9"/>
    <x v="12"/>
    <n v="7"/>
    <n v="60.543209876543202"/>
    <n v="11.503209876543202"/>
    <x v="1"/>
    <n v="1"/>
  </r>
  <r>
    <n v="481"/>
    <n v="54"/>
    <s v="Male"/>
    <s v="Footwear"/>
    <s v="Sandals"/>
    <n v="50.57"/>
    <s v="Autumn"/>
    <s v="Cash on Delivery"/>
    <n v="3.5"/>
    <x v="17"/>
    <n v="2"/>
    <n v="52.677083333333336"/>
    <n v="2.1070833333333354"/>
    <x v="4"/>
    <n v="1"/>
  </r>
  <r>
    <n v="482"/>
    <n v="51"/>
    <s v="Female"/>
    <s v="Beauty"/>
    <s v="Makeup Set"/>
    <n v="78.510000000000005"/>
    <s v="Summer"/>
    <s v="Card"/>
    <n v="5"/>
    <x v="7"/>
    <n v="5"/>
    <n v="87.233333333333334"/>
    <n v="8.7233333333333292"/>
    <x v="4"/>
    <n v="1"/>
  </r>
  <r>
    <n v="483"/>
    <n v="53"/>
    <s v="Female"/>
    <s v="Accessories"/>
    <s v="Handbag"/>
    <n v="73.069999999999993"/>
    <s v="Spring"/>
    <s v="Card"/>
    <n v="3.3"/>
    <x v="19"/>
    <n v="5"/>
    <n v="85.964705882352931"/>
    <n v="12.894705882352937"/>
    <x v="4"/>
    <n v="1"/>
  </r>
  <r>
    <n v="484"/>
    <n v="43"/>
    <s v="Male"/>
    <s v="Home"/>
    <s v="Curtains"/>
    <n v="299.95999999999998"/>
    <s v="Spring"/>
    <s v="Card"/>
    <n v="3.4"/>
    <x v="26"/>
    <n v="0"/>
    <n v="315.74736842105261"/>
    <n v="15.787368421052633"/>
    <x v="1"/>
    <n v="1"/>
  </r>
  <r>
    <n v="485"/>
    <n v="43"/>
    <s v="Male"/>
    <s v="Sports"/>
    <s v="Football"/>
    <n v="239.89"/>
    <s v="Summer"/>
    <s v="Card"/>
    <n v="3.7"/>
    <x v="15"/>
    <n v="1"/>
    <n v="244.78571428571428"/>
    <n v="4.8957142857142912"/>
    <x v="1"/>
    <n v="1"/>
  </r>
  <r>
    <n v="486"/>
    <n v="48"/>
    <s v="Female"/>
    <s v="Womens Clothing"/>
    <s v="Top"/>
    <n v="98.38"/>
    <s v="Winter"/>
    <s v="Cash on Delivery"/>
    <n v="4.2"/>
    <x v="4"/>
    <n v="2"/>
    <n v="114.3953488372093"/>
    <n v="16.015348837209302"/>
    <x v="4"/>
    <n v="1"/>
  </r>
  <r>
    <n v="487"/>
    <n v="52"/>
    <s v="Male"/>
    <s v="Sports"/>
    <s v="Dumbbells"/>
    <n v="152.29"/>
    <s v="Spring"/>
    <s v="Card"/>
    <n v="3.2"/>
    <x v="4"/>
    <n v="2"/>
    <n v="177.08139534883719"/>
    <n v="24.791395348837199"/>
    <x v="4"/>
    <n v="1"/>
  </r>
  <r>
    <n v="488"/>
    <n v="69"/>
    <s v="Female"/>
    <s v="Womens Clothing"/>
    <s v="Jeans"/>
    <n v="96.34"/>
    <s v="Winter"/>
    <s v="Card"/>
    <n v="3.8"/>
    <x v="11"/>
    <n v="8"/>
    <n v="130.18918918918919"/>
    <n v="33.84918918918919"/>
    <x v="2"/>
    <n v="1"/>
  </r>
  <r>
    <n v="489"/>
    <n v="26"/>
    <s v="Female"/>
    <s v="Accessories"/>
    <s v="Wallet"/>
    <n v="100.05"/>
    <s v="Summer"/>
    <s v="Card"/>
    <n v="3.7"/>
    <x v="2"/>
    <n v="3"/>
    <n v="112.41573033707864"/>
    <n v="12.365730337078645"/>
    <x v="5"/>
    <n v="1"/>
  </r>
  <r>
    <n v="490"/>
    <n v="34"/>
    <s v="Female"/>
    <s v="Womens Clothing"/>
    <s v="Skirt"/>
    <n v="96.07"/>
    <s v="Spring"/>
    <s v="Card"/>
    <n v="3.1"/>
    <x v="8"/>
    <n v="6"/>
    <n v="109.17045454545453"/>
    <n v="13.100454545454539"/>
    <x v="5"/>
    <n v="1"/>
  </r>
  <r>
    <n v="491"/>
    <n v="30"/>
    <s v="Female"/>
    <s v="Womens Clothing"/>
    <s v="Top"/>
    <n v="46.55"/>
    <s v="Summer"/>
    <s v="Card"/>
    <n v="4.0999999999999996"/>
    <x v="5"/>
    <n v="4"/>
    <n v="50.597826086956516"/>
    <n v="4.047826086956519"/>
    <x v="5"/>
    <n v="1"/>
  </r>
  <r>
    <n v="492"/>
    <n v="25"/>
    <s v="Female"/>
    <s v="Beauty"/>
    <s v="Perfume"/>
    <n v="86.16"/>
    <s v="Autumn"/>
    <s v="Cash on Delivery"/>
    <n v="4.5"/>
    <x v="16"/>
    <n v="3"/>
    <n v="91.659574468085111"/>
    <n v="5.4995744680851146"/>
    <x v="3"/>
    <n v="1"/>
  </r>
  <r>
    <n v="493"/>
    <n v="61"/>
    <s v="Female"/>
    <s v="Accessories"/>
    <s v="Sunglasses"/>
    <n v="174.31"/>
    <s v="Spring"/>
    <s v="Card"/>
    <n v="5"/>
    <x v="18"/>
    <n v="7"/>
    <n v="229.35526315789474"/>
    <n v="55.045263157894738"/>
    <x v="0"/>
    <n v="1"/>
  </r>
  <r>
    <n v="494"/>
    <n v="27"/>
    <s v="Female"/>
    <s v="Footwear"/>
    <s v="Formal Shoes"/>
    <n v="150.44999999999999"/>
    <s v="Spring"/>
    <s v="Card"/>
    <n v="3.7"/>
    <x v="4"/>
    <n v="7"/>
    <n v="174.94186046511626"/>
    <n v="24.491860465116275"/>
    <x v="5"/>
    <n v="1"/>
  </r>
  <r>
    <n v="495"/>
    <n v="40"/>
    <s v="Male"/>
    <s v="Sports"/>
    <s v="Football"/>
    <n v="106"/>
    <s v="Winter"/>
    <s v="Card"/>
    <n v="3.4"/>
    <x v="0"/>
    <n v="4"/>
    <n v="129.26829268292681"/>
    <n v="23.268292682926813"/>
    <x v="1"/>
    <n v="1"/>
  </r>
  <r>
    <n v="496"/>
    <n v="44"/>
    <s v="Male"/>
    <s v="Sports"/>
    <s v="Dumbbells"/>
    <n v="119.84"/>
    <s v="Autumn"/>
    <s v="Card"/>
    <n v="3.6"/>
    <x v="13"/>
    <n v="2"/>
    <n v="131.69230769230768"/>
    <n v="11.852307692307676"/>
    <x v="1"/>
    <n v="1"/>
  </r>
  <r>
    <n v="497"/>
    <n v="49"/>
    <s v="Female"/>
    <s v="Beauty"/>
    <s v="Perfume"/>
    <n v="102.61"/>
    <s v="Autumn"/>
    <s v="Card"/>
    <n v="4.5999999999999996"/>
    <x v="11"/>
    <n v="8"/>
    <n v="138.66216216216216"/>
    <n v="36.052162162162162"/>
    <x v="4"/>
    <n v="1"/>
  </r>
  <r>
    <n v="498"/>
    <n v="45"/>
    <s v="Female"/>
    <s v="Womens Clothing"/>
    <s v="Dress"/>
    <n v="82.9"/>
    <s v="Spring"/>
    <s v="Cash on Delivery"/>
    <n v="3.9"/>
    <x v="6"/>
    <n v="8"/>
    <n v="98.690476190476204"/>
    <n v="15.790476190476198"/>
    <x v="1"/>
    <n v="1"/>
  </r>
  <r>
    <n v="499"/>
    <n v="31"/>
    <s v="Male"/>
    <s v="Sports"/>
    <s v="Yoga Mat"/>
    <n v="72.099999999999994"/>
    <s v="Spring"/>
    <s v="Card"/>
    <n v="4.3"/>
    <x v="8"/>
    <n v="6"/>
    <n v="81.931818181818173"/>
    <n v="9.8318181818181785"/>
    <x v="5"/>
    <n v="1"/>
  </r>
  <r>
    <n v="500"/>
    <n v="51"/>
    <s v="Male"/>
    <s v="Footwear"/>
    <s v="Sneakers"/>
    <n v="214.97"/>
    <s v="Autumn"/>
    <s v="Card"/>
    <n v="4.0999999999999996"/>
    <x v="10"/>
    <n v="6"/>
    <n v="275.60256410256409"/>
    <n v="60.632564102564089"/>
    <x v="4"/>
    <n v="1"/>
  </r>
  <r>
    <n v="501"/>
    <n v="27"/>
    <s v="Male"/>
    <s v="Electronics"/>
    <s v="Laptop"/>
    <n v="1871.95"/>
    <s v="Spring"/>
    <s v="Card"/>
    <n v="4.3"/>
    <x v="19"/>
    <n v="5"/>
    <n v="2202.294117647059"/>
    <n v="330.34411764705897"/>
    <x v="5"/>
    <n v="1"/>
  </r>
  <r>
    <n v="502"/>
    <n v="50"/>
    <s v="Female"/>
    <s v="Accessories"/>
    <s v="Handbag"/>
    <n v="40.1"/>
    <s v="Autumn"/>
    <s v="Cash on Delivery"/>
    <n v="3.9"/>
    <x v="12"/>
    <n v="7"/>
    <n v="49.506172839506171"/>
    <n v="9.4061728395061692"/>
    <x v="4"/>
    <n v="1"/>
  </r>
  <r>
    <n v="503"/>
    <n v="24"/>
    <s v="Female"/>
    <s v="Beauty"/>
    <s v="Makeup Set"/>
    <n v="96.8"/>
    <s v="Spring"/>
    <s v="Card"/>
    <n v="4.5999999999999996"/>
    <x v="21"/>
    <n v="8"/>
    <n v="122.53164556962024"/>
    <n v="25.731645569620241"/>
    <x v="3"/>
    <n v="1"/>
  </r>
  <r>
    <n v="504"/>
    <n v="59"/>
    <s v="Male"/>
    <s v="Home"/>
    <s v="Curtains"/>
    <n v="43.39"/>
    <s v="Autumn"/>
    <s v="Cash on Delivery"/>
    <n v="5"/>
    <x v="8"/>
    <n v="1"/>
    <n v="49.30681818181818"/>
    <n v="5.9168181818181793"/>
    <x v="0"/>
    <n v="1"/>
  </r>
  <r>
    <n v="505"/>
    <n v="26"/>
    <s v="Female"/>
    <s v="Accessories"/>
    <s v="Sunglasses"/>
    <n v="26.57"/>
    <s v="Summer"/>
    <s v="Cash on Delivery"/>
    <n v="4.4000000000000004"/>
    <x v="10"/>
    <n v="6"/>
    <n v="34.064102564102562"/>
    <n v="7.4941025641025618"/>
    <x v="5"/>
    <n v="1"/>
  </r>
  <r>
    <n v="506"/>
    <n v="57"/>
    <s v="Female"/>
    <s v="Womens Clothing"/>
    <s v="Skirt"/>
    <n v="187.19"/>
    <s v="Summer"/>
    <s v="Card"/>
    <n v="4.7"/>
    <x v="6"/>
    <n v="3"/>
    <n v="222.8452380952381"/>
    <n v="35.655238095238104"/>
    <x v="0"/>
    <n v="1"/>
  </r>
  <r>
    <n v="507"/>
    <n v="37"/>
    <s v="Male"/>
    <s v="Footwear"/>
    <s v="Sandals"/>
    <n v="80.92"/>
    <s v="Autumn"/>
    <s v="Cash on Delivery"/>
    <n v="3"/>
    <x v="4"/>
    <n v="7"/>
    <n v="94.093023255813961"/>
    <n v="13.173023255813959"/>
    <x v="1"/>
    <n v="1"/>
  </r>
  <r>
    <n v="508"/>
    <n v="44"/>
    <s v="Male"/>
    <s v="Electronics"/>
    <s v="Laptop"/>
    <n v="1002.94"/>
    <s v="Summer"/>
    <s v="Card"/>
    <n v="2.2999999999999998"/>
    <x v="4"/>
    <n v="2"/>
    <n v="1166.2093023255816"/>
    <n v="163.26930232558152"/>
    <x v="1"/>
    <n v="1"/>
  </r>
  <r>
    <n v="509"/>
    <n v="23"/>
    <s v="Female"/>
    <s v="Beauty"/>
    <s v="Perfume"/>
    <n v="65.349999999999994"/>
    <s v="Summer"/>
    <s v="Card"/>
    <n v="2.7"/>
    <x v="6"/>
    <n v="3"/>
    <n v="77.797619047619037"/>
    <n v="12.447619047619042"/>
    <x v="3"/>
    <n v="1"/>
  </r>
  <r>
    <n v="510"/>
    <n v="21"/>
    <s v="Male"/>
    <s v="Footwear"/>
    <s v="Formal Shoes"/>
    <n v="87.39"/>
    <s v="Autumn"/>
    <s v="Card"/>
    <n v="3.7"/>
    <x v="16"/>
    <n v="3"/>
    <n v="92.968085106382986"/>
    <n v="5.5780851063829857"/>
    <x v="3"/>
    <n v="1"/>
  </r>
  <r>
    <n v="511"/>
    <n v="38"/>
    <s v="Male"/>
    <s v="Electronics"/>
    <s v="Laptop"/>
    <n v="1886.55"/>
    <s v="Summer"/>
    <s v="Card"/>
    <n v="3.8"/>
    <x v="6"/>
    <n v="3"/>
    <n v="2245.8928571428573"/>
    <n v="359.34285714285738"/>
    <x v="1"/>
    <n v="1"/>
  </r>
  <r>
    <n v="512"/>
    <n v="58"/>
    <s v="Female"/>
    <s v="Womens Clothing"/>
    <s v="Top"/>
    <n v="166.84"/>
    <s v="Spring"/>
    <s v="Card"/>
    <n v="4.5999999999999996"/>
    <x v="0"/>
    <n v="4"/>
    <n v="203.46341463414632"/>
    <n v="36.623414634146314"/>
    <x v="0"/>
    <n v="1"/>
  </r>
  <r>
    <n v="513"/>
    <n v="37"/>
    <s v="Female"/>
    <s v="Beauty"/>
    <s v="Skincare Kit"/>
    <n v="87.84"/>
    <s v="Spring"/>
    <s v="Card"/>
    <n v="4.0999999999999996"/>
    <x v="23"/>
    <n v="1"/>
    <n v="94.451612903225822"/>
    <n v="6.6116129032258186"/>
    <x v="1"/>
    <n v="1"/>
  </r>
  <r>
    <n v="514"/>
    <n v="44"/>
    <s v="Female"/>
    <s v="Beauty"/>
    <s v="Makeup Set"/>
    <n v="110.61"/>
    <s v="Autumn"/>
    <s v="Card"/>
    <n v="3.5"/>
    <x v="1"/>
    <n v="4"/>
    <n v="127.13793103448276"/>
    <n v="16.527931034482762"/>
    <x v="1"/>
    <n v="1"/>
  </r>
  <r>
    <n v="515"/>
    <n v="55"/>
    <s v="Male"/>
    <s v="Home"/>
    <s v="Lamp"/>
    <n v="130.03"/>
    <s v="Winter"/>
    <s v="Card"/>
    <n v="3.1"/>
    <x v="4"/>
    <n v="7"/>
    <n v="151.19767441860466"/>
    <n v="21.167674418604662"/>
    <x v="4"/>
    <n v="1"/>
  </r>
  <r>
    <n v="516"/>
    <n v="33"/>
    <s v="Female"/>
    <s v="Accessories"/>
    <s v="Sunglasses"/>
    <n v="97.26"/>
    <s v="Summer"/>
    <s v="Card"/>
    <n v="3.1"/>
    <x v="7"/>
    <n v="5"/>
    <n v="108.06666666666666"/>
    <n v="10.806666666666658"/>
    <x v="5"/>
    <n v="1"/>
  </r>
  <r>
    <n v="517"/>
    <n v="39"/>
    <s v="Female"/>
    <s v="Beauty"/>
    <s v="Makeup Set"/>
    <n v="35.18"/>
    <s v="Autumn"/>
    <s v="Card"/>
    <n v="4.0999999999999996"/>
    <x v="14"/>
    <n v="6"/>
    <n v="42.385542168674704"/>
    <n v="7.2055421686747039"/>
    <x v="1"/>
    <n v="1"/>
  </r>
  <r>
    <n v="518"/>
    <n v="44"/>
    <s v="Male"/>
    <s v="Sports"/>
    <s v="Dumbbells"/>
    <n v="93.78"/>
    <s v="Summer"/>
    <s v="Cash on Delivery"/>
    <n v="5"/>
    <x v="14"/>
    <n v="6"/>
    <n v="112.98795180722892"/>
    <n v="19.207951807228923"/>
    <x v="1"/>
    <n v="1"/>
  </r>
  <r>
    <n v="519"/>
    <n v="26"/>
    <s v="Male"/>
    <s v="Footwear"/>
    <s v="Sneakers"/>
    <n v="235.26"/>
    <s v="Summer"/>
    <s v="Card"/>
    <n v="4.9000000000000004"/>
    <x v="1"/>
    <n v="4"/>
    <n v="270.41379310344826"/>
    <n v="35.153793103448265"/>
    <x v="5"/>
    <n v="1"/>
  </r>
  <r>
    <n v="520"/>
    <n v="62"/>
    <s v="Male"/>
    <s v="Sports"/>
    <s v="Dumbbells"/>
    <n v="136.94"/>
    <s v="Autumn"/>
    <s v="Card"/>
    <n v="3.6"/>
    <x v="19"/>
    <n v="5"/>
    <n v="161.10588235294117"/>
    <n v="24.165882352941168"/>
    <x v="0"/>
    <n v="1"/>
  </r>
  <r>
    <n v="521"/>
    <n v="60"/>
    <s v="Female"/>
    <s v="Footwear"/>
    <s v="Formal Shoes"/>
    <n v="149.44999999999999"/>
    <s v="Winter"/>
    <s v="Card"/>
    <n v="3.3"/>
    <x v="16"/>
    <n v="3"/>
    <n v="158.98936170212767"/>
    <n v="9.5393617021276782"/>
    <x v="0"/>
    <n v="1"/>
  </r>
  <r>
    <n v="522"/>
    <n v="42"/>
    <s v="Male"/>
    <s v="Footwear"/>
    <s v="Formal Shoes"/>
    <n v="122.86"/>
    <s v="Summer"/>
    <s v="Card"/>
    <n v="4.7"/>
    <x v="0"/>
    <n v="4"/>
    <n v="149.82926829268291"/>
    <n v="26.969268292682912"/>
    <x v="1"/>
    <n v="1"/>
  </r>
  <r>
    <n v="523"/>
    <n v="32"/>
    <s v="Female"/>
    <s v="Footwear"/>
    <s v="Formal Shoes"/>
    <n v="156.61000000000001"/>
    <s v="Summer"/>
    <s v="Card"/>
    <n v="4.7"/>
    <x v="10"/>
    <n v="6"/>
    <n v="200.7820512820513"/>
    <n v="44.172051282051285"/>
    <x v="5"/>
    <n v="1"/>
  </r>
  <r>
    <n v="524"/>
    <n v="29"/>
    <s v="Male"/>
    <s v="Sports"/>
    <s v="Dumbbells"/>
    <n v="88.8"/>
    <s v="Autumn"/>
    <s v="Card"/>
    <n v="3.1"/>
    <x v="10"/>
    <n v="6"/>
    <n v="113.84615384615384"/>
    <n v="25.046153846153842"/>
    <x v="5"/>
    <n v="1"/>
  </r>
  <r>
    <n v="525"/>
    <n v="46"/>
    <s v="Male"/>
    <s v="Mens Clothing"/>
    <s v="Shirt"/>
    <n v="165.74"/>
    <s v="Autumn"/>
    <s v="Card"/>
    <n v="4.2"/>
    <x v="16"/>
    <n v="3"/>
    <n v="176.31914893617022"/>
    <n v="10.579148936170213"/>
    <x v="4"/>
    <n v="1"/>
  </r>
  <r>
    <n v="526"/>
    <n v="61"/>
    <s v="Male"/>
    <s v="Home"/>
    <s v="Kitchen Set"/>
    <n v="220.45"/>
    <s v="Spring"/>
    <s v="Card"/>
    <n v="3.2"/>
    <x v="14"/>
    <n v="6"/>
    <n v="265.60240963855421"/>
    <n v="45.152409638554218"/>
    <x v="0"/>
    <n v="1"/>
  </r>
  <r>
    <n v="527"/>
    <n v="27"/>
    <s v="Male"/>
    <s v="Mens Clothing"/>
    <s v="Jeans"/>
    <n v="110.6"/>
    <s v="Autumn"/>
    <s v="Card"/>
    <n v="3.6"/>
    <x v="7"/>
    <n v="0"/>
    <n v="122.88888888888889"/>
    <n v="12.288888888888891"/>
    <x v="5"/>
    <n v="1"/>
  </r>
  <r>
    <n v="528"/>
    <n v="56"/>
    <s v="Female"/>
    <s v="Beauty"/>
    <s v="Makeup Set"/>
    <n v="135.51"/>
    <s v="Summer"/>
    <s v="Card"/>
    <n v="4.4000000000000004"/>
    <x v="11"/>
    <n v="8"/>
    <n v="183.12162162162161"/>
    <n v="47.611621621621623"/>
    <x v="0"/>
    <n v="1"/>
  </r>
  <r>
    <n v="529"/>
    <n v="54"/>
    <s v="Male"/>
    <s v="Mens Clothing"/>
    <s v="Jeans"/>
    <n v="118.11"/>
    <s v="Spring"/>
    <s v="Card"/>
    <n v="3.2"/>
    <x v="1"/>
    <n v="4"/>
    <n v="135.75862068965517"/>
    <n v="17.648620689655175"/>
    <x v="4"/>
    <n v="1"/>
  </r>
  <r>
    <n v="530"/>
    <n v="56"/>
    <s v="Male"/>
    <s v="Mens Clothing"/>
    <s v="Shirt"/>
    <n v="125.17"/>
    <s v="Autumn"/>
    <s v="Card"/>
    <n v="3.6"/>
    <x v="10"/>
    <n v="6"/>
    <n v="160.47435897435898"/>
    <n v="35.304358974358976"/>
    <x v="0"/>
    <n v="1"/>
  </r>
  <r>
    <n v="531"/>
    <n v="57"/>
    <s v="Female"/>
    <s v="Sports"/>
    <s v="Yoga Mat"/>
    <n v="157.33000000000001"/>
    <s v="Summer"/>
    <s v="Card"/>
    <n v="3.9"/>
    <x v="1"/>
    <n v="4"/>
    <n v="180.83908045977012"/>
    <n v="23.509080459770104"/>
    <x v="0"/>
    <n v="1"/>
  </r>
  <r>
    <n v="532"/>
    <n v="29"/>
    <s v="Female"/>
    <s v="Groceries"/>
    <s v="Rice Pack"/>
    <n v="56.63"/>
    <s v="Spring"/>
    <s v="Card"/>
    <n v="4.5"/>
    <x v="1"/>
    <n v="4"/>
    <n v="65.091954022988503"/>
    <n v="8.4619540229885004"/>
    <x v="5"/>
    <n v="1"/>
  </r>
  <r>
    <n v="533"/>
    <n v="30"/>
    <s v="Female"/>
    <s v="Accessories"/>
    <s v="Handbag"/>
    <n v="89.32"/>
    <s v="Winter"/>
    <s v="Cash on Delivery"/>
    <n v="4.5"/>
    <x v="8"/>
    <n v="6"/>
    <n v="101.49999999999999"/>
    <n v="12.179999999999993"/>
    <x v="5"/>
    <n v="1"/>
  </r>
  <r>
    <n v="534"/>
    <n v="20"/>
    <s v="Female"/>
    <s v="Womens Clothing"/>
    <s v="Dress"/>
    <n v="131.59"/>
    <s v="Autumn"/>
    <s v="Card"/>
    <n v="4.2"/>
    <x v="14"/>
    <n v="6"/>
    <n v="158.54216867469881"/>
    <n v="26.952168674698811"/>
    <x v="3"/>
    <n v="1"/>
  </r>
  <r>
    <n v="535"/>
    <n v="31"/>
    <s v="Male"/>
    <s v="Sports"/>
    <s v="Yoga Mat"/>
    <n v="45.03"/>
    <s v="Spring"/>
    <s v="Cash on Delivery"/>
    <n v="4.9000000000000004"/>
    <x v="8"/>
    <n v="6"/>
    <n v="51.170454545454547"/>
    <n v="6.1404545454545456"/>
    <x v="5"/>
    <n v="1"/>
  </r>
  <r>
    <n v="536"/>
    <n v="49"/>
    <s v="Male"/>
    <s v="Footwear"/>
    <s v="Formal Shoes"/>
    <n v="105.07"/>
    <s v="Summer"/>
    <s v="Card"/>
    <n v="4.2"/>
    <x v="4"/>
    <n v="7"/>
    <n v="122.17441860465115"/>
    <n v="17.104418604651158"/>
    <x v="4"/>
    <n v="1"/>
  </r>
  <r>
    <n v="537"/>
    <n v="35"/>
    <s v="Female"/>
    <s v="Accessories"/>
    <s v="Sunglasses"/>
    <n v="31.51"/>
    <s v="Summer"/>
    <s v="Card"/>
    <n v="3.2"/>
    <x v="19"/>
    <n v="5"/>
    <n v="37.070588235294117"/>
    <n v="5.5605882352941158"/>
    <x v="5"/>
    <n v="1"/>
  </r>
  <r>
    <n v="538"/>
    <n v="60"/>
    <s v="Male"/>
    <s v="Sports"/>
    <s v="Yoga Mat"/>
    <n v="98.94"/>
    <s v="Spring"/>
    <s v="Card"/>
    <n v="3.4"/>
    <x v="7"/>
    <n v="5"/>
    <n v="109.93333333333332"/>
    <n v="10.993333333333325"/>
    <x v="0"/>
    <n v="1"/>
  </r>
  <r>
    <n v="539"/>
    <n v="23"/>
    <s v="Male"/>
    <s v="Footwear"/>
    <s v="Sandals"/>
    <n v="236.7"/>
    <s v="Spring"/>
    <s v="Card"/>
    <n v="4.5"/>
    <x v="14"/>
    <n v="6"/>
    <n v="285.18072289156629"/>
    <n v="48.480722891566302"/>
    <x v="3"/>
    <n v="1"/>
  </r>
  <r>
    <n v="540"/>
    <n v="59"/>
    <s v="Female"/>
    <s v="Womens Clothing"/>
    <s v="Top"/>
    <n v="111.87"/>
    <s v="Winter"/>
    <s v="Card"/>
    <n v="3.9"/>
    <x v="21"/>
    <n v="8"/>
    <n v="141.60759493670886"/>
    <n v="29.737594936708859"/>
    <x v="0"/>
    <n v="1"/>
  </r>
  <r>
    <n v="541"/>
    <n v="31"/>
    <s v="Male"/>
    <s v="Sports"/>
    <s v="Football"/>
    <n v="90.67"/>
    <s v="Autumn"/>
    <s v="Cash on Delivery"/>
    <n v="5"/>
    <x v="8"/>
    <n v="6"/>
    <n v="103.03409090909091"/>
    <n v="12.364090909090905"/>
    <x v="5"/>
    <n v="1"/>
  </r>
  <r>
    <n v="542"/>
    <n v="28"/>
    <s v="Male"/>
    <s v="Mens Clothing"/>
    <s v="Jeans"/>
    <n v="141.19"/>
    <s v="Winter"/>
    <s v="Card"/>
    <n v="4"/>
    <x v="17"/>
    <n v="2"/>
    <n v="147.07291666666666"/>
    <n v="5.8829166666666595"/>
    <x v="5"/>
    <n v="1"/>
  </r>
  <r>
    <n v="543"/>
    <n v="32"/>
    <s v="Female"/>
    <s v="Womens Clothing"/>
    <s v="Top"/>
    <n v="158.72"/>
    <s v="Spring"/>
    <s v="Card"/>
    <n v="4.9000000000000004"/>
    <x v="6"/>
    <n v="3"/>
    <n v="188.95238095238096"/>
    <n v="30.232380952380964"/>
    <x v="5"/>
    <n v="1"/>
  </r>
  <r>
    <n v="544"/>
    <n v="32"/>
    <s v="Female"/>
    <s v="Footwear"/>
    <s v="Formal Shoes"/>
    <n v="91.02"/>
    <s v="Winter"/>
    <s v="Card"/>
    <n v="4.0999999999999996"/>
    <x v="14"/>
    <n v="6"/>
    <n v="109.66265060240964"/>
    <n v="18.642650602409645"/>
    <x v="5"/>
    <n v="1"/>
  </r>
  <r>
    <n v="545"/>
    <n v="70"/>
    <s v="Female"/>
    <s v="Accessories"/>
    <s v="Sunglasses"/>
    <n v="159.31"/>
    <s v="Autumn"/>
    <s v="Card"/>
    <n v="4.5"/>
    <x v="14"/>
    <n v="6"/>
    <n v="191.93975903614458"/>
    <n v="32.629759036144577"/>
    <x v="2"/>
    <n v="1"/>
  </r>
  <r>
    <n v="546"/>
    <n v="30"/>
    <s v="Male"/>
    <s v="Electronics"/>
    <s v="Smart Watch"/>
    <n v="2428.11"/>
    <s v="Spring"/>
    <s v="Card"/>
    <n v="3.9"/>
    <x v="17"/>
    <n v="2"/>
    <n v="2529.28125"/>
    <n v="101.17124999999987"/>
    <x v="5"/>
    <n v="1"/>
  </r>
  <r>
    <n v="547"/>
    <n v="28"/>
    <s v="Female"/>
    <s v="Beauty"/>
    <s v="Perfume"/>
    <n v="25.24"/>
    <s v="Winter"/>
    <s v="Card"/>
    <n v="3.7"/>
    <x v="21"/>
    <n v="8"/>
    <n v="31.949367088607591"/>
    <n v="6.7093670886075927"/>
    <x v="5"/>
    <n v="1"/>
  </r>
  <r>
    <n v="548"/>
    <n v="46"/>
    <s v="Male"/>
    <s v="Groceries"/>
    <s v="Rice Pack"/>
    <n v="62.51"/>
    <s v="Winter"/>
    <s v="Cash on Delivery"/>
    <n v="4.2"/>
    <x v="2"/>
    <n v="3"/>
    <n v="70.235955056179776"/>
    <n v="7.7259550561797781"/>
    <x v="4"/>
    <n v="1"/>
  </r>
  <r>
    <n v="549"/>
    <n v="22"/>
    <s v="Male"/>
    <s v="Footwear"/>
    <s v="Formal Shoes"/>
    <n v="80.22"/>
    <s v="Summer"/>
    <s v="Card"/>
    <n v="4.5999999999999996"/>
    <x v="5"/>
    <n v="4"/>
    <n v="87.195652173913032"/>
    <n v="6.9756521739130335"/>
    <x v="3"/>
    <n v="1"/>
  </r>
  <r>
    <n v="550"/>
    <n v="28"/>
    <s v="Male"/>
    <s v="Electronics"/>
    <s v="Headphones"/>
    <n v="600.16999999999996"/>
    <s v="Winter"/>
    <s v="Card"/>
    <n v="3.8"/>
    <x v="7"/>
    <n v="5"/>
    <n v="666.8555555555555"/>
    <n v="66.685555555555538"/>
    <x v="5"/>
    <n v="1"/>
  </r>
  <r>
    <n v="551"/>
    <n v="63"/>
    <s v="Male"/>
    <s v="Mens Clothing"/>
    <s v="Jeans"/>
    <n v="106.27"/>
    <s v="Summer"/>
    <s v="Card"/>
    <n v="3.5"/>
    <x v="4"/>
    <n v="7"/>
    <n v="123.56976744186046"/>
    <n v="17.299767441860467"/>
    <x v="0"/>
    <n v="1"/>
  </r>
  <r>
    <n v="552"/>
    <n v="27"/>
    <s v="Male"/>
    <s v="Footwear"/>
    <s v="Sandals"/>
    <n v="141.6"/>
    <s v="Winter"/>
    <s v="Card"/>
    <n v="4.0999999999999996"/>
    <x v="12"/>
    <n v="7"/>
    <n v="174.81481481481481"/>
    <n v="33.214814814814815"/>
    <x v="5"/>
    <n v="1"/>
  </r>
  <r>
    <n v="553"/>
    <n v="43"/>
    <s v="Male"/>
    <s v="Footwear"/>
    <s v="Formal Shoes"/>
    <n v="90.88"/>
    <s v="Winter"/>
    <s v="Cash on Delivery"/>
    <n v="3.3"/>
    <x v="4"/>
    <n v="2"/>
    <n v="105.67441860465117"/>
    <n v="14.79441860465117"/>
    <x v="1"/>
    <n v="1"/>
  </r>
  <r>
    <n v="554"/>
    <n v="20"/>
    <s v="Female"/>
    <s v="Footwear"/>
    <s v="Sneakers"/>
    <n v="156.91"/>
    <s v="Summer"/>
    <s v="Card"/>
    <n v="4.0999999999999996"/>
    <x v="10"/>
    <n v="6"/>
    <n v="201.16666666666666"/>
    <n v="44.256666666666661"/>
    <x v="3"/>
    <n v="1"/>
  </r>
  <r>
    <n v="555"/>
    <n v="41"/>
    <s v="Male"/>
    <s v="Sports"/>
    <s v="Football"/>
    <n v="232.73"/>
    <s v="Winter"/>
    <s v="Card"/>
    <n v="3.7"/>
    <x v="19"/>
    <n v="5"/>
    <n v="273.8"/>
    <n v="41.070000000000022"/>
    <x v="1"/>
    <n v="1"/>
  </r>
  <r>
    <n v="556"/>
    <n v="29"/>
    <s v="Female"/>
    <s v="Accessories"/>
    <s v="Wallet"/>
    <n v="53.93"/>
    <s v="Summer"/>
    <s v="Card"/>
    <n v="2.5"/>
    <x v="0"/>
    <n v="4"/>
    <n v="65.768292682926827"/>
    <n v="11.838292682926827"/>
    <x v="5"/>
    <n v="1"/>
  </r>
  <r>
    <n v="557"/>
    <n v="61"/>
    <s v="Male"/>
    <s v="Footwear"/>
    <s v="Sneakers"/>
    <n v="65.72"/>
    <s v="Summer"/>
    <s v="Cash on Delivery"/>
    <n v="2.8"/>
    <x v="5"/>
    <n v="4"/>
    <n v="71.434782608695642"/>
    <n v="5.7147826086956428"/>
    <x v="0"/>
    <n v="1"/>
  </r>
  <r>
    <n v="558"/>
    <n v="69"/>
    <s v="Female"/>
    <s v="Womens Clothing"/>
    <s v="Skirt"/>
    <n v="159.87"/>
    <s v="Winter"/>
    <s v="Card"/>
    <n v="3.6"/>
    <x v="7"/>
    <n v="0"/>
    <n v="177.63333333333333"/>
    <n v="17.763333333333321"/>
    <x v="2"/>
    <n v="1"/>
  </r>
  <r>
    <n v="559"/>
    <n v="64"/>
    <s v="Male"/>
    <s v="Electronics"/>
    <s v="Laptop"/>
    <n v="2435.63"/>
    <s v="Winter"/>
    <s v="Card"/>
    <n v="3.3"/>
    <x v="0"/>
    <n v="4"/>
    <n v="2970.2804878048778"/>
    <n v="534.65048780487768"/>
    <x v="0"/>
    <n v="1"/>
  </r>
  <r>
    <n v="560"/>
    <n v="40"/>
    <s v="Male"/>
    <s v="Footwear"/>
    <s v="Sneakers"/>
    <n v="90.24"/>
    <s v="Spring"/>
    <s v="Cash on Delivery"/>
    <n v="4.3"/>
    <x v="14"/>
    <n v="6"/>
    <n v="108.72289156626506"/>
    <n v="18.482891566265067"/>
    <x v="1"/>
    <n v="1"/>
  </r>
  <r>
    <n v="561"/>
    <n v="37"/>
    <s v="Female"/>
    <s v="Accessories"/>
    <s v="Handbag"/>
    <n v="117.76"/>
    <s v="Spring"/>
    <s v="Card"/>
    <n v="3.5"/>
    <x v="8"/>
    <n v="6"/>
    <n v="133.81818181818181"/>
    <n v="16.058181818181808"/>
    <x v="1"/>
    <n v="1"/>
  </r>
  <r>
    <n v="562"/>
    <n v="64"/>
    <s v="Female"/>
    <s v="Womens Clothing"/>
    <s v="Jeans"/>
    <n v="97.62"/>
    <s v="Summer"/>
    <s v="Card"/>
    <n v="3.8"/>
    <x v="5"/>
    <n v="4"/>
    <n v="106.10869565217391"/>
    <n v="8.4886956521739023"/>
    <x v="0"/>
    <n v="1"/>
  </r>
  <r>
    <n v="563"/>
    <n v="66"/>
    <s v="Female"/>
    <s v="Beauty"/>
    <s v="Makeup Set"/>
    <n v="98.66"/>
    <s v="Autumn"/>
    <s v="Card"/>
    <n v="2.7"/>
    <x v="10"/>
    <n v="6"/>
    <n v="126.48717948717947"/>
    <n v="27.827179487179478"/>
    <x v="2"/>
    <n v="1"/>
  </r>
  <r>
    <n v="564"/>
    <n v="66"/>
    <s v="Female"/>
    <s v="Womens Clothing"/>
    <s v="Top"/>
    <n v="185.56"/>
    <s v="Spring"/>
    <s v="Card"/>
    <n v="3.7"/>
    <x v="21"/>
    <n v="8"/>
    <n v="234.88607594936707"/>
    <n v="49.326075949367066"/>
    <x v="2"/>
    <n v="1"/>
  </r>
  <r>
    <n v="565"/>
    <n v="60"/>
    <s v="Female"/>
    <s v="Groceries"/>
    <s v="Rice Pack"/>
    <n v="12.59"/>
    <s v="Spring"/>
    <s v="Card"/>
    <n v="3.4"/>
    <x v="8"/>
    <n v="1"/>
    <n v="14.306818181818182"/>
    <n v="1.7168181818181818"/>
    <x v="0"/>
    <n v="1"/>
  </r>
  <r>
    <n v="566"/>
    <n v="41"/>
    <s v="Female"/>
    <s v="Beauty"/>
    <s v="Makeup Set"/>
    <n v="34.299999999999997"/>
    <s v="Autumn"/>
    <s v="Card"/>
    <n v="3.3"/>
    <x v="17"/>
    <n v="2"/>
    <n v="35.729166666666664"/>
    <n v="1.4291666666666671"/>
    <x v="1"/>
    <n v="1"/>
  </r>
  <r>
    <n v="567"/>
    <n v="29"/>
    <s v="Male"/>
    <s v="Sports"/>
    <s v="Football"/>
    <n v="162.96"/>
    <s v="Summer"/>
    <s v="Card"/>
    <n v="3.9"/>
    <x v="12"/>
    <n v="7"/>
    <n v="201.18518518518519"/>
    <n v="38.225185185185182"/>
    <x v="5"/>
    <n v="1"/>
  </r>
  <r>
    <n v="568"/>
    <n v="45"/>
    <s v="Male"/>
    <s v="Electronics"/>
    <s v="Laptop"/>
    <n v="2785.85"/>
    <s v="Spring"/>
    <s v="Card"/>
    <n v="3.4"/>
    <x v="0"/>
    <n v="4"/>
    <n v="3397.3780487804875"/>
    <n v="611.52804878048755"/>
    <x v="1"/>
    <n v="1"/>
  </r>
  <r>
    <n v="569"/>
    <n v="67"/>
    <s v="Male"/>
    <s v="Footwear"/>
    <s v="Sandals"/>
    <n v="79.989999999999995"/>
    <s v="Spring"/>
    <s v="Card"/>
    <n v="3.5"/>
    <x v="8"/>
    <n v="1"/>
    <n v="90.897727272727266"/>
    <n v="10.907727272727271"/>
    <x v="2"/>
    <n v="1"/>
  </r>
  <r>
    <n v="570"/>
    <n v="24"/>
    <s v="Female"/>
    <s v="Womens Clothing"/>
    <s v="Jeans"/>
    <n v="33.979999999999997"/>
    <s v="Spring"/>
    <s v="Card"/>
    <n v="2.1"/>
    <x v="19"/>
    <n v="5"/>
    <n v="39.976470588235294"/>
    <n v="5.9964705882352973"/>
    <x v="3"/>
    <n v="1"/>
  </r>
  <r>
    <n v="571"/>
    <n v="32"/>
    <s v="Male"/>
    <s v="Electronics"/>
    <s v="Headphones"/>
    <n v="2562.09"/>
    <s v="Winter"/>
    <s v="Card"/>
    <n v="3.7"/>
    <x v="4"/>
    <n v="7"/>
    <n v="2979.1744186046512"/>
    <n v="417.08441860465109"/>
    <x v="5"/>
    <n v="1"/>
  </r>
  <r>
    <n v="572"/>
    <n v="69"/>
    <s v="Female"/>
    <s v="Beauty"/>
    <s v="Makeup Set"/>
    <n v="55.71"/>
    <s v="Spring"/>
    <s v="Card"/>
    <n v="2.9"/>
    <x v="19"/>
    <n v="5"/>
    <n v="65.54117647058824"/>
    <n v="9.8311764705882396"/>
    <x v="2"/>
    <n v="1"/>
  </r>
  <r>
    <n v="573"/>
    <n v="61"/>
    <s v="Male"/>
    <s v="Footwear"/>
    <s v="Sandals"/>
    <n v="41.13"/>
    <s v="Summer"/>
    <s v="Cash on Delivery"/>
    <n v="5"/>
    <x v="14"/>
    <n v="6"/>
    <n v="49.554216867469883"/>
    <n v="8.4242168674698803"/>
    <x v="0"/>
    <n v="1"/>
  </r>
  <r>
    <n v="574"/>
    <n v="46"/>
    <s v="Female"/>
    <s v="Womens Clothing"/>
    <s v="Skirt"/>
    <n v="62.15"/>
    <s v="Summer"/>
    <s v="Cash on Delivery"/>
    <n v="3.8"/>
    <x v="10"/>
    <n v="6"/>
    <n v="79.679487179487168"/>
    <n v="17.52948717948717"/>
    <x v="4"/>
    <n v="1"/>
  </r>
  <r>
    <n v="575"/>
    <n v="44"/>
    <s v="Male"/>
    <s v="Home"/>
    <s v="Curtains"/>
    <n v="124.45"/>
    <s v="Summer"/>
    <s v="Card"/>
    <n v="5"/>
    <x v="13"/>
    <n v="2"/>
    <n v="136.75824175824175"/>
    <n v="12.308241758241749"/>
    <x v="1"/>
    <n v="1"/>
  </r>
  <r>
    <n v="576"/>
    <n v="46"/>
    <s v="Male"/>
    <s v="Footwear"/>
    <s v="Sneakers"/>
    <n v="75.37"/>
    <s v="Winter"/>
    <s v="Card"/>
    <n v="3.7"/>
    <x v="3"/>
    <n v="10"/>
    <n v="94.212500000000006"/>
    <n v="18.842500000000001"/>
    <x v="4"/>
    <n v="1"/>
  </r>
  <r>
    <n v="577"/>
    <n v="30"/>
    <s v="Male"/>
    <s v="Sports"/>
    <s v="Yoga Mat"/>
    <n v="141.81"/>
    <s v="Winter"/>
    <s v="Card"/>
    <n v="4.9000000000000004"/>
    <x v="1"/>
    <n v="4"/>
    <n v="163"/>
    <n v="21.189999999999998"/>
    <x v="5"/>
    <n v="1"/>
  </r>
  <r>
    <n v="578"/>
    <n v="38"/>
    <s v="Male"/>
    <s v="Mens Clothing"/>
    <s v="Jeans"/>
    <n v="173.03"/>
    <s v="Autumn"/>
    <s v="Card"/>
    <n v="2.6"/>
    <x v="1"/>
    <n v="4"/>
    <n v="198.88505747126436"/>
    <n v="25.855057471264359"/>
    <x v="1"/>
    <n v="1"/>
  </r>
  <r>
    <n v="579"/>
    <n v="26"/>
    <s v="Female"/>
    <s v="Home"/>
    <s v="Curtains"/>
    <n v="174.88"/>
    <s v="Autumn"/>
    <s v="Card"/>
    <n v="4.4000000000000004"/>
    <x v="4"/>
    <n v="2"/>
    <n v="203.34883720930233"/>
    <n v="28.468837209302336"/>
    <x v="5"/>
    <n v="1"/>
  </r>
  <r>
    <n v="580"/>
    <n v="42"/>
    <s v="Female"/>
    <s v="Beauty"/>
    <s v="Perfume"/>
    <n v="48.19"/>
    <s v="Winter"/>
    <s v="Card"/>
    <n v="2.7"/>
    <x v="8"/>
    <n v="6"/>
    <n v="54.761363636363633"/>
    <n v="6.5713636363636354"/>
    <x v="1"/>
    <n v="1"/>
  </r>
  <r>
    <n v="581"/>
    <n v="37"/>
    <s v="Male"/>
    <s v="Electronics"/>
    <s v="Laptop"/>
    <n v="714.78"/>
    <s v="Winter"/>
    <s v="Card"/>
    <n v="4"/>
    <x v="8"/>
    <n v="6"/>
    <n v="812.25"/>
    <n v="97.470000000000027"/>
    <x v="1"/>
    <n v="1"/>
  </r>
  <r>
    <n v="582"/>
    <n v="54"/>
    <s v="Female"/>
    <s v="Sports"/>
    <s v="Dumbbells"/>
    <n v="30.19"/>
    <s v="Autumn"/>
    <s v="Cash on Delivery"/>
    <n v="4.2"/>
    <x v="1"/>
    <n v="4"/>
    <n v="34.701149425287355"/>
    <n v="4.5111494252873534"/>
    <x v="4"/>
    <n v="1"/>
  </r>
  <r>
    <n v="583"/>
    <n v="68"/>
    <s v="Female"/>
    <s v="Beauty"/>
    <s v="Makeup Set"/>
    <n v="120.37"/>
    <s v="Winter"/>
    <s v="Card"/>
    <n v="2.9"/>
    <x v="18"/>
    <n v="7"/>
    <n v="158.38157894736844"/>
    <n v="38.011578947368434"/>
    <x v="2"/>
    <n v="1"/>
  </r>
  <r>
    <n v="584"/>
    <n v="38"/>
    <s v="Female"/>
    <s v="Womens Clothing"/>
    <s v="Dress"/>
    <n v="185.35"/>
    <s v="Winter"/>
    <s v="Card"/>
    <n v="4.9000000000000004"/>
    <x v="8"/>
    <n v="6"/>
    <n v="210.625"/>
    <n v="25.275000000000006"/>
    <x v="1"/>
    <n v="1"/>
  </r>
  <r>
    <n v="585"/>
    <n v="25"/>
    <s v="Male"/>
    <s v="Electronics"/>
    <s v="Smart Watch"/>
    <n v="1495.63"/>
    <s v="Summer"/>
    <s v="Card"/>
    <n v="3.8"/>
    <x v="4"/>
    <n v="2"/>
    <n v="1739.1046511627908"/>
    <n v="243.47465116279068"/>
    <x v="3"/>
    <n v="1"/>
  </r>
  <r>
    <n v="586"/>
    <n v="42"/>
    <s v="Male"/>
    <s v="Electronics"/>
    <s v="Mobile Phone"/>
    <n v="1552.24"/>
    <s v="Autumn"/>
    <s v="Card"/>
    <n v="3.8"/>
    <x v="14"/>
    <n v="6"/>
    <n v="1870.1686746987953"/>
    <n v="317.92867469879525"/>
    <x v="1"/>
    <n v="1"/>
  </r>
  <r>
    <n v="587"/>
    <n v="26"/>
    <s v="Male"/>
    <s v="Sports"/>
    <s v="Football"/>
    <n v="175.47"/>
    <s v="Autumn"/>
    <s v="Card"/>
    <n v="3"/>
    <x v="1"/>
    <n v="4"/>
    <n v="201.68965517241378"/>
    <n v="26.219655172413781"/>
    <x v="5"/>
    <n v="1"/>
  </r>
  <r>
    <n v="588"/>
    <n v="45"/>
    <s v="Male"/>
    <s v="Sports"/>
    <s v="Football"/>
    <n v="136.12"/>
    <s v="Spring"/>
    <s v="Card"/>
    <n v="4.5"/>
    <x v="22"/>
    <n v="9"/>
    <n v="176.77922077922079"/>
    <n v="40.659220779220789"/>
    <x v="1"/>
    <n v="1"/>
  </r>
  <r>
    <n v="589"/>
    <n v="22"/>
    <s v="Female"/>
    <s v="Footwear"/>
    <s v="Sneakers"/>
    <n v="174.5"/>
    <s v="Autumn"/>
    <s v="Card"/>
    <n v="3.7"/>
    <x v="4"/>
    <n v="2"/>
    <n v="202.90697674418604"/>
    <n v="28.406976744186039"/>
    <x v="3"/>
    <n v="1"/>
  </r>
  <r>
    <n v="590"/>
    <n v="40"/>
    <s v="Male"/>
    <s v="Home"/>
    <s v="Lamp"/>
    <n v="136.29"/>
    <s v="Winter"/>
    <s v="Card"/>
    <n v="2.9"/>
    <x v="1"/>
    <n v="4"/>
    <n v="156.65517241379308"/>
    <n v="20.36517241379309"/>
    <x v="1"/>
    <n v="1"/>
  </r>
  <r>
    <n v="591"/>
    <n v="44"/>
    <s v="Female"/>
    <s v="Footwear"/>
    <s v="Sandals"/>
    <n v="62.11"/>
    <s v="Summer"/>
    <s v="Card"/>
    <n v="2.9"/>
    <x v="12"/>
    <n v="7"/>
    <n v="76.679012345679013"/>
    <n v="14.569012345679013"/>
    <x v="1"/>
    <n v="1"/>
  </r>
  <r>
    <n v="592"/>
    <n v="31"/>
    <s v="Male"/>
    <s v="Sports"/>
    <s v="Football"/>
    <n v="209.64"/>
    <s v="Autumn"/>
    <s v="Card"/>
    <n v="4.5999999999999996"/>
    <x v="2"/>
    <n v="3"/>
    <n v="235.55056179775278"/>
    <n v="25.910561797752791"/>
    <x v="5"/>
    <n v="1"/>
  </r>
  <r>
    <n v="593"/>
    <n v="23"/>
    <s v="Male"/>
    <s v="Footwear"/>
    <s v="Sandals"/>
    <n v="188.15"/>
    <s v="Winter"/>
    <s v="Card"/>
    <n v="3.5"/>
    <x v="17"/>
    <n v="2"/>
    <n v="195.98958333333334"/>
    <n v="7.8395833333333371"/>
    <x v="3"/>
    <n v="1"/>
  </r>
  <r>
    <n v="594"/>
    <n v="27"/>
    <s v="Female"/>
    <s v="Accessories"/>
    <s v="Handbag"/>
    <n v="31.87"/>
    <s v="Winter"/>
    <s v="Cash on Delivery"/>
    <n v="5"/>
    <x v="10"/>
    <n v="6"/>
    <n v="40.858974358974358"/>
    <n v="8.9889743589743567"/>
    <x v="5"/>
    <n v="1"/>
  </r>
  <r>
    <n v="595"/>
    <n v="24"/>
    <s v="Male"/>
    <s v="Mens Clothing"/>
    <s v="Jeans"/>
    <n v="128.63999999999999"/>
    <s v="Autumn"/>
    <s v="Card"/>
    <n v="4.4000000000000004"/>
    <x v="10"/>
    <n v="6"/>
    <n v="164.92307692307691"/>
    <n v="36.283076923076919"/>
    <x v="3"/>
    <n v="1"/>
  </r>
  <r>
    <n v="596"/>
    <n v="57"/>
    <s v="Female"/>
    <s v="Footwear"/>
    <s v="Sneakers"/>
    <n v="107.31"/>
    <s v="Winter"/>
    <s v="Card"/>
    <n v="3.6"/>
    <x v="6"/>
    <n v="8"/>
    <n v="127.75000000000001"/>
    <n v="20.440000000000012"/>
    <x v="0"/>
    <n v="1"/>
  </r>
  <r>
    <n v="597"/>
    <n v="37"/>
    <s v="Female"/>
    <s v="Sports"/>
    <s v="Football"/>
    <n v="160.72"/>
    <s v="Spring"/>
    <s v="Card"/>
    <n v="3.8"/>
    <x v="5"/>
    <n v="4"/>
    <n v="174.69565217391303"/>
    <n v="13.975652173913033"/>
    <x v="1"/>
    <n v="1"/>
  </r>
  <r>
    <n v="598"/>
    <n v="44"/>
    <s v="Male"/>
    <s v="Mens Clothing"/>
    <s v="Jacket"/>
    <n v="74.66"/>
    <s v="Autumn"/>
    <s v="Cash on Delivery"/>
    <n v="3"/>
    <x v="1"/>
    <n v="4"/>
    <n v="85.81609195402298"/>
    <n v="11.156091954022983"/>
    <x v="1"/>
    <n v="1"/>
  </r>
  <r>
    <n v="599"/>
    <n v="69"/>
    <s v="Male"/>
    <s v="Footwear"/>
    <s v="Sneakers"/>
    <n v="210.5"/>
    <s v="Winter"/>
    <s v="Card"/>
    <n v="3.8"/>
    <x v="1"/>
    <n v="4"/>
    <n v="241.95402298850576"/>
    <n v="31.454022988505756"/>
    <x v="2"/>
    <n v="1"/>
  </r>
  <r>
    <n v="600"/>
    <n v="24"/>
    <s v="Male"/>
    <s v="Mens Clothing"/>
    <s v="Shirt"/>
    <n v="35.35"/>
    <s v="Winter"/>
    <s v="Card"/>
    <n v="3.6"/>
    <x v="21"/>
    <n v="8"/>
    <n v="44.746835443037973"/>
    <n v="9.3968354430379719"/>
    <x v="3"/>
    <n v="1"/>
  </r>
  <r>
    <n v="601"/>
    <n v="48"/>
    <s v="Male"/>
    <s v="Sports"/>
    <s v="Dumbbells"/>
    <n v="63.8"/>
    <s v="Winter"/>
    <s v="Cash on Delivery"/>
    <n v="4.2"/>
    <x v="19"/>
    <n v="5"/>
    <n v="75.058823529411768"/>
    <n v="11.258823529411771"/>
    <x v="4"/>
    <n v="1"/>
  </r>
  <r>
    <n v="602"/>
    <n v="50"/>
    <s v="Male"/>
    <s v="Footwear"/>
    <s v="Sandals"/>
    <n v="66.64"/>
    <s v="Summer"/>
    <s v="Card"/>
    <n v="5"/>
    <x v="19"/>
    <n v="5"/>
    <n v="78.400000000000006"/>
    <n v="11.760000000000005"/>
    <x v="4"/>
    <n v="1"/>
  </r>
  <r>
    <n v="603"/>
    <n v="33"/>
    <s v="Female"/>
    <s v="Sports"/>
    <s v="Dumbbells"/>
    <n v="26.47"/>
    <s v="Spring"/>
    <s v="Cash on Delivery"/>
    <n v="2.7"/>
    <x v="17"/>
    <n v="2"/>
    <n v="27.572916666666668"/>
    <n v="1.102916666666669"/>
    <x v="5"/>
    <n v="1"/>
  </r>
  <r>
    <n v="604"/>
    <n v="67"/>
    <s v="Male"/>
    <s v="Footwear"/>
    <s v="Formal Shoes"/>
    <n v="233.68"/>
    <s v="Autumn"/>
    <s v="Card"/>
    <n v="3.3"/>
    <x v="1"/>
    <n v="4"/>
    <n v="268.59770114942529"/>
    <n v="34.917701149425284"/>
    <x v="2"/>
    <n v="1"/>
  </r>
  <r>
    <n v="605"/>
    <n v="48"/>
    <s v="Female"/>
    <s v="Sports"/>
    <s v="Dumbbells"/>
    <n v="184.2"/>
    <s v="Spring"/>
    <s v="Card"/>
    <n v="4.3"/>
    <x v="12"/>
    <n v="7"/>
    <n v="227.40740740740739"/>
    <n v="43.207407407407402"/>
    <x v="4"/>
    <n v="1"/>
  </r>
  <r>
    <n v="606"/>
    <n v="43"/>
    <s v="Female"/>
    <s v="Footwear"/>
    <s v="Formal Shoes"/>
    <n v="209.23"/>
    <s v="Winter"/>
    <s v="Card"/>
    <n v="3"/>
    <x v="1"/>
    <n v="4"/>
    <n v="240.4942528735632"/>
    <n v="31.264252873563208"/>
    <x v="1"/>
    <n v="1"/>
  </r>
  <r>
    <n v="607"/>
    <n v="55"/>
    <s v="Male"/>
    <s v="Sports"/>
    <s v="Football"/>
    <n v="225.1"/>
    <s v="Winter"/>
    <s v="Card"/>
    <n v="4.8"/>
    <x v="8"/>
    <n v="6"/>
    <n v="255.79545454545453"/>
    <n v="30.695454545454538"/>
    <x v="4"/>
    <n v="1"/>
  </r>
  <r>
    <n v="608"/>
    <n v="26"/>
    <s v="Male"/>
    <s v="Mens Clothing"/>
    <s v="Jacket"/>
    <n v="172.87"/>
    <s v="Summer"/>
    <s v="Card"/>
    <n v="3.3"/>
    <x v="14"/>
    <n v="6"/>
    <n v="208.27710843373495"/>
    <n v="35.407108433734948"/>
    <x v="5"/>
    <n v="1"/>
  </r>
  <r>
    <n v="609"/>
    <n v="56"/>
    <s v="Male"/>
    <s v="Electronics"/>
    <s v="Laptop"/>
    <n v="2831.6"/>
    <s v="Autumn"/>
    <s v="Card"/>
    <n v="4.7"/>
    <x v="19"/>
    <n v="5"/>
    <n v="3331.294117647059"/>
    <n v="499.6941176470591"/>
    <x v="0"/>
    <n v="1"/>
  </r>
  <r>
    <n v="610"/>
    <n v="52"/>
    <s v="Female"/>
    <s v="Accessories"/>
    <s v="Handbag"/>
    <n v="20.11"/>
    <s v="Spring"/>
    <s v="Card"/>
    <n v="5"/>
    <x v="5"/>
    <n v="4"/>
    <n v="21.85869565217391"/>
    <n v="1.748695652173911"/>
    <x v="4"/>
    <n v="1"/>
  </r>
  <r>
    <n v="611"/>
    <n v="32"/>
    <s v="Male"/>
    <s v="Groceries"/>
    <s v="Snacks"/>
    <n v="58.96"/>
    <s v="Winter"/>
    <s v="Cash on Delivery"/>
    <n v="4.8"/>
    <x v="17"/>
    <n v="2"/>
    <n v="61.416666666666671"/>
    <n v="2.4566666666666706"/>
    <x v="5"/>
    <n v="1"/>
  </r>
  <r>
    <n v="612"/>
    <n v="44"/>
    <s v="Female"/>
    <s v="Accessories"/>
    <s v="Wallet"/>
    <n v="170.49"/>
    <s v="Autumn"/>
    <s v="Card"/>
    <n v="2.9"/>
    <x v="0"/>
    <n v="9"/>
    <n v="207.91463414634146"/>
    <n v="37.424634146341447"/>
    <x v="1"/>
    <n v="1"/>
  </r>
  <r>
    <n v="613"/>
    <n v="44"/>
    <s v="Female"/>
    <s v="Womens Clothing"/>
    <s v="Skirt"/>
    <n v="65.05"/>
    <s v="Summer"/>
    <s v="Cash on Delivery"/>
    <n v="3.4"/>
    <x v="12"/>
    <n v="7"/>
    <n v="80.308641975308632"/>
    <n v="15.258641975308635"/>
    <x v="1"/>
    <n v="1"/>
  </r>
  <r>
    <n v="614"/>
    <n v="32"/>
    <s v="Female"/>
    <s v="Womens Clothing"/>
    <s v="Jeans"/>
    <n v="35.659999999999997"/>
    <s v="Summer"/>
    <s v="Cash on Delivery"/>
    <n v="4.0999999999999996"/>
    <x v="14"/>
    <n v="6"/>
    <n v="42.963855421686745"/>
    <n v="7.3038554216867482"/>
    <x v="5"/>
    <n v="1"/>
  </r>
  <r>
    <n v="615"/>
    <n v="32"/>
    <s v="Female"/>
    <s v="Sports"/>
    <s v="Dumbbells"/>
    <n v="37.450000000000003"/>
    <s v="Winter"/>
    <s v="Card"/>
    <n v="3.2"/>
    <x v="15"/>
    <n v="1"/>
    <n v="38.214285714285715"/>
    <n v="0.76428571428571246"/>
    <x v="5"/>
    <n v="1"/>
  </r>
  <r>
    <n v="616"/>
    <n v="26"/>
    <s v="Female"/>
    <s v="Accessories"/>
    <s v="Sunglasses"/>
    <n v="170.43"/>
    <s v="Spring"/>
    <s v="Card"/>
    <n v="3.1"/>
    <x v="14"/>
    <n v="6"/>
    <n v="205.33734939759037"/>
    <n v="34.907349397590366"/>
    <x v="5"/>
    <n v="1"/>
  </r>
  <r>
    <n v="617"/>
    <n v="30"/>
    <s v="Female"/>
    <s v="Footwear"/>
    <s v="Sandals"/>
    <n v="61.98"/>
    <s v="Spring"/>
    <s v="Card"/>
    <n v="3.5"/>
    <x v="7"/>
    <n v="5"/>
    <n v="68.86666666666666"/>
    <n v="6.8866666666666632"/>
    <x v="5"/>
    <n v="1"/>
  </r>
  <r>
    <n v="618"/>
    <n v="54"/>
    <s v="Female"/>
    <s v="Womens Clothing"/>
    <s v="Dress"/>
    <n v="97.85"/>
    <s v="Autumn"/>
    <s v="Cash on Delivery"/>
    <n v="3.6"/>
    <x v="8"/>
    <n v="6"/>
    <n v="111.19318181818181"/>
    <n v="13.343181818181819"/>
    <x v="4"/>
    <n v="1"/>
  </r>
  <r>
    <n v="619"/>
    <n v="44"/>
    <s v="Male"/>
    <s v="Footwear"/>
    <s v="Sandals"/>
    <n v="180.53"/>
    <s v="Autumn"/>
    <s v="Card"/>
    <n v="3.4"/>
    <x v="11"/>
    <n v="8"/>
    <n v="243.95945945945945"/>
    <n v="63.429459459459451"/>
    <x v="1"/>
    <n v="1"/>
  </r>
  <r>
    <n v="620"/>
    <n v="70"/>
    <s v="Male"/>
    <s v="Electronics"/>
    <s v="Mobile Phone"/>
    <n v="2658.73"/>
    <s v="Summer"/>
    <s v="Card"/>
    <n v="4.3"/>
    <x v="10"/>
    <n v="6"/>
    <n v="3408.6282051282051"/>
    <n v="749.89820512820506"/>
    <x v="2"/>
    <n v="1"/>
  </r>
  <r>
    <n v="621"/>
    <n v="32"/>
    <s v="Male"/>
    <s v="Footwear"/>
    <s v="Sandals"/>
    <n v="158.28"/>
    <s v="Autumn"/>
    <s v="Card"/>
    <n v="4.0999999999999996"/>
    <x v="11"/>
    <n v="8"/>
    <n v="213.8918918918919"/>
    <n v="55.611891891891901"/>
    <x v="5"/>
    <n v="1"/>
  </r>
  <r>
    <n v="622"/>
    <n v="57"/>
    <s v="Male"/>
    <s v="Sports"/>
    <s v="Yoga Mat"/>
    <n v="222.98"/>
    <s v="Winter"/>
    <s v="Card"/>
    <n v="3.5"/>
    <x v="18"/>
    <n v="7"/>
    <n v="293.39473684210526"/>
    <n v="70.41473684210527"/>
    <x v="0"/>
    <n v="1"/>
  </r>
  <r>
    <n v="623"/>
    <n v="49"/>
    <s v="Male"/>
    <s v="Mens Clothing"/>
    <s v="Shirt"/>
    <n v="197.05"/>
    <s v="Winter"/>
    <s v="Card"/>
    <n v="4.4000000000000004"/>
    <x v="14"/>
    <n v="6"/>
    <n v="237.40963855421688"/>
    <n v="40.359638554216872"/>
    <x v="4"/>
    <n v="1"/>
  </r>
  <r>
    <n v="624"/>
    <n v="48"/>
    <s v="Male"/>
    <s v="Sports"/>
    <s v="Yoga Mat"/>
    <n v="97.69"/>
    <s v="Summer"/>
    <s v="Cash on Delivery"/>
    <n v="3.4"/>
    <x v="12"/>
    <n v="7"/>
    <n v="120.60493827160492"/>
    <n v="22.914938271604925"/>
    <x v="4"/>
    <n v="1"/>
  </r>
  <r>
    <n v="625"/>
    <n v="35"/>
    <s v="Male"/>
    <s v="Electronics"/>
    <s v="Mobile Phone"/>
    <n v="761.2"/>
    <s v="Summer"/>
    <s v="Card"/>
    <n v="5"/>
    <x v="18"/>
    <n v="7"/>
    <n v="1001.5789473684212"/>
    <n v="240.37894736842111"/>
    <x v="5"/>
    <n v="1"/>
  </r>
  <r>
    <n v="626"/>
    <n v="63"/>
    <s v="Female"/>
    <s v="Footwear"/>
    <s v="Formal Shoes"/>
    <n v="208.69"/>
    <s v="Winter"/>
    <s v="Card"/>
    <n v="3.2"/>
    <x v="1"/>
    <n v="4"/>
    <n v="239.87356321839081"/>
    <n v="31.183563218390816"/>
    <x v="0"/>
    <n v="1"/>
  </r>
  <r>
    <n v="627"/>
    <n v="60"/>
    <s v="Female"/>
    <s v="Womens Clothing"/>
    <s v="Dress"/>
    <n v="31.81"/>
    <s v="Spring"/>
    <s v="Card"/>
    <n v="3.5"/>
    <x v="8"/>
    <n v="6"/>
    <n v="36.147727272727273"/>
    <n v="4.3377272727272747"/>
    <x v="0"/>
    <n v="1"/>
  </r>
  <r>
    <n v="628"/>
    <n v="29"/>
    <s v="Male"/>
    <s v="Electronics"/>
    <s v="Laptop"/>
    <n v="1170.69"/>
    <s v="Summer"/>
    <s v="Card"/>
    <n v="3.5"/>
    <x v="6"/>
    <n v="3"/>
    <n v="1393.6785714285716"/>
    <n v="222.9885714285715"/>
    <x v="5"/>
    <n v="1"/>
  </r>
  <r>
    <n v="629"/>
    <n v="54"/>
    <s v="Male"/>
    <s v="Footwear"/>
    <s v="Formal Shoes"/>
    <n v="66.739999999999995"/>
    <s v="Autumn"/>
    <s v="Cash on Delivery"/>
    <n v="4.3"/>
    <x v="8"/>
    <n v="6"/>
    <n v="75.840909090909079"/>
    <n v="9.1009090909090844"/>
    <x v="4"/>
    <n v="1"/>
  </r>
  <r>
    <n v="630"/>
    <n v="23"/>
    <s v="Female"/>
    <s v="Beauty"/>
    <s v="Skincare Kit"/>
    <n v="39.909999999999997"/>
    <s v="Spring"/>
    <s v="Cash on Delivery"/>
    <n v="3.3"/>
    <x v="15"/>
    <n v="1"/>
    <n v="40.724489795918366"/>
    <n v="0.81448979591836945"/>
    <x v="3"/>
    <n v="1"/>
  </r>
  <r>
    <n v="631"/>
    <n v="42"/>
    <s v="Female"/>
    <s v="Groceries"/>
    <s v="Cooking Oil"/>
    <n v="10.19"/>
    <s v="Autumn"/>
    <s v="Cash on Delivery"/>
    <n v="4.0999999999999996"/>
    <x v="4"/>
    <n v="7"/>
    <n v="11.848837209302324"/>
    <n v="1.6588372093023249"/>
    <x v="1"/>
    <n v="1"/>
  </r>
  <r>
    <n v="632"/>
    <n v="70"/>
    <s v="Male"/>
    <s v="Mens Clothing"/>
    <s v="Jeans"/>
    <n v="69.05"/>
    <s v="Autumn"/>
    <s v="Card"/>
    <n v="3.9"/>
    <x v="5"/>
    <n v="4"/>
    <n v="75.054347826086953"/>
    <n v="6.0043478260869563"/>
    <x v="2"/>
    <n v="1"/>
  </r>
  <r>
    <n v="633"/>
    <n v="29"/>
    <s v="Male"/>
    <s v="Footwear"/>
    <s v="Sneakers"/>
    <n v="91.99"/>
    <s v="Winter"/>
    <s v="Card"/>
    <n v="2.9"/>
    <x v="27"/>
    <n v="10"/>
    <n v="122.65333333333332"/>
    <n v="30.663333333333327"/>
    <x v="5"/>
    <n v="1"/>
  </r>
  <r>
    <n v="634"/>
    <n v="38"/>
    <s v="Female"/>
    <s v="Footwear"/>
    <s v="Formal Shoes"/>
    <n v="247.76"/>
    <s v="Winter"/>
    <s v="Card"/>
    <n v="3.3"/>
    <x v="2"/>
    <n v="3"/>
    <n v="278.38202247191009"/>
    <n v="30.6220224719101"/>
    <x v="1"/>
    <n v="1"/>
  </r>
  <r>
    <n v="635"/>
    <n v="45"/>
    <s v="Male"/>
    <s v="Footwear"/>
    <s v="Formal Shoes"/>
    <n v="203.46"/>
    <s v="Autumn"/>
    <s v="Card"/>
    <n v="3.1"/>
    <x v="7"/>
    <n v="5"/>
    <n v="226.06666666666666"/>
    <n v="22.606666666666655"/>
    <x v="1"/>
    <n v="1"/>
  </r>
  <r>
    <n v="636"/>
    <n v="61"/>
    <s v="Male"/>
    <s v="Footwear"/>
    <s v="Formal Shoes"/>
    <n v="118.53"/>
    <s v="Summer"/>
    <s v="Card"/>
    <n v="4.9000000000000004"/>
    <x v="4"/>
    <n v="2"/>
    <n v="137.82558139534885"/>
    <n v="19.295581395348847"/>
    <x v="0"/>
    <n v="1"/>
  </r>
  <r>
    <n v="637"/>
    <n v="66"/>
    <s v="Male"/>
    <s v="Mens Clothing"/>
    <s v="Shirt"/>
    <n v="63.45"/>
    <s v="Winter"/>
    <s v="Card"/>
    <n v="3.6"/>
    <x v="19"/>
    <n v="5"/>
    <n v="74.64705882352942"/>
    <n v="11.197058823529417"/>
    <x v="2"/>
    <n v="1"/>
  </r>
  <r>
    <n v="638"/>
    <n v="66"/>
    <s v="Female"/>
    <s v="Accessories"/>
    <s v="Sunglasses"/>
    <n v="129.69"/>
    <s v="Winter"/>
    <s v="Card"/>
    <n v="3.1"/>
    <x v="14"/>
    <n v="6"/>
    <n v="156.25301204819277"/>
    <n v="26.563012048192775"/>
    <x v="2"/>
    <n v="1"/>
  </r>
  <r>
    <n v="639"/>
    <n v="27"/>
    <s v="Male"/>
    <s v="Electronics"/>
    <s v="Smart Watch"/>
    <n v="736.92"/>
    <s v="Autumn"/>
    <s v="Card"/>
    <n v="3.3"/>
    <x v="8"/>
    <n v="1"/>
    <n v="837.40909090909088"/>
    <n v="100.48909090909092"/>
    <x v="5"/>
    <n v="1"/>
  </r>
  <r>
    <n v="640"/>
    <n v="52"/>
    <s v="Female"/>
    <s v="Beauty"/>
    <s v="Skincare Kit"/>
    <n v="87.62"/>
    <s v="Autumn"/>
    <s v="Card"/>
    <n v="2.9"/>
    <x v="7"/>
    <n v="5"/>
    <n v="97.355555555555554"/>
    <n v="9.7355555555555497"/>
    <x v="4"/>
    <n v="1"/>
  </r>
  <r>
    <n v="641"/>
    <n v="43"/>
    <s v="Female"/>
    <s v="Home"/>
    <s v="Kitchen Set"/>
    <n v="140"/>
    <s v="Summer"/>
    <s v="Card"/>
    <n v="3.9"/>
    <x v="19"/>
    <n v="5"/>
    <n v="164.70588235294119"/>
    <n v="24.705882352941188"/>
    <x v="1"/>
    <n v="1"/>
  </r>
  <r>
    <n v="642"/>
    <n v="35"/>
    <s v="Male"/>
    <s v="Sports"/>
    <s v="Football"/>
    <n v="107.57"/>
    <s v="Summer"/>
    <s v="Card"/>
    <n v="3.9"/>
    <x v="8"/>
    <n v="6"/>
    <n v="122.23863636363636"/>
    <n v="14.668636363636367"/>
    <x v="5"/>
    <n v="1"/>
  </r>
  <r>
    <n v="643"/>
    <n v="34"/>
    <s v="Male"/>
    <s v="Groceries"/>
    <s v="Cooking Oil"/>
    <n v="78.16"/>
    <s v="Spring"/>
    <s v="Cash on Delivery"/>
    <n v="2.2000000000000002"/>
    <x v="17"/>
    <n v="2"/>
    <n v="81.416666666666671"/>
    <n v="3.2566666666666748"/>
    <x v="5"/>
    <n v="1"/>
  </r>
  <r>
    <n v="644"/>
    <n v="51"/>
    <s v="Female"/>
    <s v="Womens Clothing"/>
    <s v="Dress"/>
    <n v="47.3"/>
    <s v="Autumn"/>
    <s v="Cash on Delivery"/>
    <n v="3.9"/>
    <x v="23"/>
    <n v="1"/>
    <n v="50.86021505376344"/>
    <n v="3.5602150537634429"/>
    <x v="4"/>
    <n v="1"/>
  </r>
  <r>
    <n v="645"/>
    <n v="43"/>
    <s v="Female"/>
    <s v="Womens Clothing"/>
    <s v="Skirt"/>
    <n v="143.80000000000001"/>
    <s v="Autumn"/>
    <s v="Card"/>
    <n v="3.6"/>
    <x v="8"/>
    <n v="6"/>
    <n v="163.40909090909093"/>
    <n v="19.609090909090924"/>
    <x v="1"/>
    <n v="1"/>
  </r>
  <r>
    <n v="646"/>
    <n v="50"/>
    <s v="Male"/>
    <s v="Sports"/>
    <s v="Dumbbells"/>
    <n v="208.8"/>
    <s v="Summer"/>
    <s v="Card"/>
    <n v="3.4"/>
    <x v="17"/>
    <n v="2"/>
    <n v="217.50000000000003"/>
    <n v="8.7000000000000171"/>
    <x v="4"/>
    <n v="1"/>
  </r>
  <r>
    <n v="647"/>
    <n v="33"/>
    <s v="Male"/>
    <s v="Home"/>
    <s v="Lamp"/>
    <n v="170.58"/>
    <s v="Summer"/>
    <s v="Card"/>
    <n v="4.2"/>
    <x v="5"/>
    <n v="4"/>
    <n v="185.41304347826087"/>
    <n v="14.833043478260862"/>
    <x v="5"/>
    <n v="1"/>
  </r>
  <r>
    <n v="648"/>
    <n v="30"/>
    <s v="Male"/>
    <s v="Mens Clothing"/>
    <s v="Jeans"/>
    <n v="42.67"/>
    <s v="Autumn"/>
    <s v="Cash on Delivery"/>
    <n v="4.0999999999999996"/>
    <x v="5"/>
    <n v="4"/>
    <n v="46.380434782608695"/>
    <n v="3.7104347826086936"/>
    <x v="5"/>
    <n v="1"/>
  </r>
  <r>
    <n v="649"/>
    <n v="54"/>
    <s v="Male"/>
    <s v="Mens Clothing"/>
    <s v="Jeans"/>
    <n v="170.85"/>
    <s v="Summer"/>
    <s v="Card"/>
    <n v="3.4"/>
    <x v="1"/>
    <n v="4"/>
    <n v="196.37931034482759"/>
    <n v="25.529310344827593"/>
    <x v="4"/>
    <n v="1"/>
  </r>
  <r>
    <n v="650"/>
    <n v="70"/>
    <s v="Male"/>
    <s v="Footwear"/>
    <s v="Formal Shoes"/>
    <n v="174.39"/>
    <s v="Summer"/>
    <s v="Card"/>
    <n v="3.2"/>
    <x v="3"/>
    <n v="5"/>
    <n v="217.98749999999998"/>
    <n v="43.597499999999997"/>
    <x v="2"/>
    <n v="1"/>
  </r>
  <r>
    <n v="651"/>
    <n v="58"/>
    <s v="Male"/>
    <s v="Sports"/>
    <s v="Football"/>
    <n v="124.28"/>
    <s v="Spring"/>
    <s v="Card"/>
    <n v="3.1"/>
    <x v="6"/>
    <n v="3"/>
    <n v="147.95238095238096"/>
    <n v="23.672380952380962"/>
    <x v="0"/>
    <n v="1"/>
  </r>
  <r>
    <n v="652"/>
    <n v="69"/>
    <s v="Male"/>
    <s v="Sports"/>
    <s v="Dumbbells"/>
    <n v="100.45"/>
    <s v="Winter"/>
    <s v="Card"/>
    <n v="3.6"/>
    <x v="1"/>
    <n v="4"/>
    <n v="115.45977011494253"/>
    <n v="15.009770114942526"/>
    <x v="2"/>
    <n v="1"/>
  </r>
  <r>
    <n v="653"/>
    <n v="52"/>
    <s v="Male"/>
    <s v="Home"/>
    <s v="Kitchen Set"/>
    <n v="56.48"/>
    <s v="Spring"/>
    <s v="Cash on Delivery"/>
    <n v="5"/>
    <x v="28"/>
    <n v="12"/>
    <n v="79.549295774647888"/>
    <n v="23.069295774647891"/>
    <x v="4"/>
    <n v="1"/>
  </r>
  <r>
    <n v="654"/>
    <n v="60"/>
    <s v="Female"/>
    <s v="Accessories"/>
    <s v="Wallet"/>
    <n v="30.06"/>
    <s v="Autumn"/>
    <s v="Card"/>
    <n v="4.5999999999999996"/>
    <x v="10"/>
    <n v="6"/>
    <n v="38.538461538461533"/>
    <n v="8.4784615384615343"/>
    <x v="0"/>
    <n v="1"/>
  </r>
  <r>
    <n v="655"/>
    <n v="70"/>
    <s v="Female"/>
    <s v="Footwear"/>
    <s v="Sandals"/>
    <n v="54"/>
    <s v="Autumn"/>
    <s v="Card"/>
    <n v="2.8"/>
    <x v="25"/>
    <n v="10"/>
    <n v="77.142857142857153"/>
    <n v="23.142857142857153"/>
    <x v="2"/>
    <n v="1"/>
  </r>
  <r>
    <n v="656"/>
    <n v="67"/>
    <s v="Male"/>
    <s v="Mens Clothing"/>
    <s v="Jeans"/>
    <n v="174.5"/>
    <s v="Summer"/>
    <s v="Card"/>
    <n v="4.5"/>
    <x v="19"/>
    <n v="5"/>
    <n v="205.29411764705884"/>
    <n v="30.79411764705884"/>
    <x v="2"/>
    <n v="1"/>
  </r>
  <r>
    <n v="657"/>
    <n v="20"/>
    <s v="Female"/>
    <s v="Accessories"/>
    <s v="Sunglasses"/>
    <n v="92.35"/>
    <s v="Autumn"/>
    <s v="Card"/>
    <n v="3.3"/>
    <x v="8"/>
    <n v="1"/>
    <n v="104.94318181818181"/>
    <n v="12.593181818181819"/>
    <x v="3"/>
    <n v="1"/>
  </r>
  <r>
    <n v="658"/>
    <n v="33"/>
    <s v="Female"/>
    <s v="Accessories"/>
    <s v="Wallet"/>
    <n v="40.85"/>
    <s v="Summer"/>
    <s v="Cash on Delivery"/>
    <n v="4.2"/>
    <x v="0"/>
    <n v="4"/>
    <n v="49.817073170731703"/>
    <n v="8.9670731707317017"/>
    <x v="5"/>
    <n v="1"/>
  </r>
  <r>
    <n v="659"/>
    <n v="27"/>
    <s v="Male"/>
    <s v="Sports"/>
    <s v="Yoga Mat"/>
    <n v="68.16"/>
    <s v="Spring"/>
    <s v="Card"/>
    <n v="4.0999999999999996"/>
    <x v="7"/>
    <n v="5"/>
    <n v="75.733333333333334"/>
    <n v="7.5733333333333377"/>
    <x v="5"/>
    <n v="1"/>
  </r>
  <r>
    <n v="660"/>
    <n v="33"/>
    <s v="Female"/>
    <s v="Beauty"/>
    <s v="Makeup Set"/>
    <n v="107.56"/>
    <s v="Spring"/>
    <s v="Card"/>
    <n v="2.6"/>
    <x v="5"/>
    <n v="4"/>
    <n v="116.91304347826086"/>
    <n v="9.353043478260858"/>
    <x v="5"/>
    <n v="1"/>
  </r>
  <r>
    <n v="661"/>
    <n v="54"/>
    <s v="Female"/>
    <s v="Footwear"/>
    <s v="Sneakers"/>
    <n v="242.06"/>
    <s v="Spring"/>
    <s v="Card"/>
    <n v="4.0999999999999996"/>
    <x v="12"/>
    <n v="7"/>
    <n v="298.83950617283949"/>
    <n v="56.77950617283949"/>
    <x v="4"/>
    <n v="1"/>
  </r>
  <r>
    <n v="662"/>
    <n v="45"/>
    <s v="Female"/>
    <s v="Beauty"/>
    <s v="Perfume"/>
    <n v="144.31"/>
    <s v="Autumn"/>
    <s v="Card"/>
    <n v="3.8"/>
    <x v="29"/>
    <n v="0"/>
    <n v="144.31"/>
    <n v="0"/>
    <x v="1"/>
    <n v="1"/>
  </r>
  <r>
    <n v="663"/>
    <n v="28"/>
    <s v="Female"/>
    <s v="Beauty"/>
    <s v="Perfume"/>
    <n v="119.55"/>
    <s v="Winter"/>
    <s v="Card"/>
    <n v="3.6"/>
    <x v="16"/>
    <n v="3"/>
    <n v="127.18085106382979"/>
    <n v="7.6308510638297946"/>
    <x v="5"/>
    <n v="1"/>
  </r>
  <r>
    <n v="664"/>
    <n v="46"/>
    <s v="Male"/>
    <s v="Sports"/>
    <s v="Football"/>
    <n v="56.34"/>
    <s v="Winter"/>
    <s v="Cash on Delivery"/>
    <n v="2.9"/>
    <x v="2"/>
    <n v="3"/>
    <n v="63.303370786516858"/>
    <n v="6.9633707865168546"/>
    <x v="4"/>
    <n v="1"/>
  </r>
  <r>
    <n v="665"/>
    <n v="25"/>
    <s v="Male"/>
    <s v="Home"/>
    <s v="Lamp"/>
    <n v="279.19"/>
    <s v="Summer"/>
    <s v="Card"/>
    <n v="4.5"/>
    <x v="5"/>
    <n v="4"/>
    <n v="303.46739130434781"/>
    <n v="24.277391304347816"/>
    <x v="3"/>
    <n v="1"/>
  </r>
  <r>
    <n v="666"/>
    <n v="31"/>
    <s v="Female"/>
    <s v="Beauty"/>
    <s v="Makeup Set"/>
    <n v="34.01"/>
    <s v="Summer"/>
    <s v="Card"/>
    <n v="3.8"/>
    <x v="10"/>
    <n v="6"/>
    <n v="43.602564102564095"/>
    <n v="9.5925641025640971"/>
    <x v="5"/>
    <n v="1"/>
  </r>
  <r>
    <n v="667"/>
    <n v="60"/>
    <s v="Male"/>
    <s v="Footwear"/>
    <s v="Sneakers"/>
    <n v="99.93"/>
    <s v="Winter"/>
    <s v="Card"/>
    <n v="3.5"/>
    <x v="24"/>
    <n v="9"/>
    <n v="138.79166666666669"/>
    <n v="38.861666666666679"/>
    <x v="0"/>
    <n v="1"/>
  </r>
  <r>
    <n v="668"/>
    <n v="64"/>
    <s v="Male"/>
    <s v="Electronics"/>
    <s v="Headphones"/>
    <n v="1514.05"/>
    <s v="Winter"/>
    <s v="Card"/>
    <n v="3.7"/>
    <x v="3"/>
    <n v="5"/>
    <n v="1892.5624999999998"/>
    <n v="378.51249999999982"/>
    <x v="0"/>
    <n v="1"/>
  </r>
  <r>
    <n v="669"/>
    <n v="62"/>
    <s v="Male"/>
    <s v="Mens Clothing"/>
    <s v="T-Shirt"/>
    <n v="182.98"/>
    <s v="Autumn"/>
    <s v="Card"/>
    <n v="3.1"/>
    <x v="1"/>
    <n v="4"/>
    <n v="210.32183908045977"/>
    <n v="27.341839080459778"/>
    <x v="0"/>
    <n v="1"/>
  </r>
  <r>
    <n v="670"/>
    <n v="24"/>
    <s v="Male"/>
    <s v="Home"/>
    <s v="Curtains"/>
    <n v="237.47"/>
    <s v="Winter"/>
    <s v="Card"/>
    <n v="3.2"/>
    <x v="24"/>
    <n v="9"/>
    <n v="329.81944444444446"/>
    <n v="92.349444444444458"/>
    <x v="3"/>
    <n v="1"/>
  </r>
  <r>
    <n v="671"/>
    <n v="64"/>
    <s v="Male"/>
    <s v="Electronics"/>
    <s v="Laptop"/>
    <n v="1417.01"/>
    <s v="Spring"/>
    <s v="Card"/>
    <n v="4"/>
    <x v="15"/>
    <n v="1"/>
    <n v="1445.9285714285716"/>
    <n v="28.918571428571568"/>
    <x v="0"/>
    <n v="1"/>
  </r>
  <r>
    <n v="672"/>
    <n v="27"/>
    <s v="Female"/>
    <s v="Womens Clothing"/>
    <s v="Skirt"/>
    <n v="43.52"/>
    <s v="Summer"/>
    <s v="Cash on Delivery"/>
    <n v="4.0999999999999996"/>
    <x v="1"/>
    <n v="4"/>
    <n v="50.022988505747129"/>
    <n v="6.5029885057471262"/>
    <x v="5"/>
    <n v="1"/>
  </r>
  <r>
    <n v="673"/>
    <n v="33"/>
    <s v="Female"/>
    <s v="Womens Clothing"/>
    <s v="Skirt"/>
    <n v="116.95"/>
    <s v="Summer"/>
    <s v="Card"/>
    <n v="4.5999999999999996"/>
    <x v="21"/>
    <n v="8"/>
    <n v="148.03797468354429"/>
    <n v="31.087974683544289"/>
    <x v="5"/>
    <n v="1"/>
  </r>
  <r>
    <n v="674"/>
    <n v="61"/>
    <s v="Female"/>
    <s v="Womens Clothing"/>
    <s v="Jeans"/>
    <n v="196.34"/>
    <s v="Winter"/>
    <s v="Card"/>
    <n v="3"/>
    <x v="6"/>
    <n v="8"/>
    <n v="233.73809523809524"/>
    <n v="37.398095238095237"/>
    <x v="0"/>
    <n v="1"/>
  </r>
  <r>
    <n v="675"/>
    <n v="68"/>
    <s v="Female"/>
    <s v="Footwear"/>
    <s v="Sandals"/>
    <n v="163.6"/>
    <s v="Spring"/>
    <s v="Card"/>
    <n v="4.3"/>
    <x v="10"/>
    <n v="6"/>
    <n v="209.74358974358972"/>
    <n v="46.143589743589729"/>
    <x v="2"/>
    <n v="1"/>
  </r>
  <r>
    <n v="676"/>
    <n v="54"/>
    <s v="Male"/>
    <s v="Footwear"/>
    <s v="Sneakers"/>
    <n v="144.58000000000001"/>
    <s v="Spring"/>
    <s v="Card"/>
    <n v="3.9"/>
    <x v="18"/>
    <n v="7"/>
    <n v="190.23684210526318"/>
    <n v="45.656842105263166"/>
    <x v="4"/>
    <n v="1"/>
  </r>
  <r>
    <n v="677"/>
    <n v="22"/>
    <s v="Male"/>
    <s v="Sports"/>
    <s v="Yoga Mat"/>
    <n v="158.63999999999999"/>
    <s v="Spring"/>
    <s v="Card"/>
    <n v="3.9"/>
    <x v="21"/>
    <n v="8"/>
    <n v="200.81012658227846"/>
    <n v="42.170126582278471"/>
    <x v="3"/>
    <n v="1"/>
  </r>
  <r>
    <n v="678"/>
    <n v="52"/>
    <s v="Female"/>
    <s v="Groceries"/>
    <s v="Beverages"/>
    <n v="5.89"/>
    <s v="Summer"/>
    <s v="Card"/>
    <n v="3.6"/>
    <x v="23"/>
    <n v="1"/>
    <n v="6.333333333333333"/>
    <n v="0.44333333333333336"/>
    <x v="4"/>
    <n v="1"/>
  </r>
  <r>
    <n v="679"/>
    <n v="63"/>
    <s v="Female"/>
    <s v="Accessories"/>
    <s v="Handbag"/>
    <n v="168.46"/>
    <s v="Winter"/>
    <s v="Card"/>
    <n v="3.1"/>
    <x v="3"/>
    <n v="5"/>
    <n v="210.57499999999999"/>
    <n v="42.114999999999981"/>
    <x v="0"/>
    <n v="1"/>
  </r>
  <r>
    <n v="680"/>
    <n v="53"/>
    <s v="Female"/>
    <s v="Womens Clothing"/>
    <s v="Jeans"/>
    <n v="102.52"/>
    <s v="Spring"/>
    <s v="Card"/>
    <n v="4.3"/>
    <x v="6"/>
    <n v="8"/>
    <n v="122.04761904761905"/>
    <n v="19.527619047619055"/>
    <x v="4"/>
    <n v="1"/>
  </r>
  <r>
    <n v="681"/>
    <n v="31"/>
    <s v="Female"/>
    <s v="Beauty"/>
    <s v="Skincare Kit"/>
    <n v="47.92"/>
    <s v="Summer"/>
    <s v="Card"/>
    <n v="3.6"/>
    <x v="5"/>
    <n v="4"/>
    <n v="52.086956521739133"/>
    <n v="4.1669565217391309"/>
    <x v="5"/>
    <n v="1"/>
  </r>
  <r>
    <n v="682"/>
    <n v="27"/>
    <s v="Male"/>
    <s v="Sports"/>
    <s v="Dumbbells"/>
    <n v="119.22"/>
    <s v="Winter"/>
    <s v="Card"/>
    <n v="4"/>
    <x v="6"/>
    <n v="3"/>
    <n v="141.92857142857144"/>
    <n v="22.708571428571446"/>
    <x v="5"/>
    <n v="1"/>
  </r>
  <r>
    <n v="683"/>
    <n v="22"/>
    <s v="Male"/>
    <s v="Home"/>
    <s v="Lamp"/>
    <n v="83.17"/>
    <s v="Summer"/>
    <s v="Cash on Delivery"/>
    <n v="4.5999999999999996"/>
    <x v="10"/>
    <n v="6"/>
    <n v="106.62820512820512"/>
    <n v="23.458205128205122"/>
    <x v="3"/>
    <n v="1"/>
  </r>
  <r>
    <n v="684"/>
    <n v="41"/>
    <s v="Male"/>
    <s v="Electronics"/>
    <s v="Laptop"/>
    <n v="1496.4"/>
    <s v="Spring"/>
    <s v="Card"/>
    <n v="3.9"/>
    <x v="6"/>
    <n v="3"/>
    <n v="1781.4285714285716"/>
    <n v="285.02857142857147"/>
    <x v="1"/>
    <n v="1"/>
  </r>
  <r>
    <n v="685"/>
    <n v="35"/>
    <s v="Female"/>
    <s v="Home"/>
    <s v="Curtains"/>
    <n v="121.52"/>
    <s v="Summer"/>
    <s v="Card"/>
    <n v="3.6"/>
    <x v="7"/>
    <n v="5"/>
    <n v="135.02222222222221"/>
    <n v="13.502222222222215"/>
    <x v="5"/>
    <n v="1"/>
  </r>
  <r>
    <n v="686"/>
    <n v="51"/>
    <s v="Female"/>
    <s v="Beauty"/>
    <s v="Makeup Set"/>
    <n v="101.58"/>
    <s v="Spring"/>
    <s v="Card"/>
    <n v="3.7"/>
    <x v="4"/>
    <n v="2"/>
    <n v="118.11627906976744"/>
    <n v="16.536279069767446"/>
    <x v="4"/>
    <n v="1"/>
  </r>
  <r>
    <n v="687"/>
    <n v="20"/>
    <s v="Female"/>
    <s v="Accessories"/>
    <s v="Wallet"/>
    <n v="96.93"/>
    <s v="Spring"/>
    <s v="Cash on Delivery"/>
    <n v="3.2"/>
    <x v="8"/>
    <n v="6"/>
    <n v="110.14772727272728"/>
    <n v="13.217727272727274"/>
    <x v="3"/>
    <n v="1"/>
  </r>
  <r>
    <n v="688"/>
    <n v="63"/>
    <s v="Male"/>
    <s v="Sports"/>
    <s v="Football"/>
    <n v="195.87"/>
    <s v="Spring"/>
    <s v="Card"/>
    <n v="4"/>
    <x v="0"/>
    <n v="4"/>
    <n v="238.86585365853657"/>
    <n v="42.995853658536561"/>
    <x v="0"/>
    <n v="1"/>
  </r>
  <r>
    <n v="689"/>
    <n v="57"/>
    <s v="Female"/>
    <s v="Footwear"/>
    <s v="Sneakers"/>
    <n v="152.19"/>
    <s v="Spring"/>
    <s v="Card"/>
    <n v="5"/>
    <x v="1"/>
    <n v="4"/>
    <n v="174.93103448275861"/>
    <n v="22.741034482758607"/>
    <x v="0"/>
    <n v="1"/>
  </r>
  <r>
    <n v="690"/>
    <n v="68"/>
    <s v="Male"/>
    <s v="Mens Clothing"/>
    <s v="T-Shirt"/>
    <n v="71.13"/>
    <s v="Winter"/>
    <s v="Cash on Delivery"/>
    <n v="3.8"/>
    <x v="7"/>
    <n v="5"/>
    <n v="79.033333333333331"/>
    <n v="7.903333333333336"/>
    <x v="2"/>
    <n v="1"/>
  </r>
  <r>
    <n v="691"/>
    <n v="68"/>
    <s v="Female"/>
    <s v="Beauty"/>
    <s v="Skincare Kit"/>
    <n v="139.63999999999999"/>
    <s v="Spring"/>
    <s v="Card"/>
    <n v="4.0999999999999996"/>
    <x v="3"/>
    <n v="5"/>
    <n v="174.54999999999998"/>
    <n v="34.909999999999997"/>
    <x v="2"/>
    <n v="1"/>
  </r>
  <r>
    <n v="692"/>
    <n v="65"/>
    <s v="Male"/>
    <s v="Footwear"/>
    <s v="Sandals"/>
    <n v="134.93"/>
    <s v="Summer"/>
    <s v="Card"/>
    <n v="4"/>
    <x v="19"/>
    <n v="5"/>
    <n v="158.74117647058824"/>
    <n v="23.811176470588236"/>
    <x v="0"/>
    <n v="1"/>
  </r>
  <r>
    <n v="693"/>
    <n v="30"/>
    <s v="Male"/>
    <s v="Footwear"/>
    <s v="Sandals"/>
    <n v="75.61"/>
    <s v="Autumn"/>
    <s v="Cash on Delivery"/>
    <n v="3.1"/>
    <x v="14"/>
    <n v="6"/>
    <n v="91.096385542168676"/>
    <n v="15.486385542168676"/>
    <x v="5"/>
    <n v="1"/>
  </r>
  <r>
    <n v="694"/>
    <n v="23"/>
    <s v="Female"/>
    <s v="Accessories"/>
    <s v="Sunglasses"/>
    <n v="115.77"/>
    <s v="Winter"/>
    <s v="Card"/>
    <n v="4.5"/>
    <x v="1"/>
    <n v="4"/>
    <n v="133.06896551724137"/>
    <n v="17.298965517241371"/>
    <x v="3"/>
    <n v="1"/>
  </r>
  <r>
    <n v="695"/>
    <n v="23"/>
    <s v="Female"/>
    <s v="Footwear"/>
    <s v="Sandals"/>
    <n v="223.09"/>
    <s v="Spring"/>
    <s v="Card"/>
    <n v="4.0999999999999996"/>
    <x v="6"/>
    <n v="3"/>
    <n v="265.58333333333337"/>
    <n v="42.493333333333368"/>
    <x v="3"/>
    <n v="1"/>
  </r>
  <r>
    <n v="696"/>
    <n v="59"/>
    <s v="Female"/>
    <s v="Beauty"/>
    <s v="Skincare Kit"/>
    <n v="127.79"/>
    <s v="Winter"/>
    <s v="Card"/>
    <n v="3.8"/>
    <x v="16"/>
    <n v="3"/>
    <n v="135.94680851063831"/>
    <n v="8.1568085106382995"/>
    <x v="0"/>
    <n v="1"/>
  </r>
  <r>
    <n v="697"/>
    <n v="35"/>
    <s v="Male"/>
    <s v="Groceries"/>
    <s v="Cooking Oil"/>
    <n v="49.52"/>
    <s v="Spring"/>
    <s v="Cash on Delivery"/>
    <n v="3.6"/>
    <x v="1"/>
    <n v="4"/>
    <n v="56.919540229885058"/>
    <n v="7.399540229885055"/>
    <x v="5"/>
    <n v="1"/>
  </r>
  <r>
    <n v="698"/>
    <n v="59"/>
    <s v="Female"/>
    <s v="Footwear"/>
    <s v="Sneakers"/>
    <n v="105.81"/>
    <s v="Winter"/>
    <s v="Card"/>
    <n v="3.8"/>
    <x v="22"/>
    <n v="9"/>
    <n v="137.41558441558442"/>
    <n v="31.605584415584417"/>
    <x v="0"/>
    <n v="1"/>
  </r>
  <r>
    <n v="699"/>
    <n v="42"/>
    <s v="Female"/>
    <s v="Womens Clothing"/>
    <s v="Dress"/>
    <n v="178.77"/>
    <s v="Summer"/>
    <s v="Card"/>
    <n v="3.4"/>
    <x v="13"/>
    <n v="2"/>
    <n v="196.45054945054946"/>
    <n v="17.680549450549449"/>
    <x v="1"/>
    <n v="1"/>
  </r>
  <r>
    <n v="700"/>
    <n v="28"/>
    <s v="Male"/>
    <s v="Groceries"/>
    <s v="Rice Pack"/>
    <n v="54.61"/>
    <s v="Winter"/>
    <s v="Card"/>
    <n v="4.0999999999999996"/>
    <x v="5"/>
    <n v="4"/>
    <n v="59.358695652173907"/>
    <n v="4.7486956521739074"/>
    <x v="5"/>
    <n v="1"/>
  </r>
  <r>
    <n v="701"/>
    <n v="49"/>
    <s v="Male"/>
    <s v="Electronics"/>
    <s v="Smart Watch"/>
    <n v="1321.86"/>
    <s v="Spring"/>
    <s v="Card"/>
    <n v="4.4000000000000004"/>
    <x v="18"/>
    <n v="7"/>
    <n v="1739.2894736842104"/>
    <n v="417.42947368421051"/>
    <x v="4"/>
    <n v="1"/>
  </r>
  <r>
    <n v="702"/>
    <n v="36"/>
    <s v="Male"/>
    <s v="Footwear"/>
    <s v="Sneakers"/>
    <n v="157.33000000000001"/>
    <s v="Summer"/>
    <s v="Card"/>
    <n v="3.7"/>
    <x v="14"/>
    <n v="6"/>
    <n v="189.5542168674699"/>
    <n v="32.224216867469892"/>
    <x v="1"/>
    <n v="1"/>
  </r>
  <r>
    <n v="703"/>
    <n v="31"/>
    <s v="Male"/>
    <s v="Footwear"/>
    <s v="Formal Shoes"/>
    <n v="157.43"/>
    <s v="Winter"/>
    <s v="Card"/>
    <n v="3"/>
    <x v="16"/>
    <n v="3"/>
    <n v="167.47872340425533"/>
    <n v="10.048723404255327"/>
    <x v="5"/>
    <n v="1"/>
  </r>
  <r>
    <n v="704"/>
    <n v="38"/>
    <s v="Male"/>
    <s v="Mens Clothing"/>
    <s v="Jacket"/>
    <n v="160.97999999999999"/>
    <s v="Spring"/>
    <s v="Card"/>
    <n v="2.9"/>
    <x v="3"/>
    <n v="5"/>
    <n v="201.22499999999997"/>
    <n v="40.244999999999976"/>
    <x v="1"/>
    <n v="1"/>
  </r>
  <r>
    <n v="705"/>
    <n v="46"/>
    <s v="Male"/>
    <s v="Sports"/>
    <s v="Yoga Mat"/>
    <n v="107.82"/>
    <s v="Winter"/>
    <s v="Card"/>
    <n v="3.9"/>
    <x v="23"/>
    <n v="1"/>
    <n v="115.93548387096774"/>
    <n v="8.1154838709677506"/>
    <x v="4"/>
    <n v="1"/>
  </r>
  <r>
    <n v="706"/>
    <n v="39"/>
    <s v="Female"/>
    <s v="Footwear"/>
    <s v="Formal Shoes"/>
    <n v="217.69"/>
    <s v="Summer"/>
    <s v="Card"/>
    <n v="2.6"/>
    <x v="7"/>
    <n v="5"/>
    <n v="241.87777777777777"/>
    <n v="24.187777777777768"/>
    <x v="1"/>
    <n v="1"/>
  </r>
  <r>
    <n v="707"/>
    <n v="45"/>
    <s v="Male"/>
    <s v="Sports"/>
    <s v="Yoga Mat"/>
    <n v="141.27000000000001"/>
    <s v="Autumn"/>
    <s v="Card"/>
    <n v="3.2"/>
    <x v="6"/>
    <n v="3"/>
    <n v="168.17857142857144"/>
    <n v="26.908571428571435"/>
    <x v="1"/>
    <n v="1"/>
  </r>
  <r>
    <n v="708"/>
    <n v="57"/>
    <s v="Male"/>
    <s v="Footwear"/>
    <s v="Sandals"/>
    <n v="233.72"/>
    <s v="Summer"/>
    <s v="Card"/>
    <n v="2.8"/>
    <x v="4"/>
    <n v="7"/>
    <n v="271.76744186046511"/>
    <n v="38.047441860465113"/>
    <x v="0"/>
    <n v="1"/>
  </r>
  <r>
    <n v="709"/>
    <n v="53"/>
    <s v="Male"/>
    <s v="Electronics"/>
    <s v="Headphones"/>
    <n v="1792.88"/>
    <s v="Winter"/>
    <s v="Card"/>
    <n v="3.6"/>
    <x v="12"/>
    <n v="7"/>
    <n v="2213.4320987654319"/>
    <n v="420.55209876543177"/>
    <x v="4"/>
    <n v="1"/>
  </r>
  <r>
    <n v="710"/>
    <n v="24"/>
    <s v="Male"/>
    <s v="Electronics"/>
    <s v="Smart Watch"/>
    <n v="1064.7"/>
    <s v="Winter"/>
    <s v="Card"/>
    <n v="5"/>
    <x v="0"/>
    <n v="4"/>
    <n v="1298.4146341463413"/>
    <n v="233.71463414634127"/>
    <x v="3"/>
    <n v="1"/>
  </r>
  <r>
    <n v="711"/>
    <n v="44"/>
    <s v="Female"/>
    <s v="Accessories"/>
    <s v="Sunglasses"/>
    <n v="103.15"/>
    <s v="Autumn"/>
    <s v="Card"/>
    <n v="3.6"/>
    <x v="1"/>
    <n v="4"/>
    <n v="118.56321839080461"/>
    <n v="15.413218390804602"/>
    <x v="1"/>
    <n v="1"/>
  </r>
  <r>
    <n v="712"/>
    <n v="69"/>
    <s v="Male"/>
    <s v="Footwear"/>
    <s v="Sandals"/>
    <n v="48.78"/>
    <s v="Summer"/>
    <s v="Card"/>
    <n v="1.9"/>
    <x v="14"/>
    <n v="6"/>
    <n v="58.7710843373494"/>
    <n v="9.9910843373493989"/>
    <x v="2"/>
    <n v="1"/>
  </r>
  <r>
    <n v="713"/>
    <n v="64"/>
    <s v="Female"/>
    <s v="Beauty"/>
    <s v="Perfume"/>
    <n v="74.05"/>
    <s v="Spring"/>
    <s v="Card"/>
    <n v="4.9000000000000004"/>
    <x v="21"/>
    <n v="8"/>
    <n v="93.73417721518986"/>
    <n v="19.684177215189862"/>
    <x v="0"/>
    <n v="1"/>
  </r>
  <r>
    <n v="714"/>
    <n v="59"/>
    <s v="Female"/>
    <s v="Womens Clothing"/>
    <s v="Dress"/>
    <n v="35.33"/>
    <s v="Summer"/>
    <s v="Cash on Delivery"/>
    <n v="3.7"/>
    <x v="1"/>
    <n v="4"/>
    <n v="40.609195402298852"/>
    <n v="5.2791954022988534"/>
    <x v="0"/>
    <n v="1"/>
  </r>
  <r>
    <n v="715"/>
    <n v="68"/>
    <s v="Female"/>
    <s v="Womens Clothing"/>
    <s v="Jeans"/>
    <n v="114.33"/>
    <s v="Summer"/>
    <s v="Card"/>
    <n v="2.9"/>
    <x v="7"/>
    <n v="5"/>
    <n v="127.03333333333333"/>
    <n v="12.703333333333333"/>
    <x v="2"/>
    <n v="1"/>
  </r>
  <r>
    <n v="716"/>
    <n v="48"/>
    <s v="Female"/>
    <s v="Accessories"/>
    <s v="Handbag"/>
    <n v="41.13"/>
    <s v="Winter"/>
    <s v="Card"/>
    <n v="3.2"/>
    <x v="13"/>
    <n v="2"/>
    <n v="45.197802197802197"/>
    <n v="4.0678021978021945"/>
    <x v="4"/>
    <n v="1"/>
  </r>
  <r>
    <n v="717"/>
    <n v="56"/>
    <s v="Female"/>
    <s v="Home"/>
    <s v="Kitchen Set"/>
    <n v="245.44"/>
    <s v="Spring"/>
    <s v="Card"/>
    <n v="3.2"/>
    <x v="15"/>
    <n v="1"/>
    <n v="250.44897959183675"/>
    <n v="5.0089795918367486"/>
    <x v="0"/>
    <n v="1"/>
  </r>
  <r>
    <n v="718"/>
    <n v="36"/>
    <s v="Female"/>
    <s v="Womens Clothing"/>
    <s v="Jeans"/>
    <n v="153.84"/>
    <s v="Winter"/>
    <s v="Card"/>
    <n v="3.2"/>
    <x v="29"/>
    <n v="0"/>
    <n v="153.84"/>
    <n v="0"/>
    <x v="1"/>
    <n v="1"/>
  </r>
  <r>
    <n v="719"/>
    <n v="44"/>
    <s v="Female"/>
    <s v="Footwear"/>
    <s v="Sandals"/>
    <n v="236.11"/>
    <s v="Summer"/>
    <s v="Card"/>
    <n v="5"/>
    <x v="22"/>
    <n v="9"/>
    <n v="306.63636363636363"/>
    <n v="70.526363636363612"/>
    <x v="1"/>
    <n v="1"/>
  </r>
  <r>
    <n v="720"/>
    <n v="54"/>
    <s v="Female"/>
    <s v="Womens Clothing"/>
    <s v="Dress"/>
    <n v="165.35"/>
    <s v="Autumn"/>
    <s v="Card"/>
    <n v="3.7"/>
    <x v="7"/>
    <n v="0"/>
    <n v="183.7222222222222"/>
    <n v="18.372222222222206"/>
    <x v="4"/>
    <n v="1"/>
  </r>
  <r>
    <n v="721"/>
    <n v="30"/>
    <s v="Female"/>
    <s v="Accessories"/>
    <s v="Sunglasses"/>
    <n v="59.51"/>
    <s v="Winter"/>
    <s v="Card"/>
    <n v="3.8"/>
    <x v="18"/>
    <n v="7"/>
    <n v="78.30263157894737"/>
    <n v="18.792631578947372"/>
    <x v="5"/>
    <n v="1"/>
  </r>
  <r>
    <n v="722"/>
    <n v="61"/>
    <s v="Male"/>
    <s v="Sports"/>
    <s v="Dumbbells"/>
    <n v="190.26"/>
    <s v="Winter"/>
    <s v="Card"/>
    <n v="4.4000000000000004"/>
    <x v="4"/>
    <n v="2"/>
    <n v="221.23255813953489"/>
    <n v="30.972558139534897"/>
    <x v="0"/>
    <n v="1"/>
  </r>
  <r>
    <n v="723"/>
    <n v="63"/>
    <s v="Female"/>
    <s v="Home"/>
    <s v="Kitchen Set"/>
    <n v="168.64"/>
    <s v="Autumn"/>
    <s v="Card"/>
    <n v="3.2"/>
    <x v="16"/>
    <n v="3"/>
    <n v="179.40425531914894"/>
    <n v="10.764255319148958"/>
    <x v="0"/>
    <n v="1"/>
  </r>
  <r>
    <n v="724"/>
    <n v="42"/>
    <s v="Male"/>
    <s v="Electronics"/>
    <s v="Headphones"/>
    <n v="2517.98"/>
    <s v="Summer"/>
    <s v="Card"/>
    <n v="3.2"/>
    <x v="14"/>
    <n v="6"/>
    <n v="3033.7108433734943"/>
    <n v="515.73084337349428"/>
    <x v="1"/>
    <n v="1"/>
  </r>
  <r>
    <n v="725"/>
    <n v="35"/>
    <s v="Male"/>
    <s v="Sports"/>
    <s v="Football"/>
    <n v="240.4"/>
    <s v="Winter"/>
    <s v="Card"/>
    <n v="3.7"/>
    <x v="7"/>
    <n v="5"/>
    <n v="267.11111111111109"/>
    <n v="26.71111111111108"/>
    <x v="5"/>
    <n v="1"/>
  </r>
  <r>
    <n v="726"/>
    <n v="66"/>
    <s v="Female"/>
    <s v="Groceries"/>
    <s v="Beverages"/>
    <n v="75.72"/>
    <s v="Spring"/>
    <s v="Card"/>
    <n v="3.9"/>
    <x v="4"/>
    <n v="7"/>
    <n v="88.04651162790698"/>
    <n v="12.326511627906982"/>
    <x v="2"/>
    <n v="1"/>
  </r>
  <r>
    <n v="727"/>
    <n v="37"/>
    <s v="Male"/>
    <s v="Footwear"/>
    <s v="Formal Shoes"/>
    <n v="229.47"/>
    <s v="Spring"/>
    <s v="Card"/>
    <n v="4.2"/>
    <x v="4"/>
    <n v="7"/>
    <n v="266.82558139534882"/>
    <n v="37.355581395348821"/>
    <x v="1"/>
    <n v="1"/>
  </r>
  <r>
    <n v="728"/>
    <n v="31"/>
    <s v="Female"/>
    <s v="Sports"/>
    <s v="Football"/>
    <n v="103.72"/>
    <s v="Winter"/>
    <s v="Card"/>
    <n v="3.4"/>
    <x v="3"/>
    <n v="5"/>
    <n v="129.64999999999998"/>
    <n v="25.929999999999978"/>
    <x v="5"/>
    <n v="1"/>
  </r>
  <r>
    <n v="729"/>
    <n v="46"/>
    <s v="Female"/>
    <s v="Womens Clothing"/>
    <s v="Jeans"/>
    <n v="134.76"/>
    <s v="Summer"/>
    <s v="Card"/>
    <n v="4.5999999999999996"/>
    <x v="3"/>
    <n v="5"/>
    <n v="168.45"/>
    <n v="33.69"/>
    <x v="4"/>
    <n v="1"/>
  </r>
  <r>
    <n v="730"/>
    <n v="46"/>
    <s v="Male"/>
    <s v="Groceries"/>
    <s v="Rice Pack"/>
    <n v="59.16"/>
    <s v="Autumn"/>
    <s v="Card"/>
    <n v="4.5"/>
    <x v="18"/>
    <n v="7"/>
    <n v="77.84210526315789"/>
    <n v="18.682105263157894"/>
    <x v="4"/>
    <n v="1"/>
  </r>
  <r>
    <n v="731"/>
    <n v="51"/>
    <s v="Male"/>
    <s v="Mens Clothing"/>
    <s v="T-Shirt"/>
    <n v="99.13"/>
    <s v="Summer"/>
    <s v="Card"/>
    <n v="4.0999999999999996"/>
    <x v="14"/>
    <n v="6"/>
    <n v="119.43373493975903"/>
    <n v="20.303734939759039"/>
    <x v="4"/>
    <n v="1"/>
  </r>
  <r>
    <n v="732"/>
    <n v="38"/>
    <s v="Male"/>
    <s v="Sports"/>
    <s v="Dumbbells"/>
    <n v="205.6"/>
    <s v="Spring"/>
    <s v="Card"/>
    <n v="4.5"/>
    <x v="10"/>
    <n v="6"/>
    <n v="263.58974358974359"/>
    <n v="57.989743589743597"/>
    <x v="1"/>
    <n v="1"/>
  </r>
  <r>
    <n v="733"/>
    <n v="31"/>
    <s v="Male"/>
    <s v="Footwear"/>
    <s v="Formal Shoes"/>
    <n v="51.91"/>
    <s v="Summer"/>
    <s v="Cash on Delivery"/>
    <n v="2.2000000000000002"/>
    <x v="15"/>
    <n v="1"/>
    <n v="52.969387755102041"/>
    <n v="1.0593877551020441"/>
    <x v="5"/>
    <n v="1"/>
  </r>
  <r>
    <n v="734"/>
    <n v="26"/>
    <s v="Female"/>
    <s v="Beauty"/>
    <s v="Makeup Set"/>
    <n v="64.09"/>
    <s v="Winter"/>
    <s v="Card"/>
    <n v="4.5"/>
    <x v="2"/>
    <n v="3"/>
    <n v="72.011235955056179"/>
    <n v="7.9212359550561757"/>
    <x v="5"/>
    <n v="1"/>
  </r>
  <r>
    <n v="735"/>
    <n v="46"/>
    <s v="Female"/>
    <s v="Footwear"/>
    <s v="Sandals"/>
    <n v="44.74"/>
    <s v="Winter"/>
    <s v="Cash on Delivery"/>
    <n v="3.6"/>
    <x v="1"/>
    <n v="4"/>
    <n v="51.425287356321839"/>
    <n v="6.6852873563218367"/>
    <x v="4"/>
    <n v="1"/>
  </r>
  <r>
    <n v="736"/>
    <n v="42"/>
    <s v="Female"/>
    <s v="Home"/>
    <s v="Lamp"/>
    <n v="44.21"/>
    <s v="Summer"/>
    <s v="Card"/>
    <n v="3.4"/>
    <x v="19"/>
    <n v="5"/>
    <n v="52.011764705882356"/>
    <n v="7.8017647058823556"/>
    <x v="1"/>
    <n v="1"/>
  </r>
  <r>
    <n v="737"/>
    <n v="24"/>
    <s v="Female"/>
    <s v="Accessories"/>
    <s v="Handbag"/>
    <n v="177.47"/>
    <s v="Winter"/>
    <s v="Card"/>
    <n v="3.3"/>
    <x v="5"/>
    <n v="4"/>
    <n v="192.90217391304347"/>
    <n v="15.432173913043471"/>
    <x v="3"/>
    <n v="1"/>
  </r>
  <r>
    <n v="738"/>
    <n v="30"/>
    <s v="Female"/>
    <s v="Beauty"/>
    <s v="Makeup Set"/>
    <n v="114.32"/>
    <s v="Spring"/>
    <s v="Card"/>
    <n v="4"/>
    <x v="23"/>
    <n v="1"/>
    <n v="122.9247311827957"/>
    <n v="8.6047311827957031"/>
    <x v="5"/>
    <n v="1"/>
  </r>
  <r>
    <n v="739"/>
    <n v="53"/>
    <s v="Male"/>
    <s v="Footwear"/>
    <s v="Formal Shoes"/>
    <n v="139.94"/>
    <s v="Autumn"/>
    <s v="Card"/>
    <n v="3.5"/>
    <x v="1"/>
    <n v="4"/>
    <n v="160.85057471264366"/>
    <n v="20.910574712643665"/>
    <x v="4"/>
    <n v="1"/>
  </r>
  <r>
    <n v="740"/>
    <n v="29"/>
    <s v="Male"/>
    <s v="Footwear"/>
    <s v="Sneakers"/>
    <n v="247.94"/>
    <s v="Winter"/>
    <s v="Card"/>
    <n v="3.4"/>
    <x v="5"/>
    <n v="4"/>
    <n v="269.5"/>
    <n v="21.560000000000002"/>
    <x v="5"/>
    <n v="1"/>
  </r>
  <r>
    <n v="741"/>
    <n v="49"/>
    <s v="Male"/>
    <s v="Electronics"/>
    <s v="Laptop"/>
    <n v="2588.27"/>
    <s v="Summer"/>
    <s v="Card"/>
    <n v="4.9000000000000004"/>
    <x v="2"/>
    <n v="3"/>
    <n v="2908.1685393258426"/>
    <n v="319.89853932584265"/>
    <x v="4"/>
    <n v="1"/>
  </r>
  <r>
    <n v="742"/>
    <n v="70"/>
    <s v="Male"/>
    <s v="Electronics"/>
    <s v="Mobile Phone"/>
    <n v="780.6"/>
    <s v="Autumn"/>
    <s v="Card"/>
    <n v="4.7"/>
    <x v="3"/>
    <n v="5"/>
    <n v="975.75"/>
    <n v="195.14999999999998"/>
    <x v="2"/>
    <n v="1"/>
  </r>
  <r>
    <n v="743"/>
    <n v="35"/>
    <s v="Male"/>
    <s v="Footwear"/>
    <s v="Sandals"/>
    <n v="113.18"/>
    <s v="Spring"/>
    <s v="Card"/>
    <n v="3.8"/>
    <x v="8"/>
    <n v="6"/>
    <n v="128.61363636363637"/>
    <n v="15.433636363636367"/>
    <x v="5"/>
    <n v="1"/>
  </r>
  <r>
    <n v="744"/>
    <n v="57"/>
    <s v="Male"/>
    <s v="Home"/>
    <s v="Lamp"/>
    <n v="107.82"/>
    <s v="Winter"/>
    <s v="Card"/>
    <n v="4.0999999999999996"/>
    <x v="6"/>
    <n v="3"/>
    <n v="128.35714285714286"/>
    <n v="20.537142857142868"/>
    <x v="0"/>
    <n v="1"/>
  </r>
  <r>
    <n v="745"/>
    <n v="36"/>
    <s v="Male"/>
    <s v="Home"/>
    <s v="Lamp"/>
    <n v="224.49"/>
    <s v="Autumn"/>
    <s v="Card"/>
    <n v="4.5"/>
    <x v="8"/>
    <n v="6"/>
    <n v="255.10227272727275"/>
    <n v="30.612272727272739"/>
    <x v="1"/>
    <n v="1"/>
  </r>
  <r>
    <n v="746"/>
    <n v="52"/>
    <s v="Male"/>
    <s v="Mens Clothing"/>
    <s v="Jacket"/>
    <n v="132.43"/>
    <s v="Summer"/>
    <s v="Card"/>
    <n v="3.5"/>
    <x v="8"/>
    <n v="1"/>
    <n v="150.48863636363637"/>
    <n v="18.058636363636367"/>
    <x v="4"/>
    <n v="1"/>
  </r>
  <r>
    <n v="747"/>
    <n v="47"/>
    <s v="Female"/>
    <s v="Sports"/>
    <s v="Football"/>
    <n v="57.77"/>
    <s v="Spring"/>
    <s v="Cash on Delivery"/>
    <n v="2.9"/>
    <x v="6"/>
    <n v="3"/>
    <n v="68.773809523809533"/>
    <n v="11.003809523809529"/>
    <x v="4"/>
    <n v="1"/>
  </r>
  <r>
    <n v="748"/>
    <n v="24"/>
    <s v="Male"/>
    <s v="Sports"/>
    <s v="Yoga Mat"/>
    <n v="139.11000000000001"/>
    <s v="Spring"/>
    <s v="Card"/>
    <n v="3.1"/>
    <x v="12"/>
    <n v="7"/>
    <n v="171.74074074074073"/>
    <n v="32.63074074074072"/>
    <x v="3"/>
    <n v="1"/>
  </r>
  <r>
    <n v="749"/>
    <n v="55"/>
    <s v="Female"/>
    <s v="Accessories"/>
    <s v="Wallet"/>
    <n v="159.49"/>
    <s v="Spring"/>
    <s v="Card"/>
    <n v="3.4"/>
    <x v="0"/>
    <n v="4"/>
    <n v="194.5"/>
    <n v="35.009999999999991"/>
    <x v="4"/>
    <n v="1"/>
  </r>
  <r>
    <n v="750"/>
    <n v="22"/>
    <s v="Male"/>
    <s v="Groceries"/>
    <s v="Cooking Oil"/>
    <n v="36.590000000000003"/>
    <s v="Spring"/>
    <s v="Cash on Delivery"/>
    <n v="3.2"/>
    <x v="19"/>
    <n v="5"/>
    <n v="43.047058823529419"/>
    <n v="6.4570588235294153"/>
    <x v="3"/>
    <n v="1"/>
  </r>
  <r>
    <n v="751"/>
    <n v="36"/>
    <s v="Female"/>
    <s v="Womens Clothing"/>
    <s v="Top"/>
    <n v="114.62"/>
    <s v="Summer"/>
    <s v="Card"/>
    <n v="3.4"/>
    <x v="6"/>
    <n v="3"/>
    <n v="136.45238095238096"/>
    <n v="21.832380952380959"/>
    <x v="1"/>
    <n v="1"/>
  </r>
  <r>
    <n v="752"/>
    <n v="60"/>
    <s v="Male"/>
    <s v="Sports"/>
    <s v="Dumbbells"/>
    <n v="79.86"/>
    <s v="Spring"/>
    <s v="Cash on Delivery"/>
    <n v="4.4000000000000004"/>
    <x v="12"/>
    <n v="7"/>
    <n v="98.592592592592581"/>
    <n v="18.732592592592582"/>
    <x v="0"/>
    <n v="1"/>
  </r>
  <r>
    <n v="753"/>
    <n v="43"/>
    <s v="Male"/>
    <s v="Mens Clothing"/>
    <s v="Jacket"/>
    <n v="110.06"/>
    <s v="Summer"/>
    <s v="Card"/>
    <n v="3.3"/>
    <x v="3"/>
    <n v="10"/>
    <n v="137.57499999999999"/>
    <n v="27.514999999999986"/>
    <x v="1"/>
    <n v="1"/>
  </r>
  <r>
    <n v="754"/>
    <n v="57"/>
    <s v="Male"/>
    <s v="Sports"/>
    <s v="Yoga Mat"/>
    <n v="203.13"/>
    <s v="Winter"/>
    <s v="Card"/>
    <n v="3.3"/>
    <x v="2"/>
    <n v="3"/>
    <n v="228.23595505617976"/>
    <n v="25.105955056179766"/>
    <x v="0"/>
    <n v="1"/>
  </r>
  <r>
    <n v="755"/>
    <n v="54"/>
    <s v="Male"/>
    <s v="Electronics"/>
    <s v="Laptop"/>
    <n v="1829.89"/>
    <s v="Winter"/>
    <s v="Card"/>
    <n v="4.9000000000000004"/>
    <x v="25"/>
    <n v="10"/>
    <n v="2614.1285714285718"/>
    <n v="784.23857142857173"/>
    <x v="4"/>
    <n v="1"/>
  </r>
  <r>
    <n v="756"/>
    <n v="33"/>
    <s v="Female"/>
    <s v="Sports"/>
    <s v="Football"/>
    <n v="183.9"/>
    <s v="Summer"/>
    <s v="Card"/>
    <n v="2.6"/>
    <x v="19"/>
    <n v="5"/>
    <n v="216.35294117647061"/>
    <n v="32.452941176470603"/>
    <x v="5"/>
    <n v="1"/>
  </r>
  <r>
    <n v="757"/>
    <n v="63"/>
    <s v="Female"/>
    <s v="Footwear"/>
    <s v="Formal Shoes"/>
    <n v="108.4"/>
    <s v="Spring"/>
    <s v="Card"/>
    <n v="2.6"/>
    <x v="6"/>
    <n v="3"/>
    <n v="129.04761904761907"/>
    <n v="20.64761904761906"/>
    <x v="0"/>
    <n v="1"/>
  </r>
  <r>
    <n v="758"/>
    <n v="66"/>
    <s v="Male"/>
    <s v="Groceries"/>
    <s v="Snacks"/>
    <n v="37.9"/>
    <s v="Winter"/>
    <s v="Card"/>
    <n v="3.5"/>
    <x v="4"/>
    <n v="7"/>
    <n v="44.069767441860463"/>
    <n v="6.1697674418604649"/>
    <x v="2"/>
    <n v="1"/>
  </r>
  <r>
    <n v="759"/>
    <n v="30"/>
    <s v="Male"/>
    <s v="Mens Clothing"/>
    <s v="T-Shirt"/>
    <n v="30.45"/>
    <s v="Summer"/>
    <s v="Card"/>
    <n v="3.6"/>
    <x v="19"/>
    <n v="5"/>
    <n v="35.823529411764703"/>
    <n v="5.3735294117647037"/>
    <x v="5"/>
    <n v="1"/>
  </r>
  <r>
    <n v="760"/>
    <n v="55"/>
    <s v="Male"/>
    <s v="Sports"/>
    <s v="Yoga Mat"/>
    <n v="54.84"/>
    <s v="Spring"/>
    <s v="Cash on Delivery"/>
    <n v="1.1000000000000001"/>
    <x v="5"/>
    <n v="4"/>
    <n v="59.608695652173914"/>
    <n v="4.7686956521739106"/>
    <x v="4"/>
    <n v="1"/>
  </r>
  <r>
    <n v="761"/>
    <n v="35"/>
    <s v="Female"/>
    <s v="Accessories"/>
    <s v="Sunglasses"/>
    <n v="154.72"/>
    <s v="Spring"/>
    <s v="Card"/>
    <n v="3.2"/>
    <x v="11"/>
    <n v="8"/>
    <n v="209.08108108108109"/>
    <n v="54.361081081081096"/>
    <x v="5"/>
    <n v="1"/>
  </r>
  <r>
    <n v="762"/>
    <n v="33"/>
    <s v="Male"/>
    <s v="Electronics"/>
    <s v="Headphones"/>
    <n v="2603.54"/>
    <s v="Autumn"/>
    <s v="Card"/>
    <n v="4.4000000000000004"/>
    <x v="8"/>
    <n v="6"/>
    <n v="2958.568181818182"/>
    <n v="355.02818181818202"/>
    <x v="5"/>
    <n v="1"/>
  </r>
  <r>
    <n v="763"/>
    <n v="28"/>
    <s v="Male"/>
    <s v="Footwear"/>
    <s v="Sandals"/>
    <n v="192.41"/>
    <s v="Winter"/>
    <s v="Card"/>
    <n v="3.2"/>
    <x v="5"/>
    <n v="4"/>
    <n v="209.14130434782606"/>
    <n v="16.731304347826068"/>
    <x v="5"/>
    <n v="1"/>
  </r>
  <r>
    <n v="764"/>
    <n v="38"/>
    <s v="Male"/>
    <s v="Sports"/>
    <s v="Yoga Mat"/>
    <n v="248.91"/>
    <s v="Autumn"/>
    <s v="Card"/>
    <n v="4.8"/>
    <x v="11"/>
    <n v="8"/>
    <n v="336.36486486486484"/>
    <n v="87.454864864864845"/>
    <x v="1"/>
    <n v="1"/>
  </r>
  <r>
    <n v="765"/>
    <n v="51"/>
    <s v="Male"/>
    <s v="Groceries"/>
    <s v="Beverages"/>
    <n v="43.81"/>
    <s v="Winter"/>
    <s v="Cash on Delivery"/>
    <n v="4.0999999999999996"/>
    <x v="23"/>
    <n v="1"/>
    <n v="47.107526881720439"/>
    <n v="3.2975268817204366"/>
    <x v="4"/>
    <n v="1"/>
  </r>
  <r>
    <n v="766"/>
    <n v="24"/>
    <s v="Male"/>
    <s v="Groceries"/>
    <s v="Cooking Oil"/>
    <n v="63.21"/>
    <s v="Spring"/>
    <s v="Cash on Delivery"/>
    <n v="4"/>
    <x v="7"/>
    <n v="5"/>
    <n v="70.233333333333334"/>
    <n v="7.0233333333333334"/>
    <x v="3"/>
    <n v="1"/>
  </r>
  <r>
    <n v="767"/>
    <n v="62"/>
    <s v="Male"/>
    <s v="Home"/>
    <s v="Curtains"/>
    <n v="98"/>
    <s v="Spring"/>
    <s v="Cash on Delivery"/>
    <n v="5"/>
    <x v="24"/>
    <n v="9"/>
    <n v="136.11111111111111"/>
    <n v="38.111111111111114"/>
    <x v="0"/>
    <n v="1"/>
  </r>
  <r>
    <n v="768"/>
    <n v="63"/>
    <s v="Male"/>
    <s v="Sports"/>
    <s v="Yoga Mat"/>
    <n v="117.1"/>
    <s v="Autumn"/>
    <s v="Card"/>
    <n v="3.6"/>
    <x v="5"/>
    <n v="4"/>
    <n v="127.28260869565216"/>
    <n v="10.182608695652164"/>
    <x v="0"/>
    <n v="1"/>
  </r>
  <r>
    <n v="769"/>
    <n v="60"/>
    <s v="Female"/>
    <s v="Sports"/>
    <s v="Dumbbells"/>
    <n v="248.11"/>
    <s v="Autumn"/>
    <s v="Card"/>
    <n v="3.9"/>
    <x v="3"/>
    <n v="5"/>
    <n v="310.13749999999999"/>
    <n v="62.027499999999975"/>
    <x v="0"/>
    <n v="1"/>
  </r>
  <r>
    <n v="770"/>
    <n v="26"/>
    <s v="Female"/>
    <s v="Womens Clothing"/>
    <s v="Dress"/>
    <n v="43.35"/>
    <s v="Spring"/>
    <s v="Card"/>
    <n v="4.4000000000000004"/>
    <x v="4"/>
    <n v="7"/>
    <n v="50.406976744186046"/>
    <n v="7.0569767441860449"/>
    <x v="5"/>
    <n v="1"/>
  </r>
  <r>
    <n v="771"/>
    <n v="56"/>
    <s v="Female"/>
    <s v="Groceries"/>
    <s v="Beverages"/>
    <n v="62.63"/>
    <s v="Autumn"/>
    <s v="Card"/>
    <n v="3.7"/>
    <x v="0"/>
    <n v="4"/>
    <n v="76.378048780487802"/>
    <n v="13.7480487804878"/>
    <x v="0"/>
    <n v="1"/>
  </r>
  <r>
    <n v="772"/>
    <n v="21"/>
    <s v="Female"/>
    <s v="Womens Clothing"/>
    <s v="Top"/>
    <n v="92.13"/>
    <s v="Winter"/>
    <s v="Cash on Delivery"/>
    <n v="3.5"/>
    <x v="3"/>
    <n v="5"/>
    <n v="115.16249999999999"/>
    <n v="23.032499999999999"/>
    <x v="3"/>
    <n v="1"/>
  </r>
  <r>
    <n v="773"/>
    <n v="31"/>
    <s v="Female"/>
    <s v="Accessories"/>
    <s v="Wallet"/>
    <n v="136.74"/>
    <s v="Winter"/>
    <s v="Card"/>
    <n v="2.9"/>
    <x v="5"/>
    <n v="4"/>
    <n v="148.63043478260869"/>
    <n v="11.890434782608679"/>
    <x v="5"/>
    <n v="1"/>
  </r>
  <r>
    <n v="774"/>
    <n v="51"/>
    <s v="Female"/>
    <s v="Beauty"/>
    <s v="Makeup Set"/>
    <n v="101.97"/>
    <s v="Autumn"/>
    <s v="Card"/>
    <n v="3.4"/>
    <x v="13"/>
    <n v="2"/>
    <n v="112.05494505494505"/>
    <n v="10.084945054945052"/>
    <x v="4"/>
    <n v="1"/>
  </r>
  <r>
    <n v="775"/>
    <n v="38"/>
    <s v="Female"/>
    <s v="Womens Clothing"/>
    <s v="Top"/>
    <n v="50.83"/>
    <s v="Autumn"/>
    <s v="Card"/>
    <n v="3.9"/>
    <x v="23"/>
    <n v="1"/>
    <n v="54.655913978494624"/>
    <n v="3.8259139784946257"/>
    <x v="1"/>
    <n v="1"/>
  </r>
  <r>
    <n v="776"/>
    <n v="52"/>
    <s v="Male"/>
    <s v="Footwear"/>
    <s v="Sandals"/>
    <n v="161.58000000000001"/>
    <s v="Spring"/>
    <s v="Card"/>
    <n v="2.6"/>
    <x v="10"/>
    <n v="11"/>
    <n v="207.15384615384616"/>
    <n v="45.573846153846148"/>
    <x v="4"/>
    <n v="1"/>
  </r>
  <r>
    <n v="777"/>
    <n v="36"/>
    <s v="Female"/>
    <s v="Groceries"/>
    <s v="Beverages"/>
    <n v="11.85"/>
    <s v="Spring"/>
    <s v="Cash on Delivery"/>
    <n v="3.6"/>
    <x v="12"/>
    <n v="7"/>
    <n v="14.629629629629628"/>
    <n v="2.7796296296296283"/>
    <x v="1"/>
    <n v="1"/>
  </r>
  <r>
    <n v="778"/>
    <n v="42"/>
    <s v="Male"/>
    <s v="Footwear"/>
    <s v="Sneakers"/>
    <n v="205.2"/>
    <s v="Winter"/>
    <s v="Card"/>
    <n v="2.9"/>
    <x v="17"/>
    <n v="2"/>
    <n v="213.75"/>
    <n v="8.5500000000000114"/>
    <x v="1"/>
    <n v="1"/>
  </r>
  <r>
    <n v="779"/>
    <n v="69"/>
    <s v="Male"/>
    <s v="Home"/>
    <s v="Lamp"/>
    <n v="120.93"/>
    <s v="Summer"/>
    <s v="Card"/>
    <n v="4.5"/>
    <x v="24"/>
    <n v="9"/>
    <n v="167.95833333333334"/>
    <n v="47.028333333333336"/>
    <x v="2"/>
    <n v="1"/>
  </r>
  <r>
    <n v="780"/>
    <n v="67"/>
    <s v="Male"/>
    <s v="Mens Clothing"/>
    <s v="Jacket"/>
    <n v="35.68"/>
    <s v="Autumn"/>
    <s v="Cash on Delivery"/>
    <n v="3.5"/>
    <x v="7"/>
    <n v="5"/>
    <n v="39.644444444444446"/>
    <n v="3.964444444444446"/>
    <x v="2"/>
    <n v="1"/>
  </r>
  <r>
    <n v="781"/>
    <n v="69"/>
    <s v="Male"/>
    <s v="Sports"/>
    <s v="Dumbbells"/>
    <n v="109.07"/>
    <s v="Winter"/>
    <s v="Card"/>
    <n v="3.3"/>
    <x v="7"/>
    <n v="5"/>
    <n v="121.18888888888888"/>
    <n v="12.11888888888889"/>
    <x v="2"/>
    <n v="1"/>
  </r>
  <r>
    <n v="782"/>
    <n v="30"/>
    <s v="Female"/>
    <s v="Footwear"/>
    <s v="Formal Shoes"/>
    <n v="109.86"/>
    <s v="Winter"/>
    <s v="Card"/>
    <n v="3.6"/>
    <x v="13"/>
    <n v="2"/>
    <n v="120.72527472527472"/>
    <n v="10.865274725274716"/>
    <x v="5"/>
    <n v="1"/>
  </r>
  <r>
    <n v="783"/>
    <n v="40"/>
    <s v="Female"/>
    <s v="Womens Clothing"/>
    <s v="Skirt"/>
    <n v="34.85"/>
    <s v="Summer"/>
    <s v="Cash on Delivery"/>
    <n v="3"/>
    <x v="4"/>
    <n v="2"/>
    <n v="40.52325581395349"/>
    <n v="5.6732558139534888"/>
    <x v="1"/>
    <n v="1"/>
  </r>
  <r>
    <n v="784"/>
    <n v="41"/>
    <s v="Female"/>
    <s v="Groceries"/>
    <s v="Snacks"/>
    <n v="70.84"/>
    <s v="Autumn"/>
    <s v="Card"/>
    <n v="4.4000000000000004"/>
    <x v="8"/>
    <n v="6"/>
    <n v="80.5"/>
    <n v="9.6599999999999966"/>
    <x v="1"/>
    <n v="1"/>
  </r>
  <r>
    <n v="785"/>
    <n v="20"/>
    <s v="Male"/>
    <s v="Footwear"/>
    <s v="Sandals"/>
    <n v="170.06"/>
    <s v="Winter"/>
    <s v="Card"/>
    <n v="4.4000000000000004"/>
    <x v="8"/>
    <n v="1"/>
    <n v="193.25"/>
    <n v="23.189999999999998"/>
    <x v="3"/>
    <n v="1"/>
  </r>
  <r>
    <n v="786"/>
    <n v="39"/>
    <s v="Female"/>
    <s v="Home"/>
    <s v="Lamp"/>
    <n v="80.69"/>
    <s v="Spring"/>
    <s v="Cash on Delivery"/>
    <n v="3.8"/>
    <x v="6"/>
    <n v="8"/>
    <n v="96.05952380952381"/>
    <n v="15.369523809523812"/>
    <x v="1"/>
    <n v="1"/>
  </r>
  <r>
    <n v="787"/>
    <n v="54"/>
    <s v="Male"/>
    <s v="Electronics"/>
    <s v="Laptop"/>
    <n v="980.43"/>
    <s v="Summer"/>
    <s v="Card"/>
    <n v="3.6"/>
    <x v="4"/>
    <n v="2"/>
    <n v="1140.0348837209301"/>
    <n v="159.60488372093016"/>
    <x v="4"/>
    <n v="1"/>
  </r>
  <r>
    <n v="788"/>
    <n v="66"/>
    <s v="Male"/>
    <s v="Sports"/>
    <s v="Football"/>
    <n v="103.3"/>
    <s v="Spring"/>
    <s v="Card"/>
    <n v="2.6"/>
    <x v="16"/>
    <n v="3"/>
    <n v="109.8936170212766"/>
    <n v="6.5936170212766001"/>
    <x v="2"/>
    <n v="1"/>
  </r>
  <r>
    <n v="789"/>
    <n v="39"/>
    <s v="Male"/>
    <s v="Sports"/>
    <s v="Football"/>
    <n v="245.18"/>
    <s v="Winter"/>
    <s v="Card"/>
    <n v="4"/>
    <x v="3"/>
    <n v="5"/>
    <n v="306.47499999999997"/>
    <n v="61.294999999999959"/>
    <x v="1"/>
    <n v="1"/>
  </r>
  <r>
    <n v="790"/>
    <n v="39"/>
    <s v="Female"/>
    <s v="Accessories"/>
    <s v="Handbag"/>
    <n v="128.03"/>
    <s v="Spring"/>
    <s v="Card"/>
    <n v="3.7"/>
    <x v="5"/>
    <n v="4"/>
    <n v="139.16304347826087"/>
    <n v="11.133043478260873"/>
    <x v="1"/>
    <n v="1"/>
  </r>
  <r>
    <n v="791"/>
    <n v="21"/>
    <s v="Male"/>
    <s v="Sports"/>
    <s v="Yoga Mat"/>
    <n v="231.08"/>
    <s v="Spring"/>
    <s v="Card"/>
    <n v="4.7"/>
    <x v="0"/>
    <n v="4"/>
    <n v="281.80487804878049"/>
    <n v="50.724878048780482"/>
    <x v="3"/>
    <n v="1"/>
  </r>
  <r>
    <n v="792"/>
    <n v="60"/>
    <s v="Female"/>
    <s v="Womens Clothing"/>
    <s v="Jeans"/>
    <n v="48.29"/>
    <s v="Winter"/>
    <s v="Cash on Delivery"/>
    <n v="3.9"/>
    <x v="10"/>
    <n v="6"/>
    <n v="61.910256410256409"/>
    <n v="13.62025641025641"/>
    <x v="0"/>
    <n v="1"/>
  </r>
  <r>
    <n v="793"/>
    <n v="27"/>
    <s v="Male"/>
    <s v="Electronics"/>
    <s v="Laptop"/>
    <n v="677.89"/>
    <s v="Summer"/>
    <s v="Card"/>
    <n v="3.3"/>
    <x v="6"/>
    <n v="8"/>
    <n v="807.01190476190482"/>
    <n v="129.12190476190483"/>
    <x v="5"/>
    <n v="1"/>
  </r>
  <r>
    <n v="794"/>
    <n v="36"/>
    <s v="Male"/>
    <s v="Sports"/>
    <s v="Football"/>
    <n v="163.62"/>
    <s v="Winter"/>
    <s v="Card"/>
    <n v="2.9"/>
    <x v="19"/>
    <n v="5"/>
    <n v="192.49411764705883"/>
    <n v="28.874117647058824"/>
    <x v="1"/>
    <n v="1"/>
  </r>
  <r>
    <n v="795"/>
    <n v="21"/>
    <s v="Female"/>
    <s v="Groceries"/>
    <s v="Rice Pack"/>
    <n v="23.18"/>
    <s v="Spring"/>
    <s v="Card"/>
    <n v="4.4000000000000004"/>
    <x v="2"/>
    <n v="3"/>
    <n v="26.04494382022472"/>
    <n v="2.8649438202247204"/>
    <x v="3"/>
    <n v="1"/>
  </r>
  <r>
    <n v="796"/>
    <n v="63"/>
    <s v="Male"/>
    <s v="Sports"/>
    <s v="Dumbbells"/>
    <n v="136.33000000000001"/>
    <s v="Autumn"/>
    <s v="Card"/>
    <n v="4.5999999999999996"/>
    <x v="19"/>
    <n v="5"/>
    <n v="160.38823529411766"/>
    <n v="24.058235294117651"/>
    <x v="0"/>
    <n v="1"/>
  </r>
  <r>
    <n v="797"/>
    <n v="67"/>
    <s v="Male"/>
    <s v="Electronics"/>
    <s v="Laptop"/>
    <n v="2406.63"/>
    <s v="Winter"/>
    <s v="Card"/>
    <n v="3.2"/>
    <x v="6"/>
    <n v="3"/>
    <n v="2865.0357142857147"/>
    <n v="458.40571428571457"/>
    <x v="2"/>
    <n v="1"/>
  </r>
  <r>
    <n v="798"/>
    <n v="27"/>
    <s v="Male"/>
    <s v="Footwear"/>
    <s v="Sneakers"/>
    <n v="172.16"/>
    <s v="Winter"/>
    <s v="Card"/>
    <n v="3.4"/>
    <x v="4"/>
    <n v="7"/>
    <n v="200.18604651162789"/>
    <n v="28.026046511627897"/>
    <x v="5"/>
    <n v="1"/>
  </r>
  <r>
    <n v="799"/>
    <n v="69"/>
    <s v="Male"/>
    <s v="Footwear"/>
    <s v="Sneakers"/>
    <n v="242.66"/>
    <s v="Spring"/>
    <s v="Card"/>
    <n v="5"/>
    <x v="15"/>
    <n v="1"/>
    <n v="247.61224489795919"/>
    <n v="4.95224489795919"/>
    <x v="2"/>
    <n v="1"/>
  </r>
  <r>
    <n v="800"/>
    <n v="64"/>
    <s v="Male"/>
    <s v="Sports"/>
    <s v="Football"/>
    <n v="99.39"/>
    <s v="Autumn"/>
    <s v="Card"/>
    <n v="3.6"/>
    <x v="6"/>
    <n v="8"/>
    <n v="118.32142857142857"/>
    <n v="18.931428571428569"/>
    <x v="0"/>
    <n v="1"/>
  </r>
  <r>
    <n v="801"/>
    <n v="62"/>
    <s v="Female"/>
    <s v="Beauty"/>
    <s v="Perfume"/>
    <n v="36.869999999999997"/>
    <s v="Winter"/>
    <s v="Card"/>
    <n v="4.7"/>
    <x v="22"/>
    <n v="9"/>
    <n v="47.883116883116877"/>
    <n v="11.013116883116879"/>
    <x v="0"/>
    <n v="1"/>
  </r>
  <r>
    <n v="802"/>
    <n v="55"/>
    <s v="Male"/>
    <s v="Electronics"/>
    <s v="Laptop"/>
    <n v="2855.84"/>
    <s v="Autumn"/>
    <s v="Card"/>
    <n v="3.7"/>
    <x v="2"/>
    <n v="3"/>
    <n v="3208.8089887640449"/>
    <n v="352.96898876404475"/>
    <x v="4"/>
    <n v="1"/>
  </r>
  <r>
    <n v="803"/>
    <n v="49"/>
    <s v="Female"/>
    <s v="Accessories"/>
    <s v="Handbag"/>
    <n v="135.05000000000001"/>
    <s v="Spring"/>
    <s v="Card"/>
    <n v="2.9"/>
    <x v="16"/>
    <n v="3"/>
    <n v="143.67021276595747"/>
    <n v="8.6202127659574614"/>
    <x v="4"/>
    <n v="1"/>
  </r>
  <r>
    <n v="804"/>
    <n v="34"/>
    <s v="Male"/>
    <s v="Sports"/>
    <s v="Football"/>
    <n v="49.52"/>
    <s v="Spring"/>
    <s v="Cash on Delivery"/>
    <n v="2.2999999999999998"/>
    <x v="13"/>
    <n v="2"/>
    <n v="54.417582417582416"/>
    <n v="4.897582417582413"/>
    <x v="5"/>
    <n v="1"/>
  </r>
  <r>
    <n v="805"/>
    <n v="42"/>
    <s v="Male"/>
    <s v="Footwear"/>
    <s v="Sneakers"/>
    <n v="161.18"/>
    <s v="Spring"/>
    <s v="Card"/>
    <n v="4.5"/>
    <x v="3"/>
    <n v="5"/>
    <n v="201.47499999999999"/>
    <n v="40.294999999999987"/>
    <x v="1"/>
    <n v="1"/>
  </r>
  <r>
    <n v="806"/>
    <n v="70"/>
    <s v="Female"/>
    <s v="Groceries"/>
    <s v="Cooking Oil"/>
    <n v="36.299999999999997"/>
    <s v="Winter"/>
    <s v="Card"/>
    <n v="3.1"/>
    <x v="8"/>
    <n v="6"/>
    <n v="41.25"/>
    <n v="4.9500000000000028"/>
    <x v="2"/>
    <n v="1"/>
  </r>
  <r>
    <n v="807"/>
    <n v="42"/>
    <s v="Male"/>
    <s v="Electronics"/>
    <s v="Mobile Phone"/>
    <n v="2889.05"/>
    <s v="Spring"/>
    <s v="Card"/>
    <n v="4.0999999999999996"/>
    <x v="8"/>
    <n v="1"/>
    <n v="3283.011363636364"/>
    <n v="393.96136363636379"/>
    <x v="1"/>
    <n v="1"/>
  </r>
  <r>
    <n v="808"/>
    <n v="49"/>
    <s v="Female"/>
    <s v="Footwear"/>
    <s v="Formal Shoes"/>
    <n v="185.74"/>
    <s v="Spring"/>
    <s v="Card"/>
    <n v="2.5"/>
    <x v="1"/>
    <n v="4"/>
    <n v="213.49425287356323"/>
    <n v="27.754252873563217"/>
    <x v="4"/>
    <n v="1"/>
  </r>
  <r>
    <n v="809"/>
    <n v="57"/>
    <s v="Female"/>
    <s v="Womens Clothing"/>
    <s v="Dress"/>
    <n v="149.82"/>
    <s v="Spring"/>
    <s v="Card"/>
    <n v="3.3"/>
    <x v="6"/>
    <n v="8"/>
    <n v="178.35714285714286"/>
    <n v="28.537142857142868"/>
    <x v="0"/>
    <n v="1"/>
  </r>
  <r>
    <n v="810"/>
    <n v="45"/>
    <s v="Female"/>
    <s v="Sports"/>
    <s v="Yoga Mat"/>
    <n v="159.87"/>
    <s v="Winter"/>
    <s v="Card"/>
    <n v="3.6"/>
    <x v="2"/>
    <n v="3"/>
    <n v="179.62921348314606"/>
    <n v="19.759213483146056"/>
    <x v="1"/>
    <n v="1"/>
  </r>
  <r>
    <n v="811"/>
    <n v="47"/>
    <s v="Female"/>
    <s v="Footwear"/>
    <s v="Sneakers"/>
    <n v="116.66"/>
    <s v="Spring"/>
    <s v="Card"/>
    <n v="4.0999999999999996"/>
    <x v="6"/>
    <n v="8"/>
    <n v="138.88095238095238"/>
    <n v="22.220952380952383"/>
    <x v="4"/>
    <n v="1"/>
  </r>
  <r>
    <n v="812"/>
    <n v="60"/>
    <s v="Male"/>
    <s v="Footwear"/>
    <s v="Formal Shoes"/>
    <n v="69.97"/>
    <s v="Winter"/>
    <s v="Card"/>
    <n v="4.5999999999999996"/>
    <x v="18"/>
    <n v="7"/>
    <n v="92.065789473684205"/>
    <n v="22.095789473684206"/>
    <x v="0"/>
    <n v="1"/>
  </r>
  <r>
    <n v="813"/>
    <n v="43"/>
    <s v="Female"/>
    <s v="Footwear"/>
    <s v="Sneakers"/>
    <n v="243.54"/>
    <s v="Winter"/>
    <s v="Card"/>
    <n v="4.0999999999999996"/>
    <x v="10"/>
    <n v="6"/>
    <n v="312.23076923076923"/>
    <n v="68.690769230769234"/>
    <x v="1"/>
    <n v="1"/>
  </r>
  <r>
    <n v="814"/>
    <n v="64"/>
    <s v="Male"/>
    <s v="Sports"/>
    <s v="Football"/>
    <n v="182"/>
    <s v="Summer"/>
    <s v="Card"/>
    <n v="4.5"/>
    <x v="2"/>
    <n v="3"/>
    <n v="204.49438202247191"/>
    <n v="22.49438202247191"/>
    <x v="0"/>
    <n v="1"/>
  </r>
  <r>
    <n v="815"/>
    <n v="55"/>
    <s v="Female"/>
    <s v="Beauty"/>
    <s v="Makeup Set"/>
    <n v="129.26"/>
    <s v="Spring"/>
    <s v="Card"/>
    <n v="3.2"/>
    <x v="5"/>
    <n v="4"/>
    <n v="140.49999999999997"/>
    <n v="11.239999999999981"/>
    <x v="4"/>
    <n v="1"/>
  </r>
  <r>
    <n v="816"/>
    <n v="62"/>
    <s v="Female"/>
    <s v="Footwear"/>
    <s v="Formal Shoes"/>
    <n v="199.51"/>
    <s v="Spring"/>
    <s v="Card"/>
    <n v="5"/>
    <x v="11"/>
    <n v="13"/>
    <n v="269.60810810810813"/>
    <n v="70.098108108108136"/>
    <x v="0"/>
    <n v="1"/>
  </r>
  <r>
    <n v="817"/>
    <n v="48"/>
    <s v="Female"/>
    <s v="Groceries"/>
    <s v="Snacks"/>
    <n v="42.88"/>
    <s v="Summer"/>
    <s v="Cash on Delivery"/>
    <n v="3.9"/>
    <x v="10"/>
    <n v="6"/>
    <n v="54.974358974358978"/>
    <n v="12.094358974358975"/>
    <x v="4"/>
    <n v="1"/>
  </r>
  <r>
    <n v="818"/>
    <n v="65"/>
    <s v="Female"/>
    <s v="Womens Clothing"/>
    <s v="Skirt"/>
    <n v="108.5"/>
    <s v="Summer"/>
    <s v="Card"/>
    <n v="3.4"/>
    <x v="6"/>
    <n v="8"/>
    <n v="129.16666666666669"/>
    <n v="20.666666666666686"/>
    <x v="0"/>
    <n v="1"/>
  </r>
  <r>
    <n v="819"/>
    <n v="27"/>
    <s v="Female"/>
    <s v="Beauty"/>
    <s v="Makeup Set"/>
    <n v="38.35"/>
    <s v="Summer"/>
    <s v="Cash on Delivery"/>
    <n v="5"/>
    <x v="1"/>
    <n v="4"/>
    <n v="44.080459770114942"/>
    <n v="5.7304597701149405"/>
    <x v="5"/>
    <n v="1"/>
  </r>
  <r>
    <n v="820"/>
    <n v="68"/>
    <s v="Female"/>
    <s v="Groceries"/>
    <s v="Rice Pack"/>
    <n v="28.85"/>
    <s v="Summer"/>
    <s v="Card"/>
    <n v="4.4000000000000004"/>
    <x v="14"/>
    <n v="6"/>
    <n v="34.759036144578317"/>
    <n v="5.9090361445783159"/>
    <x v="2"/>
    <n v="1"/>
  </r>
  <r>
    <n v="821"/>
    <n v="64"/>
    <s v="Male"/>
    <s v="Electronics"/>
    <s v="Laptop"/>
    <n v="1305.74"/>
    <s v="Summer"/>
    <s v="Card"/>
    <n v="4.8"/>
    <x v="8"/>
    <n v="6"/>
    <n v="1483.7954545454545"/>
    <n v="178.0554545454545"/>
    <x v="0"/>
    <n v="1"/>
  </r>
  <r>
    <n v="822"/>
    <n v="31"/>
    <s v="Male"/>
    <s v="Electronics"/>
    <s v="Mobile Phone"/>
    <n v="2370.9899999999998"/>
    <s v="Spring"/>
    <s v="Card"/>
    <n v="3.6"/>
    <x v="3"/>
    <n v="5"/>
    <n v="2963.7374999999997"/>
    <n v="592.74749999999995"/>
    <x v="5"/>
    <n v="1"/>
  </r>
  <r>
    <n v="823"/>
    <n v="56"/>
    <s v="Female"/>
    <s v="Sports"/>
    <s v="Football"/>
    <n v="197.64"/>
    <s v="Summer"/>
    <s v="Card"/>
    <n v="5"/>
    <x v="10"/>
    <n v="6"/>
    <n v="253.38461538461536"/>
    <n v="55.744615384615372"/>
    <x v="0"/>
    <n v="1"/>
  </r>
  <r>
    <n v="824"/>
    <n v="55"/>
    <s v="Female"/>
    <s v="Womens Clothing"/>
    <s v="Top"/>
    <n v="33.4"/>
    <s v="Summer"/>
    <s v="Cash on Delivery"/>
    <n v="4.9000000000000004"/>
    <x v="4"/>
    <n v="2"/>
    <n v="38.837209302325583"/>
    <n v="5.4372093023255843"/>
    <x v="4"/>
    <n v="1"/>
  </r>
  <r>
    <n v="825"/>
    <n v="57"/>
    <s v="Female"/>
    <s v="Groceries"/>
    <s v="Beverages"/>
    <n v="68.77"/>
    <s v="Spring"/>
    <s v="Card"/>
    <n v="4.2"/>
    <x v="20"/>
    <n v="11"/>
    <n v="101.13235294117648"/>
    <n v="32.362352941176482"/>
    <x v="0"/>
    <n v="1"/>
  </r>
  <r>
    <n v="826"/>
    <n v="36"/>
    <s v="Female"/>
    <s v="Womens Clothing"/>
    <s v="Jeans"/>
    <n v="42.75"/>
    <s v="Summer"/>
    <s v="Card"/>
    <n v="3.8"/>
    <x v="14"/>
    <n v="6"/>
    <n v="51.506024096385545"/>
    <n v="8.7560240963855449"/>
    <x v="1"/>
    <n v="1"/>
  </r>
  <r>
    <n v="827"/>
    <n v="41"/>
    <s v="Female"/>
    <s v="Home"/>
    <s v="Curtains"/>
    <n v="157.96"/>
    <s v="Summer"/>
    <s v="Card"/>
    <n v="4.4000000000000004"/>
    <x v="7"/>
    <n v="5"/>
    <n v="175.51111111111112"/>
    <n v="17.551111111111112"/>
    <x v="1"/>
    <n v="1"/>
  </r>
  <r>
    <n v="828"/>
    <n v="38"/>
    <s v="Male"/>
    <s v="Electronics"/>
    <s v="Headphones"/>
    <n v="2502.52"/>
    <s v="Autumn"/>
    <s v="Card"/>
    <n v="2.9"/>
    <x v="19"/>
    <n v="5"/>
    <n v="2944.1411764705881"/>
    <n v="441.62117647058813"/>
    <x v="1"/>
    <n v="1"/>
  </r>
  <r>
    <n v="829"/>
    <n v="43"/>
    <s v="Female"/>
    <s v="Sports"/>
    <s v="Yoga Mat"/>
    <n v="93.26"/>
    <s v="Winter"/>
    <s v="Card"/>
    <n v="4.3"/>
    <x v="7"/>
    <n v="5"/>
    <n v="103.62222222222222"/>
    <n v="10.362222222222215"/>
    <x v="1"/>
    <n v="1"/>
  </r>
  <r>
    <n v="830"/>
    <n v="46"/>
    <s v="Male"/>
    <s v="Footwear"/>
    <s v="Sandals"/>
    <n v="160.09"/>
    <s v="Autumn"/>
    <s v="Card"/>
    <n v="4"/>
    <x v="5"/>
    <n v="4"/>
    <n v="174.01086956521738"/>
    <n v="13.920869565217373"/>
    <x v="4"/>
    <n v="1"/>
  </r>
  <r>
    <n v="831"/>
    <n v="38"/>
    <s v="Male"/>
    <s v="Electronics"/>
    <s v="Headphones"/>
    <n v="2841.72"/>
    <s v="Autumn"/>
    <s v="Card"/>
    <n v="4"/>
    <x v="22"/>
    <n v="9"/>
    <n v="3690.545454545454"/>
    <n v="848.82545454545425"/>
    <x v="1"/>
    <n v="1"/>
  </r>
  <r>
    <n v="832"/>
    <n v="32"/>
    <s v="Male"/>
    <s v="Home"/>
    <s v="Curtains"/>
    <n v="220.24"/>
    <s v="Summer"/>
    <s v="Card"/>
    <n v="5"/>
    <x v="6"/>
    <n v="3"/>
    <n v="262.1904761904762"/>
    <n v="41.950476190476195"/>
    <x v="5"/>
    <n v="1"/>
  </r>
  <r>
    <n v="833"/>
    <n v="59"/>
    <s v="Male"/>
    <s v="Footwear"/>
    <s v="Sandals"/>
    <n v="239.65"/>
    <s v="Winter"/>
    <s v="Card"/>
    <n v="2.7"/>
    <x v="13"/>
    <n v="2"/>
    <n v="263.35164835164835"/>
    <n v="23.701648351648345"/>
    <x v="0"/>
    <n v="1"/>
  </r>
  <r>
    <n v="834"/>
    <n v="37"/>
    <s v="Female"/>
    <s v="Womens Clothing"/>
    <s v="Jeans"/>
    <n v="41.62"/>
    <s v="Winter"/>
    <s v="Card"/>
    <n v="3.5"/>
    <x v="21"/>
    <n v="8"/>
    <n v="52.683544303797461"/>
    <n v="11.063544303797464"/>
    <x v="1"/>
    <n v="1"/>
  </r>
  <r>
    <n v="835"/>
    <n v="36"/>
    <s v="Male"/>
    <s v="Home"/>
    <s v="Lamp"/>
    <n v="254.85"/>
    <s v="Summer"/>
    <s v="Card"/>
    <n v="3"/>
    <x v="5"/>
    <n v="4"/>
    <n v="277.01086956521738"/>
    <n v="22.160869565217382"/>
    <x v="1"/>
    <n v="1"/>
  </r>
  <r>
    <n v="836"/>
    <n v="34"/>
    <s v="Female"/>
    <s v="Womens Clothing"/>
    <s v="Dress"/>
    <n v="46.13"/>
    <s v="Summer"/>
    <s v="Cash on Delivery"/>
    <n v="3.5"/>
    <x v="21"/>
    <n v="8"/>
    <n v="58.392405063291143"/>
    <n v="12.262405063291141"/>
    <x v="5"/>
    <n v="1"/>
  </r>
  <r>
    <n v="837"/>
    <n v="62"/>
    <s v="Female"/>
    <s v="Accessories"/>
    <s v="Handbag"/>
    <n v="144.18"/>
    <s v="Winter"/>
    <s v="Card"/>
    <n v="3.7"/>
    <x v="16"/>
    <n v="3"/>
    <n v="153.38297872340428"/>
    <n v="9.2029787234042715"/>
    <x v="0"/>
    <n v="1"/>
  </r>
  <r>
    <n v="838"/>
    <n v="59"/>
    <s v="Male"/>
    <s v="Sports"/>
    <s v="Football"/>
    <n v="140.99"/>
    <s v="Spring"/>
    <s v="Card"/>
    <n v="2.7"/>
    <x v="8"/>
    <n v="6"/>
    <n v="160.21590909090909"/>
    <n v="19.225909090909084"/>
    <x v="0"/>
    <n v="1"/>
  </r>
  <r>
    <n v="839"/>
    <n v="38"/>
    <s v="Male"/>
    <s v="Home"/>
    <s v="Lamp"/>
    <n v="140.12"/>
    <s v="Summer"/>
    <s v="Card"/>
    <n v="4.9000000000000004"/>
    <x v="4"/>
    <n v="7"/>
    <n v="162.93023255813955"/>
    <n v="22.810232558139546"/>
    <x v="1"/>
    <n v="1"/>
  </r>
  <r>
    <n v="840"/>
    <n v="31"/>
    <s v="Male"/>
    <s v="Mens Clothing"/>
    <s v="Jacket"/>
    <n v="81.16"/>
    <s v="Autumn"/>
    <s v="Card"/>
    <n v="3.9"/>
    <x v="21"/>
    <n v="8"/>
    <n v="102.73417721518986"/>
    <n v="21.574177215189863"/>
    <x v="5"/>
    <n v="1"/>
  </r>
  <r>
    <n v="841"/>
    <n v="40"/>
    <s v="Female"/>
    <s v="Accessories"/>
    <s v="Handbag"/>
    <n v="74.23"/>
    <s v="Spring"/>
    <s v="Card"/>
    <n v="4.4000000000000004"/>
    <x v="2"/>
    <n v="3"/>
    <n v="83.404494382022477"/>
    <n v="9.1744943820224734"/>
    <x v="1"/>
    <n v="1"/>
  </r>
  <r>
    <n v="842"/>
    <n v="51"/>
    <s v="Female"/>
    <s v="Accessories"/>
    <s v="Sunglasses"/>
    <n v="125.26"/>
    <s v="Spring"/>
    <s v="Card"/>
    <n v="4.7"/>
    <x v="4"/>
    <n v="2"/>
    <n v="145.65116279069767"/>
    <n v="20.391162790697663"/>
    <x v="4"/>
    <n v="1"/>
  </r>
  <r>
    <n v="843"/>
    <n v="24"/>
    <s v="Male"/>
    <s v="Footwear"/>
    <s v="Sandals"/>
    <n v="214.97"/>
    <s v="Winter"/>
    <s v="Card"/>
    <n v="4.2"/>
    <x v="12"/>
    <n v="7"/>
    <n v="265.39506172839504"/>
    <n v="50.425061728395036"/>
    <x v="3"/>
    <n v="1"/>
  </r>
  <r>
    <n v="844"/>
    <n v="23"/>
    <s v="Male"/>
    <s v="Electronics"/>
    <s v="Mobile Phone"/>
    <n v="1810.64"/>
    <s v="Autumn"/>
    <s v="Card"/>
    <n v="4.5"/>
    <x v="2"/>
    <n v="3"/>
    <n v="2034.4269662921349"/>
    <n v="223.78696629213482"/>
    <x v="3"/>
    <n v="1"/>
  </r>
  <r>
    <n v="845"/>
    <n v="33"/>
    <s v="Male"/>
    <s v="Mens Clothing"/>
    <s v="Jeans"/>
    <n v="140.65"/>
    <s v="Summer"/>
    <s v="Card"/>
    <n v="4.7"/>
    <x v="3"/>
    <n v="5"/>
    <n v="175.8125"/>
    <n v="35.162499999999994"/>
    <x v="5"/>
    <n v="1"/>
  </r>
  <r>
    <n v="846"/>
    <n v="33"/>
    <s v="Male"/>
    <s v="Electronics"/>
    <s v="Mobile Phone"/>
    <n v="2064.65"/>
    <s v="Autumn"/>
    <s v="Card"/>
    <n v="4.7"/>
    <x v="14"/>
    <n v="6"/>
    <n v="2487.530120481928"/>
    <n v="422.88012048192786"/>
    <x v="5"/>
    <n v="1"/>
  </r>
  <r>
    <n v="847"/>
    <n v="36"/>
    <s v="Female"/>
    <s v="Groceries"/>
    <s v="Cooking Oil"/>
    <n v="11.44"/>
    <s v="Autumn"/>
    <s v="Card"/>
    <n v="3.1"/>
    <x v="1"/>
    <n v="4"/>
    <n v="13.149425287356321"/>
    <n v="1.7094252873563214"/>
    <x v="1"/>
    <n v="1"/>
  </r>
  <r>
    <n v="848"/>
    <n v="54"/>
    <s v="Female"/>
    <s v="Beauty"/>
    <s v="Perfume"/>
    <n v="76.66"/>
    <s v="Spring"/>
    <s v="Cash on Delivery"/>
    <n v="4.3"/>
    <x v="8"/>
    <n v="6"/>
    <n v="87.11363636363636"/>
    <n v="10.453636363636363"/>
    <x v="4"/>
    <n v="1"/>
  </r>
  <r>
    <n v="849"/>
    <n v="64"/>
    <s v="Female"/>
    <s v="Accessories"/>
    <s v="Wallet"/>
    <n v="97.05"/>
    <s v="Autumn"/>
    <s v="Cash on Delivery"/>
    <n v="4.3"/>
    <x v="14"/>
    <n v="6"/>
    <n v="116.92771084337349"/>
    <n v="19.877710843373492"/>
    <x v="0"/>
    <n v="1"/>
  </r>
  <r>
    <n v="850"/>
    <n v="24"/>
    <s v="Male"/>
    <s v="Sports"/>
    <s v="Football"/>
    <n v="214.49"/>
    <s v="Autumn"/>
    <s v="Card"/>
    <n v="4.4000000000000004"/>
    <x v="23"/>
    <n v="1"/>
    <n v="230.63440860215056"/>
    <n v="16.144408602150548"/>
    <x v="3"/>
    <n v="1"/>
  </r>
  <r>
    <n v="851"/>
    <n v="27"/>
    <s v="Male"/>
    <s v="Mens Clothing"/>
    <s v="Jacket"/>
    <n v="43.04"/>
    <s v="Summer"/>
    <s v="Cash on Delivery"/>
    <n v="2"/>
    <x v="1"/>
    <n v="4"/>
    <n v="49.47126436781609"/>
    <n v="6.431264367816091"/>
    <x v="5"/>
    <n v="1"/>
  </r>
  <r>
    <n v="852"/>
    <n v="42"/>
    <s v="Female"/>
    <s v="Accessories"/>
    <s v="Sunglasses"/>
    <n v="60.96"/>
    <s v="Spring"/>
    <s v="Card"/>
    <n v="3.2"/>
    <x v="17"/>
    <n v="2"/>
    <n v="63.5"/>
    <n v="2.5399999999999991"/>
    <x v="1"/>
    <n v="1"/>
  </r>
  <r>
    <n v="853"/>
    <n v="40"/>
    <s v="Female"/>
    <s v="Home"/>
    <s v="Lamp"/>
    <n v="198.03"/>
    <s v="Autumn"/>
    <s v="Card"/>
    <n v="3"/>
    <x v="3"/>
    <n v="5"/>
    <n v="247.53749999999999"/>
    <n v="49.507499999999993"/>
    <x v="1"/>
    <n v="1"/>
  </r>
  <r>
    <n v="854"/>
    <n v="44"/>
    <s v="Female"/>
    <s v="Sports"/>
    <s v="Dumbbells"/>
    <n v="218.22"/>
    <s v="Spring"/>
    <s v="Card"/>
    <n v="3.3"/>
    <x v="12"/>
    <n v="7"/>
    <n v="269.40740740740739"/>
    <n v="51.187407407407392"/>
    <x v="1"/>
    <n v="1"/>
  </r>
  <r>
    <n v="855"/>
    <n v="51"/>
    <s v="Female"/>
    <s v="Home"/>
    <s v="Curtains"/>
    <n v="207.52"/>
    <s v="Spring"/>
    <s v="Card"/>
    <n v="3.6"/>
    <x v="14"/>
    <n v="6"/>
    <n v="250.02409638554218"/>
    <n v="42.504096385542169"/>
    <x v="4"/>
    <n v="1"/>
  </r>
  <r>
    <n v="856"/>
    <n v="55"/>
    <s v="Female"/>
    <s v="Beauty"/>
    <s v="Skincare Kit"/>
    <n v="72.03"/>
    <s v="Autumn"/>
    <s v="Card"/>
    <n v="4.2"/>
    <x v="8"/>
    <n v="6"/>
    <n v="81.852272727272734"/>
    <n v="9.8222727272727326"/>
    <x v="4"/>
    <n v="1"/>
  </r>
  <r>
    <n v="857"/>
    <n v="60"/>
    <s v="Male"/>
    <s v="Footwear"/>
    <s v="Sandals"/>
    <n v="186.72"/>
    <s v="Spring"/>
    <s v="Card"/>
    <n v="4"/>
    <x v="0"/>
    <n v="4"/>
    <n v="227.70731707317071"/>
    <n v="40.987317073170715"/>
    <x v="0"/>
    <n v="1"/>
  </r>
  <r>
    <n v="858"/>
    <n v="62"/>
    <s v="Male"/>
    <s v="Footwear"/>
    <s v="Formal Shoes"/>
    <n v="114.97"/>
    <s v="Autumn"/>
    <s v="Card"/>
    <n v="2.9"/>
    <x v="10"/>
    <n v="11"/>
    <n v="147.39743589743588"/>
    <n v="32.427435897435885"/>
    <x v="0"/>
    <n v="1"/>
  </r>
  <r>
    <n v="859"/>
    <n v="22"/>
    <s v="Male"/>
    <s v="Groceries"/>
    <s v="Snacks"/>
    <n v="40.19"/>
    <s v="Spring"/>
    <s v="Cash on Delivery"/>
    <n v="3.7"/>
    <x v="4"/>
    <n v="2"/>
    <n v="46.732558139534881"/>
    <n v="6.5425581395348829"/>
    <x v="3"/>
    <n v="1"/>
  </r>
  <r>
    <n v="860"/>
    <n v="32"/>
    <s v="Female"/>
    <s v="Womens Clothing"/>
    <s v="Jeans"/>
    <n v="120.08"/>
    <s v="Spring"/>
    <s v="Card"/>
    <n v="3.5"/>
    <x v="5"/>
    <n v="4"/>
    <n v="130.52173913043478"/>
    <n v="10.441739130434783"/>
    <x v="5"/>
    <n v="1"/>
  </r>
  <r>
    <n v="861"/>
    <n v="58"/>
    <s v="Male"/>
    <s v="Electronics"/>
    <s v="Laptop"/>
    <n v="2431.86"/>
    <s v="Summer"/>
    <s v="Card"/>
    <n v="4.5999999999999996"/>
    <x v="19"/>
    <n v="5"/>
    <n v="2861.0117647058828"/>
    <n v="429.15176470588267"/>
    <x v="0"/>
    <n v="1"/>
  </r>
  <r>
    <n v="862"/>
    <n v="59"/>
    <s v="Male"/>
    <s v="Electronics"/>
    <s v="Headphones"/>
    <n v="1129"/>
    <s v="Winter"/>
    <s v="Card"/>
    <n v="2.5"/>
    <x v="2"/>
    <n v="3"/>
    <n v="1268.5393258426966"/>
    <n v="139.5393258426966"/>
    <x v="0"/>
    <n v="1"/>
  </r>
  <r>
    <n v="863"/>
    <n v="40"/>
    <s v="Male"/>
    <s v="Footwear"/>
    <s v="Sneakers"/>
    <n v="96.21"/>
    <s v="Winter"/>
    <s v="Cash on Delivery"/>
    <n v="2.6"/>
    <x v="2"/>
    <n v="3"/>
    <n v="108.10112359550561"/>
    <n v="11.891123595505618"/>
    <x v="1"/>
    <n v="1"/>
  </r>
  <r>
    <n v="864"/>
    <n v="46"/>
    <s v="Male"/>
    <s v="Electronics"/>
    <s v="Headphones"/>
    <n v="1454.05"/>
    <s v="Summer"/>
    <s v="Card"/>
    <n v="3.5"/>
    <x v="22"/>
    <n v="9"/>
    <n v="1888.3766233766232"/>
    <n v="434.32662337662327"/>
    <x v="4"/>
    <n v="1"/>
  </r>
  <r>
    <n v="865"/>
    <n v="22"/>
    <s v="Male"/>
    <s v="Sports"/>
    <s v="Yoga Mat"/>
    <n v="210.91"/>
    <s v="Spring"/>
    <s v="Card"/>
    <n v="3.8"/>
    <x v="18"/>
    <n v="7"/>
    <n v="277.51315789473682"/>
    <n v="66.603157894736825"/>
    <x v="3"/>
    <n v="1"/>
  </r>
  <r>
    <n v="866"/>
    <n v="52"/>
    <s v="Female"/>
    <s v="Womens Clothing"/>
    <s v="Dress"/>
    <n v="35.17"/>
    <s v="Autumn"/>
    <s v="Card"/>
    <n v="4.0999999999999996"/>
    <x v="11"/>
    <n v="8"/>
    <n v="47.527027027027032"/>
    <n v="12.35702702702703"/>
    <x v="4"/>
    <n v="1"/>
  </r>
  <r>
    <n v="867"/>
    <n v="70"/>
    <s v="Male"/>
    <s v="Electronics"/>
    <s v="Mobile Phone"/>
    <n v="2108.89"/>
    <s v="Winter"/>
    <s v="Card"/>
    <n v="4.4000000000000004"/>
    <x v="22"/>
    <n v="9"/>
    <n v="2738.8181818181815"/>
    <n v="629.92818181818166"/>
    <x v="2"/>
    <n v="1"/>
  </r>
  <r>
    <n v="868"/>
    <n v="51"/>
    <s v="Male"/>
    <s v="Sports"/>
    <s v="Dumbbells"/>
    <n v="219.04"/>
    <s v="Summer"/>
    <s v="Card"/>
    <n v="3.2"/>
    <x v="2"/>
    <n v="3"/>
    <n v="246.11235955056179"/>
    <n v="27.072359550561799"/>
    <x v="4"/>
    <n v="1"/>
  </r>
  <r>
    <n v="869"/>
    <n v="67"/>
    <s v="Female"/>
    <s v="Accessories"/>
    <s v="Sunglasses"/>
    <n v="48.74"/>
    <s v="Autumn"/>
    <s v="Card"/>
    <n v="3.1"/>
    <x v="18"/>
    <n v="7"/>
    <n v="64.131578947368425"/>
    <n v="15.391578947368423"/>
    <x v="2"/>
    <n v="1"/>
  </r>
  <r>
    <n v="870"/>
    <n v="31"/>
    <s v="Female"/>
    <s v="Womens Clothing"/>
    <s v="Jeans"/>
    <n v="93.29"/>
    <s v="Autumn"/>
    <s v="Card"/>
    <n v="5"/>
    <x v="6"/>
    <n v="3"/>
    <n v="111.05952380952382"/>
    <n v="17.769523809523818"/>
    <x v="5"/>
    <n v="1"/>
  </r>
  <r>
    <n v="871"/>
    <n v="58"/>
    <s v="Female"/>
    <s v="Footwear"/>
    <s v="Sandals"/>
    <n v="59.04"/>
    <s v="Autumn"/>
    <s v="Card"/>
    <n v="2.9"/>
    <x v="7"/>
    <n v="5"/>
    <n v="65.599999999999994"/>
    <n v="6.5599999999999952"/>
    <x v="0"/>
    <n v="1"/>
  </r>
  <r>
    <n v="872"/>
    <n v="30"/>
    <s v="Male"/>
    <s v="Footwear"/>
    <s v="Formal Shoes"/>
    <n v="87.7"/>
    <s v="Autumn"/>
    <s v="Card"/>
    <n v="4.2"/>
    <x v="12"/>
    <n v="7"/>
    <n v="108.27160493827161"/>
    <n v="20.571604938271605"/>
    <x v="5"/>
    <n v="1"/>
  </r>
  <r>
    <n v="873"/>
    <n v="39"/>
    <s v="Female"/>
    <s v="Beauty"/>
    <s v="Perfume"/>
    <n v="58.21"/>
    <s v="Winter"/>
    <s v="Card"/>
    <n v="2.5"/>
    <x v="23"/>
    <n v="1"/>
    <n v="62.591397849462368"/>
    <n v="4.3813978494623669"/>
    <x v="1"/>
    <n v="1"/>
  </r>
  <r>
    <n v="874"/>
    <n v="69"/>
    <s v="Female"/>
    <s v="Womens Clothing"/>
    <s v="Jeans"/>
    <n v="100.29"/>
    <s v="Winter"/>
    <s v="Card"/>
    <n v="2.6"/>
    <x v="18"/>
    <n v="7"/>
    <n v="131.96052631578948"/>
    <n v="31.670526315789473"/>
    <x v="2"/>
    <n v="1"/>
  </r>
  <r>
    <n v="875"/>
    <n v="22"/>
    <s v="Male"/>
    <s v="Footwear"/>
    <s v="Sandals"/>
    <n v="154.19999999999999"/>
    <s v="Summer"/>
    <s v="Card"/>
    <n v="3.4"/>
    <x v="17"/>
    <n v="2"/>
    <n v="160.625"/>
    <n v="6.4250000000000114"/>
    <x v="3"/>
    <n v="1"/>
  </r>
  <r>
    <n v="876"/>
    <n v="32"/>
    <s v="Male"/>
    <s v="Electronics"/>
    <s v="Laptop"/>
    <n v="1370.18"/>
    <s v="Spring"/>
    <s v="Card"/>
    <n v="3"/>
    <x v="3"/>
    <n v="5"/>
    <n v="1712.7249999999999"/>
    <n v="342.54499999999985"/>
    <x v="5"/>
    <n v="1"/>
  </r>
  <r>
    <n v="877"/>
    <n v="40"/>
    <s v="Male"/>
    <s v="Footwear"/>
    <s v="Sneakers"/>
    <n v="123.96"/>
    <s v="Summer"/>
    <s v="Card"/>
    <n v="4.0999999999999996"/>
    <x v="2"/>
    <n v="3"/>
    <n v="139.28089887640448"/>
    <n v="15.320898876404485"/>
    <x v="1"/>
    <n v="1"/>
  </r>
  <r>
    <n v="878"/>
    <n v="32"/>
    <s v="Female"/>
    <s v="Footwear"/>
    <s v="Formal Shoes"/>
    <n v="151.91"/>
    <s v="Summer"/>
    <s v="Card"/>
    <n v="4.2"/>
    <x v="10"/>
    <n v="6"/>
    <n v="194.75641025641025"/>
    <n v="42.846410256410252"/>
    <x v="5"/>
    <n v="1"/>
  </r>
  <r>
    <n v="879"/>
    <n v="69"/>
    <s v="Female"/>
    <s v="Home"/>
    <s v="Curtains"/>
    <n v="201.11"/>
    <s v="Spring"/>
    <s v="Card"/>
    <n v="3.9"/>
    <x v="2"/>
    <n v="3"/>
    <n v="225.96629213483146"/>
    <n v="24.856292134831449"/>
    <x v="2"/>
    <n v="1"/>
  </r>
  <r>
    <n v="880"/>
    <n v="59"/>
    <s v="Male"/>
    <s v="Footwear"/>
    <s v="Sneakers"/>
    <n v="42.35"/>
    <s v="Spring"/>
    <s v="Cash on Delivery"/>
    <n v="3.6"/>
    <x v="1"/>
    <n v="4"/>
    <n v="48.678160919540232"/>
    <n v="6.3281609195402311"/>
    <x v="0"/>
    <n v="1"/>
  </r>
  <r>
    <n v="881"/>
    <n v="70"/>
    <s v="Female"/>
    <s v="Beauty"/>
    <s v="Makeup Set"/>
    <n v="142.85"/>
    <s v="Winter"/>
    <s v="Card"/>
    <n v="3.2"/>
    <x v="3"/>
    <n v="5"/>
    <n v="178.56249999999997"/>
    <n v="35.712499999999977"/>
    <x v="2"/>
    <n v="1"/>
  </r>
  <r>
    <n v="882"/>
    <n v="46"/>
    <s v="Male"/>
    <s v="Electronics"/>
    <s v="Mobile Phone"/>
    <n v="533.08000000000004"/>
    <s v="Summer"/>
    <s v="Card"/>
    <n v="5"/>
    <x v="6"/>
    <n v="3"/>
    <n v="634.61904761904771"/>
    <n v="101.53904761904766"/>
    <x v="4"/>
    <n v="1"/>
  </r>
  <r>
    <n v="883"/>
    <n v="36"/>
    <s v="Female"/>
    <s v="Home"/>
    <s v="Kitchen Set"/>
    <n v="100.72"/>
    <s v="Autumn"/>
    <s v="Card"/>
    <n v="2.8"/>
    <x v="10"/>
    <n v="6"/>
    <n v="129.12820512820511"/>
    <n v="28.408205128205111"/>
    <x v="1"/>
    <n v="1"/>
  </r>
  <r>
    <n v="884"/>
    <n v="31"/>
    <s v="Female"/>
    <s v="Accessories"/>
    <s v="Sunglasses"/>
    <n v="172.26"/>
    <s v="Summer"/>
    <s v="Card"/>
    <n v="2.8"/>
    <x v="3"/>
    <n v="5"/>
    <n v="215.32499999999999"/>
    <n v="43.064999999999998"/>
    <x v="5"/>
    <n v="1"/>
  </r>
  <r>
    <n v="885"/>
    <n v="46"/>
    <s v="Female"/>
    <s v="Sports"/>
    <s v="Dumbbells"/>
    <n v="200.96"/>
    <s v="Summer"/>
    <s v="Card"/>
    <n v="4.2"/>
    <x v="6"/>
    <n v="3"/>
    <n v="239.23809523809527"/>
    <n v="38.278095238095261"/>
    <x v="4"/>
    <n v="1"/>
  </r>
  <r>
    <n v="886"/>
    <n v="66"/>
    <s v="Female"/>
    <s v="Footwear"/>
    <s v="Sneakers"/>
    <n v="113.39"/>
    <s v="Spring"/>
    <s v="Card"/>
    <n v="3.4"/>
    <x v="22"/>
    <n v="9"/>
    <n v="147.25974025974025"/>
    <n v="33.869740259740254"/>
    <x v="2"/>
    <n v="1"/>
  </r>
  <r>
    <n v="887"/>
    <n v="36"/>
    <s v="Female"/>
    <s v="Accessories"/>
    <s v="Wallet"/>
    <n v="65.17"/>
    <s v="Summer"/>
    <s v="Cash on Delivery"/>
    <n v="4.5999999999999996"/>
    <x v="19"/>
    <n v="5"/>
    <n v="76.670588235294119"/>
    <n v="11.500588235294117"/>
    <x v="1"/>
    <n v="1"/>
  </r>
  <r>
    <n v="888"/>
    <n v="42"/>
    <s v="Male"/>
    <s v="Footwear"/>
    <s v="Sneakers"/>
    <n v="154.55000000000001"/>
    <s v="Winter"/>
    <s v="Card"/>
    <n v="5"/>
    <x v="14"/>
    <n v="6"/>
    <n v="186.20481927710847"/>
    <n v="31.654819277108459"/>
    <x v="1"/>
    <n v="1"/>
  </r>
  <r>
    <n v="889"/>
    <n v="26"/>
    <s v="Male"/>
    <s v="Mens Clothing"/>
    <s v="Jeans"/>
    <n v="100.84"/>
    <s v="Spring"/>
    <s v="Card"/>
    <n v="3.6"/>
    <x v="4"/>
    <n v="2"/>
    <n v="117.25581395348837"/>
    <n v="16.415813953488367"/>
    <x v="5"/>
    <n v="1"/>
  </r>
  <r>
    <n v="890"/>
    <n v="31"/>
    <s v="Male"/>
    <s v="Electronics"/>
    <s v="Mobile Phone"/>
    <n v="1142.03"/>
    <s v="Winter"/>
    <s v="Card"/>
    <n v="4.2"/>
    <x v="7"/>
    <n v="5"/>
    <n v="1268.9222222222222"/>
    <n v="126.89222222222224"/>
    <x v="5"/>
    <n v="1"/>
  </r>
  <r>
    <n v="891"/>
    <n v="39"/>
    <s v="Male"/>
    <s v="Mens Clothing"/>
    <s v="Shirt"/>
    <n v="168.97"/>
    <s v="Summer"/>
    <s v="Card"/>
    <n v="4.5999999999999996"/>
    <x v="18"/>
    <n v="7"/>
    <n v="222.32894736842104"/>
    <n v="53.358947368421042"/>
    <x v="1"/>
    <n v="1"/>
  </r>
  <r>
    <n v="892"/>
    <n v="64"/>
    <s v="Male"/>
    <s v="Footwear"/>
    <s v="Sandals"/>
    <n v="220.97"/>
    <s v="Autumn"/>
    <s v="Card"/>
    <n v="5"/>
    <x v="17"/>
    <n v="2"/>
    <n v="230.17708333333334"/>
    <n v="9.2070833333333439"/>
    <x v="0"/>
    <n v="1"/>
  </r>
  <r>
    <n v="893"/>
    <n v="59"/>
    <s v="Female"/>
    <s v="Home"/>
    <s v="Curtains"/>
    <n v="181.46"/>
    <s v="Autumn"/>
    <s v="Card"/>
    <n v="3.1"/>
    <x v="0"/>
    <n v="4"/>
    <n v="221.29268292682926"/>
    <n v="39.83268292682925"/>
    <x v="0"/>
    <n v="1"/>
  </r>
  <r>
    <n v="894"/>
    <n v="30"/>
    <s v="Female"/>
    <s v="Footwear"/>
    <s v="Sneakers"/>
    <n v="212.78"/>
    <s v="Spring"/>
    <s v="Card"/>
    <n v="4.4000000000000004"/>
    <x v="10"/>
    <n v="6"/>
    <n v="272.79487179487177"/>
    <n v="60.014871794871766"/>
    <x v="5"/>
    <n v="1"/>
  </r>
  <r>
    <n v="895"/>
    <n v="30"/>
    <s v="Female"/>
    <s v="Sports"/>
    <s v="Yoga Mat"/>
    <n v="102.27"/>
    <s v="Spring"/>
    <s v="Card"/>
    <n v="3.1"/>
    <x v="6"/>
    <n v="8"/>
    <n v="121.75"/>
    <n v="19.480000000000004"/>
    <x v="5"/>
    <n v="1"/>
  </r>
  <r>
    <n v="896"/>
    <n v="40"/>
    <s v="Male"/>
    <s v="Sports"/>
    <s v="Dumbbells"/>
    <n v="101.71"/>
    <s v="Spring"/>
    <s v="Card"/>
    <n v="3.8"/>
    <x v="14"/>
    <n v="6"/>
    <n v="122.5421686746988"/>
    <n v="20.832168674698806"/>
    <x v="1"/>
    <n v="1"/>
  </r>
  <r>
    <n v="897"/>
    <n v="57"/>
    <s v="Male"/>
    <s v="Sports"/>
    <s v="Yoga Mat"/>
    <n v="166.23"/>
    <s v="Spring"/>
    <s v="Card"/>
    <n v="4"/>
    <x v="3"/>
    <n v="5"/>
    <n v="207.78749999999997"/>
    <n v="41.557499999999976"/>
    <x v="0"/>
    <n v="1"/>
  </r>
  <r>
    <n v="898"/>
    <n v="59"/>
    <s v="Male"/>
    <s v="Footwear"/>
    <s v="Sneakers"/>
    <n v="82.01"/>
    <s v="Spring"/>
    <s v="Cash on Delivery"/>
    <n v="3.3"/>
    <x v="6"/>
    <n v="3"/>
    <n v="97.630952380952394"/>
    <n v="15.620952380952389"/>
    <x v="0"/>
    <n v="1"/>
  </r>
  <r>
    <n v="899"/>
    <n v="23"/>
    <s v="Female"/>
    <s v="Footwear"/>
    <s v="Sandals"/>
    <n v="214.88"/>
    <s v="Winter"/>
    <s v="Card"/>
    <n v="5"/>
    <x v="3"/>
    <n v="5"/>
    <n v="268.59999999999997"/>
    <n v="53.71999999999997"/>
    <x v="3"/>
    <n v="1"/>
  </r>
  <r>
    <n v="900"/>
    <n v="64"/>
    <s v="Female"/>
    <s v="Accessories"/>
    <s v="Handbag"/>
    <n v="110.37"/>
    <s v="Spring"/>
    <s v="Card"/>
    <n v="4.2"/>
    <x v="14"/>
    <n v="6"/>
    <n v="132.97590361445785"/>
    <n v="22.605903614457844"/>
    <x v="0"/>
    <n v="1"/>
  </r>
  <r>
    <n v="901"/>
    <n v="23"/>
    <s v="Male"/>
    <s v="Footwear"/>
    <s v="Sneakers"/>
    <n v="144.05000000000001"/>
    <s v="Summer"/>
    <s v="Card"/>
    <n v="2.6"/>
    <x v="0"/>
    <n v="4"/>
    <n v="175.67073170731706"/>
    <n v="31.620731707317049"/>
    <x v="3"/>
    <n v="1"/>
  </r>
  <r>
    <n v="902"/>
    <n v="47"/>
    <s v="Female"/>
    <s v="Accessories"/>
    <s v="Sunglasses"/>
    <n v="134.41999999999999"/>
    <s v="Winter"/>
    <s v="Card"/>
    <n v="4.0999999999999996"/>
    <x v="5"/>
    <n v="4"/>
    <n v="146.10869565217391"/>
    <n v="11.688695652173919"/>
    <x v="4"/>
    <n v="1"/>
  </r>
  <r>
    <n v="903"/>
    <n v="64"/>
    <s v="Female"/>
    <s v="Beauty"/>
    <s v="Skincare Kit"/>
    <n v="133.46"/>
    <s v="Winter"/>
    <s v="Card"/>
    <n v="4.5999999999999996"/>
    <x v="7"/>
    <n v="5"/>
    <n v="148.28888888888889"/>
    <n v="14.828888888888883"/>
    <x v="0"/>
    <n v="1"/>
  </r>
  <r>
    <n v="904"/>
    <n v="70"/>
    <s v="Female"/>
    <s v="Home"/>
    <s v="Lamp"/>
    <n v="256.37"/>
    <s v="Summer"/>
    <s v="Card"/>
    <n v="3.6"/>
    <x v="18"/>
    <n v="7"/>
    <n v="337.32894736842104"/>
    <n v="80.958947368421036"/>
    <x v="2"/>
    <n v="1"/>
  </r>
  <r>
    <n v="905"/>
    <n v="59"/>
    <s v="Male"/>
    <s v="Sports"/>
    <s v="Dumbbells"/>
    <n v="160.41999999999999"/>
    <s v="Spring"/>
    <s v="Card"/>
    <n v="4.3"/>
    <x v="10"/>
    <n v="6"/>
    <n v="205.66666666666666"/>
    <n v="45.24666666666667"/>
    <x v="0"/>
    <n v="1"/>
  </r>
  <r>
    <n v="906"/>
    <n v="31"/>
    <s v="Male"/>
    <s v="Electronics"/>
    <s v="Mobile Phone"/>
    <n v="1501.64"/>
    <s v="Autumn"/>
    <s v="Card"/>
    <n v="3.2"/>
    <x v="8"/>
    <n v="6"/>
    <n v="1706.409090909091"/>
    <n v="204.76909090909089"/>
    <x v="5"/>
    <n v="1"/>
  </r>
  <r>
    <n v="907"/>
    <n v="69"/>
    <s v="Male"/>
    <s v="Footwear"/>
    <s v="Formal Shoes"/>
    <n v="145.19999999999999"/>
    <s v="Autumn"/>
    <s v="Card"/>
    <n v="2.8"/>
    <x v="0"/>
    <n v="4"/>
    <n v="177.07317073170728"/>
    <n v="31.87317073170729"/>
    <x v="2"/>
    <n v="1"/>
  </r>
  <r>
    <n v="908"/>
    <n v="50"/>
    <s v="Male"/>
    <s v="Mens Clothing"/>
    <s v="Shirt"/>
    <n v="66.680000000000007"/>
    <s v="Winter"/>
    <s v="Card"/>
    <n v="3.1"/>
    <x v="1"/>
    <n v="4"/>
    <n v="76.643678160919549"/>
    <n v="9.9636781609195424"/>
    <x v="4"/>
    <n v="1"/>
  </r>
  <r>
    <n v="909"/>
    <n v="60"/>
    <s v="Male"/>
    <s v="Electronics"/>
    <s v="Smart Watch"/>
    <n v="592.23"/>
    <s v="Spring"/>
    <s v="Card"/>
    <n v="3.6"/>
    <x v="1"/>
    <n v="4"/>
    <n v="680.72413793103453"/>
    <n v="88.494137931034516"/>
    <x v="0"/>
    <n v="1"/>
  </r>
  <r>
    <n v="910"/>
    <n v="39"/>
    <s v="Male"/>
    <s v="Electronics"/>
    <s v="Mobile Phone"/>
    <n v="646.99"/>
    <s v="Winter"/>
    <s v="Card"/>
    <n v="4.0999999999999996"/>
    <x v="18"/>
    <n v="7"/>
    <n v="851.3026315789474"/>
    <n v="204.31263157894739"/>
    <x v="1"/>
    <n v="1"/>
  </r>
  <r>
    <n v="911"/>
    <n v="50"/>
    <s v="Male"/>
    <s v="Footwear"/>
    <s v="Sandals"/>
    <n v="58.87"/>
    <s v="Spring"/>
    <s v="Cash on Delivery"/>
    <n v="3.1"/>
    <x v="6"/>
    <n v="3"/>
    <n v="70.083333333333329"/>
    <n v="11.213333333333331"/>
    <x v="4"/>
    <n v="1"/>
  </r>
  <r>
    <n v="912"/>
    <n v="42"/>
    <s v="Male"/>
    <s v="Sports"/>
    <s v="Dumbbells"/>
    <n v="51.43"/>
    <s v="Winter"/>
    <s v="Card"/>
    <n v="2.7"/>
    <x v="1"/>
    <n v="4"/>
    <n v="59.114942528735632"/>
    <n v="7.6849425287356325"/>
    <x v="1"/>
    <n v="1"/>
  </r>
  <r>
    <n v="913"/>
    <n v="56"/>
    <s v="Female"/>
    <s v="Home"/>
    <s v="Lamp"/>
    <n v="235.41"/>
    <s v="Summer"/>
    <s v="Card"/>
    <n v="2.6"/>
    <x v="15"/>
    <n v="1"/>
    <n v="240.21428571428572"/>
    <n v="4.8042857142857258"/>
    <x v="0"/>
    <n v="1"/>
  </r>
  <r>
    <n v="914"/>
    <n v="46"/>
    <s v="Female"/>
    <s v="Accessories"/>
    <s v="Wallet"/>
    <n v="99.47"/>
    <s v="Winter"/>
    <s v="Cash on Delivery"/>
    <n v="3.7"/>
    <x v="10"/>
    <n v="11"/>
    <n v="127.52564102564102"/>
    <n v="28.055641025641023"/>
    <x v="4"/>
    <n v="1"/>
  </r>
  <r>
    <n v="915"/>
    <n v="40"/>
    <s v="Female"/>
    <s v="Accessories"/>
    <s v="Sunglasses"/>
    <n v="38.29"/>
    <s v="Autumn"/>
    <s v="Card"/>
    <n v="4.0999999999999996"/>
    <x v="0"/>
    <n v="9"/>
    <n v="46.695121951219505"/>
    <n v="8.4051219512195061"/>
    <x v="1"/>
    <n v="1"/>
  </r>
  <r>
    <n v="916"/>
    <n v="54"/>
    <s v="Male"/>
    <s v="Footwear"/>
    <s v="Sandals"/>
    <n v="240.73"/>
    <s v="Spring"/>
    <s v="Card"/>
    <n v="4.5"/>
    <x v="0"/>
    <n v="4"/>
    <n v="293.57317073170731"/>
    <n v="52.843170731707318"/>
    <x v="4"/>
    <n v="1"/>
  </r>
  <r>
    <n v="917"/>
    <n v="24"/>
    <s v="Female"/>
    <s v="Womens Clothing"/>
    <s v="Top"/>
    <n v="145.27000000000001"/>
    <s v="Summer"/>
    <s v="Card"/>
    <n v="4.7"/>
    <x v="3"/>
    <n v="10"/>
    <n v="181.58750000000001"/>
    <n v="36.317499999999995"/>
    <x v="3"/>
    <n v="1"/>
  </r>
  <r>
    <n v="918"/>
    <n v="22"/>
    <s v="Male"/>
    <s v="Footwear"/>
    <s v="Sandals"/>
    <n v="140.13"/>
    <s v="Spring"/>
    <s v="Card"/>
    <n v="4.4000000000000004"/>
    <x v="6"/>
    <n v="3"/>
    <n v="166.82142857142858"/>
    <n v="26.691428571428588"/>
    <x v="3"/>
    <n v="1"/>
  </r>
  <r>
    <n v="919"/>
    <n v="43"/>
    <s v="Male"/>
    <s v="Footwear"/>
    <s v="Sneakers"/>
    <n v="192.45"/>
    <s v="Autumn"/>
    <s v="Card"/>
    <n v="3.3"/>
    <x v="23"/>
    <n v="1"/>
    <n v="206.93548387096774"/>
    <n v="14.485483870967755"/>
    <x v="1"/>
    <n v="1"/>
  </r>
  <r>
    <n v="920"/>
    <n v="21"/>
    <s v="Male"/>
    <s v="Electronics"/>
    <s v="Headphones"/>
    <n v="2391.56"/>
    <s v="Spring"/>
    <s v="Card"/>
    <n v="3.7"/>
    <x v="18"/>
    <n v="7"/>
    <n v="3146.7894736842104"/>
    <n v="755.22947368421046"/>
    <x v="3"/>
    <n v="1"/>
  </r>
  <r>
    <n v="921"/>
    <n v="58"/>
    <s v="Female"/>
    <s v="Home"/>
    <s v="Curtains"/>
    <n v="246.33"/>
    <s v="Winter"/>
    <s v="Card"/>
    <n v="3.9"/>
    <x v="8"/>
    <n v="6"/>
    <n v="279.92045454545456"/>
    <n v="33.590454545454548"/>
    <x v="0"/>
    <n v="1"/>
  </r>
  <r>
    <n v="922"/>
    <n v="57"/>
    <s v="Male"/>
    <s v="Sports"/>
    <s v="Dumbbells"/>
    <n v="39.18"/>
    <s v="Summer"/>
    <s v="Cash on Delivery"/>
    <n v="3.4"/>
    <x v="22"/>
    <n v="9"/>
    <n v="50.883116883116884"/>
    <n v="11.703116883116884"/>
    <x v="0"/>
    <n v="1"/>
  </r>
  <r>
    <n v="923"/>
    <n v="25"/>
    <s v="Female"/>
    <s v="Beauty"/>
    <s v="Skincare Kit"/>
    <n v="21.93"/>
    <s v="Autumn"/>
    <s v="Cash on Delivery"/>
    <n v="4.5"/>
    <x v="0"/>
    <n v="4"/>
    <n v="26.743902439024389"/>
    <n v="4.813902439024389"/>
    <x v="3"/>
    <n v="1"/>
  </r>
  <r>
    <n v="924"/>
    <n v="35"/>
    <s v="Male"/>
    <s v="Mens Clothing"/>
    <s v="T-Shirt"/>
    <n v="35.65"/>
    <s v="Autumn"/>
    <s v="Card"/>
    <n v="4.5"/>
    <x v="1"/>
    <n v="4"/>
    <n v="40.977011494252871"/>
    <n v="5.3270114942528721"/>
    <x v="5"/>
    <n v="1"/>
  </r>
  <r>
    <n v="925"/>
    <n v="23"/>
    <s v="Male"/>
    <s v="Mens Clothing"/>
    <s v="Jacket"/>
    <n v="174.44"/>
    <s v="Summer"/>
    <s v="Card"/>
    <n v="2.9"/>
    <x v="4"/>
    <n v="7"/>
    <n v="202.83720930232559"/>
    <n v="28.397209302325592"/>
    <x v="3"/>
    <n v="1"/>
  </r>
  <r>
    <n v="926"/>
    <n v="23"/>
    <s v="Female"/>
    <s v="Accessories"/>
    <s v="Wallet"/>
    <n v="130.69999999999999"/>
    <s v="Spring"/>
    <s v="Card"/>
    <n v="3.2"/>
    <x v="12"/>
    <n v="7"/>
    <n v="161.358024691358"/>
    <n v="30.658024691358008"/>
    <x v="3"/>
    <n v="1"/>
  </r>
  <r>
    <n v="927"/>
    <n v="31"/>
    <s v="Male"/>
    <s v="Sports"/>
    <s v="Football"/>
    <n v="231.91"/>
    <s v="Winter"/>
    <s v="Card"/>
    <n v="4.4000000000000004"/>
    <x v="21"/>
    <n v="8"/>
    <n v="293.55696202531647"/>
    <n v="61.646962025316469"/>
    <x v="5"/>
    <n v="1"/>
  </r>
  <r>
    <n v="928"/>
    <n v="33"/>
    <s v="Female"/>
    <s v="Accessories"/>
    <s v="Wallet"/>
    <n v="130.37"/>
    <s v="Autumn"/>
    <s v="Card"/>
    <n v="3.3"/>
    <x v="16"/>
    <n v="3"/>
    <n v="138.69148936170214"/>
    <n v="8.3214893617021346"/>
    <x v="5"/>
    <n v="1"/>
  </r>
  <r>
    <n v="929"/>
    <n v="45"/>
    <s v="Female"/>
    <s v="Womens Clothing"/>
    <s v="Top"/>
    <n v="185.7"/>
    <s v="Autumn"/>
    <s v="Card"/>
    <n v="2.8"/>
    <x v="5"/>
    <n v="4"/>
    <n v="201.8478260869565"/>
    <n v="16.147826086956513"/>
    <x v="1"/>
    <n v="1"/>
  </r>
  <r>
    <n v="930"/>
    <n v="59"/>
    <s v="Male"/>
    <s v="Groceries"/>
    <s v="Snacks"/>
    <n v="8.6999999999999993"/>
    <s v="Autumn"/>
    <s v="Cash on Delivery"/>
    <n v="3.5"/>
    <x v="20"/>
    <n v="11"/>
    <n v="12.794117647058824"/>
    <n v="4.094117647058825"/>
    <x v="0"/>
    <n v="1"/>
  </r>
  <r>
    <n v="931"/>
    <n v="43"/>
    <s v="Male"/>
    <s v="Electronics"/>
    <s v="Laptop"/>
    <n v="2197.9899999999998"/>
    <s v="Summer"/>
    <s v="Card"/>
    <n v="4.0999999999999996"/>
    <x v="7"/>
    <n v="5"/>
    <n v="2442.2111111111108"/>
    <n v="244.22111111111099"/>
    <x v="1"/>
    <n v="1"/>
  </r>
  <r>
    <n v="932"/>
    <n v="27"/>
    <s v="Male"/>
    <s v="Sports"/>
    <s v="Yoga Mat"/>
    <n v="113.14"/>
    <s v="Summer"/>
    <s v="Card"/>
    <n v="4.4000000000000004"/>
    <x v="7"/>
    <n v="5"/>
    <n v="125.71111111111111"/>
    <n v="12.571111111111108"/>
    <x v="5"/>
    <n v="1"/>
  </r>
  <r>
    <n v="933"/>
    <n v="53"/>
    <s v="Male"/>
    <s v="Footwear"/>
    <s v="Formal Shoes"/>
    <n v="223.47"/>
    <s v="Autumn"/>
    <s v="Card"/>
    <n v="3.4"/>
    <x v="5"/>
    <n v="4"/>
    <n v="242.90217391304347"/>
    <n v="19.432173913043471"/>
    <x v="4"/>
    <n v="1"/>
  </r>
  <r>
    <n v="934"/>
    <n v="60"/>
    <s v="Male"/>
    <s v="Sports"/>
    <s v="Football"/>
    <n v="203.1"/>
    <s v="Autumn"/>
    <s v="Card"/>
    <n v="3.9"/>
    <x v="7"/>
    <n v="5"/>
    <n v="225.66666666666666"/>
    <n v="22.566666666666663"/>
    <x v="0"/>
    <n v="1"/>
  </r>
  <r>
    <n v="935"/>
    <n v="42"/>
    <s v="Male"/>
    <s v="Mens Clothing"/>
    <s v="Jeans"/>
    <n v="85.93"/>
    <s v="Winter"/>
    <s v="Card"/>
    <n v="2.6"/>
    <x v="10"/>
    <n v="6"/>
    <n v="110.16666666666667"/>
    <n v="24.236666666666665"/>
    <x v="1"/>
    <n v="1"/>
  </r>
  <r>
    <n v="936"/>
    <n v="43"/>
    <s v="Male"/>
    <s v="Electronics"/>
    <s v="Headphones"/>
    <n v="622.05999999999995"/>
    <s v="Autumn"/>
    <s v="Card"/>
    <n v="3.5"/>
    <x v="3"/>
    <n v="5"/>
    <n v="777.57499999999993"/>
    <n v="155.51499999999999"/>
    <x v="1"/>
    <n v="1"/>
  </r>
  <r>
    <n v="937"/>
    <n v="62"/>
    <s v="Male"/>
    <s v="Home"/>
    <s v="Kitchen Set"/>
    <n v="136.93"/>
    <s v="Autumn"/>
    <s v="Card"/>
    <n v="2"/>
    <x v="8"/>
    <n v="6"/>
    <n v="155.60227272727275"/>
    <n v="18.672272727272741"/>
    <x v="0"/>
    <n v="1"/>
  </r>
  <r>
    <n v="938"/>
    <n v="52"/>
    <s v="Female"/>
    <s v="Home"/>
    <s v="Curtains"/>
    <n v="287.12"/>
    <s v="Spring"/>
    <s v="Card"/>
    <n v="4.2"/>
    <x v="24"/>
    <n v="9"/>
    <n v="398.77777777777777"/>
    <n v="111.65777777777777"/>
    <x v="4"/>
    <n v="1"/>
  </r>
  <r>
    <n v="939"/>
    <n v="70"/>
    <s v="Male"/>
    <s v="Footwear"/>
    <s v="Sandals"/>
    <n v="223.82"/>
    <s v="Summer"/>
    <s v="Card"/>
    <n v="5"/>
    <x v="13"/>
    <n v="2"/>
    <n v="245.95604395604394"/>
    <n v="22.136043956043949"/>
    <x v="2"/>
    <n v="1"/>
  </r>
  <r>
    <n v="940"/>
    <n v="69"/>
    <s v="Female"/>
    <s v="Groceries"/>
    <s v="Beverages"/>
    <n v="52.06"/>
    <s v="Spring"/>
    <s v="Card"/>
    <n v="4.7"/>
    <x v="3"/>
    <n v="5"/>
    <n v="65.075000000000003"/>
    <n v="13.015000000000001"/>
    <x v="2"/>
    <n v="1"/>
  </r>
  <r>
    <n v="941"/>
    <n v="38"/>
    <s v="Male"/>
    <s v="Home"/>
    <s v="Lamp"/>
    <n v="230.54"/>
    <s v="Spring"/>
    <s v="Card"/>
    <n v="4.2"/>
    <x v="6"/>
    <n v="8"/>
    <n v="274.45238095238096"/>
    <n v="43.912380952380971"/>
    <x v="1"/>
    <n v="1"/>
  </r>
  <r>
    <n v="942"/>
    <n v="64"/>
    <s v="Female"/>
    <s v="Accessories"/>
    <s v="Wallet"/>
    <n v="146.22999999999999"/>
    <s v="Summer"/>
    <s v="Card"/>
    <n v="4"/>
    <x v="4"/>
    <n v="7"/>
    <n v="170.03488372093022"/>
    <n v="23.804883720930235"/>
    <x v="0"/>
    <n v="1"/>
  </r>
  <r>
    <n v="943"/>
    <n v="43"/>
    <s v="Female"/>
    <s v="Womens Clothing"/>
    <s v="Jeans"/>
    <n v="84.02"/>
    <s v="Spring"/>
    <s v="Cash on Delivery"/>
    <n v="4"/>
    <x v="5"/>
    <n v="4"/>
    <n v="91.326086956521735"/>
    <n v="7.3060869565217388"/>
    <x v="1"/>
    <n v="1"/>
  </r>
  <r>
    <n v="944"/>
    <n v="40"/>
    <s v="Male"/>
    <s v="Electronics"/>
    <s v="Laptop"/>
    <n v="570.66"/>
    <s v="Winter"/>
    <s v="Card"/>
    <n v="3.7"/>
    <x v="23"/>
    <n v="1"/>
    <n v="613.61290322580646"/>
    <n v="42.952903225806494"/>
    <x v="1"/>
    <n v="1"/>
  </r>
  <r>
    <n v="945"/>
    <n v="59"/>
    <s v="Male"/>
    <s v="Footwear"/>
    <s v="Sandals"/>
    <n v="208.68"/>
    <s v="Winter"/>
    <s v="Card"/>
    <n v="2.9"/>
    <x v="10"/>
    <n v="6"/>
    <n v="267.53846153846155"/>
    <n v="58.85846153846154"/>
    <x v="0"/>
    <n v="1"/>
  </r>
  <r>
    <n v="946"/>
    <n v="55"/>
    <s v="Male"/>
    <s v="Mens Clothing"/>
    <s v="Shirt"/>
    <n v="105.92"/>
    <s v="Spring"/>
    <s v="Card"/>
    <n v="4"/>
    <x v="4"/>
    <n v="2"/>
    <n v="123.16279069767442"/>
    <n v="17.242790697674423"/>
    <x v="4"/>
    <n v="1"/>
  </r>
  <r>
    <n v="947"/>
    <n v="67"/>
    <s v="Male"/>
    <s v="Electronics"/>
    <s v="Smart Watch"/>
    <n v="594.99"/>
    <s v="Winter"/>
    <s v="Card"/>
    <n v="4.7"/>
    <x v="19"/>
    <n v="5"/>
    <n v="699.98823529411766"/>
    <n v="104.99823529411765"/>
    <x v="2"/>
    <n v="1"/>
  </r>
  <r>
    <n v="948"/>
    <n v="48"/>
    <s v="Male"/>
    <s v="Sports"/>
    <s v="Football"/>
    <n v="122.6"/>
    <s v="Spring"/>
    <s v="Card"/>
    <n v="3.6"/>
    <x v="4"/>
    <n v="7"/>
    <n v="142.55813953488371"/>
    <n v="19.958139534883713"/>
    <x v="4"/>
    <n v="1"/>
  </r>
  <r>
    <n v="949"/>
    <n v="62"/>
    <s v="Female"/>
    <s v="Beauty"/>
    <s v="Skincare Kit"/>
    <n v="105.62"/>
    <s v="Winter"/>
    <s v="Card"/>
    <n v="3.6"/>
    <x v="28"/>
    <n v="12"/>
    <n v="148.7605633802817"/>
    <n v="43.140563380281691"/>
    <x v="0"/>
    <n v="1"/>
  </r>
  <r>
    <n v="950"/>
    <n v="57"/>
    <s v="Female"/>
    <s v="Home"/>
    <s v="Curtains"/>
    <n v="57.08"/>
    <s v="Winter"/>
    <s v="Cash on Delivery"/>
    <n v="3.9"/>
    <x v="7"/>
    <n v="5"/>
    <n v="63.422222222222217"/>
    <n v="6.3422222222222189"/>
    <x v="0"/>
    <n v="1"/>
  </r>
  <r>
    <n v="951"/>
    <n v="44"/>
    <s v="Male"/>
    <s v="Home"/>
    <s v="Lamp"/>
    <n v="157.74"/>
    <s v="Winter"/>
    <s v="Card"/>
    <n v="3.3"/>
    <x v="14"/>
    <n v="6"/>
    <n v="190.04819277108436"/>
    <n v="32.30819277108435"/>
    <x v="1"/>
    <n v="1"/>
  </r>
  <r>
    <n v="952"/>
    <n v="25"/>
    <s v="Male"/>
    <s v="Groceries"/>
    <s v="Snacks"/>
    <n v="77.760000000000005"/>
    <s v="Summer"/>
    <s v="Card"/>
    <n v="4.3"/>
    <x v="9"/>
    <n v="11"/>
    <n v="106.52054794520549"/>
    <n v="28.760547945205488"/>
    <x v="3"/>
    <n v="1"/>
  </r>
  <r>
    <n v="953"/>
    <n v="48"/>
    <s v="Female"/>
    <s v="Home"/>
    <s v="Curtains"/>
    <n v="243.65"/>
    <s v="Autumn"/>
    <s v="Card"/>
    <n v="4.8"/>
    <x v="19"/>
    <n v="5"/>
    <n v="286.64705882352945"/>
    <n v="42.997058823529443"/>
    <x v="4"/>
    <n v="1"/>
  </r>
  <r>
    <n v="954"/>
    <n v="28"/>
    <s v="Male"/>
    <s v="Sports"/>
    <s v="Dumbbells"/>
    <n v="73.599999999999994"/>
    <s v="Spring"/>
    <s v="Card"/>
    <n v="3.3"/>
    <x v="4"/>
    <n v="7"/>
    <n v="85.581395348837205"/>
    <n v="11.981395348837211"/>
    <x v="5"/>
    <n v="1"/>
  </r>
  <r>
    <n v="955"/>
    <n v="51"/>
    <s v="Female"/>
    <s v="Footwear"/>
    <s v="Formal Shoes"/>
    <n v="187.41"/>
    <s v="Spring"/>
    <s v="Card"/>
    <n v="4.4000000000000004"/>
    <x v="3"/>
    <n v="5"/>
    <n v="234.26249999999999"/>
    <n v="46.852499999999992"/>
    <x v="4"/>
    <n v="1"/>
  </r>
  <r>
    <n v="956"/>
    <n v="46"/>
    <s v="Female"/>
    <s v="Footwear"/>
    <s v="Sneakers"/>
    <n v="191.13"/>
    <s v="Spring"/>
    <s v="Card"/>
    <n v="3.9"/>
    <x v="8"/>
    <n v="6"/>
    <n v="217.19318181818181"/>
    <n v="26.063181818181818"/>
    <x v="4"/>
    <n v="1"/>
  </r>
  <r>
    <n v="957"/>
    <n v="24"/>
    <s v="Male"/>
    <s v="Electronics"/>
    <s v="Smart Watch"/>
    <n v="2923.37"/>
    <s v="Winter"/>
    <s v="Card"/>
    <n v="3.5"/>
    <x v="19"/>
    <n v="5"/>
    <n v="3439.2588235294115"/>
    <n v="515.88882352941164"/>
    <x v="3"/>
    <n v="1"/>
  </r>
  <r>
    <n v="958"/>
    <n v="66"/>
    <s v="Female"/>
    <s v="Groceries"/>
    <s v="Snacks"/>
    <n v="56.64"/>
    <s v="Summer"/>
    <s v="Cash on Delivery"/>
    <n v="4"/>
    <x v="0"/>
    <n v="9"/>
    <n v="69.073170731707307"/>
    <n v="12.433170731707307"/>
    <x v="2"/>
    <n v="1"/>
  </r>
  <r>
    <n v="959"/>
    <n v="47"/>
    <s v="Male"/>
    <s v="Groceries"/>
    <s v="Cooking Oil"/>
    <n v="54.21"/>
    <s v="Summer"/>
    <s v="Cash on Delivery"/>
    <n v="3.7"/>
    <x v="19"/>
    <n v="5"/>
    <n v="63.776470588235298"/>
    <n v="9.5664705882352976"/>
    <x v="4"/>
    <n v="1"/>
  </r>
  <r>
    <n v="960"/>
    <n v="60"/>
    <s v="Female"/>
    <s v="Accessories"/>
    <s v="Handbag"/>
    <n v="117.39"/>
    <s v="Summer"/>
    <s v="Card"/>
    <n v="2.9"/>
    <x v="7"/>
    <n v="5"/>
    <n v="130.43333333333334"/>
    <n v="13.043333333333337"/>
    <x v="0"/>
    <n v="1"/>
  </r>
  <r>
    <n v="961"/>
    <n v="40"/>
    <s v="Female"/>
    <s v="Footwear"/>
    <s v="Sneakers"/>
    <n v="197.69"/>
    <s v="Winter"/>
    <s v="Card"/>
    <n v="1.8"/>
    <x v="3"/>
    <n v="5"/>
    <n v="247.11249999999998"/>
    <n v="49.422499999999985"/>
    <x v="1"/>
    <n v="1"/>
  </r>
  <r>
    <n v="962"/>
    <n v="47"/>
    <s v="Male"/>
    <s v="Sports"/>
    <s v="Football"/>
    <n v="178.62"/>
    <s v="Winter"/>
    <s v="Card"/>
    <n v="3.3"/>
    <x v="6"/>
    <n v="8"/>
    <n v="212.64285714285717"/>
    <n v="34.022857142857163"/>
    <x v="4"/>
    <n v="1"/>
  </r>
  <r>
    <n v="963"/>
    <n v="54"/>
    <s v="Male"/>
    <s v="Mens Clothing"/>
    <s v="Jeans"/>
    <n v="199.78"/>
    <s v="Autumn"/>
    <s v="Card"/>
    <n v="3"/>
    <x v="15"/>
    <n v="1"/>
    <n v="203.85714285714286"/>
    <n v="4.0771428571428601"/>
    <x v="4"/>
    <n v="1"/>
  </r>
  <r>
    <n v="964"/>
    <n v="31"/>
    <s v="Male"/>
    <s v="Sports"/>
    <s v="Yoga Mat"/>
    <n v="243.71"/>
    <s v="Winter"/>
    <s v="Card"/>
    <n v="3.8"/>
    <x v="17"/>
    <n v="2"/>
    <n v="253.86458333333334"/>
    <n v="10.154583333333335"/>
    <x v="5"/>
    <n v="1"/>
  </r>
  <r>
    <n v="965"/>
    <n v="37"/>
    <s v="Male"/>
    <s v="Electronics"/>
    <s v="Laptop"/>
    <n v="2839.22"/>
    <s v="Summer"/>
    <s v="Card"/>
    <n v="3.9"/>
    <x v="6"/>
    <n v="8"/>
    <n v="3380.0238095238096"/>
    <n v="540.80380952380983"/>
    <x v="1"/>
    <n v="1"/>
  </r>
  <r>
    <n v="966"/>
    <n v="55"/>
    <s v="Female"/>
    <s v="Footwear"/>
    <s v="Formal Shoes"/>
    <n v="103.82"/>
    <s v="Autumn"/>
    <s v="Card"/>
    <n v="4.5"/>
    <x v="6"/>
    <n v="3"/>
    <n v="123.59523809523809"/>
    <n v="19.775238095238095"/>
    <x v="4"/>
    <n v="1"/>
  </r>
  <r>
    <n v="967"/>
    <n v="60"/>
    <s v="Female"/>
    <s v="Accessories"/>
    <s v="Handbag"/>
    <n v="131.19"/>
    <s v="Autumn"/>
    <s v="Card"/>
    <n v="3.8"/>
    <x v="16"/>
    <n v="3"/>
    <n v="139.56382978723406"/>
    <n v="8.3738297872340581"/>
    <x v="0"/>
    <n v="1"/>
  </r>
  <r>
    <n v="968"/>
    <n v="52"/>
    <s v="Male"/>
    <s v="Mens Clothing"/>
    <s v="Jacket"/>
    <n v="194.91"/>
    <s v="Summer"/>
    <s v="Card"/>
    <n v="4.9000000000000004"/>
    <x v="22"/>
    <n v="9"/>
    <n v="253.12987012987011"/>
    <n v="58.219870129870117"/>
    <x v="4"/>
    <n v="1"/>
  </r>
  <r>
    <n v="969"/>
    <n v="48"/>
    <s v="Male"/>
    <s v="Footwear"/>
    <s v="Formal Shoes"/>
    <n v="113.38"/>
    <s v="Spring"/>
    <s v="Card"/>
    <n v="2.6"/>
    <x v="2"/>
    <n v="3"/>
    <n v="127.39325842696628"/>
    <n v="14.013258426966289"/>
    <x v="4"/>
    <n v="1"/>
  </r>
  <r>
    <n v="970"/>
    <n v="55"/>
    <s v="Female"/>
    <s v="Footwear"/>
    <s v="Formal Shoes"/>
    <n v="122.62"/>
    <s v="Spring"/>
    <s v="Card"/>
    <n v="2.7"/>
    <x v="1"/>
    <n v="4"/>
    <n v="140.94252873563218"/>
    <n v="18.322528735632176"/>
    <x v="4"/>
    <n v="1"/>
  </r>
  <r>
    <n v="971"/>
    <n v="39"/>
    <s v="Female"/>
    <s v="Beauty"/>
    <s v="Skincare Kit"/>
    <n v="126.77"/>
    <s v="Spring"/>
    <s v="Card"/>
    <n v="3.7"/>
    <x v="18"/>
    <n v="7"/>
    <n v="166.80263157894737"/>
    <n v="40.032631578947374"/>
    <x v="1"/>
    <n v="1"/>
  </r>
  <r>
    <n v="972"/>
    <n v="56"/>
    <s v="Male"/>
    <s v="Footwear"/>
    <s v="Sandals"/>
    <n v="247.66"/>
    <s v="Winter"/>
    <s v="Card"/>
    <n v="4.5"/>
    <x v="10"/>
    <n v="6"/>
    <n v="317.5128205128205"/>
    <n v="69.8528205128205"/>
    <x v="0"/>
    <n v="1"/>
  </r>
  <r>
    <n v="973"/>
    <n v="55"/>
    <s v="Male"/>
    <s v="Sports"/>
    <s v="Dumbbells"/>
    <n v="245.63"/>
    <s v="Winter"/>
    <s v="Card"/>
    <n v="4"/>
    <x v="19"/>
    <n v="5"/>
    <n v="288.97647058823532"/>
    <n v="43.34647058823532"/>
    <x v="4"/>
    <n v="1"/>
  </r>
  <r>
    <n v="974"/>
    <n v="59"/>
    <s v="Male"/>
    <s v="Sports"/>
    <s v="Football"/>
    <n v="42.7"/>
    <s v="Winter"/>
    <s v="Card"/>
    <n v="2.9"/>
    <x v="5"/>
    <n v="4"/>
    <n v="46.413043478260867"/>
    <n v="3.7130434782608646"/>
    <x v="0"/>
    <n v="1"/>
  </r>
  <r>
    <n v="975"/>
    <n v="32"/>
    <s v="Female"/>
    <s v="Sports"/>
    <s v="Football"/>
    <n v="143.21"/>
    <s v="Winter"/>
    <s v="Card"/>
    <n v="3.4"/>
    <x v="10"/>
    <n v="6"/>
    <n v="183.60256410256412"/>
    <n v="40.392564102564108"/>
    <x v="5"/>
    <n v="1"/>
  </r>
  <r>
    <n v="976"/>
    <n v="20"/>
    <s v="Male"/>
    <s v="Mens Clothing"/>
    <s v="T-Shirt"/>
    <n v="182.98"/>
    <s v="Autumn"/>
    <s v="Card"/>
    <n v="4.5"/>
    <x v="3"/>
    <n v="5"/>
    <n v="228.72499999999997"/>
    <n v="45.744999999999976"/>
    <x v="3"/>
    <n v="1"/>
  </r>
  <r>
    <n v="977"/>
    <n v="50"/>
    <s v="Male"/>
    <s v="Electronics"/>
    <s v="Laptop"/>
    <n v="1854.1"/>
    <s v="Autumn"/>
    <s v="Card"/>
    <n v="4.2"/>
    <x v="8"/>
    <n v="6"/>
    <n v="2106.931818181818"/>
    <n v="252.83181818181811"/>
    <x v="4"/>
    <n v="1"/>
  </r>
  <r>
    <n v="978"/>
    <n v="32"/>
    <s v="Male"/>
    <s v="Footwear"/>
    <s v="Formal Shoes"/>
    <n v="122.08"/>
    <s v="Autumn"/>
    <s v="Card"/>
    <n v="3.4"/>
    <x v="0"/>
    <n v="4"/>
    <n v="148.8780487804878"/>
    <n v="26.798048780487804"/>
    <x v="5"/>
    <n v="1"/>
  </r>
  <r>
    <n v="979"/>
    <n v="52"/>
    <s v="Female"/>
    <s v="Accessories"/>
    <s v="Wallet"/>
    <n v="81.599999999999994"/>
    <s v="Autumn"/>
    <s v="Card"/>
    <n v="4.3"/>
    <x v="10"/>
    <n v="6"/>
    <n v="104.6153846153846"/>
    <n v="23.015384615384605"/>
    <x v="4"/>
    <n v="1"/>
  </r>
  <r>
    <n v="980"/>
    <n v="20"/>
    <s v="Female"/>
    <s v="Footwear"/>
    <s v="Sneakers"/>
    <n v="191.41"/>
    <s v="Winter"/>
    <s v="Card"/>
    <n v="3.6"/>
    <x v="19"/>
    <n v="5"/>
    <n v="225.18823529411765"/>
    <n v="33.77823529411765"/>
    <x v="3"/>
    <n v="1"/>
  </r>
  <r>
    <n v="981"/>
    <n v="24"/>
    <s v="Male"/>
    <s v="Sports"/>
    <s v="Yoga Mat"/>
    <n v="31.49"/>
    <s v="Winter"/>
    <s v="Card"/>
    <n v="3.5"/>
    <x v="6"/>
    <n v="3"/>
    <n v="37.488095238095241"/>
    <n v="5.9980952380952424"/>
    <x v="3"/>
    <n v="1"/>
  </r>
  <r>
    <n v="982"/>
    <n v="28"/>
    <s v="Female"/>
    <s v="Footwear"/>
    <s v="Sneakers"/>
    <n v="50.93"/>
    <s v="Autumn"/>
    <s v="Cash on Delivery"/>
    <n v="4.3"/>
    <x v="2"/>
    <n v="3"/>
    <n v="57.224719101123597"/>
    <n v="6.2947191011235972"/>
    <x v="5"/>
    <n v="1"/>
  </r>
  <r>
    <n v="983"/>
    <n v="52"/>
    <s v="Female"/>
    <s v="Accessories"/>
    <s v="Sunglasses"/>
    <n v="167.87"/>
    <s v="Winter"/>
    <s v="Card"/>
    <n v="3.5"/>
    <x v="11"/>
    <n v="8"/>
    <n v="226.85135135135135"/>
    <n v="58.98135135135135"/>
    <x v="4"/>
    <n v="1"/>
  </r>
  <r>
    <n v="984"/>
    <n v="50"/>
    <s v="Male"/>
    <s v="Footwear"/>
    <s v="Formal Shoes"/>
    <n v="119.8"/>
    <s v="Autumn"/>
    <s v="Card"/>
    <n v="4.7"/>
    <x v="10"/>
    <n v="6"/>
    <n v="153.58974358974359"/>
    <n v="33.789743589743594"/>
    <x v="4"/>
    <n v="1"/>
  </r>
  <r>
    <n v="985"/>
    <n v="34"/>
    <s v="Male"/>
    <s v="Mens Clothing"/>
    <s v="Jacket"/>
    <n v="93.54"/>
    <s v="Spring"/>
    <s v="Cash on Delivery"/>
    <n v="3.4"/>
    <x v="6"/>
    <n v="8"/>
    <n v="111.35714285714288"/>
    <n v="17.817142857142869"/>
    <x v="5"/>
    <n v="1"/>
  </r>
  <r>
    <n v="986"/>
    <n v="47"/>
    <s v="Male"/>
    <s v="Sports"/>
    <s v="Dumbbells"/>
    <n v="194.21"/>
    <s v="Autumn"/>
    <s v="Card"/>
    <n v="3.5"/>
    <x v="6"/>
    <n v="3"/>
    <n v="231.20238095238096"/>
    <n v="36.992380952380955"/>
    <x v="4"/>
    <n v="1"/>
  </r>
  <r>
    <n v="987"/>
    <n v="46"/>
    <s v="Male"/>
    <s v="Sports"/>
    <s v="Yoga Mat"/>
    <n v="96.22"/>
    <s v="Autumn"/>
    <s v="Cash on Delivery"/>
    <n v="3.1"/>
    <x v="3"/>
    <n v="5"/>
    <n v="120.27499999999999"/>
    <n v="24.054999999999993"/>
    <x v="4"/>
    <n v="1"/>
  </r>
  <r>
    <n v="988"/>
    <n v="60"/>
    <s v="Male"/>
    <s v="Electronics"/>
    <s v="Headphones"/>
    <n v="802.1"/>
    <s v="Autumn"/>
    <s v="Card"/>
    <n v="4.0999999999999996"/>
    <x v="6"/>
    <n v="3"/>
    <n v="954.88095238095241"/>
    <n v="152.78095238095239"/>
    <x v="0"/>
    <n v="1"/>
  </r>
  <r>
    <n v="989"/>
    <n v="42"/>
    <s v="Female"/>
    <s v="Womens Clothing"/>
    <s v="Jeans"/>
    <n v="126.92"/>
    <s v="Spring"/>
    <s v="Card"/>
    <n v="3.6"/>
    <x v="6"/>
    <n v="3"/>
    <n v="151.0952380952381"/>
    <n v="24.1752380952381"/>
    <x v="1"/>
    <n v="1"/>
  </r>
  <r>
    <n v="990"/>
    <n v="68"/>
    <s v="Male"/>
    <s v="Mens Clothing"/>
    <s v="T-Shirt"/>
    <n v="46.11"/>
    <s v="Winter"/>
    <s v="Card"/>
    <n v="5"/>
    <x v="8"/>
    <n v="1"/>
    <n v="52.397727272727273"/>
    <n v="6.2877272727272739"/>
    <x v="2"/>
    <n v="1"/>
  </r>
  <r>
    <n v="991"/>
    <n v="66"/>
    <s v="Male"/>
    <s v="Sports"/>
    <s v="Football"/>
    <n v="172.75"/>
    <s v="Autumn"/>
    <s v="Card"/>
    <n v="4.2"/>
    <x v="3"/>
    <n v="5"/>
    <n v="215.9375"/>
    <n v="43.1875"/>
    <x v="2"/>
    <n v="1"/>
  </r>
  <r>
    <n v="992"/>
    <n v="43"/>
    <s v="Male"/>
    <s v="Electronics"/>
    <s v="Headphones"/>
    <n v="1247.6600000000001"/>
    <s v="Spring"/>
    <s v="Card"/>
    <n v="2.5"/>
    <x v="19"/>
    <n v="5"/>
    <n v="1467.8352941176472"/>
    <n v="220.17529411764713"/>
    <x v="1"/>
    <n v="1"/>
  </r>
  <r>
    <n v="993"/>
    <n v="61"/>
    <s v="Male"/>
    <s v="Footwear"/>
    <s v="Sneakers"/>
    <n v="70.459999999999994"/>
    <s v="Summer"/>
    <s v="Card"/>
    <n v="4.5999999999999996"/>
    <x v="17"/>
    <n v="2"/>
    <n v="73.395833333333329"/>
    <n v="2.9358333333333348"/>
    <x v="0"/>
    <n v="1"/>
  </r>
  <r>
    <n v="994"/>
    <n v="33"/>
    <s v="Male"/>
    <s v="Sports"/>
    <s v="Yoga Mat"/>
    <n v="90.86"/>
    <s v="Autumn"/>
    <s v="Card"/>
    <n v="4"/>
    <x v="6"/>
    <n v="8"/>
    <n v="108.16666666666667"/>
    <n v="17.306666666666672"/>
    <x v="5"/>
    <n v="1"/>
  </r>
  <r>
    <n v="995"/>
    <n v="36"/>
    <s v="Male"/>
    <s v="Mens Clothing"/>
    <s v="T-Shirt"/>
    <n v="56.95"/>
    <s v="Winter"/>
    <s v="Card"/>
    <n v="3.9"/>
    <x v="8"/>
    <n v="6"/>
    <n v="64.715909090909093"/>
    <n v="7.7659090909090907"/>
    <x v="1"/>
    <n v="1"/>
  </r>
  <r>
    <n v="996"/>
    <n v="65"/>
    <s v="Male"/>
    <s v="Mens Clothing"/>
    <s v="Jacket"/>
    <n v="100.4"/>
    <s v="Autumn"/>
    <s v="Card"/>
    <n v="3.8"/>
    <x v="14"/>
    <n v="6"/>
    <n v="120.96385542168676"/>
    <n v="20.563855421686753"/>
    <x v="0"/>
    <n v="1"/>
  </r>
  <r>
    <n v="997"/>
    <n v="42"/>
    <s v="Female"/>
    <s v="Home"/>
    <s v="Lamp"/>
    <n v="142.72999999999999"/>
    <s v="Autumn"/>
    <s v="Card"/>
    <n v="4.0999999999999996"/>
    <x v="19"/>
    <n v="5"/>
    <n v="167.91764705882352"/>
    <n v="25.187647058823529"/>
    <x v="1"/>
    <n v="1"/>
  </r>
  <r>
    <n v="998"/>
    <n v="34"/>
    <s v="Male"/>
    <s v="Electronics"/>
    <s v="Laptop"/>
    <n v="2857.91"/>
    <s v="Summer"/>
    <s v="Card"/>
    <n v="3.5"/>
    <x v="5"/>
    <n v="4"/>
    <n v="3106.423913043478"/>
    <n v="248.51391304347817"/>
    <x v="5"/>
    <n v="1"/>
  </r>
  <r>
    <n v="999"/>
    <n v="62"/>
    <s v="Male"/>
    <s v="Mens Clothing"/>
    <s v="Jacket"/>
    <n v="79.55"/>
    <s v="Summer"/>
    <s v="Card"/>
    <n v="3.9"/>
    <x v="8"/>
    <n v="6"/>
    <n v="90.397727272727266"/>
    <n v="10.847727272727269"/>
    <x v="0"/>
    <n v="1"/>
  </r>
  <r>
    <n v="1000"/>
    <n v="46"/>
    <s v="Female"/>
    <s v="Groceries"/>
    <s v="Rice Pack"/>
    <n v="17.850000000000001"/>
    <s v="Winter"/>
    <s v="Cash on Delivery"/>
    <n v="5"/>
    <x v="11"/>
    <n v="8"/>
    <n v="24.121621621621625"/>
    <n v="6.2716216216216232"/>
    <x v="4"/>
    <n v="1"/>
  </r>
  <r>
    <n v="1001"/>
    <n v="21"/>
    <s v="Male"/>
    <s v="Home"/>
    <s v="Lamp"/>
    <n v="113.93"/>
    <s v="Autumn"/>
    <s v="Card"/>
    <n v="3.7"/>
    <x v="12"/>
    <n v="7"/>
    <n v="140.65432098765433"/>
    <n v="26.724320987654323"/>
    <x v="3"/>
    <n v="1"/>
  </r>
  <r>
    <n v="1002"/>
    <n v="29"/>
    <s v="Male"/>
    <s v="Footwear"/>
    <s v="Formal Shoes"/>
    <n v="48.18"/>
    <s v="Summer"/>
    <s v="Card"/>
    <n v="4.9000000000000004"/>
    <x v="30"/>
    <n v="12"/>
    <n v="73.000000000000014"/>
    <n v="24.820000000000014"/>
    <x v="5"/>
    <n v="1"/>
  </r>
  <r>
    <n v="1003"/>
    <n v="57"/>
    <s v="Female"/>
    <s v="Accessories"/>
    <s v="Handbag"/>
    <n v="54.15"/>
    <s v="Autumn"/>
    <s v="Cash on Delivery"/>
    <n v="2.6"/>
    <x v="11"/>
    <n v="8"/>
    <n v="73.175675675675677"/>
    <n v="19.025675675675679"/>
    <x v="0"/>
    <n v="1"/>
  </r>
  <r>
    <n v="1004"/>
    <n v="41"/>
    <s v="Female"/>
    <s v="Womens Clothing"/>
    <s v="Jeans"/>
    <n v="58.88"/>
    <s v="Summer"/>
    <s v="Cash on Delivery"/>
    <n v="4"/>
    <x v="2"/>
    <n v="3"/>
    <n v="66.157303370786522"/>
    <n v="7.2773033707865196"/>
    <x v="1"/>
    <n v="1"/>
  </r>
  <r>
    <n v="1005"/>
    <n v="63"/>
    <s v="Male"/>
    <s v="Mens Clothing"/>
    <s v="T-Shirt"/>
    <n v="127.76"/>
    <s v="Summer"/>
    <s v="Card"/>
    <n v="3.2"/>
    <x v="17"/>
    <n v="2"/>
    <n v="133.08333333333334"/>
    <n v="5.3233333333333377"/>
    <x v="0"/>
    <n v="1"/>
  </r>
  <r>
    <n v="1006"/>
    <n v="45"/>
    <s v="Male"/>
    <s v="Mens Clothing"/>
    <s v="Jacket"/>
    <n v="88.21"/>
    <s v="Autumn"/>
    <s v="Cash on Delivery"/>
    <n v="2.2000000000000002"/>
    <x v="15"/>
    <n v="1"/>
    <n v="90.010204081632651"/>
    <n v="1.800204081632657"/>
    <x v="1"/>
    <n v="1"/>
  </r>
  <r>
    <n v="1007"/>
    <n v="65"/>
    <s v="Female"/>
    <s v="Womens Clothing"/>
    <s v="Skirt"/>
    <n v="154.19999999999999"/>
    <s v="Summer"/>
    <s v="Card"/>
    <n v="3.8"/>
    <x v="6"/>
    <n v="8"/>
    <n v="183.57142857142856"/>
    <n v="29.371428571428567"/>
    <x v="0"/>
    <n v="1"/>
  </r>
  <r>
    <n v="1008"/>
    <n v="53"/>
    <s v="Male"/>
    <s v="Mens Clothing"/>
    <s v="Jacket"/>
    <n v="186.55"/>
    <s v="Autumn"/>
    <s v="Card"/>
    <n v="3.7"/>
    <x v="6"/>
    <n v="3"/>
    <n v="222.08333333333334"/>
    <n v="35.533333333333331"/>
    <x v="4"/>
    <n v="1"/>
  </r>
  <r>
    <n v="1009"/>
    <n v="63"/>
    <s v="Male"/>
    <s v="Footwear"/>
    <s v="Formal Shoes"/>
    <n v="55.74"/>
    <s v="Spring"/>
    <s v="Cash on Delivery"/>
    <n v="4.8"/>
    <x v="10"/>
    <n v="6"/>
    <n v="71.461538461538467"/>
    <n v="15.721538461538465"/>
    <x v="0"/>
    <n v="1"/>
  </r>
  <r>
    <n v="1010"/>
    <n v="41"/>
    <s v="Female"/>
    <s v="Beauty"/>
    <s v="Makeup Set"/>
    <n v="149.31"/>
    <s v="Winter"/>
    <s v="Card"/>
    <n v="4"/>
    <x v="5"/>
    <n v="4"/>
    <n v="162.29347826086956"/>
    <n v="12.98347826086956"/>
    <x v="1"/>
    <n v="1"/>
  </r>
  <r>
    <n v="1011"/>
    <n v="65"/>
    <s v="Male"/>
    <s v="Mens Clothing"/>
    <s v="Jacket"/>
    <n v="71.91"/>
    <s v="Winter"/>
    <s v="Cash on Delivery"/>
    <n v="3.5"/>
    <x v="12"/>
    <n v="7"/>
    <n v="88.777777777777771"/>
    <n v="16.867777777777775"/>
    <x v="0"/>
    <n v="1"/>
  </r>
  <r>
    <n v="1012"/>
    <n v="20"/>
    <s v="Female"/>
    <s v="Beauty"/>
    <s v="Skincare Kit"/>
    <n v="25.51"/>
    <s v="Spring"/>
    <s v="Card"/>
    <n v="3.6"/>
    <x v="25"/>
    <n v="10"/>
    <n v="36.44285714285715"/>
    <n v="10.932857142857149"/>
    <x v="3"/>
    <n v="1"/>
  </r>
  <r>
    <n v="1013"/>
    <n v="57"/>
    <s v="Female"/>
    <s v="Beauty"/>
    <s v="Makeup Set"/>
    <n v="140"/>
    <s v="Autumn"/>
    <s v="Card"/>
    <n v="3.5"/>
    <x v="3"/>
    <n v="5"/>
    <n v="175"/>
    <n v="35"/>
    <x v="0"/>
    <n v="1"/>
  </r>
  <r>
    <n v="1014"/>
    <n v="45"/>
    <s v="Male"/>
    <s v="Groceries"/>
    <s v="Cooking Oil"/>
    <n v="22.48"/>
    <s v="Autumn"/>
    <s v="Card"/>
    <n v="4.2"/>
    <x v="5"/>
    <n v="4"/>
    <n v="24.434782608695652"/>
    <n v="1.9547826086956519"/>
    <x v="1"/>
    <n v="1"/>
  </r>
  <r>
    <n v="1015"/>
    <n v="69"/>
    <s v="Female"/>
    <s v="Accessories"/>
    <s v="Wallet"/>
    <n v="63.27"/>
    <s v="Autumn"/>
    <s v="Cash on Delivery"/>
    <n v="2.9"/>
    <x v="8"/>
    <n v="6"/>
    <n v="71.89772727272728"/>
    <n v="8.6277272727272774"/>
    <x v="2"/>
    <n v="1"/>
  </r>
  <r>
    <n v="1016"/>
    <n v="32"/>
    <s v="Male"/>
    <s v="Groceries"/>
    <s v="Rice Pack"/>
    <n v="79.819999999999993"/>
    <s v="Autumn"/>
    <s v="Card"/>
    <n v="3.5"/>
    <x v="4"/>
    <n v="2"/>
    <n v="92.813953488372093"/>
    <n v="12.9939534883721"/>
    <x v="5"/>
    <n v="1"/>
  </r>
  <r>
    <n v="1017"/>
    <n v="69"/>
    <s v="Female"/>
    <s v="Beauty"/>
    <s v="Perfume"/>
    <n v="68.75"/>
    <s v="Spring"/>
    <s v="Card"/>
    <n v="3.8"/>
    <x v="5"/>
    <n v="4"/>
    <n v="74.728260869565219"/>
    <n v="5.9782608695652186"/>
    <x v="2"/>
    <n v="1"/>
  </r>
  <r>
    <n v="1018"/>
    <n v="43"/>
    <s v="Male"/>
    <s v="Electronics"/>
    <s v="Smart Watch"/>
    <n v="1327.27"/>
    <s v="Summer"/>
    <s v="Card"/>
    <n v="2.7"/>
    <x v="1"/>
    <n v="4"/>
    <n v="1525.5977011494253"/>
    <n v="198.32770114942537"/>
    <x v="1"/>
    <n v="1"/>
  </r>
  <r>
    <n v="1019"/>
    <n v="28"/>
    <s v="Male"/>
    <s v="Sports"/>
    <s v="Yoga Mat"/>
    <n v="220.03"/>
    <s v="Summer"/>
    <s v="Card"/>
    <n v="3.2"/>
    <x v="7"/>
    <n v="5"/>
    <n v="244.47777777777776"/>
    <n v="24.447777777777759"/>
    <x v="5"/>
    <n v="1"/>
  </r>
  <r>
    <n v="1020"/>
    <n v="53"/>
    <s v="Female"/>
    <s v="Sports"/>
    <s v="Football"/>
    <n v="233.03"/>
    <s v="Spring"/>
    <s v="Card"/>
    <n v="3.7"/>
    <x v="0"/>
    <n v="4"/>
    <n v="284.1829268292683"/>
    <n v="51.152926829268296"/>
    <x v="4"/>
    <n v="1"/>
  </r>
  <r>
    <n v="1021"/>
    <n v="25"/>
    <s v="Female"/>
    <s v="Accessories"/>
    <s v="Handbag"/>
    <n v="106.02"/>
    <s v="Summer"/>
    <s v="Card"/>
    <n v="4.8"/>
    <x v="1"/>
    <n v="4"/>
    <n v="121.86206896551724"/>
    <n v="15.842068965517242"/>
    <x v="3"/>
    <n v="1"/>
  </r>
  <r>
    <n v="1022"/>
    <n v="30"/>
    <s v="Male"/>
    <s v="Sports"/>
    <s v="Football"/>
    <n v="74.36"/>
    <s v="Winter"/>
    <s v="Card"/>
    <n v="5"/>
    <x v="19"/>
    <n v="5"/>
    <n v="87.482352941176472"/>
    <n v="13.122352941176473"/>
    <x v="5"/>
    <n v="1"/>
  </r>
  <r>
    <n v="1023"/>
    <n v="59"/>
    <s v="Female"/>
    <s v="Beauty"/>
    <s v="Skincare Kit"/>
    <n v="28.72"/>
    <s v="Summer"/>
    <s v="Cash on Delivery"/>
    <n v="4.5"/>
    <x v="8"/>
    <n v="6"/>
    <n v="32.636363636363633"/>
    <n v="3.9163636363636343"/>
    <x v="0"/>
    <n v="1"/>
  </r>
  <r>
    <n v="1024"/>
    <n v="53"/>
    <s v="Male"/>
    <s v="Electronics"/>
    <s v="Laptop"/>
    <n v="512"/>
    <s v="Winter"/>
    <s v="Card"/>
    <n v="4"/>
    <x v="0"/>
    <n v="9"/>
    <n v="624.39024390243901"/>
    <n v="112.39024390243901"/>
    <x v="4"/>
    <n v="1"/>
  </r>
  <r>
    <n v="1025"/>
    <n v="60"/>
    <s v="Female"/>
    <s v="Womens Clothing"/>
    <s v="Top"/>
    <n v="108.63"/>
    <s v="Autumn"/>
    <s v="Card"/>
    <n v="3.5"/>
    <x v="24"/>
    <n v="9"/>
    <n v="150.875"/>
    <n v="42.245000000000005"/>
    <x v="0"/>
    <n v="1"/>
  </r>
  <r>
    <n v="1026"/>
    <n v="25"/>
    <s v="Male"/>
    <s v="Mens Clothing"/>
    <s v="Jeans"/>
    <n v="34.19"/>
    <s v="Winter"/>
    <s v="Cash on Delivery"/>
    <n v="3.1"/>
    <x v="12"/>
    <n v="7"/>
    <n v="42.209876543209873"/>
    <n v="8.0198765432098753"/>
    <x v="3"/>
    <n v="1"/>
  </r>
  <r>
    <n v="1027"/>
    <n v="21"/>
    <s v="Female"/>
    <s v="Accessories"/>
    <s v="Wallet"/>
    <n v="121.23"/>
    <s v="Spring"/>
    <s v="Card"/>
    <n v="2.9"/>
    <x v="6"/>
    <n v="3"/>
    <n v="144.32142857142858"/>
    <n v="23.09142857142858"/>
    <x v="3"/>
    <n v="1"/>
  </r>
  <r>
    <n v="1028"/>
    <n v="31"/>
    <s v="Male"/>
    <s v="Home"/>
    <s v="Curtains"/>
    <n v="39.869999999999997"/>
    <s v="Autumn"/>
    <s v="Cash on Delivery"/>
    <n v="3.1"/>
    <x v="4"/>
    <n v="7"/>
    <n v="46.360465116279066"/>
    <n v="6.4904651162790685"/>
    <x v="5"/>
    <n v="1"/>
  </r>
  <r>
    <n v="1029"/>
    <n v="65"/>
    <s v="Female"/>
    <s v="Womens Clothing"/>
    <s v="Jeans"/>
    <n v="194.79"/>
    <s v="Winter"/>
    <s v="Card"/>
    <n v="4.0999999999999996"/>
    <x v="19"/>
    <n v="5"/>
    <n v="229.16470588235293"/>
    <n v="34.374705882352941"/>
    <x v="0"/>
    <n v="1"/>
  </r>
  <r>
    <n v="1030"/>
    <n v="45"/>
    <s v="Female"/>
    <s v="Womens Clothing"/>
    <s v="Dress"/>
    <n v="192.67"/>
    <s v="Spring"/>
    <s v="Card"/>
    <n v="4.3"/>
    <x v="3"/>
    <n v="5"/>
    <n v="240.83749999999998"/>
    <n v="48.16749999999999"/>
    <x v="1"/>
    <n v="1"/>
  </r>
  <r>
    <n v="1031"/>
    <n v="33"/>
    <s v="Female"/>
    <s v="Footwear"/>
    <s v="Sneakers"/>
    <n v="119.68"/>
    <s v="Autumn"/>
    <s v="Card"/>
    <n v="2.5"/>
    <x v="12"/>
    <n v="7"/>
    <n v="147.75308641975309"/>
    <n v="28.073086419753082"/>
    <x v="5"/>
    <n v="1"/>
  </r>
  <r>
    <n v="1032"/>
    <n v="40"/>
    <s v="Female"/>
    <s v="Groceries"/>
    <s v="Cooking Oil"/>
    <n v="12.42"/>
    <s v="Spring"/>
    <s v="Card"/>
    <n v="4"/>
    <x v="3"/>
    <n v="5"/>
    <n v="15.524999999999999"/>
    <n v="3.1049999999999986"/>
    <x v="1"/>
    <n v="1"/>
  </r>
  <r>
    <n v="1033"/>
    <n v="55"/>
    <s v="Female"/>
    <s v="Sports"/>
    <s v="Dumbbells"/>
    <n v="91.6"/>
    <s v="Summer"/>
    <s v="Cash on Delivery"/>
    <n v="3.7"/>
    <x v="14"/>
    <n v="6"/>
    <n v="110.36144578313252"/>
    <n v="18.76144578313253"/>
    <x v="4"/>
    <n v="1"/>
  </r>
  <r>
    <n v="1034"/>
    <n v="28"/>
    <s v="Female"/>
    <s v="Groceries"/>
    <s v="Beverages"/>
    <n v="78.81"/>
    <s v="Summer"/>
    <s v="Card"/>
    <n v="4.0999999999999996"/>
    <x v="19"/>
    <n v="5"/>
    <n v="92.71764705882353"/>
    <n v="13.907647058823528"/>
    <x v="5"/>
    <n v="1"/>
  </r>
  <r>
    <n v="1035"/>
    <n v="36"/>
    <s v="Male"/>
    <s v="Home"/>
    <s v="Lamp"/>
    <n v="299.29000000000002"/>
    <s v="Spring"/>
    <s v="Card"/>
    <n v="4.5999999999999996"/>
    <x v="7"/>
    <n v="5"/>
    <n v="332.54444444444448"/>
    <n v="33.254444444444459"/>
    <x v="1"/>
    <n v="1"/>
  </r>
  <r>
    <n v="1036"/>
    <n v="59"/>
    <s v="Female"/>
    <s v="Beauty"/>
    <s v="Makeup Set"/>
    <n v="52.13"/>
    <s v="Winter"/>
    <s v="Card"/>
    <n v="4.4000000000000004"/>
    <x v="4"/>
    <n v="2"/>
    <n v="60.616279069767444"/>
    <n v="8.4862790697674413"/>
    <x v="0"/>
    <n v="1"/>
  </r>
  <r>
    <n v="1037"/>
    <n v="42"/>
    <s v="Female"/>
    <s v="Accessories"/>
    <s v="Handbag"/>
    <n v="73.709999999999994"/>
    <s v="Autumn"/>
    <s v="Card"/>
    <n v="2.8"/>
    <x v="5"/>
    <n v="4"/>
    <n v="80.119565217391298"/>
    <n v="6.4095652173913038"/>
    <x v="1"/>
    <n v="1"/>
  </r>
  <r>
    <n v="1038"/>
    <n v="21"/>
    <s v="Female"/>
    <s v="Accessories"/>
    <s v="Wallet"/>
    <n v="108.59"/>
    <s v="Winter"/>
    <s v="Card"/>
    <n v="4.3"/>
    <x v="11"/>
    <n v="8"/>
    <n v="146.74324324324326"/>
    <n v="38.153243243243253"/>
    <x v="3"/>
    <n v="1"/>
  </r>
  <r>
    <n v="1039"/>
    <n v="63"/>
    <s v="Male"/>
    <s v="Electronics"/>
    <s v="Headphones"/>
    <n v="2738.93"/>
    <s v="Summer"/>
    <s v="Card"/>
    <n v="4"/>
    <x v="8"/>
    <n v="6"/>
    <n v="3112.4204545454545"/>
    <n v="373.49045454545467"/>
    <x v="0"/>
    <n v="1"/>
  </r>
  <r>
    <n v="1040"/>
    <n v="32"/>
    <s v="Female"/>
    <s v="Accessories"/>
    <s v="Sunglasses"/>
    <n v="159.16"/>
    <s v="Summer"/>
    <s v="Card"/>
    <n v="4.0999999999999996"/>
    <x v="7"/>
    <n v="5"/>
    <n v="176.84444444444443"/>
    <n v="17.684444444444438"/>
    <x v="5"/>
    <n v="1"/>
  </r>
  <r>
    <n v="1041"/>
    <n v="32"/>
    <s v="Female"/>
    <s v="Womens Clothing"/>
    <s v="Top"/>
    <n v="193.19"/>
    <s v="Spring"/>
    <s v="Card"/>
    <n v="4.9000000000000004"/>
    <x v="11"/>
    <n v="8"/>
    <n v="261.06756756756755"/>
    <n v="67.877567567567553"/>
    <x v="5"/>
    <n v="1"/>
  </r>
  <r>
    <n v="1042"/>
    <n v="45"/>
    <s v="Male"/>
    <s v="Footwear"/>
    <s v="Sandals"/>
    <n v="143.72"/>
    <s v="Summer"/>
    <s v="Card"/>
    <n v="2.6"/>
    <x v="3"/>
    <n v="5"/>
    <n v="179.64999999999998"/>
    <n v="35.929999999999978"/>
    <x v="1"/>
    <n v="1"/>
  </r>
  <r>
    <n v="1043"/>
    <n v="24"/>
    <s v="Female"/>
    <s v="Womens Clothing"/>
    <s v="Dress"/>
    <n v="141.82"/>
    <s v="Winter"/>
    <s v="Card"/>
    <n v="3.8"/>
    <x v="7"/>
    <n v="5"/>
    <n v="157.57777777777775"/>
    <n v="15.757777777777761"/>
    <x v="3"/>
    <n v="1"/>
  </r>
  <r>
    <n v="1044"/>
    <n v="44"/>
    <s v="Female"/>
    <s v="Womens Clothing"/>
    <s v="Top"/>
    <n v="177.01"/>
    <s v="Spring"/>
    <s v="Card"/>
    <n v="1.9"/>
    <x v="23"/>
    <n v="1"/>
    <n v="190.33333333333334"/>
    <n v="13.323333333333352"/>
    <x v="1"/>
    <n v="1"/>
  </r>
  <r>
    <n v="1045"/>
    <n v="33"/>
    <s v="Male"/>
    <s v="Sports"/>
    <s v="Yoga Mat"/>
    <n v="144.52000000000001"/>
    <s v="Autumn"/>
    <s v="Card"/>
    <n v="4.5999999999999996"/>
    <x v="7"/>
    <n v="5"/>
    <n v="160.57777777777778"/>
    <n v="16.057777777777773"/>
    <x v="5"/>
    <n v="1"/>
  </r>
  <r>
    <n v="1046"/>
    <n v="40"/>
    <s v="Male"/>
    <s v="Mens Clothing"/>
    <s v="T-Shirt"/>
    <n v="141.59"/>
    <s v="Spring"/>
    <s v="Card"/>
    <n v="3.3"/>
    <x v="17"/>
    <n v="2"/>
    <n v="147.48958333333334"/>
    <n v="5.8995833333333394"/>
    <x v="1"/>
    <n v="1"/>
  </r>
  <r>
    <n v="1047"/>
    <n v="53"/>
    <s v="Female"/>
    <s v="Womens Clothing"/>
    <s v="Skirt"/>
    <n v="130.75"/>
    <s v="Summer"/>
    <s v="Card"/>
    <n v="3.9"/>
    <x v="19"/>
    <n v="5"/>
    <n v="153.8235294117647"/>
    <n v="23.073529411764696"/>
    <x v="4"/>
    <n v="1"/>
  </r>
  <r>
    <n v="1048"/>
    <n v="55"/>
    <s v="Male"/>
    <s v="Footwear"/>
    <s v="Sandals"/>
    <n v="57.48"/>
    <s v="Summer"/>
    <s v="Card"/>
    <n v="4.0999999999999996"/>
    <x v="19"/>
    <n v="5"/>
    <n v="67.623529411764707"/>
    <n v="10.14352941176471"/>
    <x v="4"/>
    <n v="1"/>
  </r>
  <r>
    <n v="1049"/>
    <n v="40"/>
    <s v="Female"/>
    <s v="Womens Clothing"/>
    <s v="Dress"/>
    <n v="75.56"/>
    <s v="Winter"/>
    <s v="Cash on Delivery"/>
    <n v="4.0999999999999996"/>
    <x v="7"/>
    <n v="5"/>
    <n v="83.955555555555563"/>
    <n v="8.3955555555555605"/>
    <x v="1"/>
    <n v="1"/>
  </r>
  <r>
    <n v="1050"/>
    <n v="34"/>
    <s v="Female"/>
    <s v="Accessories"/>
    <s v="Handbag"/>
    <n v="50.23"/>
    <s v="Spring"/>
    <s v="Cash on Delivery"/>
    <n v="2.2000000000000002"/>
    <x v="16"/>
    <n v="3"/>
    <n v="53.436170212765958"/>
    <n v="3.2061702127659615"/>
    <x v="5"/>
    <n v="1"/>
  </r>
  <r>
    <n v="1051"/>
    <n v="45"/>
    <s v="Female"/>
    <s v="Accessories"/>
    <s v="Handbag"/>
    <n v="56.28"/>
    <s v="Summer"/>
    <s v="Cash on Delivery"/>
    <n v="4.5"/>
    <x v="0"/>
    <n v="4"/>
    <n v="68.634146341463406"/>
    <n v="12.354146341463405"/>
    <x v="1"/>
    <n v="1"/>
  </r>
  <r>
    <n v="1052"/>
    <n v="31"/>
    <s v="Male"/>
    <s v="Home"/>
    <s v="Curtains"/>
    <n v="211.48"/>
    <s v="Spring"/>
    <s v="Card"/>
    <n v="2.8"/>
    <x v="13"/>
    <n v="2"/>
    <n v="232.39560439560438"/>
    <n v="20.91560439560439"/>
    <x v="5"/>
    <n v="1"/>
  </r>
  <r>
    <n v="1053"/>
    <n v="37"/>
    <s v="Female"/>
    <s v="Home"/>
    <s v="Lamp"/>
    <n v="75.819999999999993"/>
    <s v="Winter"/>
    <s v="Card"/>
    <n v="4.3"/>
    <x v="8"/>
    <n v="1"/>
    <n v="86.159090909090907"/>
    <n v="10.339090909090913"/>
    <x v="1"/>
    <n v="1"/>
  </r>
  <r>
    <n v="1054"/>
    <n v="60"/>
    <s v="Female"/>
    <s v="Accessories"/>
    <s v="Sunglasses"/>
    <n v="58.95"/>
    <s v="Winter"/>
    <s v="Cash on Delivery"/>
    <n v="3.5"/>
    <x v="16"/>
    <n v="3"/>
    <n v="62.712765957446813"/>
    <n v="3.7627659574468098"/>
    <x v="0"/>
    <n v="1"/>
  </r>
  <r>
    <n v="1055"/>
    <n v="38"/>
    <s v="Male"/>
    <s v="Electronics"/>
    <s v="Headphones"/>
    <n v="1948.69"/>
    <s v="Summer"/>
    <s v="Card"/>
    <n v="2.9"/>
    <x v="6"/>
    <n v="8"/>
    <n v="2319.8690476190477"/>
    <n v="371.17904761904765"/>
    <x v="1"/>
    <n v="1"/>
  </r>
  <r>
    <n v="1056"/>
    <n v="60"/>
    <s v="Male"/>
    <s v="Sports"/>
    <s v="Yoga Mat"/>
    <n v="221.58"/>
    <s v="Summer"/>
    <s v="Card"/>
    <n v="3.2"/>
    <x v="7"/>
    <n v="5"/>
    <n v="246.20000000000002"/>
    <n v="24.620000000000005"/>
    <x v="0"/>
    <n v="1"/>
  </r>
  <r>
    <n v="1057"/>
    <n v="40"/>
    <s v="Male"/>
    <s v="Sports"/>
    <s v="Football"/>
    <n v="194.16"/>
    <s v="Winter"/>
    <s v="Card"/>
    <n v="3.9"/>
    <x v="21"/>
    <n v="8"/>
    <n v="245.77215189873417"/>
    <n v="51.612151898734169"/>
    <x v="1"/>
    <n v="1"/>
  </r>
  <r>
    <n v="1058"/>
    <n v="33"/>
    <s v="Female"/>
    <s v="Footwear"/>
    <s v="Sneakers"/>
    <n v="40.299999999999997"/>
    <s v="Winter"/>
    <s v="Card"/>
    <n v="2.5"/>
    <x v="10"/>
    <n v="6"/>
    <n v="51.666666666666664"/>
    <n v="11.366666666666667"/>
    <x v="5"/>
    <n v="1"/>
  </r>
  <r>
    <n v="1059"/>
    <n v="64"/>
    <s v="Female"/>
    <s v="Womens Clothing"/>
    <s v="Top"/>
    <n v="178.98"/>
    <s v="Autumn"/>
    <s v="Card"/>
    <n v="3.2"/>
    <x v="3"/>
    <n v="5"/>
    <n v="223.72499999999997"/>
    <n v="44.744999999999976"/>
    <x v="0"/>
    <n v="1"/>
  </r>
  <r>
    <n v="1060"/>
    <n v="64"/>
    <s v="Female"/>
    <s v="Womens Clothing"/>
    <s v="Top"/>
    <n v="190.01"/>
    <s v="Spring"/>
    <s v="Card"/>
    <n v="4.0999999999999996"/>
    <x v="0"/>
    <n v="9"/>
    <n v="231.71951219512192"/>
    <n v="41.709512195121931"/>
    <x v="0"/>
    <n v="1"/>
  </r>
  <r>
    <n v="1061"/>
    <n v="66"/>
    <s v="Female"/>
    <s v="Womens Clothing"/>
    <s v="Skirt"/>
    <n v="114.31"/>
    <s v="Autumn"/>
    <s v="Card"/>
    <n v="5"/>
    <x v="5"/>
    <n v="4"/>
    <n v="124.25"/>
    <n v="9.9399999999999977"/>
    <x v="2"/>
    <n v="1"/>
  </r>
  <r>
    <n v="1062"/>
    <n v="21"/>
    <s v="Male"/>
    <s v="Mens Clothing"/>
    <s v="Shirt"/>
    <n v="114.03"/>
    <s v="Autumn"/>
    <s v="Card"/>
    <n v="2.6"/>
    <x v="8"/>
    <n v="1"/>
    <n v="129.57954545454547"/>
    <n v="15.549545454545466"/>
    <x v="3"/>
    <n v="1"/>
  </r>
  <r>
    <n v="1063"/>
    <n v="49"/>
    <s v="Male"/>
    <s v="Footwear"/>
    <s v="Formal Shoes"/>
    <n v="106.57"/>
    <s v="Autumn"/>
    <s v="Card"/>
    <n v="3.2"/>
    <x v="5"/>
    <n v="4"/>
    <n v="115.83695652173911"/>
    <n v="9.2669565217391181"/>
    <x v="4"/>
    <n v="1"/>
  </r>
  <r>
    <n v="1064"/>
    <n v="40"/>
    <s v="Female"/>
    <s v="Beauty"/>
    <s v="Makeup Set"/>
    <n v="44.46"/>
    <s v="Summer"/>
    <s v="Card"/>
    <n v="3.5"/>
    <x v="10"/>
    <n v="6"/>
    <n v="57"/>
    <n v="12.54"/>
    <x v="1"/>
    <n v="1"/>
  </r>
  <r>
    <n v="1065"/>
    <n v="49"/>
    <s v="Female"/>
    <s v="Womens Clothing"/>
    <s v="Skirt"/>
    <n v="43.75"/>
    <s v="Spring"/>
    <s v="Card"/>
    <n v="3.8"/>
    <x v="10"/>
    <n v="6"/>
    <n v="56.089743589743591"/>
    <n v="12.339743589743591"/>
    <x v="4"/>
    <n v="1"/>
  </r>
  <r>
    <n v="1066"/>
    <n v="20"/>
    <s v="Male"/>
    <s v="Sports"/>
    <s v="Yoga Mat"/>
    <n v="98.82"/>
    <s v="Winter"/>
    <s v="Card"/>
    <n v="3.5"/>
    <x v="6"/>
    <n v="3"/>
    <n v="117.64285714285714"/>
    <n v="18.822857142857146"/>
    <x v="3"/>
    <n v="1"/>
  </r>
  <r>
    <n v="1067"/>
    <n v="53"/>
    <s v="Male"/>
    <s v="Mens Clothing"/>
    <s v="Jeans"/>
    <n v="176.35"/>
    <s v="Autumn"/>
    <s v="Card"/>
    <n v="4"/>
    <x v="16"/>
    <n v="3"/>
    <n v="187.60638297872342"/>
    <n v="11.256382978723423"/>
    <x v="4"/>
    <n v="1"/>
  </r>
  <r>
    <n v="1068"/>
    <n v="20"/>
    <s v="Male"/>
    <s v="Electronics"/>
    <s v="Laptop"/>
    <n v="768.38"/>
    <s v="Autumn"/>
    <s v="Card"/>
    <n v="4.3"/>
    <x v="19"/>
    <n v="5"/>
    <n v="903.97647058823532"/>
    <n v="135.59647058823532"/>
    <x v="3"/>
    <n v="1"/>
  </r>
  <r>
    <n v="1069"/>
    <n v="58"/>
    <s v="Male"/>
    <s v="Electronics"/>
    <s v="Laptop"/>
    <n v="2823.73"/>
    <s v="Spring"/>
    <s v="Card"/>
    <n v="4.5"/>
    <x v="3"/>
    <n v="5"/>
    <n v="3529.6624999999999"/>
    <n v="705.93249999999989"/>
    <x v="0"/>
    <n v="1"/>
  </r>
  <r>
    <n v="1070"/>
    <n v="53"/>
    <s v="Male"/>
    <s v="Sports"/>
    <s v="Yoga Mat"/>
    <n v="33.24"/>
    <s v="Autumn"/>
    <s v="Cash on Delivery"/>
    <n v="4.0999999999999996"/>
    <x v="10"/>
    <n v="6"/>
    <n v="42.615384615384613"/>
    <n v="9.3753846153846112"/>
    <x v="4"/>
    <n v="1"/>
  </r>
  <r>
    <n v="1071"/>
    <n v="38"/>
    <s v="Female"/>
    <s v="Accessories"/>
    <s v="Wallet"/>
    <n v="150.79"/>
    <s v="Autumn"/>
    <s v="Card"/>
    <n v="2.7"/>
    <x v="7"/>
    <n v="5"/>
    <n v="167.54444444444442"/>
    <n v="16.754444444444431"/>
    <x v="1"/>
    <n v="1"/>
  </r>
  <r>
    <n v="1072"/>
    <n v="65"/>
    <s v="Male"/>
    <s v="Sports"/>
    <s v="Yoga Mat"/>
    <n v="208.78"/>
    <s v="Autumn"/>
    <s v="Card"/>
    <n v="4.3"/>
    <x v="3"/>
    <n v="5"/>
    <n v="260.97499999999997"/>
    <n v="52.194999999999965"/>
    <x v="0"/>
    <n v="1"/>
  </r>
  <r>
    <n v="1073"/>
    <n v="22"/>
    <s v="Female"/>
    <s v="Accessories"/>
    <s v="Handbag"/>
    <n v="80.5"/>
    <s v="Summer"/>
    <s v="Card"/>
    <n v="4"/>
    <x v="6"/>
    <n v="3"/>
    <n v="95.833333333333343"/>
    <n v="15.333333333333343"/>
    <x v="3"/>
    <n v="1"/>
  </r>
  <r>
    <n v="1074"/>
    <n v="60"/>
    <s v="Male"/>
    <s v="Sports"/>
    <s v="Dumbbells"/>
    <n v="139.63999999999999"/>
    <s v="Autumn"/>
    <s v="Card"/>
    <n v="4"/>
    <x v="11"/>
    <n v="8"/>
    <n v="188.70270270270268"/>
    <n v="49.062702702702694"/>
    <x v="0"/>
    <n v="1"/>
  </r>
  <r>
    <n v="1075"/>
    <n v="32"/>
    <s v="Female"/>
    <s v="Beauty"/>
    <s v="Skincare Kit"/>
    <n v="105.08"/>
    <s v="Spring"/>
    <s v="Card"/>
    <n v="3"/>
    <x v="1"/>
    <n v="4"/>
    <n v="120.7816091954023"/>
    <n v="15.701609195402298"/>
    <x v="5"/>
    <n v="1"/>
  </r>
  <r>
    <n v="1076"/>
    <n v="47"/>
    <s v="Male"/>
    <s v="Groceries"/>
    <s v="Cooking Oil"/>
    <n v="73.92"/>
    <s v="Spring"/>
    <s v="Cash on Delivery"/>
    <n v="3.5"/>
    <x v="13"/>
    <n v="2"/>
    <n v="81.230769230769226"/>
    <n v="7.3107692307692247"/>
    <x v="4"/>
    <n v="1"/>
  </r>
  <r>
    <n v="1077"/>
    <n v="48"/>
    <s v="Male"/>
    <s v="Electronics"/>
    <s v="Smart Watch"/>
    <n v="2738.51"/>
    <s v="Summer"/>
    <s v="Card"/>
    <n v="3.5"/>
    <x v="2"/>
    <n v="3"/>
    <n v="3076.977528089888"/>
    <n v="338.46752808988776"/>
    <x v="4"/>
    <n v="1"/>
  </r>
  <r>
    <n v="1078"/>
    <n v="69"/>
    <s v="Male"/>
    <s v="Electronics"/>
    <s v="Smart Watch"/>
    <n v="1627.36"/>
    <s v="Spring"/>
    <s v="Card"/>
    <n v="3.5"/>
    <x v="0"/>
    <n v="4"/>
    <n v="1984.5853658536582"/>
    <n v="357.22536585365833"/>
    <x v="2"/>
    <n v="1"/>
  </r>
  <r>
    <n v="1079"/>
    <n v="64"/>
    <s v="Male"/>
    <s v="Groceries"/>
    <s v="Snacks"/>
    <n v="44.35"/>
    <s v="Spring"/>
    <s v="Cash on Delivery"/>
    <n v="3.4"/>
    <x v="19"/>
    <n v="5"/>
    <n v="52.176470588235297"/>
    <n v="7.8264705882352956"/>
    <x v="0"/>
    <n v="1"/>
  </r>
  <r>
    <n v="1080"/>
    <n v="51"/>
    <s v="Male"/>
    <s v="Groceries"/>
    <s v="Beverages"/>
    <n v="67.37"/>
    <s v="Winter"/>
    <s v="Cash on Delivery"/>
    <n v="3.6"/>
    <x v="10"/>
    <n v="6"/>
    <n v="86.371794871794876"/>
    <n v="19.001794871794871"/>
    <x v="4"/>
    <n v="1"/>
  </r>
  <r>
    <n v="1081"/>
    <n v="55"/>
    <s v="Female"/>
    <s v="Beauty"/>
    <s v="Perfume"/>
    <n v="51.63"/>
    <s v="Autumn"/>
    <s v="Card"/>
    <n v="4.5999999999999996"/>
    <x v="0"/>
    <n v="4"/>
    <n v="62.963414634146339"/>
    <n v="11.333414634146337"/>
    <x v="4"/>
    <n v="1"/>
  </r>
  <r>
    <n v="1082"/>
    <n v="62"/>
    <s v="Male"/>
    <s v="Sports"/>
    <s v="Football"/>
    <n v="202.1"/>
    <s v="Summer"/>
    <s v="Card"/>
    <n v="2.2000000000000002"/>
    <x v="3"/>
    <n v="5"/>
    <n v="252.62499999999997"/>
    <n v="50.524999999999977"/>
    <x v="0"/>
    <n v="1"/>
  </r>
  <r>
    <n v="1083"/>
    <n v="52"/>
    <s v="Female"/>
    <s v="Footwear"/>
    <s v="Sneakers"/>
    <n v="86.78"/>
    <s v="Spring"/>
    <s v="Cash on Delivery"/>
    <n v="4"/>
    <x v="3"/>
    <n v="5"/>
    <n v="108.47499999999999"/>
    <n v="21.694999999999993"/>
    <x v="4"/>
    <n v="1"/>
  </r>
  <r>
    <n v="1084"/>
    <n v="41"/>
    <s v="Male"/>
    <s v="Footwear"/>
    <s v="Formal Shoes"/>
    <n v="82.05"/>
    <s v="Summer"/>
    <s v="Card"/>
    <n v="4.0999999999999996"/>
    <x v="3"/>
    <n v="5"/>
    <n v="102.56249999999999"/>
    <n v="20.512499999999989"/>
    <x v="1"/>
    <n v="1"/>
  </r>
  <r>
    <n v="1085"/>
    <n v="27"/>
    <s v="Female"/>
    <s v="Beauty"/>
    <s v="Perfume"/>
    <n v="24.02"/>
    <s v="Winter"/>
    <s v="Cash on Delivery"/>
    <n v="4.3"/>
    <x v="4"/>
    <n v="2"/>
    <n v="27.930232558139537"/>
    <n v="3.910232558139537"/>
    <x v="5"/>
    <n v="1"/>
  </r>
  <r>
    <n v="1086"/>
    <n v="29"/>
    <s v="Female"/>
    <s v="Womens Clothing"/>
    <s v="Top"/>
    <n v="45.21"/>
    <s v="Spring"/>
    <s v="Card"/>
    <n v="3.9"/>
    <x v="27"/>
    <n v="10"/>
    <n v="60.28"/>
    <n v="15.07"/>
    <x v="5"/>
    <n v="1"/>
  </r>
  <r>
    <n v="1087"/>
    <n v="66"/>
    <s v="Male"/>
    <s v="Footwear"/>
    <s v="Sandals"/>
    <n v="239.97"/>
    <s v="Spring"/>
    <s v="Card"/>
    <n v="4.7"/>
    <x v="14"/>
    <n v="6"/>
    <n v="289.12048192771084"/>
    <n v="49.150481927710842"/>
    <x v="2"/>
    <n v="1"/>
  </r>
  <r>
    <n v="1088"/>
    <n v="67"/>
    <s v="Male"/>
    <s v="Sports"/>
    <s v="Football"/>
    <n v="117.03"/>
    <s v="Spring"/>
    <s v="Card"/>
    <n v="3.4"/>
    <x v="17"/>
    <n v="2"/>
    <n v="121.90625"/>
    <n v="4.8762499999999989"/>
    <x v="2"/>
    <n v="1"/>
  </r>
  <r>
    <n v="1089"/>
    <n v="44"/>
    <s v="Female"/>
    <s v="Home"/>
    <s v="Kitchen Set"/>
    <n v="121.22"/>
    <s v="Winter"/>
    <s v="Card"/>
    <n v="4.7"/>
    <x v="16"/>
    <n v="3"/>
    <n v="128.95744680851064"/>
    <n v="7.73744680851064"/>
    <x v="1"/>
    <n v="1"/>
  </r>
  <r>
    <n v="1090"/>
    <n v="26"/>
    <s v="Male"/>
    <s v="Home"/>
    <s v="Kitchen Set"/>
    <n v="155.63"/>
    <s v="Autumn"/>
    <s v="Card"/>
    <n v="3.2"/>
    <x v="3"/>
    <n v="5"/>
    <n v="194.53749999999999"/>
    <n v="38.907499999999999"/>
    <x v="5"/>
    <n v="1"/>
  </r>
  <r>
    <n v="1091"/>
    <n v="64"/>
    <s v="Male"/>
    <s v="Footwear"/>
    <s v="Sneakers"/>
    <n v="133.61000000000001"/>
    <s v="Summer"/>
    <s v="Card"/>
    <n v="4.5999999999999996"/>
    <x v="7"/>
    <n v="5"/>
    <n v="148.45555555555558"/>
    <n v="14.845555555555563"/>
    <x v="0"/>
    <n v="1"/>
  </r>
  <r>
    <n v="1092"/>
    <n v="39"/>
    <s v="Male"/>
    <s v="Mens Clothing"/>
    <s v="T-Shirt"/>
    <n v="136.87"/>
    <s v="Winter"/>
    <s v="Card"/>
    <n v="5"/>
    <x v="14"/>
    <n v="6"/>
    <n v="164.90361445783134"/>
    <n v="28.033614457831334"/>
    <x v="1"/>
    <n v="1"/>
  </r>
  <r>
    <n v="1093"/>
    <n v="24"/>
    <s v="Female"/>
    <s v="Beauty"/>
    <s v="Makeup Set"/>
    <n v="61.18"/>
    <s v="Spring"/>
    <s v="Cash on Delivery"/>
    <n v="3.1"/>
    <x v="8"/>
    <n v="6"/>
    <n v="69.522727272727266"/>
    <n v="8.3427272727272666"/>
    <x v="3"/>
    <n v="1"/>
  </r>
  <r>
    <n v="1094"/>
    <n v="22"/>
    <s v="Female"/>
    <s v="Beauty"/>
    <s v="Makeup Set"/>
    <n v="52.42"/>
    <s v="Summer"/>
    <s v="Cash on Delivery"/>
    <n v="4.4000000000000004"/>
    <x v="7"/>
    <n v="5"/>
    <n v="58.244444444444447"/>
    <n v="5.8244444444444454"/>
    <x v="3"/>
    <n v="1"/>
  </r>
  <r>
    <n v="1095"/>
    <n v="64"/>
    <s v="Female"/>
    <s v="Sports"/>
    <s v="Football"/>
    <n v="64.47"/>
    <s v="Autumn"/>
    <s v="Card"/>
    <n v="2.8"/>
    <x v="6"/>
    <n v="3"/>
    <n v="76.75"/>
    <n v="12.280000000000001"/>
    <x v="0"/>
    <n v="1"/>
  </r>
  <r>
    <n v="1096"/>
    <n v="41"/>
    <s v="Male"/>
    <s v="Mens Clothing"/>
    <s v="Jeans"/>
    <n v="72.23"/>
    <s v="Autumn"/>
    <s v="Cash on Delivery"/>
    <n v="3.6"/>
    <x v="2"/>
    <n v="3"/>
    <n v="81.157303370786522"/>
    <n v="8.9273033707865181"/>
    <x v="1"/>
    <n v="1"/>
  </r>
  <r>
    <n v="1097"/>
    <n v="55"/>
    <s v="Male"/>
    <s v="Mens Clothing"/>
    <s v="Jeans"/>
    <n v="121.35"/>
    <s v="Summer"/>
    <s v="Card"/>
    <n v="3.4"/>
    <x v="7"/>
    <n v="5"/>
    <n v="134.83333333333331"/>
    <n v="13.48333333333332"/>
    <x v="4"/>
    <n v="1"/>
  </r>
  <r>
    <n v="1098"/>
    <n v="23"/>
    <s v="Female"/>
    <s v="Accessories"/>
    <s v="Sunglasses"/>
    <n v="117.09"/>
    <s v="Spring"/>
    <s v="Card"/>
    <n v="3.4"/>
    <x v="17"/>
    <n v="2"/>
    <n v="121.96875000000001"/>
    <n v="4.8787500000000108"/>
    <x v="3"/>
    <n v="1"/>
  </r>
  <r>
    <n v="1099"/>
    <n v="70"/>
    <s v="Male"/>
    <s v="Mens Clothing"/>
    <s v="Jacket"/>
    <n v="190.63"/>
    <s v="Summer"/>
    <s v="Card"/>
    <n v="3.7"/>
    <x v="15"/>
    <n v="1"/>
    <n v="194.5204081632653"/>
    <n v="3.890408163265306"/>
    <x v="2"/>
    <n v="1"/>
  </r>
  <r>
    <n v="1100"/>
    <n v="57"/>
    <s v="Male"/>
    <s v="Mens Clothing"/>
    <s v="Jacket"/>
    <n v="53.94"/>
    <s v="Summer"/>
    <s v="Cash on Delivery"/>
    <n v="3.7"/>
    <x v="14"/>
    <n v="6"/>
    <n v="64.98795180722891"/>
    <n v="11.047951807228912"/>
    <x v="0"/>
    <n v="1"/>
  </r>
  <r>
    <n v="1101"/>
    <n v="26"/>
    <s v="Female"/>
    <s v="Accessories"/>
    <s v="Handbag"/>
    <n v="158.79"/>
    <s v="Summer"/>
    <s v="Card"/>
    <n v="4.5999999999999996"/>
    <x v="23"/>
    <n v="1"/>
    <n v="170.74193548387098"/>
    <n v="11.951935483870983"/>
    <x v="5"/>
    <n v="1"/>
  </r>
  <r>
    <n v="1102"/>
    <n v="62"/>
    <s v="Male"/>
    <s v="Sports"/>
    <s v="Yoga Mat"/>
    <n v="77.56"/>
    <s v="Spring"/>
    <s v="Cash on Delivery"/>
    <n v="3.8"/>
    <x v="19"/>
    <n v="5"/>
    <n v="91.247058823529414"/>
    <n v="13.687058823529412"/>
    <x v="0"/>
    <n v="1"/>
  </r>
  <r>
    <n v="1103"/>
    <n v="23"/>
    <s v="Male"/>
    <s v="Electronics"/>
    <s v="Laptop"/>
    <n v="559.52"/>
    <s v="Autumn"/>
    <s v="Card"/>
    <n v="4"/>
    <x v="0"/>
    <n v="4"/>
    <n v="682.34146341463406"/>
    <n v="122.82146341463408"/>
    <x v="3"/>
    <n v="1"/>
  </r>
  <r>
    <n v="1104"/>
    <n v="44"/>
    <s v="Male"/>
    <s v="Electronics"/>
    <s v="Laptop"/>
    <n v="2966"/>
    <s v="Spring"/>
    <s v="Card"/>
    <n v="2.9"/>
    <x v="7"/>
    <n v="5"/>
    <n v="3295.5555555555557"/>
    <n v="329.55555555555566"/>
    <x v="1"/>
    <n v="1"/>
  </r>
  <r>
    <n v="1105"/>
    <n v="57"/>
    <s v="Female"/>
    <s v="Groceries"/>
    <s v="Snacks"/>
    <n v="20.37"/>
    <s v="Summer"/>
    <s v="Card"/>
    <n v="4"/>
    <x v="25"/>
    <n v="10"/>
    <n v="29.100000000000005"/>
    <n v="8.730000000000004"/>
    <x v="0"/>
    <n v="1"/>
  </r>
  <r>
    <n v="1106"/>
    <n v="26"/>
    <s v="Female"/>
    <s v="Womens Clothing"/>
    <s v="Skirt"/>
    <n v="175.46"/>
    <s v="Autumn"/>
    <s v="Card"/>
    <n v="3.4"/>
    <x v="18"/>
    <n v="7"/>
    <n v="230.86842105263159"/>
    <n v="55.408421052631581"/>
    <x v="5"/>
    <n v="1"/>
  </r>
  <r>
    <n v="1107"/>
    <n v="42"/>
    <s v="Female"/>
    <s v="Footwear"/>
    <s v="Sneakers"/>
    <n v="193.23"/>
    <s v="Autumn"/>
    <s v="Card"/>
    <n v="4.5999999999999996"/>
    <x v="5"/>
    <n v="4"/>
    <n v="210.03260869565216"/>
    <n v="16.802608695652168"/>
    <x v="1"/>
    <n v="1"/>
  </r>
  <r>
    <n v="1108"/>
    <n v="26"/>
    <s v="Male"/>
    <s v="Sports"/>
    <s v="Yoga Mat"/>
    <n v="67.09"/>
    <s v="Summer"/>
    <s v="Card"/>
    <n v="3.5"/>
    <x v="0"/>
    <n v="9"/>
    <n v="81.817073170731703"/>
    <n v="14.7270731707317"/>
    <x v="5"/>
    <n v="1"/>
  </r>
  <r>
    <n v="1109"/>
    <n v="28"/>
    <s v="Female"/>
    <s v="Accessories"/>
    <s v="Wallet"/>
    <n v="57.75"/>
    <s v="Spring"/>
    <s v="Cash on Delivery"/>
    <n v="5"/>
    <x v="13"/>
    <n v="2"/>
    <n v="63.46153846153846"/>
    <n v="5.7115384615384599"/>
    <x v="5"/>
    <n v="1"/>
  </r>
  <r>
    <n v="1110"/>
    <n v="46"/>
    <s v="Male"/>
    <s v="Mens Clothing"/>
    <s v="Jeans"/>
    <n v="60.83"/>
    <s v="Autumn"/>
    <s v="Card"/>
    <n v="3.9"/>
    <x v="5"/>
    <n v="4"/>
    <n v="66.119565217391298"/>
    <n v="5.2895652173912993"/>
    <x v="4"/>
    <n v="1"/>
  </r>
  <r>
    <n v="1111"/>
    <n v="28"/>
    <s v="Male"/>
    <s v="Mens Clothing"/>
    <s v="Jeans"/>
    <n v="153.1"/>
    <s v="Summer"/>
    <s v="Card"/>
    <n v="4.5"/>
    <x v="5"/>
    <n v="4"/>
    <n v="166.41304347826085"/>
    <n v="13.313043478260852"/>
    <x v="5"/>
    <n v="1"/>
  </r>
  <r>
    <n v="1112"/>
    <n v="49"/>
    <s v="Female"/>
    <s v="Groceries"/>
    <s v="Beverages"/>
    <n v="29.32"/>
    <s v="Spring"/>
    <s v="Card"/>
    <n v="5"/>
    <x v="22"/>
    <n v="9"/>
    <n v="38.077922077922075"/>
    <n v="8.7579220779220748"/>
    <x v="4"/>
    <n v="1"/>
  </r>
  <r>
    <n v="1113"/>
    <n v="67"/>
    <s v="Female"/>
    <s v="Accessories"/>
    <s v="Sunglasses"/>
    <n v="133.57"/>
    <s v="Winter"/>
    <s v="Card"/>
    <n v="3.9"/>
    <x v="11"/>
    <n v="8"/>
    <n v="180.5"/>
    <n v="46.930000000000007"/>
    <x v="2"/>
    <n v="1"/>
  </r>
  <r>
    <n v="1114"/>
    <n v="69"/>
    <s v="Female"/>
    <s v="Accessories"/>
    <s v="Wallet"/>
    <n v="26.45"/>
    <s v="Autumn"/>
    <s v="Card"/>
    <n v="3.2"/>
    <x v="4"/>
    <n v="7"/>
    <n v="30.755813953488371"/>
    <n v="4.3058139534883715"/>
    <x v="2"/>
    <n v="1"/>
  </r>
  <r>
    <n v="1115"/>
    <n v="56"/>
    <s v="Female"/>
    <s v="Groceries"/>
    <s v="Snacks"/>
    <n v="66.52"/>
    <s v="Winter"/>
    <s v="Card"/>
    <n v="3.9"/>
    <x v="1"/>
    <n v="4"/>
    <n v="76.459770114942529"/>
    <n v="9.939770114942533"/>
    <x v="0"/>
    <n v="1"/>
  </r>
  <r>
    <n v="1116"/>
    <n v="66"/>
    <s v="Female"/>
    <s v="Beauty"/>
    <s v="Perfume"/>
    <n v="125.89"/>
    <s v="Autumn"/>
    <s v="Card"/>
    <n v="4.3"/>
    <x v="6"/>
    <n v="3"/>
    <n v="149.86904761904762"/>
    <n v="23.97904761904762"/>
    <x v="2"/>
    <n v="1"/>
  </r>
  <r>
    <n v="1117"/>
    <n v="26"/>
    <s v="Female"/>
    <s v="Accessories"/>
    <s v="Handbag"/>
    <n v="177.36"/>
    <s v="Autumn"/>
    <s v="Card"/>
    <n v="4.8"/>
    <x v="3"/>
    <n v="5"/>
    <n v="221.70000000000002"/>
    <n v="44.34"/>
    <x v="5"/>
    <n v="1"/>
  </r>
  <r>
    <n v="1118"/>
    <n v="31"/>
    <s v="Male"/>
    <s v="Footwear"/>
    <s v="Sneakers"/>
    <n v="168.74"/>
    <s v="Summer"/>
    <s v="Card"/>
    <n v="4.0999999999999996"/>
    <x v="6"/>
    <n v="8"/>
    <n v="200.88095238095241"/>
    <n v="32.140952380952399"/>
    <x v="5"/>
    <n v="1"/>
  </r>
  <r>
    <n v="1119"/>
    <n v="63"/>
    <s v="Female"/>
    <s v="Womens Clothing"/>
    <s v="Jeans"/>
    <n v="61.35"/>
    <s v="Summer"/>
    <s v="Cash on Delivery"/>
    <n v="3.6"/>
    <x v="3"/>
    <n v="5"/>
    <n v="76.6875"/>
    <n v="15.337499999999999"/>
    <x v="0"/>
    <n v="1"/>
  </r>
  <r>
    <n v="1120"/>
    <n v="44"/>
    <s v="Female"/>
    <s v="Beauty"/>
    <s v="Perfume"/>
    <n v="128.72999999999999"/>
    <s v="Winter"/>
    <s v="Card"/>
    <n v="4.9000000000000004"/>
    <x v="8"/>
    <n v="6"/>
    <n v="146.28409090909091"/>
    <n v="17.554090909090917"/>
    <x v="1"/>
    <n v="1"/>
  </r>
  <r>
    <n v="1121"/>
    <n v="20"/>
    <s v="Female"/>
    <s v="Sports"/>
    <s v="Dumbbells"/>
    <n v="144.69999999999999"/>
    <s v="Summer"/>
    <s v="Card"/>
    <n v="4.2"/>
    <x v="6"/>
    <n v="3"/>
    <n v="172.26190476190476"/>
    <n v="27.561904761904771"/>
    <x v="3"/>
    <n v="1"/>
  </r>
  <r>
    <n v="1122"/>
    <n v="41"/>
    <s v="Female"/>
    <s v="Accessories"/>
    <s v="Wallet"/>
    <n v="107.04"/>
    <s v="Autumn"/>
    <s v="Card"/>
    <n v="3.5"/>
    <x v="5"/>
    <n v="4"/>
    <n v="116.34782608695653"/>
    <n v="9.3078260869565241"/>
    <x v="1"/>
    <n v="1"/>
  </r>
  <r>
    <n v="1123"/>
    <n v="36"/>
    <s v="Female"/>
    <s v="Accessories"/>
    <s v="Sunglasses"/>
    <n v="31.74"/>
    <s v="Spring"/>
    <s v="Cash on Delivery"/>
    <n v="3.9"/>
    <x v="16"/>
    <n v="3"/>
    <n v="33.765957446808514"/>
    <n v="2.0259574468085155"/>
    <x v="1"/>
    <n v="1"/>
  </r>
  <r>
    <n v="1124"/>
    <n v="38"/>
    <s v="Male"/>
    <s v="Electronics"/>
    <s v="Laptop"/>
    <n v="2415.1999999999998"/>
    <s v="Summer"/>
    <s v="Card"/>
    <n v="4.3"/>
    <x v="3"/>
    <n v="5"/>
    <n v="3018.9999999999995"/>
    <n v="603.79999999999973"/>
    <x v="1"/>
    <n v="1"/>
  </r>
  <r>
    <n v="1125"/>
    <n v="44"/>
    <s v="Male"/>
    <s v="Mens Clothing"/>
    <s v="Jacket"/>
    <n v="91.47"/>
    <s v="Winter"/>
    <s v="Cash on Delivery"/>
    <n v="3.5"/>
    <x v="14"/>
    <n v="6"/>
    <n v="110.20481927710844"/>
    <n v="18.734819277108443"/>
    <x v="1"/>
    <n v="1"/>
  </r>
  <r>
    <n v="1126"/>
    <n v="40"/>
    <s v="Female"/>
    <s v="Footwear"/>
    <s v="Sandals"/>
    <n v="118.69"/>
    <s v="Autumn"/>
    <s v="Card"/>
    <n v="3.5"/>
    <x v="4"/>
    <n v="7"/>
    <n v="138.01162790697674"/>
    <n v="19.321627906976744"/>
    <x v="1"/>
    <n v="1"/>
  </r>
  <r>
    <n v="1127"/>
    <n v="33"/>
    <s v="Male"/>
    <s v="Footwear"/>
    <s v="Sneakers"/>
    <n v="163.49"/>
    <s v="Winter"/>
    <s v="Card"/>
    <n v="2.7"/>
    <x v="10"/>
    <n v="6"/>
    <n v="209.60256410256412"/>
    <n v="46.112564102564107"/>
    <x v="5"/>
    <n v="1"/>
  </r>
  <r>
    <n v="1128"/>
    <n v="55"/>
    <s v="Female"/>
    <s v="Footwear"/>
    <s v="Sandals"/>
    <n v="104.63"/>
    <s v="Spring"/>
    <s v="Card"/>
    <n v="3.2"/>
    <x v="3"/>
    <n v="5"/>
    <n v="130.78749999999999"/>
    <n v="26.157499999999999"/>
    <x v="4"/>
    <n v="1"/>
  </r>
  <r>
    <n v="1129"/>
    <n v="43"/>
    <s v="Male"/>
    <s v="Sports"/>
    <s v="Yoga Mat"/>
    <n v="195.7"/>
    <s v="Autumn"/>
    <s v="Card"/>
    <n v="2.8"/>
    <x v="7"/>
    <n v="5"/>
    <n v="217.44444444444443"/>
    <n v="21.74444444444444"/>
    <x v="1"/>
    <n v="1"/>
  </r>
  <r>
    <n v="1130"/>
    <n v="67"/>
    <s v="Female"/>
    <s v="Accessories"/>
    <s v="Wallet"/>
    <n v="42.94"/>
    <s v="Spring"/>
    <s v="Card"/>
    <n v="3.4"/>
    <x v="13"/>
    <n v="2"/>
    <n v="47.186813186813183"/>
    <n v="4.2468131868131849"/>
    <x v="2"/>
    <n v="1"/>
  </r>
  <r>
    <n v="1131"/>
    <n v="33"/>
    <s v="Male"/>
    <s v="Electronics"/>
    <s v="Mobile Phone"/>
    <n v="2697.97"/>
    <s v="Summer"/>
    <s v="Card"/>
    <n v="3.8"/>
    <x v="16"/>
    <n v="3"/>
    <n v="2870.1808510638298"/>
    <n v="172.21085106382998"/>
    <x v="5"/>
    <n v="1"/>
  </r>
  <r>
    <n v="1132"/>
    <n v="34"/>
    <s v="Female"/>
    <s v="Accessories"/>
    <s v="Handbag"/>
    <n v="86.46"/>
    <s v="Winter"/>
    <s v="Cash on Delivery"/>
    <n v="4.5"/>
    <x v="17"/>
    <n v="2"/>
    <n v="90.0625"/>
    <n v="3.6025000000000063"/>
    <x v="5"/>
    <n v="1"/>
  </r>
  <r>
    <n v="1133"/>
    <n v="50"/>
    <s v="Male"/>
    <s v="Sports"/>
    <s v="Dumbbells"/>
    <n v="166.99"/>
    <s v="Winter"/>
    <s v="Card"/>
    <n v="4.5"/>
    <x v="22"/>
    <n v="9"/>
    <n v="216.87012987012989"/>
    <n v="49.880129870129878"/>
    <x v="4"/>
    <n v="1"/>
  </r>
  <r>
    <n v="1134"/>
    <n v="50"/>
    <s v="Male"/>
    <s v="Electronics"/>
    <s v="Mobile Phone"/>
    <n v="1790.31"/>
    <s v="Summer"/>
    <s v="Card"/>
    <n v="2.7"/>
    <x v="0"/>
    <n v="4"/>
    <n v="2183.3048780487802"/>
    <n v="392.99487804878027"/>
    <x v="4"/>
    <n v="1"/>
  </r>
  <r>
    <n v="1135"/>
    <n v="43"/>
    <s v="Male"/>
    <s v="Sports"/>
    <s v="Football"/>
    <n v="86.47"/>
    <s v="Winter"/>
    <s v="Card"/>
    <n v="3"/>
    <x v="27"/>
    <n v="10"/>
    <n v="115.29333333333334"/>
    <n v="28.823333333333338"/>
    <x v="1"/>
    <n v="1"/>
  </r>
  <r>
    <n v="1136"/>
    <n v="41"/>
    <s v="Female"/>
    <s v="Footwear"/>
    <s v="Sneakers"/>
    <n v="215.58"/>
    <s v="Autumn"/>
    <s v="Card"/>
    <n v="4.0999999999999996"/>
    <x v="21"/>
    <n v="8"/>
    <n v="272.88607594936707"/>
    <n v="57.306075949367056"/>
    <x v="1"/>
    <n v="1"/>
  </r>
  <r>
    <n v="1137"/>
    <n v="52"/>
    <s v="Female"/>
    <s v="Accessories"/>
    <s v="Sunglasses"/>
    <n v="51.85"/>
    <s v="Summer"/>
    <s v="Card"/>
    <n v="3.5"/>
    <x v="3"/>
    <n v="5"/>
    <n v="64.8125"/>
    <n v="12.962499999999999"/>
    <x v="4"/>
    <n v="1"/>
  </r>
  <r>
    <n v="1138"/>
    <n v="45"/>
    <s v="Male"/>
    <s v="Groceries"/>
    <s v="Snacks"/>
    <n v="13.27"/>
    <s v="Summer"/>
    <s v="Cash on Delivery"/>
    <n v="5"/>
    <x v="18"/>
    <n v="7"/>
    <n v="17.460526315789473"/>
    <n v="4.190526315789473"/>
    <x v="1"/>
    <n v="1"/>
  </r>
  <r>
    <n v="1139"/>
    <n v="66"/>
    <s v="Male"/>
    <s v="Electronics"/>
    <s v="Smart Watch"/>
    <n v="1457.42"/>
    <s v="Winter"/>
    <s v="Card"/>
    <n v="2.7"/>
    <x v="2"/>
    <n v="3"/>
    <n v="1637.5505617977528"/>
    <n v="180.13056179775276"/>
    <x v="2"/>
    <n v="1"/>
  </r>
  <r>
    <n v="1140"/>
    <n v="20"/>
    <s v="Male"/>
    <s v="Electronics"/>
    <s v="Headphones"/>
    <n v="1172.26"/>
    <s v="Autumn"/>
    <s v="Card"/>
    <n v="2.9"/>
    <x v="4"/>
    <n v="2"/>
    <n v="1363.0930232558139"/>
    <n v="190.83302325581394"/>
    <x v="3"/>
    <n v="1"/>
  </r>
  <r>
    <n v="1141"/>
    <n v="48"/>
    <s v="Female"/>
    <s v="Womens Clothing"/>
    <s v="Dress"/>
    <n v="188.55"/>
    <s v="Autumn"/>
    <s v="Card"/>
    <n v="4.7"/>
    <x v="1"/>
    <n v="4"/>
    <n v="216.72413793103451"/>
    <n v="28.174137931034494"/>
    <x v="4"/>
    <n v="1"/>
  </r>
  <r>
    <n v="1142"/>
    <n v="48"/>
    <s v="Female"/>
    <s v="Womens Clothing"/>
    <s v="Skirt"/>
    <n v="188.22"/>
    <s v="Winter"/>
    <s v="Card"/>
    <n v="2.7"/>
    <x v="19"/>
    <n v="5"/>
    <n v="221.43529411764706"/>
    <n v="33.215294117647062"/>
    <x v="4"/>
    <n v="1"/>
  </r>
  <r>
    <n v="1143"/>
    <n v="27"/>
    <s v="Female"/>
    <s v="Womens Clothing"/>
    <s v="Top"/>
    <n v="90.74"/>
    <s v="Winter"/>
    <s v="Cash on Delivery"/>
    <n v="2.8"/>
    <x v="10"/>
    <n v="6"/>
    <n v="116.33333333333333"/>
    <n v="25.593333333333334"/>
    <x v="5"/>
    <n v="1"/>
  </r>
  <r>
    <n v="1144"/>
    <n v="59"/>
    <s v="Female"/>
    <s v="Footwear"/>
    <s v="Formal Shoes"/>
    <n v="69.569999999999993"/>
    <s v="Spring"/>
    <s v="Cash on Delivery"/>
    <n v="5"/>
    <x v="3"/>
    <n v="5"/>
    <n v="86.962499999999991"/>
    <n v="17.392499999999998"/>
    <x v="0"/>
    <n v="1"/>
  </r>
  <r>
    <n v="1145"/>
    <n v="56"/>
    <s v="Male"/>
    <s v="Electronics"/>
    <s v="Mobile Phone"/>
    <n v="2953.85"/>
    <s v="Winter"/>
    <s v="Card"/>
    <n v="4.2"/>
    <x v="0"/>
    <n v="4"/>
    <n v="3602.2560975609754"/>
    <n v="648.40609756097547"/>
    <x v="0"/>
    <n v="1"/>
  </r>
  <r>
    <n v="1146"/>
    <n v="23"/>
    <s v="Male"/>
    <s v="Footwear"/>
    <s v="Sneakers"/>
    <n v="224.71"/>
    <s v="Winter"/>
    <s v="Card"/>
    <n v="4.5999999999999996"/>
    <x v="10"/>
    <n v="6"/>
    <n v="288.08974358974359"/>
    <n v="63.379743589743583"/>
    <x v="3"/>
    <n v="1"/>
  </r>
  <r>
    <n v="1147"/>
    <n v="32"/>
    <s v="Female"/>
    <s v="Accessories"/>
    <s v="Wallet"/>
    <n v="53.71"/>
    <s v="Autumn"/>
    <s v="Cash on Delivery"/>
    <n v="3.2"/>
    <x v="21"/>
    <n v="8"/>
    <n v="67.987341772151893"/>
    <n v="14.277341772151892"/>
    <x v="5"/>
    <n v="1"/>
  </r>
  <r>
    <n v="1148"/>
    <n v="43"/>
    <s v="Female"/>
    <s v="Sports"/>
    <s v="Dumbbells"/>
    <n v="38.869999999999997"/>
    <s v="Winter"/>
    <s v="Cash on Delivery"/>
    <n v="4"/>
    <x v="6"/>
    <n v="8"/>
    <n v="46.273809523809526"/>
    <n v="7.4038095238095281"/>
    <x v="1"/>
    <n v="1"/>
  </r>
  <r>
    <n v="1149"/>
    <n v="55"/>
    <s v="Female"/>
    <s v="Home"/>
    <s v="Curtains"/>
    <n v="200.15"/>
    <s v="Summer"/>
    <s v="Card"/>
    <n v="4.7"/>
    <x v="11"/>
    <n v="8"/>
    <n v="270.47297297297297"/>
    <n v="70.322972972972963"/>
    <x v="4"/>
    <n v="1"/>
  </r>
  <r>
    <n v="1150"/>
    <n v="36"/>
    <s v="Female"/>
    <s v="Footwear"/>
    <s v="Sneakers"/>
    <n v="207.62"/>
    <s v="Summer"/>
    <s v="Card"/>
    <n v="4"/>
    <x v="21"/>
    <n v="8"/>
    <n v="262.81012658227849"/>
    <n v="55.190126582278481"/>
    <x v="1"/>
    <n v="1"/>
  </r>
  <r>
    <n v="1151"/>
    <n v="24"/>
    <s v="Male"/>
    <s v="Footwear"/>
    <s v="Sneakers"/>
    <n v="221.11"/>
    <s v="Summer"/>
    <s v="Card"/>
    <n v="3.1"/>
    <x v="2"/>
    <n v="3"/>
    <n v="248.43820224719101"/>
    <n v="27.328202247191001"/>
    <x v="3"/>
    <n v="1"/>
  </r>
  <r>
    <n v="1152"/>
    <n v="42"/>
    <s v="Female"/>
    <s v="Womens Clothing"/>
    <s v="Dress"/>
    <n v="49.43"/>
    <s v="Winter"/>
    <s v="Cash on Delivery"/>
    <n v="4.9000000000000004"/>
    <x v="5"/>
    <n v="4"/>
    <n v="53.728260869565212"/>
    <n v="4.2982608695652118"/>
    <x v="1"/>
    <n v="1"/>
  </r>
  <r>
    <n v="1153"/>
    <n v="44"/>
    <s v="Male"/>
    <s v="Electronics"/>
    <s v="Headphones"/>
    <n v="1549.6"/>
    <s v="Winter"/>
    <s v="Card"/>
    <n v="3.1"/>
    <x v="4"/>
    <n v="7"/>
    <n v="1801.8604651162791"/>
    <n v="252.26046511627919"/>
    <x v="1"/>
    <n v="1"/>
  </r>
  <r>
    <n v="1154"/>
    <n v="48"/>
    <s v="Female"/>
    <s v="Footwear"/>
    <s v="Sneakers"/>
    <n v="113.07"/>
    <s v="Autumn"/>
    <s v="Card"/>
    <n v="2.5"/>
    <x v="13"/>
    <n v="2"/>
    <n v="124.25274725274724"/>
    <n v="11.182747252747248"/>
    <x v="4"/>
    <n v="1"/>
  </r>
  <r>
    <n v="1155"/>
    <n v="52"/>
    <s v="Female"/>
    <s v="Beauty"/>
    <s v="Makeup Set"/>
    <n v="53.48"/>
    <s v="Summer"/>
    <s v="Cash on Delivery"/>
    <n v="5"/>
    <x v="8"/>
    <n v="6"/>
    <n v="60.772727272727266"/>
    <n v="7.2927272727272694"/>
    <x v="4"/>
    <n v="1"/>
  </r>
  <r>
    <n v="1156"/>
    <n v="56"/>
    <s v="Male"/>
    <s v="Mens Clothing"/>
    <s v="T-Shirt"/>
    <n v="75.17"/>
    <s v="Spring"/>
    <s v="Cash on Delivery"/>
    <n v="3.7"/>
    <x v="5"/>
    <n v="4"/>
    <n v="81.706521739130437"/>
    <n v="6.5365217391304355"/>
    <x v="0"/>
    <n v="1"/>
  </r>
  <r>
    <n v="1157"/>
    <n v="33"/>
    <s v="Female"/>
    <s v="Accessories"/>
    <s v="Wallet"/>
    <n v="166.03"/>
    <s v="Spring"/>
    <s v="Card"/>
    <n v="3.8"/>
    <x v="6"/>
    <n v="8"/>
    <n v="197.65476190476193"/>
    <n v="31.624761904761925"/>
    <x v="5"/>
    <n v="1"/>
  </r>
  <r>
    <n v="1158"/>
    <n v="58"/>
    <s v="Male"/>
    <s v="Mens Clothing"/>
    <s v="Shirt"/>
    <n v="103.75"/>
    <s v="Autumn"/>
    <s v="Card"/>
    <n v="3.4"/>
    <x v="14"/>
    <n v="6"/>
    <n v="125"/>
    <n v="21.25"/>
    <x v="0"/>
    <n v="1"/>
  </r>
  <r>
    <n v="1159"/>
    <n v="31"/>
    <s v="Female"/>
    <s v="Accessories"/>
    <s v="Handbag"/>
    <n v="45.34"/>
    <s v="Summer"/>
    <s v="Cash on Delivery"/>
    <n v="3.2"/>
    <x v="3"/>
    <n v="10"/>
    <n v="56.675000000000004"/>
    <n v="11.335000000000001"/>
    <x v="5"/>
    <n v="1"/>
  </r>
  <r>
    <n v="1160"/>
    <n v="41"/>
    <s v="Male"/>
    <s v="Mens Clothing"/>
    <s v="Jacket"/>
    <n v="122.83"/>
    <s v="Winter"/>
    <s v="Card"/>
    <n v="3.7"/>
    <x v="10"/>
    <n v="6"/>
    <n v="157.47435897435898"/>
    <n v="34.64435897435898"/>
    <x v="1"/>
    <n v="1"/>
  </r>
  <r>
    <n v="1161"/>
    <n v="65"/>
    <s v="Male"/>
    <s v="Footwear"/>
    <s v="Formal Shoes"/>
    <n v="77.34"/>
    <s v="Summer"/>
    <s v="Cash on Delivery"/>
    <n v="4.8"/>
    <x v="16"/>
    <n v="3"/>
    <n v="82.276595744680861"/>
    <n v="4.9365957446808579"/>
    <x v="0"/>
    <n v="1"/>
  </r>
  <r>
    <n v="1162"/>
    <n v="46"/>
    <s v="Male"/>
    <s v="Electronics"/>
    <s v="Laptop"/>
    <n v="2424.09"/>
    <s v="Winter"/>
    <s v="Card"/>
    <n v="3.6"/>
    <x v="0"/>
    <n v="4"/>
    <n v="2956.2073170731705"/>
    <n v="532.1173170731704"/>
    <x v="4"/>
    <n v="1"/>
  </r>
  <r>
    <n v="1163"/>
    <n v="30"/>
    <s v="Male"/>
    <s v="Groceries"/>
    <s v="Cooking Oil"/>
    <n v="25.43"/>
    <s v="Spring"/>
    <s v="Cash on Delivery"/>
    <n v="4.3"/>
    <x v="16"/>
    <n v="3"/>
    <n v="27.053191489361705"/>
    <n v="1.6231914893617052"/>
    <x v="5"/>
    <n v="1"/>
  </r>
  <r>
    <n v="1164"/>
    <n v="62"/>
    <s v="Male"/>
    <s v="Electronics"/>
    <s v="Headphones"/>
    <n v="603.16999999999996"/>
    <s v="Spring"/>
    <s v="Card"/>
    <n v="2.9"/>
    <x v="6"/>
    <n v="8"/>
    <n v="718.05952380952374"/>
    <n v="114.88952380952378"/>
    <x v="0"/>
    <n v="1"/>
  </r>
  <r>
    <n v="1165"/>
    <n v="22"/>
    <s v="Female"/>
    <s v="Beauty"/>
    <s v="Perfume"/>
    <n v="80.91"/>
    <s v="Autumn"/>
    <s v="Card"/>
    <n v="5"/>
    <x v="3"/>
    <n v="5"/>
    <n v="101.13749999999999"/>
    <n v="20.227499999999992"/>
    <x v="3"/>
    <n v="1"/>
  </r>
  <r>
    <n v="1166"/>
    <n v="22"/>
    <s v="Male"/>
    <s v="Electronics"/>
    <s v="Mobile Phone"/>
    <n v="542.16"/>
    <s v="Autumn"/>
    <s v="Card"/>
    <n v="3.5"/>
    <x v="13"/>
    <n v="2"/>
    <n v="595.78021978021968"/>
    <n v="53.620219780219713"/>
    <x v="3"/>
    <n v="1"/>
  </r>
  <r>
    <n v="1167"/>
    <n v="51"/>
    <s v="Male"/>
    <s v="Electronics"/>
    <s v="Laptop"/>
    <n v="1413.04"/>
    <s v="Autumn"/>
    <s v="Card"/>
    <n v="3.3"/>
    <x v="1"/>
    <n v="4"/>
    <n v="1624.183908045977"/>
    <n v="211.14390804597701"/>
    <x v="4"/>
    <n v="1"/>
  </r>
  <r>
    <n v="1168"/>
    <n v="37"/>
    <s v="Female"/>
    <s v="Groceries"/>
    <s v="Snacks"/>
    <n v="47.92"/>
    <s v="Summer"/>
    <s v="Cash on Delivery"/>
    <n v="3.9"/>
    <x v="3"/>
    <n v="5"/>
    <n v="59.9"/>
    <n v="11.979999999999997"/>
    <x v="1"/>
    <n v="1"/>
  </r>
  <r>
    <n v="1169"/>
    <n v="59"/>
    <s v="Female"/>
    <s v="Accessories"/>
    <s v="Wallet"/>
    <n v="93.12"/>
    <s v="Summer"/>
    <s v="Cash on Delivery"/>
    <n v="4.2"/>
    <x v="10"/>
    <n v="6"/>
    <n v="119.38461538461539"/>
    <n v="26.264615384615382"/>
    <x v="0"/>
    <n v="1"/>
  </r>
  <r>
    <n v="1170"/>
    <n v="48"/>
    <s v="Female"/>
    <s v="Sports"/>
    <s v="Football"/>
    <n v="58.09"/>
    <s v="Autumn"/>
    <s v="Card"/>
    <n v="3.4"/>
    <x v="2"/>
    <n v="3"/>
    <n v="65.269662921348313"/>
    <n v="7.1796629213483101"/>
    <x v="4"/>
    <n v="1"/>
  </r>
  <r>
    <n v="1171"/>
    <n v="48"/>
    <s v="Male"/>
    <s v="Electronics"/>
    <s v="Laptop"/>
    <n v="1992.41"/>
    <s v="Summer"/>
    <s v="Card"/>
    <n v="4.4000000000000004"/>
    <x v="6"/>
    <n v="3"/>
    <n v="2371.916666666667"/>
    <n v="379.50666666666689"/>
    <x v="4"/>
    <n v="1"/>
  </r>
  <r>
    <n v="1172"/>
    <n v="58"/>
    <s v="Male"/>
    <s v="Sports"/>
    <s v="Dumbbells"/>
    <n v="137.08000000000001"/>
    <s v="Winter"/>
    <s v="Card"/>
    <n v="3.1"/>
    <x v="24"/>
    <n v="9"/>
    <n v="190.38888888888891"/>
    <n v="53.308888888888902"/>
    <x v="0"/>
    <n v="1"/>
  </r>
  <r>
    <n v="1173"/>
    <n v="33"/>
    <s v="Male"/>
    <s v="Groceries"/>
    <s v="Rice Pack"/>
    <n v="7.64"/>
    <s v="Spring"/>
    <s v="Card"/>
    <n v="3.6"/>
    <x v="17"/>
    <n v="2"/>
    <n v="7.958333333333333"/>
    <n v="0.31833333333333336"/>
    <x v="5"/>
    <n v="1"/>
  </r>
  <r>
    <n v="1174"/>
    <n v="20"/>
    <s v="Male"/>
    <s v="Electronics"/>
    <s v="Laptop"/>
    <n v="1333.64"/>
    <s v="Summer"/>
    <s v="Card"/>
    <n v="2.7"/>
    <x v="7"/>
    <n v="5"/>
    <n v="1481.8222222222223"/>
    <n v="148.18222222222221"/>
    <x v="3"/>
    <n v="1"/>
  </r>
  <r>
    <n v="1175"/>
    <n v="23"/>
    <s v="Male"/>
    <s v="Mens Clothing"/>
    <s v="Jacket"/>
    <n v="58.77"/>
    <s v="Winter"/>
    <s v="Cash on Delivery"/>
    <n v="3.1"/>
    <x v="7"/>
    <n v="5"/>
    <n v="65.3"/>
    <n v="6.529999999999994"/>
    <x v="3"/>
    <n v="1"/>
  </r>
  <r>
    <n v="1176"/>
    <n v="64"/>
    <s v="Female"/>
    <s v="Footwear"/>
    <s v="Formal Shoes"/>
    <n v="42.22"/>
    <s v="Spring"/>
    <s v="Card"/>
    <n v="3.9"/>
    <x v="14"/>
    <n v="6"/>
    <n v="50.867469879518076"/>
    <n v="8.6474698795180771"/>
    <x v="0"/>
    <n v="1"/>
  </r>
  <r>
    <n v="1177"/>
    <n v="66"/>
    <s v="Male"/>
    <s v="Footwear"/>
    <s v="Formal Shoes"/>
    <n v="158.22"/>
    <s v="Summer"/>
    <s v="Card"/>
    <n v="2.8"/>
    <x v="2"/>
    <n v="3"/>
    <n v="177.77528089887639"/>
    <n v="19.55528089887639"/>
    <x v="2"/>
    <n v="1"/>
  </r>
  <r>
    <n v="1178"/>
    <n v="55"/>
    <s v="Male"/>
    <s v="Footwear"/>
    <s v="Sneakers"/>
    <n v="77.33"/>
    <s v="Autumn"/>
    <s v="Cash on Delivery"/>
    <n v="3.6"/>
    <x v="19"/>
    <n v="5"/>
    <n v="90.976470588235301"/>
    <n v="13.646470588235303"/>
    <x v="4"/>
    <n v="1"/>
  </r>
  <r>
    <n v="1179"/>
    <n v="29"/>
    <s v="Male"/>
    <s v="Home"/>
    <s v="Curtains"/>
    <n v="255.41"/>
    <s v="Summer"/>
    <s v="Card"/>
    <n v="4.5999999999999996"/>
    <x v="18"/>
    <n v="7"/>
    <n v="336.06578947368422"/>
    <n v="80.655789473684223"/>
    <x v="5"/>
    <n v="1"/>
  </r>
  <r>
    <n v="1180"/>
    <n v="39"/>
    <s v="Male"/>
    <s v="Sports"/>
    <s v="Yoga Mat"/>
    <n v="241.39"/>
    <s v="Spring"/>
    <s v="Card"/>
    <n v="2.1"/>
    <x v="0"/>
    <n v="9"/>
    <n v="294.37804878048775"/>
    <n v="52.988048780487759"/>
    <x v="1"/>
    <n v="1"/>
  </r>
  <r>
    <n v="1181"/>
    <n v="67"/>
    <s v="Male"/>
    <s v="Sports"/>
    <s v="Dumbbells"/>
    <n v="141.33000000000001"/>
    <s v="Winter"/>
    <s v="Card"/>
    <n v="5"/>
    <x v="18"/>
    <n v="7"/>
    <n v="185.96052631578948"/>
    <n v="44.630526315789467"/>
    <x v="2"/>
    <n v="1"/>
  </r>
  <r>
    <n v="1182"/>
    <n v="29"/>
    <s v="Female"/>
    <s v="Footwear"/>
    <s v="Sneakers"/>
    <n v="78.349999999999994"/>
    <s v="Summer"/>
    <s v="Cash on Delivery"/>
    <n v="3.8"/>
    <x v="6"/>
    <n v="3"/>
    <n v="93.273809523809518"/>
    <n v="14.923809523809524"/>
    <x v="5"/>
    <n v="1"/>
  </r>
  <r>
    <n v="1183"/>
    <n v="30"/>
    <s v="Female"/>
    <s v="Footwear"/>
    <s v="Formal Shoes"/>
    <n v="170.77"/>
    <s v="Winter"/>
    <s v="Card"/>
    <n v="4.9000000000000004"/>
    <x v="2"/>
    <n v="3"/>
    <n v="191.87640449438203"/>
    <n v="21.106404494382019"/>
    <x v="5"/>
    <n v="1"/>
  </r>
  <r>
    <n v="1184"/>
    <n v="20"/>
    <s v="Male"/>
    <s v="Footwear"/>
    <s v="Sneakers"/>
    <n v="249.56"/>
    <s v="Summer"/>
    <s v="Card"/>
    <n v="2.4"/>
    <x v="11"/>
    <n v="8"/>
    <n v="337.24324324324323"/>
    <n v="87.683243243243226"/>
    <x v="3"/>
    <n v="1"/>
  </r>
  <r>
    <n v="1185"/>
    <n v="44"/>
    <s v="Female"/>
    <s v="Beauty"/>
    <s v="Skincare Kit"/>
    <n v="69.64"/>
    <s v="Summer"/>
    <s v="Cash on Delivery"/>
    <n v="2.7"/>
    <x v="7"/>
    <n v="5"/>
    <n v="77.37777777777778"/>
    <n v="7.7377777777777794"/>
    <x v="1"/>
    <n v="1"/>
  </r>
  <r>
    <n v="1186"/>
    <n v="61"/>
    <s v="Male"/>
    <s v="Sports"/>
    <s v="Dumbbells"/>
    <n v="31.66"/>
    <s v="Winter"/>
    <s v="Cash on Delivery"/>
    <n v="4"/>
    <x v="3"/>
    <n v="5"/>
    <n v="39.574999999999996"/>
    <n v="7.9149999999999956"/>
    <x v="0"/>
    <n v="1"/>
  </r>
  <r>
    <n v="1187"/>
    <n v="25"/>
    <s v="Female"/>
    <s v="Beauty"/>
    <s v="Skincare Kit"/>
    <n v="56.01"/>
    <s v="Spring"/>
    <s v="Cash on Delivery"/>
    <n v="3.1"/>
    <x v="7"/>
    <n v="5"/>
    <n v="62.233333333333327"/>
    <n v="6.2233333333333292"/>
    <x v="3"/>
    <n v="1"/>
  </r>
  <r>
    <n v="1188"/>
    <n v="57"/>
    <s v="Male"/>
    <s v="Footwear"/>
    <s v="Formal Shoes"/>
    <n v="191.16"/>
    <s v="Spring"/>
    <s v="Card"/>
    <n v="3.8"/>
    <x v="19"/>
    <n v="5"/>
    <n v="224.89411764705883"/>
    <n v="33.734117647058838"/>
    <x v="0"/>
    <n v="1"/>
  </r>
  <r>
    <n v="1189"/>
    <n v="32"/>
    <s v="Female"/>
    <s v="Footwear"/>
    <s v="Formal Shoes"/>
    <n v="200.69"/>
    <s v="Summer"/>
    <s v="Card"/>
    <n v="3.9"/>
    <x v="7"/>
    <n v="5"/>
    <n v="222.98888888888888"/>
    <n v="22.298888888888882"/>
    <x v="5"/>
    <n v="1"/>
  </r>
  <r>
    <n v="1190"/>
    <n v="33"/>
    <s v="Male"/>
    <s v="Mens Clothing"/>
    <s v="Shirt"/>
    <n v="30.68"/>
    <s v="Spring"/>
    <s v="Card"/>
    <n v="3.7"/>
    <x v="7"/>
    <n v="5"/>
    <n v="34.088888888888889"/>
    <n v="3.4088888888888889"/>
    <x v="5"/>
    <n v="1"/>
  </r>
  <r>
    <n v="1191"/>
    <n v="38"/>
    <s v="Male"/>
    <s v="Sports"/>
    <s v="Dumbbells"/>
    <n v="225"/>
    <s v="Summer"/>
    <s v="Card"/>
    <n v="3.7"/>
    <x v="15"/>
    <n v="1"/>
    <n v="229.59183673469389"/>
    <n v="4.5918367346938851"/>
    <x v="1"/>
    <n v="1"/>
  </r>
  <r>
    <n v="1192"/>
    <n v="31"/>
    <s v="Female"/>
    <s v="Beauty"/>
    <s v="Skincare Kit"/>
    <n v="39.450000000000003"/>
    <s v="Summer"/>
    <s v="Cash on Delivery"/>
    <n v="4.2"/>
    <x v="0"/>
    <n v="9"/>
    <n v="48.109756097560975"/>
    <n v="8.6597560975609724"/>
    <x v="5"/>
    <n v="1"/>
  </r>
  <r>
    <n v="1193"/>
    <n v="65"/>
    <s v="Female"/>
    <s v="Footwear"/>
    <s v="Sneakers"/>
    <n v="131.71"/>
    <s v="Autumn"/>
    <s v="Card"/>
    <n v="3.5"/>
    <x v="1"/>
    <n v="4"/>
    <n v="151.39080459770116"/>
    <n v="19.680804597701155"/>
    <x v="0"/>
    <n v="1"/>
  </r>
  <r>
    <n v="1194"/>
    <n v="43"/>
    <s v="Male"/>
    <s v="Footwear"/>
    <s v="Formal Shoes"/>
    <n v="141.38999999999999"/>
    <s v="Autumn"/>
    <s v="Card"/>
    <n v="4.3"/>
    <x v="14"/>
    <n v="6"/>
    <n v="170.34939759036143"/>
    <n v="28.959397590361448"/>
    <x v="1"/>
    <n v="1"/>
  </r>
  <r>
    <n v="1195"/>
    <n v="33"/>
    <s v="Male"/>
    <s v="Home"/>
    <s v="Kitchen Set"/>
    <n v="48.08"/>
    <s v="Summer"/>
    <s v="Card"/>
    <n v="3.8"/>
    <x v="25"/>
    <n v="10"/>
    <n v="68.685714285714283"/>
    <n v="20.605714285714285"/>
    <x v="5"/>
    <n v="1"/>
  </r>
  <r>
    <n v="1196"/>
    <n v="29"/>
    <s v="Female"/>
    <s v="Footwear"/>
    <s v="Formal Shoes"/>
    <n v="143.49"/>
    <s v="Spring"/>
    <s v="Card"/>
    <n v="2.4"/>
    <x v="0"/>
    <n v="4"/>
    <n v="174.98780487804879"/>
    <n v="31.497804878048782"/>
    <x v="5"/>
    <n v="1"/>
  </r>
  <r>
    <n v="1197"/>
    <n v="23"/>
    <s v="Female"/>
    <s v="Groceries"/>
    <s v="Beverages"/>
    <n v="32.67"/>
    <s v="Spring"/>
    <s v="Cash on Delivery"/>
    <n v="4"/>
    <x v="12"/>
    <n v="7"/>
    <n v="40.333333333333336"/>
    <n v="7.663333333333334"/>
    <x v="3"/>
    <n v="1"/>
  </r>
  <r>
    <n v="1198"/>
    <n v="68"/>
    <s v="Female"/>
    <s v="Womens Clothing"/>
    <s v="Jeans"/>
    <n v="95.87"/>
    <s v="Autumn"/>
    <s v="Cash on Delivery"/>
    <n v="3.3"/>
    <x v="1"/>
    <n v="4"/>
    <n v="110.19540229885058"/>
    <n v="14.325402298850577"/>
    <x v="2"/>
    <n v="1"/>
  </r>
  <r>
    <n v="1199"/>
    <n v="61"/>
    <s v="Male"/>
    <s v="Sports"/>
    <s v="Yoga Mat"/>
    <n v="102.24"/>
    <s v="Winter"/>
    <s v="Card"/>
    <n v="3.6"/>
    <x v="3"/>
    <n v="5"/>
    <n v="127.79999999999998"/>
    <n v="25.559999999999988"/>
    <x v="0"/>
    <n v="1"/>
  </r>
  <r>
    <n v="1200"/>
    <n v="64"/>
    <s v="Male"/>
    <s v="Footwear"/>
    <s v="Sneakers"/>
    <n v="55.35"/>
    <s v="Summer"/>
    <s v="Card"/>
    <n v="4"/>
    <x v="11"/>
    <n v="8"/>
    <n v="74.797297297297305"/>
    <n v="19.447297297297304"/>
    <x v="0"/>
    <n v="1"/>
  </r>
  <r>
    <n v="1201"/>
    <n v="28"/>
    <s v="Female"/>
    <s v="Womens Clothing"/>
    <s v="Jeans"/>
    <n v="39.68"/>
    <s v="Summer"/>
    <s v="Cash on Delivery"/>
    <n v="3.4"/>
    <x v="6"/>
    <n v="3"/>
    <n v="47.238095238095241"/>
    <n v="7.5580952380952411"/>
    <x v="5"/>
    <n v="1"/>
  </r>
  <r>
    <n v="1202"/>
    <n v="34"/>
    <s v="Male"/>
    <s v="Mens Clothing"/>
    <s v="Jacket"/>
    <n v="188.14"/>
    <s v="Autumn"/>
    <s v="Card"/>
    <n v="4.2"/>
    <x v="5"/>
    <n v="4"/>
    <n v="204.49999999999997"/>
    <n v="16.359999999999985"/>
    <x v="5"/>
    <n v="1"/>
  </r>
  <r>
    <n v="1203"/>
    <n v="26"/>
    <s v="Female"/>
    <s v="Womens Clothing"/>
    <s v="Top"/>
    <n v="148.54"/>
    <s v="Winter"/>
    <s v="Card"/>
    <n v="3.6"/>
    <x v="11"/>
    <n v="8"/>
    <n v="200.72972972972971"/>
    <n v="52.18972972972972"/>
    <x v="5"/>
    <n v="1"/>
  </r>
  <r>
    <n v="1204"/>
    <n v="29"/>
    <s v="Male"/>
    <s v="Footwear"/>
    <s v="Sneakers"/>
    <n v="102"/>
    <s v="Spring"/>
    <s v="Card"/>
    <n v="3.5"/>
    <x v="7"/>
    <n v="5"/>
    <n v="113.33333333333333"/>
    <n v="11.333333333333329"/>
    <x v="5"/>
    <n v="1"/>
  </r>
  <r>
    <n v="1205"/>
    <n v="47"/>
    <s v="Female"/>
    <s v="Sports"/>
    <s v="Football"/>
    <n v="239.73"/>
    <s v="Summer"/>
    <s v="Card"/>
    <n v="4.8"/>
    <x v="18"/>
    <n v="7"/>
    <n v="315.43421052631578"/>
    <n v="75.704210526315791"/>
    <x v="4"/>
    <n v="1"/>
  </r>
  <r>
    <n v="1206"/>
    <n v="37"/>
    <s v="Female"/>
    <s v="Beauty"/>
    <s v="Skincare Kit"/>
    <n v="102.4"/>
    <s v="Spring"/>
    <s v="Card"/>
    <n v="4.3"/>
    <x v="3"/>
    <n v="5"/>
    <n v="128"/>
    <n v="25.599999999999994"/>
    <x v="1"/>
    <n v="1"/>
  </r>
  <r>
    <n v="1207"/>
    <n v="54"/>
    <s v="Female"/>
    <s v="Beauty"/>
    <s v="Skincare Kit"/>
    <n v="34.86"/>
    <s v="Winter"/>
    <s v="Cash on Delivery"/>
    <n v="3.6"/>
    <x v="1"/>
    <n v="4"/>
    <n v="40.068965517241381"/>
    <n v="5.2089655172413813"/>
    <x v="4"/>
    <n v="1"/>
  </r>
  <r>
    <n v="1208"/>
    <n v="67"/>
    <s v="Female"/>
    <s v="Footwear"/>
    <s v="Formal Shoes"/>
    <n v="184.03"/>
    <s v="Summer"/>
    <s v="Card"/>
    <n v="4.0999999999999996"/>
    <x v="18"/>
    <n v="7"/>
    <n v="242.14473684210526"/>
    <n v="58.114736842105259"/>
    <x v="2"/>
    <n v="1"/>
  </r>
  <r>
    <n v="1209"/>
    <n v="24"/>
    <s v="Male"/>
    <s v="Footwear"/>
    <s v="Sneakers"/>
    <n v="129.9"/>
    <s v="Winter"/>
    <s v="Card"/>
    <n v="3.8"/>
    <x v="6"/>
    <n v="8"/>
    <n v="154.64285714285717"/>
    <n v="24.742857142857162"/>
    <x v="3"/>
    <n v="1"/>
  </r>
  <r>
    <n v="1210"/>
    <n v="33"/>
    <s v="Male"/>
    <s v="Home"/>
    <s v="Kitchen Set"/>
    <n v="255.3"/>
    <s v="Winter"/>
    <s v="Card"/>
    <n v="3.3"/>
    <x v="11"/>
    <n v="8"/>
    <n v="345"/>
    <n v="89.699999999999989"/>
    <x v="5"/>
    <n v="1"/>
  </r>
  <r>
    <n v="1211"/>
    <n v="31"/>
    <s v="Male"/>
    <s v="Groceries"/>
    <s v="Rice Pack"/>
    <n v="63.06"/>
    <s v="Autumn"/>
    <s v="Cash on Delivery"/>
    <n v="2.5"/>
    <x v="19"/>
    <n v="5"/>
    <n v="74.188235294117646"/>
    <n v="11.128235294117644"/>
    <x v="5"/>
    <n v="1"/>
  </r>
  <r>
    <n v="1212"/>
    <n v="37"/>
    <s v="Male"/>
    <s v="Sports"/>
    <s v="Dumbbells"/>
    <n v="147.46"/>
    <s v="Autumn"/>
    <s v="Card"/>
    <n v="3.7"/>
    <x v="4"/>
    <n v="2"/>
    <n v="171.46511627906978"/>
    <n v="24.005116279069767"/>
    <x v="1"/>
    <n v="1"/>
  </r>
  <r>
    <n v="1213"/>
    <n v="28"/>
    <s v="Female"/>
    <s v="Beauty"/>
    <s v="Skincare Kit"/>
    <n v="68.680000000000007"/>
    <s v="Autumn"/>
    <s v="Cash on Delivery"/>
    <n v="3.1"/>
    <x v="0"/>
    <n v="4"/>
    <n v="83.756097560975618"/>
    <n v="15.076097560975612"/>
    <x v="5"/>
    <n v="1"/>
  </r>
  <r>
    <n v="1214"/>
    <n v="58"/>
    <s v="Female"/>
    <s v="Accessories"/>
    <s v="Handbag"/>
    <n v="118.34"/>
    <s v="Summer"/>
    <s v="Card"/>
    <n v="4.0999999999999996"/>
    <x v="12"/>
    <n v="7"/>
    <n v="146.09876543209876"/>
    <n v="27.758765432098755"/>
    <x v="0"/>
    <n v="1"/>
  </r>
  <r>
    <n v="1215"/>
    <n v="60"/>
    <s v="Male"/>
    <s v="Mens Clothing"/>
    <s v="T-Shirt"/>
    <n v="99.54"/>
    <s v="Winter"/>
    <s v="Cash on Delivery"/>
    <n v="3.7"/>
    <x v="8"/>
    <n v="1"/>
    <n v="113.11363636363637"/>
    <n v="13.573636363636368"/>
    <x v="0"/>
    <n v="1"/>
  </r>
  <r>
    <n v="1216"/>
    <n v="28"/>
    <s v="Male"/>
    <s v="Home"/>
    <s v="Lamp"/>
    <n v="206.37"/>
    <s v="Summer"/>
    <s v="Card"/>
    <n v="3.1"/>
    <x v="6"/>
    <n v="8"/>
    <n v="245.67857142857144"/>
    <n v="39.30857142857144"/>
    <x v="5"/>
    <n v="1"/>
  </r>
  <r>
    <n v="1217"/>
    <n v="66"/>
    <s v="Female"/>
    <s v="Womens Clothing"/>
    <s v="Top"/>
    <n v="163.33000000000001"/>
    <s v="Spring"/>
    <s v="Card"/>
    <n v="3"/>
    <x v="8"/>
    <n v="6"/>
    <n v="185.60227272727275"/>
    <n v="22.272272727272735"/>
    <x v="2"/>
    <n v="1"/>
  </r>
  <r>
    <n v="1218"/>
    <n v="55"/>
    <s v="Male"/>
    <s v="Mens Clothing"/>
    <s v="Jacket"/>
    <n v="162.46"/>
    <s v="Winter"/>
    <s v="Card"/>
    <n v="3.2"/>
    <x v="17"/>
    <n v="2"/>
    <n v="169.22916666666669"/>
    <n v="6.7691666666666777"/>
    <x v="4"/>
    <n v="1"/>
  </r>
  <r>
    <n v="1219"/>
    <n v="35"/>
    <s v="Female"/>
    <s v="Footwear"/>
    <s v="Sandals"/>
    <n v="242.17"/>
    <s v="Autumn"/>
    <s v="Card"/>
    <n v="3.8"/>
    <x v="21"/>
    <n v="8"/>
    <n v="306.54430379746833"/>
    <n v="64.374303797468343"/>
    <x v="5"/>
    <n v="1"/>
  </r>
  <r>
    <n v="1220"/>
    <n v="65"/>
    <s v="Male"/>
    <s v="Sports"/>
    <s v="Yoga Mat"/>
    <n v="108.5"/>
    <s v="Spring"/>
    <s v="Card"/>
    <n v="4.4000000000000004"/>
    <x v="4"/>
    <n v="7"/>
    <n v="126.16279069767442"/>
    <n v="17.662790697674424"/>
    <x v="0"/>
    <n v="1"/>
  </r>
  <r>
    <n v="1221"/>
    <n v="35"/>
    <s v="Female"/>
    <s v="Accessories"/>
    <s v="Handbag"/>
    <n v="82.93"/>
    <s v="Autumn"/>
    <s v="Card"/>
    <n v="3.6"/>
    <x v="12"/>
    <n v="7"/>
    <n v="102.38271604938272"/>
    <n v="19.452716049382715"/>
    <x v="5"/>
    <n v="1"/>
  </r>
  <r>
    <n v="1222"/>
    <n v="21"/>
    <s v="Male"/>
    <s v="Electronics"/>
    <s v="Laptop"/>
    <n v="2122.12"/>
    <s v="Autumn"/>
    <s v="Card"/>
    <n v="4.0999999999999996"/>
    <x v="0"/>
    <n v="4"/>
    <n v="2587.9512195121947"/>
    <n v="465.83121951219482"/>
    <x v="3"/>
    <n v="1"/>
  </r>
  <r>
    <n v="1223"/>
    <n v="31"/>
    <s v="Male"/>
    <s v="Home"/>
    <s v="Kitchen Set"/>
    <n v="187.38"/>
    <s v="Spring"/>
    <s v="Card"/>
    <n v="4.0999999999999996"/>
    <x v="0"/>
    <n v="9"/>
    <n v="228.51219512195121"/>
    <n v="41.132195121951213"/>
    <x v="5"/>
    <n v="1"/>
  </r>
  <r>
    <n v="1224"/>
    <n v="42"/>
    <s v="Male"/>
    <s v="Sports"/>
    <s v="Yoga Mat"/>
    <n v="157.06"/>
    <s v="Winter"/>
    <s v="Card"/>
    <n v="4.2"/>
    <x v="3"/>
    <n v="5"/>
    <n v="196.32499999999999"/>
    <n v="39.264999999999986"/>
    <x v="1"/>
    <n v="1"/>
  </r>
  <r>
    <n v="1225"/>
    <n v="22"/>
    <s v="Male"/>
    <s v="Electronics"/>
    <s v="Laptop"/>
    <n v="1708.09"/>
    <s v="Spring"/>
    <s v="Card"/>
    <n v="3.7"/>
    <x v="16"/>
    <n v="3"/>
    <n v="1817.1170212765958"/>
    <n v="109.02702127659586"/>
    <x v="3"/>
    <n v="1"/>
  </r>
  <r>
    <n v="1226"/>
    <n v="62"/>
    <s v="Female"/>
    <s v="Footwear"/>
    <s v="Formal Shoes"/>
    <n v="156.84"/>
    <s v="Winter"/>
    <s v="Card"/>
    <n v="3.4"/>
    <x v="1"/>
    <n v="4"/>
    <n v="180.27586206896552"/>
    <n v="23.43586206896552"/>
    <x v="0"/>
    <n v="1"/>
  </r>
  <r>
    <n v="1227"/>
    <n v="28"/>
    <s v="Female"/>
    <s v="Womens Clothing"/>
    <s v="Skirt"/>
    <n v="189.2"/>
    <s v="Spring"/>
    <s v="Card"/>
    <n v="2.9"/>
    <x v="1"/>
    <n v="4"/>
    <n v="217.47126436781608"/>
    <n v="28.271264367816087"/>
    <x v="5"/>
    <n v="1"/>
  </r>
  <r>
    <n v="1228"/>
    <n v="33"/>
    <s v="Female"/>
    <s v="Home"/>
    <s v="Curtains"/>
    <n v="117.64"/>
    <s v="Spring"/>
    <s v="Card"/>
    <n v="3"/>
    <x v="4"/>
    <n v="7"/>
    <n v="136.7906976744186"/>
    <n v="19.150697674418595"/>
    <x v="5"/>
    <n v="1"/>
  </r>
  <r>
    <n v="1229"/>
    <n v="36"/>
    <s v="Male"/>
    <s v="Footwear"/>
    <s v="Sandals"/>
    <n v="147.47999999999999"/>
    <s v="Autumn"/>
    <s v="Card"/>
    <n v="4.3"/>
    <x v="19"/>
    <n v="5"/>
    <n v="173.50588235294117"/>
    <n v="26.025882352941181"/>
    <x v="1"/>
    <n v="1"/>
  </r>
  <r>
    <n v="1230"/>
    <n v="28"/>
    <s v="Male"/>
    <s v="Mens Clothing"/>
    <s v="Jeans"/>
    <n v="75.040000000000006"/>
    <s v="Spring"/>
    <s v="Cash on Delivery"/>
    <n v="3.8"/>
    <x v="17"/>
    <n v="2"/>
    <n v="78.166666666666671"/>
    <n v="3.1266666666666652"/>
    <x v="5"/>
    <n v="1"/>
  </r>
  <r>
    <n v="1231"/>
    <n v="26"/>
    <s v="Male"/>
    <s v="Mens Clothing"/>
    <s v="T-Shirt"/>
    <n v="108.5"/>
    <s v="Autumn"/>
    <s v="Card"/>
    <n v="3.7"/>
    <x v="4"/>
    <n v="2"/>
    <n v="126.16279069767442"/>
    <n v="17.662790697674424"/>
    <x v="5"/>
    <n v="1"/>
  </r>
  <r>
    <n v="1232"/>
    <n v="55"/>
    <s v="Male"/>
    <s v="Electronics"/>
    <s v="Laptop"/>
    <n v="1226.67"/>
    <s v="Summer"/>
    <s v="Card"/>
    <n v="3.4"/>
    <x v="7"/>
    <n v="5"/>
    <n v="1362.9666666666667"/>
    <n v="136.29666666666662"/>
    <x v="4"/>
    <n v="1"/>
  </r>
  <r>
    <n v="1233"/>
    <n v="64"/>
    <s v="Female"/>
    <s v="Footwear"/>
    <s v="Formal Shoes"/>
    <n v="70.09"/>
    <s v="Spring"/>
    <s v="Cash on Delivery"/>
    <n v="4.3"/>
    <x v="3"/>
    <n v="5"/>
    <n v="87.612499999999997"/>
    <n v="17.522499999999994"/>
    <x v="0"/>
    <n v="1"/>
  </r>
  <r>
    <n v="1234"/>
    <n v="51"/>
    <s v="Female"/>
    <s v="Womens Clothing"/>
    <s v="Top"/>
    <n v="145.44999999999999"/>
    <s v="Summer"/>
    <s v="Card"/>
    <n v="2.6"/>
    <x v="7"/>
    <n v="5"/>
    <n v="161.61111111111109"/>
    <n v="16.161111111111097"/>
    <x v="4"/>
    <n v="1"/>
  </r>
  <r>
    <n v="1235"/>
    <n v="37"/>
    <s v="Female"/>
    <s v="Womens Clothing"/>
    <s v="Jeans"/>
    <n v="121.42"/>
    <s v="Winter"/>
    <s v="Card"/>
    <n v="4.7"/>
    <x v="5"/>
    <n v="4"/>
    <n v="131.97826086956522"/>
    <n v="10.558260869565217"/>
    <x v="1"/>
    <n v="1"/>
  </r>
  <r>
    <n v="1236"/>
    <n v="21"/>
    <s v="Male"/>
    <s v="Mens Clothing"/>
    <s v="Jeans"/>
    <n v="129.32"/>
    <s v="Winter"/>
    <s v="Card"/>
    <n v="3.5"/>
    <x v="13"/>
    <n v="2"/>
    <n v="142.1098901098901"/>
    <n v="12.789890109890109"/>
    <x v="3"/>
    <n v="1"/>
  </r>
  <r>
    <n v="1237"/>
    <n v="27"/>
    <s v="Female"/>
    <s v="Womens Clothing"/>
    <s v="Top"/>
    <n v="134.56"/>
    <s v="Summer"/>
    <s v="Card"/>
    <n v="3.9"/>
    <x v="4"/>
    <n v="7"/>
    <n v="156.46511627906978"/>
    <n v="21.905116279069773"/>
    <x v="5"/>
    <n v="1"/>
  </r>
  <r>
    <n v="1238"/>
    <n v="28"/>
    <s v="Male"/>
    <s v="Mens Clothing"/>
    <s v="Jeans"/>
    <n v="190.96"/>
    <s v="Spring"/>
    <s v="Card"/>
    <n v="5"/>
    <x v="12"/>
    <n v="7"/>
    <n v="235.75308641975309"/>
    <n v="44.793086419753081"/>
    <x v="5"/>
    <n v="1"/>
  </r>
  <r>
    <n v="1239"/>
    <n v="56"/>
    <s v="Female"/>
    <s v="Accessories"/>
    <s v="Wallet"/>
    <n v="32.97"/>
    <s v="Autumn"/>
    <s v="Cash on Delivery"/>
    <n v="5"/>
    <x v="4"/>
    <n v="7"/>
    <n v="38.337209302325583"/>
    <n v="5.367209302325584"/>
    <x v="0"/>
    <n v="1"/>
  </r>
  <r>
    <n v="1240"/>
    <n v="25"/>
    <s v="Male"/>
    <s v="Mens Clothing"/>
    <s v="Jeans"/>
    <n v="140.93"/>
    <s v="Spring"/>
    <s v="Card"/>
    <n v="3.6"/>
    <x v="5"/>
    <n v="4"/>
    <n v="153.18478260869566"/>
    <n v="12.254782608695649"/>
    <x v="3"/>
    <n v="1"/>
  </r>
  <r>
    <n v="1241"/>
    <n v="35"/>
    <s v="Female"/>
    <s v="Womens Clothing"/>
    <s v="Top"/>
    <n v="96.4"/>
    <s v="Autumn"/>
    <s v="Card"/>
    <n v="4.3"/>
    <x v="13"/>
    <n v="2"/>
    <n v="105.93406593406594"/>
    <n v="9.5340659340659357"/>
    <x v="5"/>
    <n v="1"/>
  </r>
  <r>
    <n v="1242"/>
    <n v="55"/>
    <s v="Female"/>
    <s v="Womens Clothing"/>
    <s v="Dress"/>
    <n v="136.21"/>
    <s v="Autumn"/>
    <s v="Card"/>
    <n v="3"/>
    <x v="8"/>
    <n v="6"/>
    <n v="154.78409090909091"/>
    <n v="18.574090909090899"/>
    <x v="4"/>
    <n v="1"/>
  </r>
  <r>
    <n v="1243"/>
    <n v="52"/>
    <s v="Female"/>
    <s v="Home"/>
    <s v="Curtains"/>
    <n v="44.41"/>
    <s v="Spring"/>
    <s v="Cash on Delivery"/>
    <n v="3"/>
    <x v="2"/>
    <n v="3"/>
    <n v="49.898876404494381"/>
    <n v="5.4888764044943841"/>
    <x v="4"/>
    <n v="1"/>
  </r>
  <r>
    <n v="1244"/>
    <n v="67"/>
    <s v="Female"/>
    <s v="Beauty"/>
    <s v="Perfume"/>
    <n v="91.85"/>
    <s v="Winter"/>
    <s v="Card"/>
    <n v="3.2"/>
    <x v="7"/>
    <n v="5"/>
    <n v="102.05555555555554"/>
    <n v="10.205555555555549"/>
    <x v="2"/>
    <n v="1"/>
  </r>
  <r>
    <n v="1245"/>
    <n v="35"/>
    <s v="Male"/>
    <s v="Electronics"/>
    <s v="Mobile Phone"/>
    <n v="2677.54"/>
    <s v="Summer"/>
    <s v="Card"/>
    <n v="4.3"/>
    <x v="24"/>
    <n v="9"/>
    <n v="3718.8055555555557"/>
    <n v="1041.2655555555557"/>
    <x v="5"/>
    <n v="1"/>
  </r>
  <r>
    <n v="1246"/>
    <n v="49"/>
    <s v="Female"/>
    <s v="Beauty"/>
    <s v="Skincare Kit"/>
    <n v="106.28"/>
    <s v="Autumn"/>
    <s v="Card"/>
    <n v="4.4000000000000004"/>
    <x v="8"/>
    <n v="6"/>
    <n v="120.77272727272728"/>
    <n v="14.492727272727279"/>
    <x v="4"/>
    <n v="1"/>
  </r>
  <r>
    <n v="1247"/>
    <n v="64"/>
    <s v="Male"/>
    <s v="Electronics"/>
    <s v="Smart Watch"/>
    <n v="2907.6"/>
    <s v="Spring"/>
    <s v="Card"/>
    <n v="4.5"/>
    <x v="6"/>
    <n v="3"/>
    <n v="3461.4285714285716"/>
    <n v="553.82857142857165"/>
    <x v="0"/>
    <n v="1"/>
  </r>
  <r>
    <n v="1248"/>
    <n v="20"/>
    <s v="Male"/>
    <s v="Footwear"/>
    <s v="Formal Shoes"/>
    <n v="176.9"/>
    <s v="Autumn"/>
    <s v="Card"/>
    <n v="3.9"/>
    <x v="19"/>
    <n v="5"/>
    <n v="208.11764705882354"/>
    <n v="31.21764705882353"/>
    <x v="3"/>
    <n v="1"/>
  </r>
  <r>
    <n v="1249"/>
    <n v="52"/>
    <s v="Female"/>
    <s v="Womens Clothing"/>
    <s v="Dress"/>
    <n v="89.05"/>
    <s v="Winter"/>
    <s v="Cash on Delivery"/>
    <n v="3.7"/>
    <x v="23"/>
    <n v="1"/>
    <n v="95.752688172043008"/>
    <n v="6.7026881720430111"/>
    <x v="4"/>
    <n v="1"/>
  </r>
  <r>
    <n v="1250"/>
    <n v="37"/>
    <s v="Male"/>
    <s v="Groceries"/>
    <s v="Cooking Oil"/>
    <n v="57.93"/>
    <s v="Spring"/>
    <s v="Card"/>
    <n v="2.7"/>
    <x v="17"/>
    <n v="2"/>
    <n v="60.34375"/>
    <n v="2.4137500000000003"/>
    <x v="1"/>
    <n v="1"/>
  </r>
  <r>
    <n v="1251"/>
    <n v="44"/>
    <s v="Female"/>
    <s v="Accessories"/>
    <s v="Sunglasses"/>
    <n v="22.1"/>
    <s v="Spring"/>
    <s v="Cash on Delivery"/>
    <n v="4.2"/>
    <x v="8"/>
    <n v="6"/>
    <n v="25.113636363636367"/>
    <n v="3.0136363636363654"/>
    <x v="1"/>
    <n v="1"/>
  </r>
  <r>
    <n v="1252"/>
    <n v="66"/>
    <s v="Male"/>
    <s v="Sports"/>
    <s v="Yoga Mat"/>
    <n v="81.13"/>
    <s v="Autumn"/>
    <s v="Cash on Delivery"/>
    <n v="3.3"/>
    <x v="13"/>
    <n v="2"/>
    <n v="89.153846153846146"/>
    <n v="8.0238461538461507"/>
    <x v="2"/>
    <n v="1"/>
  </r>
  <r>
    <n v="1253"/>
    <n v="28"/>
    <s v="Female"/>
    <s v="Accessories"/>
    <s v="Wallet"/>
    <n v="165.53"/>
    <s v="Autumn"/>
    <s v="Card"/>
    <n v="5"/>
    <x v="19"/>
    <n v="5"/>
    <n v="194.74117647058824"/>
    <n v="29.211176470588242"/>
    <x v="5"/>
    <n v="1"/>
  </r>
  <r>
    <n v="1254"/>
    <n v="30"/>
    <s v="Male"/>
    <s v="Footwear"/>
    <s v="Sneakers"/>
    <n v="222.83"/>
    <s v="Spring"/>
    <s v="Card"/>
    <n v="3.8"/>
    <x v="16"/>
    <n v="3"/>
    <n v="237.05319148936172"/>
    <n v="14.22319148936171"/>
    <x v="5"/>
    <n v="1"/>
  </r>
  <r>
    <n v="1255"/>
    <n v="70"/>
    <s v="Male"/>
    <s v="Electronics"/>
    <s v="Laptop"/>
    <n v="2919.39"/>
    <s v="Winter"/>
    <s v="Card"/>
    <n v="3.5"/>
    <x v="1"/>
    <n v="4"/>
    <n v="3355.6206896551721"/>
    <n v="436.23068965517223"/>
    <x v="2"/>
    <n v="1"/>
  </r>
  <r>
    <n v="1256"/>
    <n v="44"/>
    <s v="Female"/>
    <s v="Beauty"/>
    <s v="Skincare Kit"/>
    <n v="143.9"/>
    <s v="Spring"/>
    <s v="Card"/>
    <n v="4.7"/>
    <x v="11"/>
    <n v="8"/>
    <n v="194.45945945945948"/>
    <n v="50.559459459459475"/>
    <x v="1"/>
    <n v="1"/>
  </r>
  <r>
    <n v="1257"/>
    <n v="45"/>
    <s v="Female"/>
    <s v="Beauty"/>
    <s v="Perfume"/>
    <n v="85.13"/>
    <s v="Autumn"/>
    <s v="Cash on Delivery"/>
    <n v="3.4"/>
    <x v="7"/>
    <n v="5"/>
    <n v="94.588888888888889"/>
    <n v="9.4588888888888931"/>
    <x v="1"/>
    <n v="1"/>
  </r>
  <r>
    <n v="1258"/>
    <n v="41"/>
    <s v="Male"/>
    <s v="Groceries"/>
    <s v="Cooking Oil"/>
    <n v="8.8699999999999992"/>
    <s v="Winter"/>
    <s v="Card"/>
    <n v="4.4000000000000004"/>
    <x v="6"/>
    <n v="3"/>
    <n v="10.559523809523808"/>
    <n v="1.6895238095238092"/>
    <x v="1"/>
    <n v="1"/>
  </r>
  <r>
    <n v="1259"/>
    <n v="42"/>
    <s v="Male"/>
    <s v="Footwear"/>
    <s v="Sneakers"/>
    <n v="166.69"/>
    <s v="Autumn"/>
    <s v="Card"/>
    <n v="2.8"/>
    <x v="16"/>
    <n v="3"/>
    <n v="177.32978723404256"/>
    <n v="10.639787234042558"/>
    <x v="1"/>
    <n v="1"/>
  </r>
  <r>
    <n v="1260"/>
    <n v="51"/>
    <s v="Male"/>
    <s v="Footwear"/>
    <s v="Formal Shoes"/>
    <n v="195.92"/>
    <s v="Spring"/>
    <s v="Card"/>
    <n v="2.8"/>
    <x v="12"/>
    <n v="7"/>
    <n v="241.8765432098765"/>
    <n v="45.956543209876514"/>
    <x v="4"/>
    <n v="1"/>
  </r>
  <r>
    <n v="1261"/>
    <n v="59"/>
    <s v="Male"/>
    <s v="Mens Clothing"/>
    <s v="Jeans"/>
    <n v="165.21"/>
    <s v="Spring"/>
    <s v="Card"/>
    <n v="3.8"/>
    <x v="4"/>
    <n v="7"/>
    <n v="192.1046511627907"/>
    <n v="26.894651162790694"/>
    <x v="0"/>
    <n v="1"/>
  </r>
  <r>
    <n v="1262"/>
    <n v="58"/>
    <s v="Male"/>
    <s v="Electronics"/>
    <s v="Smart Watch"/>
    <n v="500.44"/>
    <s v="Summer"/>
    <s v="Card"/>
    <n v="4.4000000000000004"/>
    <x v="6"/>
    <n v="3"/>
    <n v="595.76190476190482"/>
    <n v="95.321904761904818"/>
    <x v="0"/>
    <n v="1"/>
  </r>
  <r>
    <n v="1263"/>
    <n v="56"/>
    <s v="Male"/>
    <s v="Sports"/>
    <s v="Yoga Mat"/>
    <n v="95.43"/>
    <s v="Spring"/>
    <s v="Cash on Delivery"/>
    <n v="4"/>
    <x v="16"/>
    <n v="3"/>
    <n v="101.52127659574469"/>
    <n v="6.0912765957446879"/>
    <x v="0"/>
    <n v="1"/>
  </r>
  <r>
    <n v="1264"/>
    <n v="52"/>
    <s v="Male"/>
    <s v="Electronics"/>
    <s v="Smart Watch"/>
    <n v="2764.97"/>
    <s v="Winter"/>
    <s v="Card"/>
    <n v="2.7"/>
    <x v="13"/>
    <n v="2"/>
    <n v="3038.4285714285711"/>
    <n v="273.4585714285713"/>
    <x v="4"/>
    <n v="1"/>
  </r>
  <r>
    <n v="1265"/>
    <n v="41"/>
    <s v="Male"/>
    <s v="Groceries"/>
    <s v="Cooking Oil"/>
    <n v="60.98"/>
    <s v="Spring"/>
    <s v="Card"/>
    <n v="2.8"/>
    <x v="4"/>
    <n v="7"/>
    <n v="70.906976744186039"/>
    <n v="9.9269767441860424"/>
    <x v="1"/>
    <n v="1"/>
  </r>
  <r>
    <n v="1266"/>
    <n v="37"/>
    <s v="Male"/>
    <s v="Electronics"/>
    <s v="Smart Watch"/>
    <n v="943.53"/>
    <s v="Spring"/>
    <s v="Card"/>
    <n v="4.7"/>
    <x v="15"/>
    <n v="1"/>
    <n v="962.78571428571422"/>
    <n v="19.255714285714248"/>
    <x v="1"/>
    <n v="1"/>
  </r>
  <r>
    <n v="1267"/>
    <n v="51"/>
    <s v="Male"/>
    <s v="Sports"/>
    <s v="Yoga Mat"/>
    <n v="246.18"/>
    <s v="Spring"/>
    <s v="Card"/>
    <n v="3.6"/>
    <x v="5"/>
    <n v="4"/>
    <n v="267.58695652173913"/>
    <n v="21.406956521739119"/>
    <x v="4"/>
    <n v="1"/>
  </r>
  <r>
    <n v="1268"/>
    <n v="65"/>
    <s v="Male"/>
    <s v="Electronics"/>
    <s v="Headphones"/>
    <n v="1135.9000000000001"/>
    <s v="Winter"/>
    <s v="Card"/>
    <n v="3.5"/>
    <x v="1"/>
    <n v="4"/>
    <n v="1305.632183908046"/>
    <n v="169.73218390804595"/>
    <x v="0"/>
    <n v="1"/>
  </r>
  <r>
    <n v="1269"/>
    <n v="45"/>
    <s v="Male"/>
    <s v="Electronics"/>
    <s v="Headphones"/>
    <n v="1704.22"/>
    <s v="Summer"/>
    <s v="Card"/>
    <n v="4.0999999999999996"/>
    <x v="19"/>
    <n v="5"/>
    <n v="2004.964705882353"/>
    <n v="300.74470588235295"/>
    <x v="1"/>
    <n v="1"/>
  </r>
  <r>
    <n v="1270"/>
    <n v="23"/>
    <s v="Male"/>
    <s v="Footwear"/>
    <s v="Formal Shoes"/>
    <n v="92.79"/>
    <s v="Autumn"/>
    <s v="Card"/>
    <n v="4.9000000000000004"/>
    <x v="1"/>
    <n v="4"/>
    <n v="106.65517241379311"/>
    <n v="13.865172413793104"/>
    <x v="3"/>
    <n v="1"/>
  </r>
  <r>
    <n v="1271"/>
    <n v="55"/>
    <s v="Male"/>
    <s v="Mens Clothing"/>
    <s v="Jeans"/>
    <n v="165.27"/>
    <s v="Spring"/>
    <s v="Card"/>
    <n v="3.5"/>
    <x v="14"/>
    <n v="6"/>
    <n v="199.12048192771087"/>
    <n v="33.85048192771086"/>
    <x v="4"/>
    <n v="1"/>
  </r>
  <r>
    <n v="1272"/>
    <n v="45"/>
    <s v="Female"/>
    <s v="Beauty"/>
    <s v="Makeup Set"/>
    <n v="72.319999999999993"/>
    <s v="Summer"/>
    <s v="Cash on Delivery"/>
    <n v="3.4"/>
    <x v="14"/>
    <n v="6"/>
    <n v="87.132530120481917"/>
    <n v="14.812530120481924"/>
    <x v="1"/>
    <n v="1"/>
  </r>
  <r>
    <n v="1273"/>
    <n v="55"/>
    <s v="Male"/>
    <s v="Electronics"/>
    <s v="Headphones"/>
    <n v="1843.01"/>
    <s v="Spring"/>
    <s v="Card"/>
    <n v="2.9"/>
    <x v="3"/>
    <n v="10"/>
    <n v="2303.7624999999998"/>
    <n v="460.75249999999983"/>
    <x v="4"/>
    <n v="1"/>
  </r>
  <r>
    <n v="1274"/>
    <n v="45"/>
    <s v="Male"/>
    <s v="Sports"/>
    <s v="Football"/>
    <n v="40.4"/>
    <s v="Summer"/>
    <s v="Card"/>
    <n v="3.3"/>
    <x v="7"/>
    <n v="5"/>
    <n v="44.888888888888886"/>
    <n v="4.4888888888888872"/>
    <x v="1"/>
    <n v="1"/>
  </r>
  <r>
    <n v="1275"/>
    <n v="29"/>
    <s v="Male"/>
    <s v="Sports"/>
    <s v="Yoga Mat"/>
    <n v="80.31"/>
    <s v="Winter"/>
    <s v="Cash on Delivery"/>
    <n v="4.3"/>
    <x v="2"/>
    <n v="3"/>
    <n v="90.235955056179776"/>
    <n v="9.9259550561797738"/>
    <x v="5"/>
    <n v="1"/>
  </r>
  <r>
    <n v="1276"/>
    <n v="27"/>
    <s v="Female"/>
    <s v="Footwear"/>
    <s v="Sandals"/>
    <n v="197.36"/>
    <s v="Autumn"/>
    <s v="Card"/>
    <n v="3.5"/>
    <x v="6"/>
    <n v="3"/>
    <n v="234.95238095238096"/>
    <n v="37.59238095238095"/>
    <x v="5"/>
    <n v="1"/>
  </r>
  <r>
    <n v="1277"/>
    <n v="22"/>
    <s v="Male"/>
    <s v="Footwear"/>
    <s v="Sandals"/>
    <n v="153.96"/>
    <s v="Spring"/>
    <s v="Card"/>
    <n v="4.7"/>
    <x v="2"/>
    <n v="3"/>
    <n v="172.98876404494382"/>
    <n v="19.028764044943813"/>
    <x v="3"/>
    <n v="1"/>
  </r>
  <r>
    <n v="1278"/>
    <n v="55"/>
    <s v="Male"/>
    <s v="Footwear"/>
    <s v="Sandals"/>
    <n v="46.48"/>
    <s v="Summer"/>
    <s v="Cash on Delivery"/>
    <n v="3.1"/>
    <x v="16"/>
    <n v="3"/>
    <n v="49.446808510638299"/>
    <n v="2.9668085106383018"/>
    <x v="4"/>
    <n v="1"/>
  </r>
  <r>
    <n v="1279"/>
    <n v="40"/>
    <s v="Male"/>
    <s v="Home"/>
    <s v="Kitchen Set"/>
    <n v="129.11000000000001"/>
    <s v="Summer"/>
    <s v="Card"/>
    <n v="3.1"/>
    <x v="3"/>
    <n v="5"/>
    <n v="161.38750000000002"/>
    <n v="32.277500000000003"/>
    <x v="1"/>
    <n v="1"/>
  </r>
  <r>
    <n v="1280"/>
    <n v="63"/>
    <s v="Male"/>
    <s v="Sports"/>
    <s v="Yoga Mat"/>
    <n v="130.97999999999999"/>
    <s v="Summer"/>
    <s v="Card"/>
    <n v="3.3"/>
    <x v="7"/>
    <n v="5"/>
    <n v="145.53333333333333"/>
    <n v="14.553333333333342"/>
    <x v="0"/>
    <n v="1"/>
  </r>
  <r>
    <n v="1281"/>
    <n v="43"/>
    <s v="Male"/>
    <s v="Sports"/>
    <s v="Dumbbells"/>
    <n v="116.56"/>
    <s v="Summer"/>
    <s v="Card"/>
    <n v="3.1"/>
    <x v="27"/>
    <n v="10"/>
    <n v="155.41333333333333"/>
    <n v="38.853333333333325"/>
    <x v="1"/>
    <n v="1"/>
  </r>
  <r>
    <n v="1282"/>
    <n v="34"/>
    <s v="Male"/>
    <s v="Electronics"/>
    <s v="Headphones"/>
    <n v="1105.45"/>
    <s v="Winter"/>
    <s v="Card"/>
    <n v="5"/>
    <x v="18"/>
    <n v="7"/>
    <n v="1454.5394736842106"/>
    <n v="349.08947368421059"/>
    <x v="5"/>
    <n v="1"/>
  </r>
  <r>
    <n v="1283"/>
    <n v="46"/>
    <s v="Male"/>
    <s v="Footwear"/>
    <s v="Sneakers"/>
    <n v="192.39"/>
    <s v="Autumn"/>
    <s v="Card"/>
    <n v="3.9"/>
    <x v="13"/>
    <n v="2"/>
    <n v="211.41758241758239"/>
    <n v="19.027582417582408"/>
    <x v="4"/>
    <n v="1"/>
  </r>
  <r>
    <n v="1284"/>
    <n v="51"/>
    <s v="Female"/>
    <s v="Womens Clothing"/>
    <s v="Dress"/>
    <n v="184.44"/>
    <s v="Spring"/>
    <s v="Card"/>
    <n v="3.6"/>
    <x v="19"/>
    <n v="5"/>
    <n v="216.98823529411766"/>
    <n v="32.54823529411766"/>
    <x v="4"/>
    <n v="1"/>
  </r>
  <r>
    <n v="1285"/>
    <n v="25"/>
    <s v="Male"/>
    <s v="Home"/>
    <s v="Kitchen Set"/>
    <n v="227.36"/>
    <s v="Spring"/>
    <s v="Card"/>
    <n v="3.2"/>
    <x v="19"/>
    <n v="5"/>
    <n v="267.48235294117649"/>
    <n v="40.122352941176473"/>
    <x v="3"/>
    <n v="1"/>
  </r>
  <r>
    <n v="1286"/>
    <n v="55"/>
    <s v="Male"/>
    <s v="Mens Clothing"/>
    <s v="Jacket"/>
    <n v="91.95"/>
    <s v="Summer"/>
    <s v="Card"/>
    <n v="4.0999999999999996"/>
    <x v="3"/>
    <n v="5"/>
    <n v="114.9375"/>
    <n v="22.987499999999997"/>
    <x v="4"/>
    <n v="1"/>
  </r>
  <r>
    <n v="1287"/>
    <n v="40"/>
    <s v="Female"/>
    <s v="Sports"/>
    <s v="Dumbbells"/>
    <n v="71.11"/>
    <s v="Winter"/>
    <s v="Cash on Delivery"/>
    <n v="4.5999999999999996"/>
    <x v="0"/>
    <n v="4"/>
    <n v="86.719512195121951"/>
    <n v="15.609512195121951"/>
    <x v="1"/>
    <n v="1"/>
  </r>
  <r>
    <n v="1288"/>
    <n v="36"/>
    <s v="Male"/>
    <s v="Footwear"/>
    <s v="Formal Shoes"/>
    <n v="114.22"/>
    <s v="Autumn"/>
    <s v="Card"/>
    <n v="3.9"/>
    <x v="10"/>
    <n v="6"/>
    <n v="146.43589743589743"/>
    <n v="32.215897435897432"/>
    <x v="1"/>
    <n v="1"/>
  </r>
  <r>
    <n v="1289"/>
    <n v="70"/>
    <s v="Female"/>
    <s v="Beauty"/>
    <s v="Skincare Kit"/>
    <n v="104.25"/>
    <s v="Winter"/>
    <s v="Card"/>
    <n v="3.9"/>
    <x v="7"/>
    <n v="5"/>
    <n v="115.83333333333333"/>
    <n v="11.583333333333329"/>
    <x v="2"/>
    <n v="1"/>
  </r>
  <r>
    <n v="1290"/>
    <n v="20"/>
    <s v="Female"/>
    <s v="Womens Clothing"/>
    <s v="Skirt"/>
    <n v="151.63"/>
    <s v="Winter"/>
    <s v="Card"/>
    <n v="2"/>
    <x v="8"/>
    <n v="6"/>
    <n v="172.30681818181819"/>
    <n v="20.676818181818192"/>
    <x v="3"/>
    <n v="1"/>
  </r>
  <r>
    <n v="1291"/>
    <n v="35"/>
    <s v="Male"/>
    <s v="Sports"/>
    <s v="Dumbbells"/>
    <n v="113.99"/>
    <s v="Summer"/>
    <s v="Card"/>
    <n v="3.3"/>
    <x v="5"/>
    <n v="4"/>
    <n v="123.90217391304347"/>
    <n v="9.9121739130434747"/>
    <x v="5"/>
    <n v="1"/>
  </r>
  <r>
    <n v="1292"/>
    <n v="37"/>
    <s v="Female"/>
    <s v="Footwear"/>
    <s v="Sandals"/>
    <n v="149.77000000000001"/>
    <s v="Spring"/>
    <s v="Card"/>
    <n v="4"/>
    <x v="27"/>
    <n v="10"/>
    <n v="199.69333333333336"/>
    <n v="49.923333333333346"/>
    <x v="1"/>
    <n v="1"/>
  </r>
  <r>
    <n v="1293"/>
    <n v="35"/>
    <s v="Female"/>
    <s v="Sports"/>
    <s v="Football"/>
    <n v="149.11000000000001"/>
    <s v="Spring"/>
    <s v="Card"/>
    <n v="3.1"/>
    <x v="4"/>
    <n v="7"/>
    <n v="173.38372093023258"/>
    <n v="24.273720930232571"/>
    <x v="5"/>
    <n v="1"/>
  </r>
  <r>
    <n v="1294"/>
    <n v="47"/>
    <s v="Female"/>
    <s v="Accessories"/>
    <s v="Wallet"/>
    <n v="44.02"/>
    <s v="Autumn"/>
    <s v="Cash on Delivery"/>
    <n v="4.4000000000000004"/>
    <x v="16"/>
    <n v="3"/>
    <n v="46.829787234042563"/>
    <n v="2.8097872340425596"/>
    <x v="4"/>
    <n v="1"/>
  </r>
  <r>
    <n v="1295"/>
    <n v="60"/>
    <s v="Male"/>
    <s v="Mens Clothing"/>
    <s v="Jacket"/>
    <n v="42.96"/>
    <s v="Spring"/>
    <s v="Card"/>
    <n v="5"/>
    <x v="27"/>
    <n v="10"/>
    <n v="57.28"/>
    <n v="14.32"/>
    <x v="0"/>
    <n v="1"/>
  </r>
  <r>
    <n v="1296"/>
    <n v="55"/>
    <s v="Female"/>
    <s v="Womens Clothing"/>
    <s v="Dress"/>
    <n v="186.61"/>
    <s v="Summer"/>
    <s v="Card"/>
    <n v="3.2"/>
    <x v="4"/>
    <n v="7"/>
    <n v="216.98837209302329"/>
    <n v="30.378372093023273"/>
    <x v="4"/>
    <n v="1"/>
  </r>
  <r>
    <n v="1297"/>
    <n v="36"/>
    <s v="Male"/>
    <s v="Groceries"/>
    <s v="Rice Pack"/>
    <n v="20.05"/>
    <s v="Spring"/>
    <s v="Cash on Delivery"/>
    <n v="3.9"/>
    <x v="1"/>
    <n v="4"/>
    <n v="23.045977011494255"/>
    <n v="2.9959770114942543"/>
    <x v="1"/>
    <n v="1"/>
  </r>
  <r>
    <n v="1298"/>
    <n v="31"/>
    <s v="Male"/>
    <s v="Electronics"/>
    <s v="Laptop"/>
    <n v="2520.3000000000002"/>
    <s v="Summer"/>
    <s v="Card"/>
    <n v="2.7"/>
    <x v="4"/>
    <n v="7"/>
    <n v="2930.5813953488373"/>
    <n v="410.28139534883712"/>
    <x v="5"/>
    <n v="1"/>
  </r>
  <r>
    <n v="1299"/>
    <n v="51"/>
    <s v="Female"/>
    <s v="Womens Clothing"/>
    <s v="Dress"/>
    <n v="119.82"/>
    <s v="Winter"/>
    <s v="Card"/>
    <n v="4.3"/>
    <x v="21"/>
    <n v="8"/>
    <n v="151.67088607594934"/>
    <n v="31.850886075949347"/>
    <x v="4"/>
    <n v="1"/>
  </r>
  <r>
    <n v="1300"/>
    <n v="62"/>
    <s v="Male"/>
    <s v="Footwear"/>
    <s v="Formal Shoes"/>
    <n v="144.66999999999999"/>
    <s v="Autumn"/>
    <s v="Card"/>
    <n v="3.7"/>
    <x v="4"/>
    <n v="7"/>
    <n v="168.22093023255812"/>
    <n v="23.55093023255813"/>
    <x v="0"/>
    <n v="1"/>
  </r>
  <r>
    <n v="1301"/>
    <n v="29"/>
    <s v="Female"/>
    <s v="Beauty"/>
    <s v="Perfume"/>
    <n v="38.64"/>
    <s v="Autumn"/>
    <s v="Cash on Delivery"/>
    <n v="4"/>
    <x v="6"/>
    <n v="3"/>
    <n v="46"/>
    <n v="7.3599999999999994"/>
    <x v="5"/>
    <n v="1"/>
  </r>
  <r>
    <n v="1302"/>
    <n v="28"/>
    <s v="Male"/>
    <s v="Sports"/>
    <s v="Football"/>
    <n v="64.16"/>
    <s v="Winter"/>
    <s v="Cash on Delivery"/>
    <n v="3.7"/>
    <x v="24"/>
    <n v="9"/>
    <n v="89.111111111111114"/>
    <n v="24.951111111111118"/>
    <x v="5"/>
    <n v="1"/>
  </r>
  <r>
    <n v="1303"/>
    <n v="35"/>
    <s v="Male"/>
    <s v="Sports"/>
    <s v="Yoga Mat"/>
    <n v="238.78"/>
    <s v="Summer"/>
    <s v="Card"/>
    <n v="3.8"/>
    <x v="13"/>
    <n v="2"/>
    <n v="262.39560439560438"/>
    <n v="23.615604395604379"/>
    <x v="5"/>
    <n v="1"/>
  </r>
  <r>
    <n v="1304"/>
    <n v="34"/>
    <s v="Female"/>
    <s v="Accessories"/>
    <s v="Sunglasses"/>
    <n v="159.38999999999999"/>
    <s v="Spring"/>
    <s v="Card"/>
    <n v="3"/>
    <x v="16"/>
    <n v="3"/>
    <n v="169.56382978723403"/>
    <n v="10.173829787234041"/>
    <x v="5"/>
    <n v="1"/>
  </r>
  <r>
    <n v="1305"/>
    <n v="22"/>
    <s v="Female"/>
    <s v="Groceries"/>
    <s v="Cooking Oil"/>
    <n v="60.87"/>
    <s v="Winter"/>
    <s v="Card"/>
    <n v="3.6"/>
    <x v="4"/>
    <n v="7"/>
    <n v="70.779069767441854"/>
    <n v="9.9090697674418564"/>
    <x v="3"/>
    <n v="1"/>
  </r>
  <r>
    <n v="1306"/>
    <n v="70"/>
    <s v="Male"/>
    <s v="Footwear"/>
    <s v="Formal Shoes"/>
    <n v="61.28"/>
    <s v="Summer"/>
    <s v="Card"/>
    <n v="4.5999999999999996"/>
    <x v="4"/>
    <n v="7"/>
    <n v="71.255813953488371"/>
    <n v="9.9758139534883696"/>
    <x v="2"/>
    <n v="1"/>
  </r>
  <r>
    <n v="1307"/>
    <n v="42"/>
    <s v="Male"/>
    <s v="Footwear"/>
    <s v="Sandals"/>
    <n v="219.14"/>
    <s v="Winter"/>
    <s v="Card"/>
    <n v="4.2"/>
    <x v="0"/>
    <n v="4"/>
    <n v="267.24390243902434"/>
    <n v="48.103902439024353"/>
    <x v="1"/>
    <n v="1"/>
  </r>
  <r>
    <n v="1308"/>
    <n v="22"/>
    <s v="Female"/>
    <s v="Womens Clothing"/>
    <s v="Skirt"/>
    <n v="125.23"/>
    <s v="Winter"/>
    <s v="Card"/>
    <n v="4.8"/>
    <x v="1"/>
    <n v="4"/>
    <n v="143.94252873563218"/>
    <n v="18.712528735632176"/>
    <x v="3"/>
    <n v="1"/>
  </r>
  <r>
    <n v="1309"/>
    <n v="39"/>
    <s v="Female"/>
    <s v="Accessories"/>
    <s v="Wallet"/>
    <n v="77.930000000000007"/>
    <s v="Summer"/>
    <s v="Card"/>
    <n v="3.5"/>
    <x v="7"/>
    <n v="5"/>
    <n v="86.588888888888889"/>
    <n v="8.6588888888888818"/>
    <x v="1"/>
    <n v="1"/>
  </r>
  <r>
    <n v="1310"/>
    <n v="48"/>
    <s v="Male"/>
    <s v="Electronics"/>
    <s v="Smart Watch"/>
    <n v="579.51"/>
    <s v="Spring"/>
    <s v="Card"/>
    <n v="2.5"/>
    <x v="2"/>
    <n v="3"/>
    <n v="651.13483146067415"/>
    <n v="71.624831460674159"/>
    <x v="4"/>
    <n v="1"/>
  </r>
  <r>
    <n v="1311"/>
    <n v="58"/>
    <s v="Male"/>
    <s v="Mens Clothing"/>
    <s v="Jacket"/>
    <n v="142.47"/>
    <s v="Spring"/>
    <s v="Card"/>
    <n v="3.5"/>
    <x v="3"/>
    <n v="5"/>
    <n v="178.08749999999998"/>
    <n v="35.617499999999978"/>
    <x v="0"/>
    <n v="1"/>
  </r>
  <r>
    <n v="1312"/>
    <n v="21"/>
    <s v="Male"/>
    <s v="Sports"/>
    <s v="Yoga Mat"/>
    <n v="34.03"/>
    <s v="Summer"/>
    <s v="Cash on Delivery"/>
    <n v="3.3"/>
    <x v="16"/>
    <n v="3"/>
    <n v="36.202127659574472"/>
    <n v="2.1721276595744712"/>
    <x v="3"/>
    <n v="1"/>
  </r>
  <r>
    <n v="1313"/>
    <n v="56"/>
    <s v="Male"/>
    <s v="Mens Clothing"/>
    <s v="Jeans"/>
    <n v="191.15"/>
    <s v="Summer"/>
    <s v="Card"/>
    <n v="3.2"/>
    <x v="25"/>
    <n v="10"/>
    <n v="273.07142857142861"/>
    <n v="81.921428571428606"/>
    <x v="0"/>
    <n v="1"/>
  </r>
  <r>
    <n v="1314"/>
    <n v="57"/>
    <s v="Female"/>
    <s v="Groceries"/>
    <s v="Cooking Oil"/>
    <n v="57.36"/>
    <s v="Summer"/>
    <s v="Card"/>
    <n v="3.8"/>
    <x v="3"/>
    <n v="5"/>
    <n v="71.699999999999989"/>
    <n v="14.339999999999989"/>
    <x v="0"/>
    <n v="1"/>
  </r>
  <r>
    <n v="1315"/>
    <n v="40"/>
    <s v="Male"/>
    <s v="Sports"/>
    <s v="Yoga Mat"/>
    <n v="235.9"/>
    <s v="Autumn"/>
    <s v="Card"/>
    <n v="3.5"/>
    <x v="1"/>
    <n v="4"/>
    <n v="271.14942528735634"/>
    <n v="35.249425287356331"/>
    <x v="1"/>
    <n v="1"/>
  </r>
  <r>
    <n v="1316"/>
    <n v="53"/>
    <s v="Male"/>
    <s v="Electronics"/>
    <s v="Smart Watch"/>
    <n v="1327.45"/>
    <s v="Summer"/>
    <s v="Card"/>
    <n v="3.9"/>
    <x v="16"/>
    <n v="3"/>
    <n v="1412.18085106383"/>
    <n v="84.730851063829959"/>
    <x v="4"/>
    <n v="1"/>
  </r>
  <r>
    <n v="1317"/>
    <n v="69"/>
    <s v="Male"/>
    <s v="Home"/>
    <s v="Kitchen Set"/>
    <n v="120.8"/>
    <s v="Spring"/>
    <s v="Card"/>
    <n v="4.8"/>
    <x v="3"/>
    <n v="5"/>
    <n v="151"/>
    <n v="30.200000000000003"/>
    <x v="2"/>
    <n v="1"/>
  </r>
  <r>
    <n v="1318"/>
    <n v="30"/>
    <s v="Male"/>
    <s v="Electronics"/>
    <s v="Laptop"/>
    <n v="2944.78"/>
    <s v="Spring"/>
    <s v="Card"/>
    <n v="4"/>
    <x v="22"/>
    <n v="9"/>
    <n v="3824.3896103896104"/>
    <n v="879.60961038961022"/>
    <x v="5"/>
    <n v="1"/>
  </r>
  <r>
    <n v="1319"/>
    <n v="52"/>
    <s v="Female"/>
    <s v="Beauty"/>
    <s v="Skincare Kit"/>
    <n v="105.98"/>
    <s v="Spring"/>
    <s v="Card"/>
    <n v="3.9"/>
    <x v="12"/>
    <n v="7"/>
    <n v="130.83950617283949"/>
    <n v="24.859506172839488"/>
    <x v="4"/>
    <n v="1"/>
  </r>
  <r>
    <n v="1320"/>
    <n v="24"/>
    <s v="Male"/>
    <s v="Sports"/>
    <s v="Football"/>
    <n v="71.53"/>
    <s v="Autumn"/>
    <s v="Card"/>
    <n v="4"/>
    <x v="2"/>
    <n v="3"/>
    <n v="80.370786516853926"/>
    <n v="8.8407865168539246"/>
    <x v="3"/>
    <n v="1"/>
  </r>
  <r>
    <n v="1321"/>
    <n v="51"/>
    <s v="Female"/>
    <s v="Beauty"/>
    <s v="Skincare Kit"/>
    <n v="30.99"/>
    <s v="Summer"/>
    <s v="Cash on Delivery"/>
    <n v="3.4"/>
    <x v="5"/>
    <n v="4"/>
    <n v="33.684782608695649"/>
    <n v="2.6947826086956503"/>
    <x v="4"/>
    <n v="1"/>
  </r>
  <r>
    <n v="1322"/>
    <n v="50"/>
    <s v="Female"/>
    <s v="Beauty"/>
    <s v="Makeup Set"/>
    <n v="53.04"/>
    <s v="Summer"/>
    <s v="Cash on Delivery"/>
    <n v="3.7"/>
    <x v="7"/>
    <n v="0"/>
    <n v="58.93333333333333"/>
    <n v="5.8933333333333309"/>
    <x v="4"/>
    <n v="1"/>
  </r>
  <r>
    <n v="1323"/>
    <n v="52"/>
    <s v="Female"/>
    <s v="Beauty"/>
    <s v="Skincare Kit"/>
    <n v="50.77"/>
    <s v="Winter"/>
    <s v="Cash on Delivery"/>
    <n v="4.4000000000000004"/>
    <x v="8"/>
    <n v="6"/>
    <n v="57.69318181818182"/>
    <n v="6.923181818181817"/>
    <x v="4"/>
    <n v="1"/>
  </r>
  <r>
    <n v="1324"/>
    <n v="23"/>
    <s v="Female"/>
    <s v="Beauty"/>
    <s v="Skincare Kit"/>
    <n v="25.79"/>
    <s v="Autumn"/>
    <s v="Card"/>
    <n v="4.5999999999999996"/>
    <x v="6"/>
    <n v="8"/>
    <n v="30.702380952380953"/>
    <n v="4.9123809523809534"/>
    <x v="3"/>
    <n v="1"/>
  </r>
  <r>
    <n v="1325"/>
    <n v="64"/>
    <s v="Male"/>
    <s v="Sports"/>
    <s v="Dumbbells"/>
    <n v="194.44"/>
    <s v="Winter"/>
    <s v="Card"/>
    <n v="4.3"/>
    <x v="25"/>
    <n v="10"/>
    <n v="277.7714285714286"/>
    <n v="83.331428571428603"/>
    <x v="0"/>
    <n v="1"/>
  </r>
  <r>
    <n v="1326"/>
    <n v="25"/>
    <s v="Female"/>
    <s v="Footwear"/>
    <s v="Formal Shoes"/>
    <n v="160.51"/>
    <s v="Summer"/>
    <s v="Card"/>
    <n v="3.4"/>
    <x v="19"/>
    <n v="5"/>
    <n v="188.83529411764707"/>
    <n v="28.325294117647076"/>
    <x v="3"/>
    <n v="1"/>
  </r>
  <r>
    <n v="1327"/>
    <n v="67"/>
    <s v="Male"/>
    <s v="Sports"/>
    <s v="Yoga Mat"/>
    <n v="36.44"/>
    <s v="Spring"/>
    <s v="Card"/>
    <n v="3"/>
    <x v="1"/>
    <n v="4"/>
    <n v="41.885057471264368"/>
    <n v="5.44505747126437"/>
    <x v="2"/>
    <n v="1"/>
  </r>
  <r>
    <n v="1328"/>
    <n v="57"/>
    <s v="Female"/>
    <s v="Accessories"/>
    <s v="Sunglasses"/>
    <n v="80.59"/>
    <s v="Summer"/>
    <s v="Cash on Delivery"/>
    <n v="3.1"/>
    <x v="6"/>
    <n v="3"/>
    <n v="95.940476190476204"/>
    <n v="15.350476190476201"/>
    <x v="0"/>
    <n v="1"/>
  </r>
  <r>
    <n v="1329"/>
    <n v="36"/>
    <s v="Female"/>
    <s v="Womens Clothing"/>
    <s v="Skirt"/>
    <n v="194.05"/>
    <s v="Winter"/>
    <s v="Card"/>
    <n v="3.3"/>
    <x v="5"/>
    <n v="4"/>
    <n v="210.92391304347825"/>
    <n v="16.87391304347824"/>
    <x v="1"/>
    <n v="1"/>
  </r>
  <r>
    <n v="1330"/>
    <n v="62"/>
    <s v="Male"/>
    <s v="Mens Clothing"/>
    <s v="Shirt"/>
    <n v="143.18"/>
    <s v="Spring"/>
    <s v="Card"/>
    <n v="2.8"/>
    <x v="18"/>
    <n v="7"/>
    <n v="188.39473684210526"/>
    <n v="45.214736842105253"/>
    <x v="0"/>
    <n v="1"/>
  </r>
  <r>
    <n v="1331"/>
    <n v="47"/>
    <s v="Male"/>
    <s v="Electronics"/>
    <s v="Mobile Phone"/>
    <n v="1170.3699999999999"/>
    <s v="Autumn"/>
    <s v="Card"/>
    <n v="3.4"/>
    <x v="6"/>
    <n v="3"/>
    <n v="1393.297619047619"/>
    <n v="222.92761904761915"/>
    <x v="4"/>
    <n v="1"/>
  </r>
  <r>
    <n v="1332"/>
    <n v="25"/>
    <s v="Female"/>
    <s v="Womens Clothing"/>
    <s v="Dress"/>
    <n v="164.39"/>
    <s v="Winter"/>
    <s v="Card"/>
    <n v="3.6"/>
    <x v="0"/>
    <n v="4"/>
    <n v="200.47560975609753"/>
    <n v="36.08560975609754"/>
    <x v="3"/>
    <n v="1"/>
  </r>
  <r>
    <n v="1333"/>
    <n v="56"/>
    <s v="Male"/>
    <s v="Sports"/>
    <s v="Yoga Mat"/>
    <n v="52.53"/>
    <s v="Summer"/>
    <s v="Cash on Delivery"/>
    <n v="3.1"/>
    <x v="4"/>
    <n v="2"/>
    <n v="61.081395348837212"/>
    <n v="8.551395348837211"/>
    <x v="0"/>
    <n v="1"/>
  </r>
  <r>
    <n v="1334"/>
    <n v="55"/>
    <s v="Female"/>
    <s v="Footwear"/>
    <s v="Sandals"/>
    <n v="46.45"/>
    <s v="Winter"/>
    <s v="Card"/>
    <n v="4.9000000000000004"/>
    <x v="6"/>
    <n v="8"/>
    <n v="55.297619047619051"/>
    <n v="8.8476190476190482"/>
    <x v="4"/>
    <n v="1"/>
  </r>
  <r>
    <n v="1335"/>
    <n v="34"/>
    <s v="Male"/>
    <s v="Footwear"/>
    <s v="Sneakers"/>
    <n v="85.32"/>
    <s v="Summer"/>
    <s v="Cash on Delivery"/>
    <n v="4.8"/>
    <x v="19"/>
    <n v="5"/>
    <n v="100.37647058823529"/>
    <n v="15.0564705882353"/>
    <x v="5"/>
    <n v="1"/>
  </r>
  <r>
    <n v="1336"/>
    <n v="58"/>
    <s v="Male"/>
    <s v="Electronics"/>
    <s v="Mobile Phone"/>
    <n v="1082.29"/>
    <s v="Summer"/>
    <s v="Card"/>
    <n v="3.2"/>
    <x v="5"/>
    <n v="4"/>
    <n v="1176.4021739130435"/>
    <n v="94.112173913043534"/>
    <x v="0"/>
    <n v="1"/>
  </r>
  <r>
    <n v="1337"/>
    <n v="60"/>
    <s v="Female"/>
    <s v="Accessories"/>
    <s v="Wallet"/>
    <n v="97.14"/>
    <s v="Autumn"/>
    <s v="Cash on Delivery"/>
    <n v="3.3"/>
    <x v="14"/>
    <n v="6"/>
    <n v="117.03614457831326"/>
    <n v="19.896144578313255"/>
    <x v="0"/>
    <n v="1"/>
  </r>
  <r>
    <n v="1338"/>
    <n v="22"/>
    <s v="Female"/>
    <s v="Womens Clothing"/>
    <s v="Top"/>
    <n v="72.12"/>
    <s v="Autumn"/>
    <s v="Cash on Delivery"/>
    <n v="2.4"/>
    <x v="5"/>
    <n v="4"/>
    <n v="78.391304347826093"/>
    <n v="6.2713043478260886"/>
    <x v="3"/>
    <n v="1"/>
  </r>
  <r>
    <n v="1339"/>
    <n v="31"/>
    <s v="Female"/>
    <s v="Womens Clothing"/>
    <s v="Jeans"/>
    <n v="115.32"/>
    <s v="Summer"/>
    <s v="Card"/>
    <n v="2.6"/>
    <x v="8"/>
    <n v="6"/>
    <n v="131.04545454545453"/>
    <n v="15.725454545454539"/>
    <x v="5"/>
    <n v="1"/>
  </r>
  <r>
    <n v="1340"/>
    <n v="51"/>
    <s v="Female"/>
    <s v="Beauty"/>
    <s v="Skincare Kit"/>
    <n v="76.33"/>
    <s v="Spring"/>
    <s v="Card"/>
    <n v="4"/>
    <x v="13"/>
    <n v="2"/>
    <n v="83.879120879120876"/>
    <n v="7.5491208791208777"/>
    <x v="4"/>
    <n v="1"/>
  </r>
  <r>
    <n v="1341"/>
    <n v="62"/>
    <s v="Male"/>
    <s v="Mens Clothing"/>
    <s v="Jacket"/>
    <n v="181.25"/>
    <s v="Summer"/>
    <s v="Card"/>
    <n v="2.8"/>
    <x v="21"/>
    <n v="8"/>
    <n v="229.43037974683543"/>
    <n v="48.180379746835428"/>
    <x v="0"/>
    <n v="1"/>
  </r>
  <r>
    <n v="1342"/>
    <n v="62"/>
    <s v="Male"/>
    <s v="Home"/>
    <s v="Kitchen Set"/>
    <n v="178.48"/>
    <s v="Spring"/>
    <s v="Card"/>
    <n v="2.9"/>
    <x v="3"/>
    <n v="5"/>
    <n v="223.09999999999997"/>
    <n v="44.619999999999976"/>
    <x v="0"/>
    <n v="1"/>
  </r>
  <r>
    <n v="1343"/>
    <n v="49"/>
    <s v="Male"/>
    <s v="Sports"/>
    <s v="Yoga Mat"/>
    <n v="28.95"/>
    <s v="Summer"/>
    <s v="Cash on Delivery"/>
    <n v="3.4"/>
    <x v="18"/>
    <n v="7"/>
    <n v="38.09210526315789"/>
    <n v="9.142105263157891"/>
    <x v="4"/>
    <n v="1"/>
  </r>
  <r>
    <n v="1344"/>
    <n v="55"/>
    <s v="Female"/>
    <s v="Footwear"/>
    <s v="Sandals"/>
    <n v="96.28"/>
    <s v="Spring"/>
    <s v="Card"/>
    <n v="4"/>
    <x v="14"/>
    <n v="6"/>
    <n v="116"/>
    <n v="19.72"/>
    <x v="4"/>
    <n v="1"/>
  </r>
  <r>
    <n v="1345"/>
    <n v="36"/>
    <s v="Male"/>
    <s v="Groceries"/>
    <s v="Cooking Oil"/>
    <n v="17.13"/>
    <s v="Winter"/>
    <s v="Cash on Delivery"/>
    <n v="2.9"/>
    <x v="13"/>
    <n v="2"/>
    <n v="18.824175824175821"/>
    <n v="1.6941758241758222"/>
    <x v="1"/>
    <n v="1"/>
  </r>
  <r>
    <n v="1346"/>
    <n v="41"/>
    <s v="Female"/>
    <s v="Home"/>
    <s v="Kitchen Set"/>
    <n v="233.88"/>
    <s v="Summer"/>
    <s v="Card"/>
    <n v="4.4000000000000004"/>
    <x v="4"/>
    <n v="7"/>
    <n v="271.95348837209303"/>
    <n v="38.073488372093038"/>
    <x v="1"/>
    <n v="1"/>
  </r>
  <r>
    <n v="1347"/>
    <n v="33"/>
    <s v="Female"/>
    <s v="Footwear"/>
    <s v="Sandals"/>
    <n v="125.68"/>
    <s v="Winter"/>
    <s v="Card"/>
    <n v="4.5"/>
    <x v="18"/>
    <n v="7"/>
    <n v="165.36842105263159"/>
    <n v="39.688421052631583"/>
    <x v="5"/>
    <n v="1"/>
  </r>
  <r>
    <n v="1348"/>
    <n v="22"/>
    <s v="Male"/>
    <s v="Home"/>
    <s v="Lamp"/>
    <n v="132.30000000000001"/>
    <s v="Autumn"/>
    <s v="Card"/>
    <n v="4.4000000000000004"/>
    <x v="5"/>
    <n v="4"/>
    <n v="143.80434782608697"/>
    <n v="11.504347826086956"/>
    <x v="3"/>
    <n v="1"/>
  </r>
  <r>
    <n v="1349"/>
    <n v="65"/>
    <s v="Female"/>
    <s v="Womens Clothing"/>
    <s v="Jeans"/>
    <n v="80.239999999999995"/>
    <s v="Summer"/>
    <s v="Card"/>
    <n v="3.3"/>
    <x v="16"/>
    <n v="3"/>
    <n v="85.361702127659569"/>
    <n v="5.1217021276595744"/>
    <x v="0"/>
    <n v="1"/>
  </r>
  <r>
    <n v="1350"/>
    <n v="58"/>
    <s v="Female"/>
    <s v="Womens Clothing"/>
    <s v="Top"/>
    <n v="197.63"/>
    <s v="Spring"/>
    <s v="Card"/>
    <n v="4.2"/>
    <x v="25"/>
    <n v="10"/>
    <n v="282.32857142857142"/>
    <n v="84.698571428571427"/>
    <x v="0"/>
    <n v="1"/>
  </r>
  <r>
    <n v="1351"/>
    <n v="58"/>
    <s v="Male"/>
    <s v="Sports"/>
    <s v="Football"/>
    <n v="144"/>
    <s v="Autumn"/>
    <s v="Card"/>
    <n v="4.4000000000000004"/>
    <x v="18"/>
    <n v="7"/>
    <n v="189.4736842105263"/>
    <n v="45.473684210526301"/>
    <x v="0"/>
    <n v="1"/>
  </r>
  <r>
    <n v="1352"/>
    <n v="67"/>
    <s v="Female"/>
    <s v="Accessories"/>
    <s v="Sunglasses"/>
    <n v="173.81"/>
    <s v="Summer"/>
    <s v="Card"/>
    <n v="2.7"/>
    <x v="5"/>
    <n v="4"/>
    <n v="188.92391304347825"/>
    <n v="15.113913043478249"/>
    <x v="2"/>
    <n v="1"/>
  </r>
  <r>
    <n v="1353"/>
    <n v="54"/>
    <s v="Female"/>
    <s v="Womens Clothing"/>
    <s v="Dress"/>
    <n v="130.33000000000001"/>
    <s v="Summer"/>
    <s v="Card"/>
    <n v="3.9"/>
    <x v="6"/>
    <n v="8"/>
    <n v="155.15476190476193"/>
    <n v="24.824761904761914"/>
    <x v="4"/>
    <n v="1"/>
  </r>
  <r>
    <n v="1354"/>
    <n v="52"/>
    <s v="Female"/>
    <s v="Accessories"/>
    <s v="Wallet"/>
    <n v="151.16999999999999"/>
    <s v="Spring"/>
    <s v="Card"/>
    <n v="2.7"/>
    <x v="21"/>
    <n v="8"/>
    <n v="191.35443037974682"/>
    <n v="40.184430379746829"/>
    <x v="4"/>
    <n v="1"/>
  </r>
  <r>
    <n v="1355"/>
    <n v="43"/>
    <s v="Female"/>
    <s v="Beauty"/>
    <s v="Skincare Kit"/>
    <n v="56.31"/>
    <s v="Spring"/>
    <s v="Cash on Delivery"/>
    <n v="5"/>
    <x v="16"/>
    <n v="3"/>
    <n v="59.904255319148945"/>
    <n v="3.5942553191489424"/>
    <x v="1"/>
    <n v="1"/>
  </r>
  <r>
    <n v="1356"/>
    <n v="39"/>
    <s v="Female"/>
    <s v="Footwear"/>
    <s v="Formal Shoes"/>
    <n v="79.95"/>
    <s v="Summer"/>
    <s v="Card"/>
    <n v="3.4"/>
    <x v="25"/>
    <n v="10"/>
    <n v="114.21428571428572"/>
    <n v="34.26428571428572"/>
    <x v="1"/>
    <n v="1"/>
  </r>
  <r>
    <n v="1357"/>
    <n v="60"/>
    <s v="Male"/>
    <s v="Electronics"/>
    <s v="Smart Watch"/>
    <n v="1905.2"/>
    <s v="Winter"/>
    <s v="Card"/>
    <n v="3.3"/>
    <x v="21"/>
    <n v="8"/>
    <n v="2411.6455696202529"/>
    <n v="506.44556962025285"/>
    <x v="0"/>
    <n v="1"/>
  </r>
  <r>
    <n v="1358"/>
    <n v="30"/>
    <s v="Female"/>
    <s v="Home"/>
    <s v="Kitchen Set"/>
    <n v="172.51"/>
    <s v="Summer"/>
    <s v="Card"/>
    <n v="2.4"/>
    <x v="10"/>
    <n v="6"/>
    <n v="221.16666666666666"/>
    <n v="48.656666666666666"/>
    <x v="5"/>
    <n v="1"/>
  </r>
  <r>
    <n v="1359"/>
    <n v="28"/>
    <s v="Female"/>
    <s v="Footwear"/>
    <s v="Sneakers"/>
    <n v="162.07"/>
    <s v="Spring"/>
    <s v="Card"/>
    <n v="2.7"/>
    <x v="2"/>
    <n v="3"/>
    <n v="182.10112359550561"/>
    <n v="20.031123595505619"/>
    <x v="5"/>
    <n v="1"/>
  </r>
  <r>
    <n v="1360"/>
    <n v="60"/>
    <s v="Female"/>
    <s v="Womens Clothing"/>
    <s v="Dress"/>
    <n v="75.11"/>
    <s v="Summer"/>
    <s v="Card"/>
    <n v="4"/>
    <x v="8"/>
    <n v="6"/>
    <n v="85.35227272727272"/>
    <n v="10.24227272727272"/>
    <x v="0"/>
    <n v="1"/>
  </r>
  <r>
    <n v="1361"/>
    <n v="52"/>
    <s v="Female"/>
    <s v="Groceries"/>
    <s v="Cooking Oil"/>
    <n v="66.05"/>
    <s v="Summer"/>
    <s v="Cash on Delivery"/>
    <n v="3.7"/>
    <x v="7"/>
    <n v="5"/>
    <n v="73.388888888888886"/>
    <n v="7.3388888888888886"/>
    <x v="4"/>
    <n v="1"/>
  </r>
  <r>
    <n v="1362"/>
    <n v="32"/>
    <s v="Male"/>
    <s v="Sports"/>
    <s v="Football"/>
    <n v="136.35"/>
    <s v="Spring"/>
    <s v="Card"/>
    <n v="3.3"/>
    <x v="6"/>
    <n v="3"/>
    <n v="162.32142857142858"/>
    <n v="25.971428571428589"/>
    <x v="5"/>
    <n v="1"/>
  </r>
  <r>
    <n v="1363"/>
    <n v="39"/>
    <s v="Female"/>
    <s v="Beauty"/>
    <s v="Makeup Set"/>
    <n v="141.19"/>
    <s v="Winter"/>
    <s v="Card"/>
    <n v="1.5"/>
    <x v="4"/>
    <n v="7"/>
    <n v="164.17441860465115"/>
    <n v="22.984418604651154"/>
    <x v="1"/>
    <n v="1"/>
  </r>
  <r>
    <n v="1364"/>
    <n v="42"/>
    <s v="Female"/>
    <s v="Footwear"/>
    <s v="Formal Shoes"/>
    <n v="76.55"/>
    <s v="Autumn"/>
    <s v="Cash on Delivery"/>
    <n v="3.6"/>
    <x v="19"/>
    <n v="5"/>
    <n v="90.058823529411768"/>
    <n v="13.508823529411771"/>
    <x v="1"/>
    <n v="1"/>
  </r>
  <r>
    <n v="1365"/>
    <n v="52"/>
    <s v="Male"/>
    <s v="Footwear"/>
    <s v="Formal Shoes"/>
    <n v="248.92"/>
    <s v="Spring"/>
    <s v="Card"/>
    <n v="3.4"/>
    <x v="1"/>
    <n v="4"/>
    <n v="286.11494252873564"/>
    <n v="37.194942528735652"/>
    <x v="4"/>
    <n v="1"/>
  </r>
  <r>
    <n v="1366"/>
    <n v="54"/>
    <s v="Male"/>
    <s v="Footwear"/>
    <s v="Sneakers"/>
    <n v="247.98"/>
    <s v="Spring"/>
    <s v="Card"/>
    <n v="3.6"/>
    <x v="7"/>
    <n v="5"/>
    <n v="275.5333333333333"/>
    <n v="27.553333333333313"/>
    <x v="4"/>
    <n v="1"/>
  </r>
  <r>
    <n v="1367"/>
    <n v="64"/>
    <s v="Male"/>
    <s v="Electronics"/>
    <s v="Smart Watch"/>
    <n v="1925.6"/>
    <s v="Spring"/>
    <s v="Card"/>
    <n v="2.6"/>
    <x v="1"/>
    <n v="4"/>
    <n v="2213.333333333333"/>
    <n v="287.73333333333312"/>
    <x v="0"/>
    <n v="1"/>
  </r>
  <r>
    <n v="1368"/>
    <n v="51"/>
    <s v="Male"/>
    <s v="Sports"/>
    <s v="Dumbbells"/>
    <n v="139.66"/>
    <s v="Winter"/>
    <s v="Card"/>
    <n v="3.6"/>
    <x v="13"/>
    <n v="2"/>
    <n v="153.47252747252747"/>
    <n v="13.812527472527478"/>
    <x v="4"/>
    <n v="1"/>
  </r>
  <r>
    <n v="1369"/>
    <n v="65"/>
    <s v="Male"/>
    <s v="Mens Clothing"/>
    <s v="Jeans"/>
    <n v="199.78"/>
    <s v="Autumn"/>
    <s v="Card"/>
    <n v="3.5"/>
    <x v="19"/>
    <n v="5"/>
    <n v="235.03529411764706"/>
    <n v="35.255294117647054"/>
    <x v="0"/>
    <n v="1"/>
  </r>
  <r>
    <n v="1370"/>
    <n v="22"/>
    <s v="Female"/>
    <s v="Beauty"/>
    <s v="Skincare Kit"/>
    <n v="45.19"/>
    <s v="Summer"/>
    <s v="Card"/>
    <n v="4.7"/>
    <x v="8"/>
    <n v="6"/>
    <n v="51.352272727272727"/>
    <n v="6.1622727272727289"/>
    <x v="3"/>
    <n v="1"/>
  </r>
  <r>
    <n v="1371"/>
    <n v="30"/>
    <s v="Female"/>
    <s v="Footwear"/>
    <s v="Sneakers"/>
    <n v="206.49"/>
    <s v="Summer"/>
    <s v="Card"/>
    <n v="3.6"/>
    <x v="3"/>
    <n v="5"/>
    <n v="258.11250000000001"/>
    <n v="51.622500000000002"/>
    <x v="5"/>
    <n v="1"/>
  </r>
  <r>
    <n v="1372"/>
    <n v="52"/>
    <s v="Male"/>
    <s v="Electronics"/>
    <s v="Mobile Phone"/>
    <n v="1357.56"/>
    <s v="Autumn"/>
    <s v="Card"/>
    <n v="5"/>
    <x v="6"/>
    <n v="8"/>
    <n v="1616.1428571428571"/>
    <n v="258.58285714285716"/>
    <x v="4"/>
    <n v="1"/>
  </r>
  <r>
    <n v="1373"/>
    <n v="26"/>
    <s v="Female"/>
    <s v="Footwear"/>
    <s v="Sneakers"/>
    <n v="160.69"/>
    <s v="Autumn"/>
    <s v="Card"/>
    <n v="4.3"/>
    <x v="19"/>
    <n v="5"/>
    <n v="189.04705882352943"/>
    <n v="28.357058823529428"/>
    <x v="5"/>
    <n v="1"/>
  </r>
  <r>
    <n v="1374"/>
    <n v="29"/>
    <s v="Female"/>
    <s v="Sports"/>
    <s v="Yoga Mat"/>
    <n v="239.09"/>
    <s v="Summer"/>
    <s v="Card"/>
    <n v="4"/>
    <x v="16"/>
    <n v="3"/>
    <n v="254.35106382978725"/>
    <n v="15.261063829787247"/>
    <x v="5"/>
    <n v="1"/>
  </r>
  <r>
    <n v="1375"/>
    <n v="61"/>
    <s v="Male"/>
    <s v="Electronics"/>
    <s v="Headphones"/>
    <n v="2519.73"/>
    <s v="Summer"/>
    <s v="Card"/>
    <n v="3.5"/>
    <x v="3"/>
    <n v="5"/>
    <n v="3149.6624999999999"/>
    <n v="629.93249999999989"/>
    <x v="0"/>
    <n v="1"/>
  </r>
  <r>
    <n v="1376"/>
    <n v="62"/>
    <s v="Female"/>
    <s v="Footwear"/>
    <s v="Formal Shoes"/>
    <n v="218.99"/>
    <s v="Autumn"/>
    <s v="Card"/>
    <n v="3.6"/>
    <x v="6"/>
    <n v="3"/>
    <n v="260.70238095238096"/>
    <n v="41.712380952380954"/>
    <x v="0"/>
    <n v="1"/>
  </r>
  <r>
    <n v="1377"/>
    <n v="64"/>
    <s v="Male"/>
    <s v="Footwear"/>
    <s v="Formal Shoes"/>
    <n v="244.01"/>
    <s v="Spring"/>
    <s v="Card"/>
    <n v="4.0999999999999996"/>
    <x v="19"/>
    <n v="5"/>
    <n v="287.07058823529411"/>
    <n v="43.060588235294119"/>
    <x v="0"/>
    <n v="1"/>
  </r>
  <r>
    <n v="1378"/>
    <n v="31"/>
    <s v="Female"/>
    <s v="Home"/>
    <s v="Lamp"/>
    <n v="140.22999999999999"/>
    <s v="Autumn"/>
    <s v="Card"/>
    <n v="3"/>
    <x v="13"/>
    <n v="2"/>
    <n v="154.09890109890108"/>
    <n v="13.868901098901091"/>
    <x v="5"/>
    <n v="1"/>
  </r>
  <r>
    <n v="1379"/>
    <n v="49"/>
    <s v="Male"/>
    <s v="Electronics"/>
    <s v="Smart Watch"/>
    <n v="2191.92"/>
    <s v="Summer"/>
    <s v="Card"/>
    <n v="2.8"/>
    <x v="1"/>
    <n v="4"/>
    <n v="2519.4482758620688"/>
    <n v="327.52827586206877"/>
    <x v="4"/>
    <n v="1"/>
  </r>
  <r>
    <n v="1380"/>
    <n v="46"/>
    <s v="Female"/>
    <s v="Home"/>
    <s v="Curtains"/>
    <n v="145.72999999999999"/>
    <s v="Autumn"/>
    <s v="Card"/>
    <n v="2.7"/>
    <x v="4"/>
    <n v="2"/>
    <n v="169.45348837209301"/>
    <n v="23.723488372093016"/>
    <x v="4"/>
    <n v="1"/>
  </r>
  <r>
    <n v="1381"/>
    <n v="32"/>
    <s v="Female"/>
    <s v="Womens Clothing"/>
    <s v="Top"/>
    <n v="194.29"/>
    <s v="Summer"/>
    <s v="Card"/>
    <n v="3.6"/>
    <x v="7"/>
    <n v="5"/>
    <n v="215.87777777777777"/>
    <n v="21.587777777777774"/>
    <x v="5"/>
    <n v="1"/>
  </r>
  <r>
    <n v="1382"/>
    <n v="29"/>
    <s v="Male"/>
    <s v="Home"/>
    <s v="Curtains"/>
    <n v="219.13"/>
    <s v="Summer"/>
    <s v="Card"/>
    <n v="2.8"/>
    <x v="3"/>
    <n v="5"/>
    <n v="273.91249999999997"/>
    <n v="54.78249999999997"/>
    <x v="5"/>
    <n v="1"/>
  </r>
  <r>
    <n v="1383"/>
    <n v="53"/>
    <s v="Female"/>
    <s v="Beauty"/>
    <s v="Perfume"/>
    <n v="73"/>
    <s v="Autumn"/>
    <s v="Card"/>
    <n v="2.8"/>
    <x v="0"/>
    <n v="4"/>
    <n v="89.024390243902431"/>
    <n v="16.024390243902431"/>
    <x v="4"/>
    <n v="1"/>
  </r>
  <r>
    <n v="1384"/>
    <n v="56"/>
    <s v="Male"/>
    <s v="Sports"/>
    <s v="Yoga Mat"/>
    <n v="206.69"/>
    <s v="Summer"/>
    <s v="Card"/>
    <n v="4.0999999999999996"/>
    <x v="19"/>
    <n v="5"/>
    <n v="243.16470588235293"/>
    <n v="36.474705882352936"/>
    <x v="0"/>
    <n v="1"/>
  </r>
  <r>
    <n v="1385"/>
    <n v="49"/>
    <s v="Male"/>
    <s v="Footwear"/>
    <s v="Sandals"/>
    <n v="171.39"/>
    <s v="Winter"/>
    <s v="Card"/>
    <n v="5"/>
    <x v="1"/>
    <n v="4"/>
    <n v="196.99999999999997"/>
    <n v="25.609999999999985"/>
    <x v="4"/>
    <n v="1"/>
  </r>
  <r>
    <n v="1386"/>
    <n v="49"/>
    <s v="Female"/>
    <s v="Home"/>
    <s v="Lamp"/>
    <n v="281.41000000000003"/>
    <s v="Autumn"/>
    <s v="Card"/>
    <n v="4.5999999999999996"/>
    <x v="7"/>
    <n v="5"/>
    <n v="312.67777777777781"/>
    <n v="31.267777777777781"/>
    <x v="4"/>
    <n v="1"/>
  </r>
  <r>
    <n v="1387"/>
    <n v="42"/>
    <s v="Male"/>
    <s v="Groceries"/>
    <s v="Cooking Oil"/>
    <n v="65.66"/>
    <s v="Summer"/>
    <s v="Cash on Delivery"/>
    <n v="3.1"/>
    <x v="3"/>
    <n v="5"/>
    <n v="82.074999999999989"/>
    <n v="16.414999999999992"/>
    <x v="1"/>
    <n v="1"/>
  </r>
  <r>
    <n v="1388"/>
    <n v="66"/>
    <s v="Male"/>
    <s v="Mens Clothing"/>
    <s v="T-Shirt"/>
    <n v="117.92"/>
    <s v="Summer"/>
    <s v="Card"/>
    <n v="3.1"/>
    <x v="0"/>
    <n v="9"/>
    <n v="143.80487804878047"/>
    <n v="25.884878048780465"/>
    <x v="2"/>
    <n v="1"/>
  </r>
  <r>
    <n v="1389"/>
    <n v="57"/>
    <s v="Female"/>
    <s v="Accessories"/>
    <s v="Wallet"/>
    <n v="85.12"/>
    <s v="Autumn"/>
    <s v="Cash on Delivery"/>
    <n v="3"/>
    <x v="7"/>
    <n v="5"/>
    <n v="94.577777777777783"/>
    <n v="9.4577777777777783"/>
    <x v="0"/>
    <n v="1"/>
  </r>
  <r>
    <n v="1390"/>
    <n v="21"/>
    <s v="Male"/>
    <s v="Electronics"/>
    <s v="Headphones"/>
    <n v="522.74"/>
    <s v="Summer"/>
    <s v="Card"/>
    <n v="4.8"/>
    <x v="18"/>
    <n v="7"/>
    <n v="687.81578947368416"/>
    <n v="165.07578947368415"/>
    <x v="3"/>
    <n v="1"/>
  </r>
  <r>
    <n v="1391"/>
    <n v="70"/>
    <s v="Male"/>
    <s v="Sports"/>
    <s v="Dumbbells"/>
    <n v="146.30000000000001"/>
    <s v="Summer"/>
    <s v="Card"/>
    <n v="3.3"/>
    <x v="3"/>
    <n v="5"/>
    <n v="182.875"/>
    <n v="36.574999999999989"/>
    <x v="2"/>
    <n v="1"/>
  </r>
  <r>
    <n v="1392"/>
    <n v="57"/>
    <s v="Male"/>
    <s v="Footwear"/>
    <s v="Sneakers"/>
    <n v="188.81"/>
    <s v="Spring"/>
    <s v="Card"/>
    <n v="4.0999999999999996"/>
    <x v="2"/>
    <n v="3"/>
    <n v="212.14606741573033"/>
    <n v="23.336067415730327"/>
    <x v="0"/>
    <n v="1"/>
  </r>
  <r>
    <n v="1393"/>
    <n v="24"/>
    <s v="Male"/>
    <s v="Electronics"/>
    <s v="Smart Watch"/>
    <n v="973.64"/>
    <s v="Autumn"/>
    <s v="Card"/>
    <n v="4.3"/>
    <x v="6"/>
    <n v="3"/>
    <n v="1159.0952380952381"/>
    <n v="185.45523809523809"/>
    <x v="3"/>
    <n v="1"/>
  </r>
  <r>
    <n v="1394"/>
    <n v="61"/>
    <s v="Male"/>
    <s v="Electronics"/>
    <s v="Mobile Phone"/>
    <n v="1496.01"/>
    <s v="Winter"/>
    <s v="Card"/>
    <n v="4"/>
    <x v="1"/>
    <n v="4"/>
    <n v="1719.5517241379309"/>
    <n v="223.54172413793094"/>
    <x v="0"/>
    <n v="1"/>
  </r>
  <r>
    <n v="1395"/>
    <n v="56"/>
    <s v="Female"/>
    <s v="Footwear"/>
    <s v="Formal Shoes"/>
    <n v="228.28"/>
    <s v="Summer"/>
    <s v="Card"/>
    <n v="4.0999999999999996"/>
    <x v="16"/>
    <n v="3"/>
    <n v="242.85106382978725"/>
    <n v="14.571063829787249"/>
    <x v="0"/>
    <n v="1"/>
  </r>
  <r>
    <n v="1396"/>
    <n v="40"/>
    <s v="Female"/>
    <s v="Accessories"/>
    <s v="Sunglasses"/>
    <n v="119.97"/>
    <s v="Summer"/>
    <s v="Card"/>
    <n v="4"/>
    <x v="1"/>
    <n v="4"/>
    <n v="137.89655172413794"/>
    <n v="17.926551724137937"/>
    <x v="1"/>
    <n v="1"/>
  </r>
  <r>
    <n v="1397"/>
    <n v="23"/>
    <s v="Female"/>
    <s v="Womens Clothing"/>
    <s v="Jeans"/>
    <n v="123.01"/>
    <s v="Spring"/>
    <s v="Card"/>
    <n v="3.9"/>
    <x v="14"/>
    <n v="6"/>
    <n v="148.20481927710844"/>
    <n v="25.194819277108436"/>
    <x v="3"/>
    <n v="1"/>
  </r>
  <r>
    <n v="1398"/>
    <n v="43"/>
    <s v="Female"/>
    <s v="Accessories"/>
    <s v="Handbag"/>
    <n v="162.25"/>
    <s v="Spring"/>
    <s v="Card"/>
    <n v="4.2"/>
    <x v="16"/>
    <n v="3"/>
    <n v="172.60638297872342"/>
    <n v="10.356382978723417"/>
    <x v="1"/>
    <n v="1"/>
  </r>
  <r>
    <n v="1399"/>
    <n v="54"/>
    <s v="Female"/>
    <s v="Footwear"/>
    <s v="Sneakers"/>
    <n v="194.79"/>
    <s v="Winter"/>
    <s v="Card"/>
    <n v="2.2000000000000002"/>
    <x v="6"/>
    <n v="8"/>
    <n v="231.89285714285714"/>
    <n v="37.102857142857147"/>
    <x v="4"/>
    <n v="1"/>
  </r>
  <r>
    <n v="1400"/>
    <n v="50"/>
    <s v="Male"/>
    <s v="Sports"/>
    <s v="Dumbbells"/>
    <n v="126.38"/>
    <s v="Autumn"/>
    <s v="Card"/>
    <n v="3.4"/>
    <x v="16"/>
    <n v="3"/>
    <n v="134.44680851063831"/>
    <n v="8.0668085106383103"/>
    <x v="4"/>
    <n v="1"/>
  </r>
  <r>
    <n v="1401"/>
    <n v="67"/>
    <s v="Female"/>
    <s v="Footwear"/>
    <s v="Sandals"/>
    <n v="246.6"/>
    <s v="Spring"/>
    <s v="Card"/>
    <n v="4.8"/>
    <x v="19"/>
    <n v="5"/>
    <n v="290.11764705882354"/>
    <n v="43.517647058823542"/>
    <x v="2"/>
    <n v="1"/>
  </r>
  <r>
    <n v="1402"/>
    <n v="59"/>
    <s v="Male"/>
    <s v="Mens Clothing"/>
    <s v="Shirt"/>
    <n v="116.03"/>
    <s v="Spring"/>
    <s v="Card"/>
    <n v="2.6"/>
    <x v="23"/>
    <n v="1"/>
    <n v="124.76344086021507"/>
    <n v="8.7334408602150688"/>
    <x v="0"/>
    <n v="1"/>
  </r>
  <r>
    <n v="1403"/>
    <n v="21"/>
    <s v="Female"/>
    <s v="Accessories"/>
    <s v="Wallet"/>
    <n v="157.32"/>
    <s v="Winter"/>
    <s v="Card"/>
    <n v="3.1"/>
    <x v="0"/>
    <n v="4"/>
    <n v="191.85365853658536"/>
    <n v="34.533658536585364"/>
    <x v="3"/>
    <n v="1"/>
  </r>
  <r>
    <n v="1404"/>
    <n v="26"/>
    <s v="Female"/>
    <s v="Beauty"/>
    <s v="Makeup Set"/>
    <n v="96.17"/>
    <s v="Summer"/>
    <s v="Cash on Delivery"/>
    <n v="3.5"/>
    <x v="19"/>
    <n v="5"/>
    <n v="113.14117647058823"/>
    <n v="16.971176470588233"/>
    <x v="5"/>
    <n v="1"/>
  </r>
  <r>
    <n v="1405"/>
    <n v="21"/>
    <s v="Female"/>
    <s v="Footwear"/>
    <s v="Sneakers"/>
    <n v="103.99"/>
    <s v="Spring"/>
    <s v="Card"/>
    <n v="4.3"/>
    <x v="2"/>
    <n v="3"/>
    <n v="116.84269662921348"/>
    <n v="12.852696629213483"/>
    <x v="3"/>
    <n v="1"/>
  </r>
  <r>
    <n v="1406"/>
    <n v="57"/>
    <s v="Male"/>
    <s v="Electronics"/>
    <s v="Smart Watch"/>
    <n v="629.5"/>
    <s v="Spring"/>
    <s v="Card"/>
    <n v="3.7"/>
    <x v="19"/>
    <n v="5"/>
    <n v="740.58823529411768"/>
    <n v="111.08823529411768"/>
    <x v="0"/>
    <n v="1"/>
  </r>
  <r>
    <n v="1407"/>
    <n v="23"/>
    <s v="Male"/>
    <s v="Electronics"/>
    <s v="Smart Watch"/>
    <n v="1444.5"/>
    <s v="Spring"/>
    <s v="Card"/>
    <n v="3.2"/>
    <x v="4"/>
    <n v="2"/>
    <n v="1679.6511627906978"/>
    <n v="235.15116279069775"/>
    <x v="3"/>
    <n v="1"/>
  </r>
  <r>
    <n v="1408"/>
    <n v="57"/>
    <s v="Male"/>
    <s v="Mens Clothing"/>
    <s v="Jacket"/>
    <n v="36.46"/>
    <s v="Summer"/>
    <s v="Card"/>
    <n v="2.6"/>
    <x v="17"/>
    <n v="2"/>
    <n v="37.979166666666671"/>
    <n v="1.5191666666666706"/>
    <x v="0"/>
    <n v="1"/>
  </r>
  <r>
    <n v="1409"/>
    <n v="31"/>
    <s v="Female"/>
    <s v="Beauty"/>
    <s v="Perfume"/>
    <n v="80.36"/>
    <s v="Summer"/>
    <s v="Cash on Delivery"/>
    <n v="4.5"/>
    <x v="14"/>
    <n v="6"/>
    <n v="96.819277108433738"/>
    <n v="16.459277108433739"/>
    <x v="5"/>
    <n v="1"/>
  </r>
  <r>
    <n v="1410"/>
    <n v="57"/>
    <s v="Male"/>
    <s v="Electronics"/>
    <s v="Headphones"/>
    <n v="2547.41"/>
    <s v="Spring"/>
    <s v="Card"/>
    <n v="3.7"/>
    <x v="6"/>
    <n v="3"/>
    <n v="3032.6309523809523"/>
    <n v="485.22095238095244"/>
    <x v="0"/>
    <n v="1"/>
  </r>
  <r>
    <n v="1411"/>
    <n v="55"/>
    <s v="Female"/>
    <s v="Footwear"/>
    <s v="Sneakers"/>
    <n v="75.06"/>
    <s v="Summer"/>
    <s v="Card"/>
    <n v="3.9"/>
    <x v="8"/>
    <n v="1"/>
    <n v="85.295454545454547"/>
    <n v="10.235454545454544"/>
    <x v="4"/>
    <n v="1"/>
  </r>
  <r>
    <n v="1412"/>
    <n v="47"/>
    <s v="Female"/>
    <s v="Beauty"/>
    <s v="Skincare Kit"/>
    <n v="42.38"/>
    <s v="Summer"/>
    <s v="Cash on Delivery"/>
    <n v="3.4"/>
    <x v="14"/>
    <n v="6"/>
    <n v="51.060240963855428"/>
    <n v="8.6802409638554252"/>
    <x v="4"/>
    <n v="1"/>
  </r>
  <r>
    <n v="1413"/>
    <n v="52"/>
    <s v="Female"/>
    <s v="Beauty"/>
    <s v="Skincare Kit"/>
    <n v="134.53"/>
    <s v="Autumn"/>
    <s v="Card"/>
    <n v="3.8"/>
    <x v="11"/>
    <n v="8"/>
    <n v="181.79729729729729"/>
    <n v="47.26729729729729"/>
    <x v="4"/>
    <n v="1"/>
  </r>
  <r>
    <n v="1414"/>
    <n v="23"/>
    <s v="Male"/>
    <s v="Footwear"/>
    <s v="Formal Shoes"/>
    <n v="214.52"/>
    <s v="Summer"/>
    <s v="Card"/>
    <n v="2.6"/>
    <x v="17"/>
    <n v="2"/>
    <n v="223.45833333333334"/>
    <n v="8.9383333333333326"/>
    <x v="3"/>
    <n v="1"/>
  </r>
  <r>
    <n v="1415"/>
    <n v="24"/>
    <s v="Female"/>
    <s v="Beauty"/>
    <s v="Skincare Kit"/>
    <n v="42.87"/>
    <s v="Spring"/>
    <s v="Card"/>
    <n v="3.6"/>
    <x v="19"/>
    <n v="5"/>
    <n v="50.435294117647054"/>
    <n v="7.5652941176470563"/>
    <x v="3"/>
    <n v="1"/>
  </r>
  <r>
    <n v="1416"/>
    <n v="22"/>
    <s v="Male"/>
    <s v="Sports"/>
    <s v="Football"/>
    <n v="180.61"/>
    <s v="Spring"/>
    <s v="Card"/>
    <n v="3"/>
    <x v="19"/>
    <n v="5"/>
    <n v="212.48235294117649"/>
    <n v="31.872352941176473"/>
    <x v="3"/>
    <n v="1"/>
  </r>
  <r>
    <n v="1417"/>
    <n v="52"/>
    <s v="Male"/>
    <s v="Footwear"/>
    <s v="Sandals"/>
    <n v="161.19999999999999"/>
    <s v="Winter"/>
    <s v="Card"/>
    <n v="3.1"/>
    <x v="17"/>
    <n v="2"/>
    <n v="167.91666666666666"/>
    <n v="6.7166666666666686"/>
    <x v="4"/>
    <n v="1"/>
  </r>
  <r>
    <n v="1418"/>
    <n v="49"/>
    <s v="Female"/>
    <s v="Sports"/>
    <s v="Dumbbells"/>
    <n v="166.73"/>
    <s v="Spring"/>
    <s v="Card"/>
    <n v="2.2999999999999998"/>
    <x v="19"/>
    <n v="5"/>
    <n v="196.15294117647059"/>
    <n v="29.422941176470601"/>
    <x v="4"/>
    <n v="1"/>
  </r>
  <r>
    <n v="1419"/>
    <n v="29"/>
    <s v="Female"/>
    <s v="Footwear"/>
    <s v="Sandals"/>
    <n v="102.67"/>
    <s v="Spring"/>
    <s v="Card"/>
    <n v="3"/>
    <x v="16"/>
    <n v="3"/>
    <n v="109.22340425531915"/>
    <n v="6.5534042553191512"/>
    <x v="5"/>
    <n v="1"/>
  </r>
  <r>
    <n v="1420"/>
    <n v="54"/>
    <s v="Male"/>
    <s v="Electronics"/>
    <s v="Laptop"/>
    <n v="999.76"/>
    <s v="Winter"/>
    <s v="Card"/>
    <n v="4"/>
    <x v="5"/>
    <n v="4"/>
    <n v="1086.695652173913"/>
    <n v="86.935652173913013"/>
    <x v="4"/>
    <n v="1"/>
  </r>
  <r>
    <n v="1421"/>
    <n v="31"/>
    <s v="Male"/>
    <s v="Sports"/>
    <s v="Football"/>
    <n v="112.39"/>
    <s v="Spring"/>
    <s v="Card"/>
    <n v="4.7"/>
    <x v="11"/>
    <n v="8"/>
    <n v="151.87837837837839"/>
    <n v="39.488378378378385"/>
    <x v="5"/>
    <n v="1"/>
  </r>
  <r>
    <n v="1422"/>
    <n v="54"/>
    <s v="Male"/>
    <s v="Mens Clothing"/>
    <s v="Jacket"/>
    <n v="161.28"/>
    <s v="Winter"/>
    <s v="Card"/>
    <n v="3.4"/>
    <x v="6"/>
    <n v="3"/>
    <n v="192"/>
    <n v="30.72"/>
    <x v="4"/>
    <n v="1"/>
  </r>
  <r>
    <n v="1423"/>
    <n v="32"/>
    <s v="Male"/>
    <s v="Groceries"/>
    <s v="Snacks"/>
    <n v="31.93"/>
    <s v="Winter"/>
    <s v="Cash on Delivery"/>
    <n v="4.3"/>
    <x v="13"/>
    <n v="2"/>
    <n v="35.087912087912088"/>
    <n v="3.1579120879120879"/>
    <x v="5"/>
    <n v="1"/>
  </r>
  <r>
    <n v="1424"/>
    <n v="26"/>
    <s v="Female"/>
    <s v="Womens Clothing"/>
    <s v="Top"/>
    <n v="53"/>
    <s v="Spring"/>
    <s v="Cash on Delivery"/>
    <n v="4.4000000000000004"/>
    <x v="8"/>
    <n v="6"/>
    <n v="60.227272727272727"/>
    <n v="7.2272727272727266"/>
    <x v="5"/>
    <n v="1"/>
  </r>
  <r>
    <n v="1425"/>
    <n v="22"/>
    <s v="Female"/>
    <s v="Womens Clothing"/>
    <s v="Top"/>
    <n v="64.8"/>
    <s v="Autumn"/>
    <s v="Cash on Delivery"/>
    <n v="2.7"/>
    <x v="12"/>
    <n v="7"/>
    <n v="79.999999999999986"/>
    <n v="15.199999999999989"/>
    <x v="3"/>
    <n v="1"/>
  </r>
  <r>
    <n v="1426"/>
    <n v="61"/>
    <s v="Female"/>
    <s v="Home"/>
    <s v="Kitchen Set"/>
    <n v="74.16"/>
    <s v="Summer"/>
    <s v="Cash on Delivery"/>
    <n v="4.8"/>
    <x v="0"/>
    <n v="4"/>
    <n v="90.439024390243887"/>
    <n v="16.27902439024389"/>
    <x v="0"/>
    <n v="1"/>
  </r>
  <r>
    <n v="1427"/>
    <n v="67"/>
    <s v="Male"/>
    <s v="Sports"/>
    <s v="Dumbbells"/>
    <n v="238.74"/>
    <s v="Winter"/>
    <s v="Card"/>
    <n v="3.4"/>
    <x v="11"/>
    <n v="8"/>
    <n v="322.62162162162161"/>
    <n v="83.881621621621605"/>
    <x v="2"/>
    <n v="1"/>
  </r>
  <r>
    <n v="1428"/>
    <n v="28"/>
    <s v="Male"/>
    <s v="Mens Clothing"/>
    <s v="Jacket"/>
    <n v="30.21"/>
    <s v="Winter"/>
    <s v="Card"/>
    <n v="3.7"/>
    <x v="4"/>
    <n v="2"/>
    <n v="35.127906976744185"/>
    <n v="4.9179069767441845"/>
    <x v="5"/>
    <n v="1"/>
  </r>
  <r>
    <n v="1429"/>
    <n v="20"/>
    <s v="Female"/>
    <s v="Footwear"/>
    <s v="Formal Shoes"/>
    <n v="200.62"/>
    <s v="Autumn"/>
    <s v="Card"/>
    <n v="4.5999999999999996"/>
    <x v="8"/>
    <n v="6"/>
    <n v="227.97727272727272"/>
    <n v="27.357272727272715"/>
    <x v="3"/>
    <n v="1"/>
  </r>
  <r>
    <n v="1430"/>
    <n v="25"/>
    <s v="Male"/>
    <s v="Sports"/>
    <s v="Dumbbells"/>
    <n v="238.55"/>
    <s v="Spring"/>
    <s v="Card"/>
    <n v="4"/>
    <x v="8"/>
    <n v="6"/>
    <n v="271.07954545454544"/>
    <n v="32.529545454545428"/>
    <x v="3"/>
    <n v="1"/>
  </r>
  <r>
    <n v="1431"/>
    <n v="28"/>
    <s v="Female"/>
    <s v="Womens Clothing"/>
    <s v="Dress"/>
    <n v="159.04"/>
    <s v="Spring"/>
    <s v="Card"/>
    <n v="4.8"/>
    <x v="11"/>
    <n v="8"/>
    <n v="214.91891891891891"/>
    <n v="55.878918918918913"/>
    <x v="5"/>
    <n v="1"/>
  </r>
  <r>
    <n v="1432"/>
    <n v="21"/>
    <s v="Male"/>
    <s v="Groceries"/>
    <s v="Rice Pack"/>
    <n v="63.05"/>
    <s v="Autumn"/>
    <s v="Cash on Delivery"/>
    <n v="4.3"/>
    <x v="21"/>
    <n v="8"/>
    <n v="79.810126582278471"/>
    <n v="16.760126582278474"/>
    <x v="3"/>
    <n v="1"/>
  </r>
  <r>
    <n v="1433"/>
    <n v="35"/>
    <s v="Male"/>
    <s v="Electronics"/>
    <s v="Smart Watch"/>
    <n v="2360.5"/>
    <s v="Summer"/>
    <s v="Card"/>
    <n v="4.4000000000000004"/>
    <x v="8"/>
    <n v="6"/>
    <n v="2682.3863636363635"/>
    <n v="321.88636363636351"/>
    <x v="5"/>
    <n v="1"/>
  </r>
  <r>
    <n v="1434"/>
    <n v="23"/>
    <s v="Female"/>
    <s v="Womens Clothing"/>
    <s v="Top"/>
    <n v="104.09"/>
    <s v="Spring"/>
    <s v="Card"/>
    <n v="3.8"/>
    <x v="6"/>
    <n v="8"/>
    <n v="123.91666666666667"/>
    <n v="19.826666666666668"/>
    <x v="3"/>
    <n v="1"/>
  </r>
  <r>
    <n v="1435"/>
    <n v="52"/>
    <s v="Female"/>
    <s v="Sports"/>
    <s v="Football"/>
    <n v="245.46"/>
    <s v="Spring"/>
    <s v="Card"/>
    <n v="5"/>
    <x v="12"/>
    <n v="7"/>
    <n v="303.03703703703701"/>
    <n v="57.577037037037002"/>
    <x v="4"/>
    <n v="1"/>
  </r>
  <r>
    <n v="1436"/>
    <n v="68"/>
    <s v="Male"/>
    <s v="Mens Clothing"/>
    <s v="Jeans"/>
    <n v="175.43"/>
    <s v="Summer"/>
    <s v="Card"/>
    <n v="3.7"/>
    <x v="7"/>
    <n v="5"/>
    <n v="194.92222222222222"/>
    <n v="19.49222222222221"/>
    <x v="2"/>
    <n v="1"/>
  </r>
  <r>
    <n v="1437"/>
    <n v="55"/>
    <s v="Female"/>
    <s v="Accessories"/>
    <s v="Sunglasses"/>
    <n v="169.49"/>
    <s v="Winter"/>
    <s v="Card"/>
    <n v="3.6"/>
    <x v="0"/>
    <n v="4"/>
    <n v="206.69512195121951"/>
    <n v="37.205121951219496"/>
    <x v="4"/>
    <n v="1"/>
  </r>
  <r>
    <n v="1438"/>
    <n v="59"/>
    <s v="Female"/>
    <s v="Beauty"/>
    <s v="Skincare Kit"/>
    <n v="101.48"/>
    <s v="Winter"/>
    <s v="Card"/>
    <n v="4.3"/>
    <x v="17"/>
    <n v="2"/>
    <n v="105.70833333333334"/>
    <n v="4.2283333333333388"/>
    <x v="0"/>
    <n v="1"/>
  </r>
  <r>
    <n v="1439"/>
    <n v="22"/>
    <s v="Male"/>
    <s v="Electronics"/>
    <s v="Laptop"/>
    <n v="2140.58"/>
    <s v="Winter"/>
    <s v="Card"/>
    <n v="3.5"/>
    <x v="0"/>
    <n v="4"/>
    <n v="2610.4634146341459"/>
    <n v="469.88341463414599"/>
    <x v="3"/>
    <n v="1"/>
  </r>
  <r>
    <n v="1440"/>
    <n v="47"/>
    <s v="Male"/>
    <s v="Sports"/>
    <s v="Football"/>
    <n v="203.57"/>
    <s v="Autumn"/>
    <s v="Card"/>
    <n v="3.7"/>
    <x v="6"/>
    <n v="3"/>
    <n v="242.3452380952381"/>
    <n v="38.775238095238109"/>
    <x v="4"/>
    <n v="1"/>
  </r>
  <r>
    <n v="1441"/>
    <n v="40"/>
    <s v="Female"/>
    <s v="Womens Clothing"/>
    <s v="Top"/>
    <n v="139.26"/>
    <s v="Spring"/>
    <s v="Card"/>
    <n v="3.3"/>
    <x v="18"/>
    <n v="7"/>
    <n v="183.23684210526315"/>
    <n v="43.97684210526316"/>
    <x v="1"/>
    <n v="1"/>
  </r>
  <r>
    <n v="1442"/>
    <n v="67"/>
    <s v="Female"/>
    <s v="Womens Clothing"/>
    <s v="Top"/>
    <n v="67.400000000000006"/>
    <s v="Spring"/>
    <s v="Cash on Delivery"/>
    <n v="3.3"/>
    <x v="10"/>
    <n v="6"/>
    <n v="86.410256410256409"/>
    <n v="19.010256410256403"/>
    <x v="2"/>
    <n v="1"/>
  </r>
  <r>
    <n v="1443"/>
    <n v="34"/>
    <s v="Female"/>
    <s v="Beauty"/>
    <s v="Makeup Set"/>
    <n v="116.44"/>
    <s v="Summer"/>
    <s v="Card"/>
    <n v="4"/>
    <x v="27"/>
    <n v="10"/>
    <n v="155.25333333333333"/>
    <n v="38.813333333333333"/>
    <x v="5"/>
    <n v="1"/>
  </r>
  <r>
    <n v="1444"/>
    <n v="50"/>
    <s v="Male"/>
    <s v="Sports"/>
    <s v="Yoga Mat"/>
    <n v="184.94"/>
    <s v="Summer"/>
    <s v="Card"/>
    <n v="2.5"/>
    <x v="5"/>
    <n v="4"/>
    <n v="201.02173913043478"/>
    <n v="16.081739130434784"/>
    <x v="4"/>
    <n v="1"/>
  </r>
  <r>
    <n v="1445"/>
    <n v="70"/>
    <s v="Female"/>
    <s v="Accessories"/>
    <s v="Wallet"/>
    <n v="103.96"/>
    <s v="Winter"/>
    <s v="Card"/>
    <n v="5"/>
    <x v="15"/>
    <n v="1"/>
    <n v="106.08163265306122"/>
    <n v="2.1216326530612264"/>
    <x v="2"/>
    <n v="1"/>
  </r>
  <r>
    <n v="1446"/>
    <n v="49"/>
    <s v="Male"/>
    <s v="Mens Clothing"/>
    <s v="Shirt"/>
    <n v="181.17"/>
    <s v="Spring"/>
    <s v="Card"/>
    <n v="4.4000000000000004"/>
    <x v="0"/>
    <n v="4"/>
    <n v="220.93902439024387"/>
    <n v="39.769024390243885"/>
    <x v="4"/>
    <n v="1"/>
  </r>
  <r>
    <n v="1447"/>
    <n v="30"/>
    <s v="Female"/>
    <s v="Beauty"/>
    <s v="Skincare Kit"/>
    <n v="68.95"/>
    <s v="Summer"/>
    <s v="Card"/>
    <n v="4.4000000000000004"/>
    <x v="10"/>
    <n v="6"/>
    <n v="88.397435897435898"/>
    <n v="19.447435897435895"/>
    <x v="5"/>
    <n v="1"/>
  </r>
  <r>
    <n v="1448"/>
    <n v="66"/>
    <s v="Male"/>
    <s v="Footwear"/>
    <s v="Sneakers"/>
    <n v="111.46"/>
    <s v="Autumn"/>
    <s v="Card"/>
    <n v="2.2999999999999998"/>
    <x v="7"/>
    <n v="0"/>
    <n v="123.84444444444443"/>
    <n v="12.384444444444441"/>
    <x v="2"/>
    <n v="1"/>
  </r>
  <r>
    <n v="1449"/>
    <n v="46"/>
    <s v="Female"/>
    <s v="Womens Clothing"/>
    <s v="Top"/>
    <n v="145.36000000000001"/>
    <s v="Summer"/>
    <s v="Card"/>
    <n v="4.3"/>
    <x v="10"/>
    <n v="6"/>
    <n v="186.35897435897436"/>
    <n v="40.998974358974351"/>
    <x v="4"/>
    <n v="1"/>
  </r>
  <r>
    <n v="1450"/>
    <n v="40"/>
    <s v="Female"/>
    <s v="Beauty"/>
    <s v="Perfume"/>
    <n v="46.27"/>
    <s v="Spring"/>
    <s v="Card"/>
    <n v="4.5"/>
    <x v="0"/>
    <n v="4"/>
    <n v="56.426829268292686"/>
    <n v="10.156829268292682"/>
    <x v="1"/>
    <n v="1"/>
  </r>
  <r>
    <n v="1451"/>
    <n v="38"/>
    <s v="Male"/>
    <s v="Mens Clothing"/>
    <s v="Shirt"/>
    <n v="57.51"/>
    <s v="Winter"/>
    <s v="Cash on Delivery"/>
    <n v="3.9"/>
    <x v="13"/>
    <n v="2"/>
    <n v="63.19780219780219"/>
    <n v="5.687802197802192"/>
    <x v="1"/>
    <n v="1"/>
  </r>
  <r>
    <n v="1452"/>
    <n v="55"/>
    <s v="Female"/>
    <s v="Womens Clothing"/>
    <s v="Jeans"/>
    <n v="138.96"/>
    <s v="Autumn"/>
    <s v="Card"/>
    <n v="4.7"/>
    <x v="27"/>
    <n v="10"/>
    <n v="185.28"/>
    <n v="46.319999999999993"/>
    <x v="4"/>
    <n v="1"/>
  </r>
  <r>
    <n v="1453"/>
    <n v="63"/>
    <s v="Male"/>
    <s v="Mens Clothing"/>
    <s v="T-Shirt"/>
    <n v="47.65"/>
    <s v="Winter"/>
    <s v="Card"/>
    <n v="4.4000000000000004"/>
    <x v="12"/>
    <n v="7"/>
    <n v="58.827160493827158"/>
    <n v="11.177160493827159"/>
    <x v="0"/>
    <n v="1"/>
  </r>
  <r>
    <n v="1454"/>
    <n v="44"/>
    <s v="Female"/>
    <s v="Accessories"/>
    <s v="Handbag"/>
    <n v="154.97999999999999"/>
    <s v="Spring"/>
    <s v="Card"/>
    <n v="3.8"/>
    <x v="11"/>
    <n v="8"/>
    <n v="209.43243243243242"/>
    <n v="54.452432432432431"/>
    <x v="1"/>
    <n v="1"/>
  </r>
  <r>
    <n v="1455"/>
    <n v="58"/>
    <s v="Male"/>
    <s v="Groceries"/>
    <s v="Snacks"/>
    <n v="60.75"/>
    <s v="Autumn"/>
    <s v="Cash on Delivery"/>
    <n v="4.5"/>
    <x v="27"/>
    <n v="10"/>
    <n v="81"/>
    <n v="20.25"/>
    <x v="0"/>
    <n v="1"/>
  </r>
  <r>
    <n v="1456"/>
    <n v="51"/>
    <s v="Female"/>
    <s v="Womens Clothing"/>
    <s v="Skirt"/>
    <n v="102.64"/>
    <s v="Spring"/>
    <s v="Card"/>
    <n v="3.9"/>
    <x v="7"/>
    <n v="5"/>
    <n v="114.04444444444444"/>
    <n v="11.404444444444437"/>
    <x v="4"/>
    <n v="1"/>
  </r>
  <r>
    <n v="1457"/>
    <n v="21"/>
    <s v="Female"/>
    <s v="Accessories"/>
    <s v="Wallet"/>
    <n v="98.79"/>
    <s v="Autumn"/>
    <s v="Card"/>
    <n v="3.3"/>
    <x v="17"/>
    <n v="2"/>
    <n v="102.90625000000001"/>
    <n v="4.116250000000008"/>
    <x v="3"/>
    <n v="1"/>
  </r>
  <r>
    <n v="1458"/>
    <n v="33"/>
    <s v="Male"/>
    <s v="Electronics"/>
    <s v="Laptop"/>
    <n v="2572.06"/>
    <s v="Autumn"/>
    <s v="Card"/>
    <n v="2.7"/>
    <x v="21"/>
    <n v="8"/>
    <n v="3255.7721518987341"/>
    <n v="683.71215189873419"/>
    <x v="5"/>
    <n v="1"/>
  </r>
  <r>
    <n v="1459"/>
    <n v="26"/>
    <s v="Female"/>
    <s v="Footwear"/>
    <s v="Sandals"/>
    <n v="240.32"/>
    <s v="Autumn"/>
    <s v="Card"/>
    <n v="4.2"/>
    <x v="0"/>
    <n v="9"/>
    <n v="293.07317073170731"/>
    <n v="52.753170731707314"/>
    <x v="5"/>
    <n v="1"/>
  </r>
  <r>
    <n v="1460"/>
    <n v="30"/>
    <s v="Female"/>
    <s v="Sports"/>
    <s v="Yoga Mat"/>
    <n v="238.27"/>
    <s v="Summer"/>
    <s v="Card"/>
    <n v="2.7"/>
    <x v="1"/>
    <n v="4"/>
    <n v="273.87356321839081"/>
    <n v="35.603563218390804"/>
    <x v="5"/>
    <n v="1"/>
  </r>
  <r>
    <n v="1461"/>
    <n v="23"/>
    <s v="Female"/>
    <s v="Sports"/>
    <s v="Yoga Mat"/>
    <n v="115.62"/>
    <s v="Spring"/>
    <s v="Card"/>
    <n v="5"/>
    <x v="1"/>
    <n v="4"/>
    <n v="132.89655172413794"/>
    <n v="17.276551724137931"/>
    <x v="3"/>
    <n v="1"/>
  </r>
  <r>
    <n v="1462"/>
    <n v="26"/>
    <s v="Female"/>
    <s v="Womens Clothing"/>
    <s v="Top"/>
    <n v="73.14"/>
    <s v="Spring"/>
    <s v="Card"/>
    <n v="2.9"/>
    <x v="2"/>
    <n v="3"/>
    <n v="82.17977528089888"/>
    <n v="9.0397752808988798"/>
    <x v="5"/>
    <n v="1"/>
  </r>
  <r>
    <n v="1463"/>
    <n v="68"/>
    <s v="Male"/>
    <s v="Footwear"/>
    <s v="Formal Shoes"/>
    <n v="161.34"/>
    <s v="Spring"/>
    <s v="Card"/>
    <n v="4.0999999999999996"/>
    <x v="7"/>
    <n v="5"/>
    <n v="179.26666666666668"/>
    <n v="17.926666666666677"/>
    <x v="2"/>
    <n v="1"/>
  </r>
  <r>
    <n v="1464"/>
    <n v="64"/>
    <s v="Male"/>
    <s v="Mens Clothing"/>
    <s v="Shirt"/>
    <n v="199.98"/>
    <s v="Winter"/>
    <s v="Card"/>
    <n v="3.6"/>
    <x v="11"/>
    <n v="8"/>
    <n v="270.24324324324323"/>
    <n v="70.263243243243238"/>
    <x v="0"/>
    <n v="1"/>
  </r>
  <r>
    <n v="1465"/>
    <n v="65"/>
    <s v="Female"/>
    <s v="Accessories"/>
    <s v="Sunglasses"/>
    <n v="138.32"/>
    <s v="Summer"/>
    <s v="Card"/>
    <n v="4.9000000000000004"/>
    <x v="16"/>
    <n v="3"/>
    <n v="147.14893617021278"/>
    <n v="8.8289361702127849"/>
    <x v="0"/>
    <n v="1"/>
  </r>
  <r>
    <n v="1466"/>
    <n v="68"/>
    <s v="Male"/>
    <s v="Mens Clothing"/>
    <s v="Jeans"/>
    <n v="173.95"/>
    <s v="Autumn"/>
    <s v="Card"/>
    <n v="3.8"/>
    <x v="1"/>
    <n v="4"/>
    <n v="199.94252873563218"/>
    <n v="25.992528735632192"/>
    <x v="2"/>
    <n v="1"/>
  </r>
  <r>
    <n v="1467"/>
    <n v="51"/>
    <s v="Male"/>
    <s v="Sports"/>
    <s v="Dumbbells"/>
    <n v="155.72999999999999"/>
    <s v="Summer"/>
    <s v="Card"/>
    <n v="4.5999999999999996"/>
    <x v="12"/>
    <n v="7"/>
    <n v="192.25925925925924"/>
    <n v="36.529259259259248"/>
    <x v="4"/>
    <n v="1"/>
  </r>
  <r>
    <n v="1468"/>
    <n v="43"/>
    <s v="Male"/>
    <s v="Electronics"/>
    <s v="Smart Watch"/>
    <n v="1286.3599999999999"/>
    <s v="Autumn"/>
    <s v="Card"/>
    <n v="3.3"/>
    <x v="17"/>
    <n v="2"/>
    <n v="1339.9583333333333"/>
    <n v="53.598333333333358"/>
    <x v="1"/>
    <n v="1"/>
  </r>
  <r>
    <n v="1469"/>
    <n v="39"/>
    <s v="Male"/>
    <s v="Footwear"/>
    <s v="Sandals"/>
    <n v="178.64"/>
    <s v="Summer"/>
    <s v="Card"/>
    <n v="3.8"/>
    <x v="3"/>
    <n v="5"/>
    <n v="223.29999999999998"/>
    <n v="44.66"/>
    <x v="1"/>
    <n v="1"/>
  </r>
  <r>
    <n v="1470"/>
    <n v="56"/>
    <s v="Female"/>
    <s v="Beauty"/>
    <s v="Skincare Kit"/>
    <n v="48.87"/>
    <s v="Winter"/>
    <s v="Card"/>
    <n v="3.9"/>
    <x v="6"/>
    <n v="3"/>
    <n v="58.178571428571431"/>
    <n v="9.3085714285714332"/>
    <x v="0"/>
    <n v="1"/>
  </r>
  <r>
    <n v="1471"/>
    <n v="53"/>
    <s v="Female"/>
    <s v="Accessories"/>
    <s v="Wallet"/>
    <n v="56.39"/>
    <s v="Autumn"/>
    <s v="Card"/>
    <n v="3.1"/>
    <x v="0"/>
    <n v="4"/>
    <n v="68.768292682926827"/>
    <n v="12.378292682926826"/>
    <x v="4"/>
    <n v="1"/>
  </r>
  <r>
    <n v="1472"/>
    <n v="46"/>
    <s v="Male"/>
    <s v="Groceries"/>
    <s v="Cooking Oil"/>
    <n v="53.3"/>
    <s v="Autumn"/>
    <s v="Card"/>
    <n v="2.9"/>
    <x v="1"/>
    <n v="4"/>
    <n v="61.264367816091948"/>
    <n v="7.9643678160919507"/>
    <x v="4"/>
    <n v="1"/>
  </r>
  <r>
    <n v="1473"/>
    <n v="67"/>
    <s v="Male"/>
    <s v="Mens Clothing"/>
    <s v="T-Shirt"/>
    <n v="62.98"/>
    <s v="Summer"/>
    <s v="Cash on Delivery"/>
    <n v="4.2"/>
    <x v="16"/>
    <n v="3"/>
    <n v="67"/>
    <n v="4.0200000000000031"/>
    <x v="2"/>
    <n v="1"/>
  </r>
  <r>
    <n v="1474"/>
    <n v="59"/>
    <s v="Male"/>
    <s v="Sports"/>
    <s v="Football"/>
    <n v="152.31"/>
    <s v="Autumn"/>
    <s v="Card"/>
    <n v="3.9"/>
    <x v="6"/>
    <n v="3"/>
    <n v="181.32142857142858"/>
    <n v="29.011428571428581"/>
    <x v="0"/>
    <n v="1"/>
  </r>
  <r>
    <n v="1475"/>
    <n v="51"/>
    <s v="Female"/>
    <s v="Beauty"/>
    <s v="Skincare Kit"/>
    <n v="46.25"/>
    <s v="Winter"/>
    <s v="Card"/>
    <n v="3.9"/>
    <x v="0"/>
    <n v="4"/>
    <n v="56.40243902439024"/>
    <n v="10.15243902439024"/>
    <x v="4"/>
    <n v="1"/>
  </r>
  <r>
    <n v="1476"/>
    <n v="22"/>
    <s v="Female"/>
    <s v="Footwear"/>
    <s v="Formal Shoes"/>
    <n v="217.07"/>
    <s v="Winter"/>
    <s v="Card"/>
    <n v="3.4"/>
    <x v="6"/>
    <n v="3"/>
    <n v="258.41666666666669"/>
    <n v="41.346666666666692"/>
    <x v="3"/>
    <n v="1"/>
  </r>
  <r>
    <n v="1477"/>
    <n v="53"/>
    <s v="Female"/>
    <s v="Accessories"/>
    <s v="Sunglasses"/>
    <n v="46.68"/>
    <s v="Autumn"/>
    <s v="Cash on Delivery"/>
    <n v="4.4000000000000004"/>
    <x v="8"/>
    <n v="6"/>
    <n v="53.045454545454547"/>
    <n v="6.365454545454547"/>
    <x v="4"/>
    <n v="1"/>
  </r>
  <r>
    <n v="1478"/>
    <n v="70"/>
    <s v="Female"/>
    <s v="Womens Clothing"/>
    <s v="Top"/>
    <n v="186.33"/>
    <s v="Spring"/>
    <s v="Card"/>
    <n v="4.5999999999999996"/>
    <x v="7"/>
    <n v="5"/>
    <n v="207.03333333333333"/>
    <n v="20.703333333333319"/>
    <x v="2"/>
    <n v="1"/>
  </r>
  <r>
    <n v="1479"/>
    <n v="44"/>
    <s v="Female"/>
    <s v="Beauty"/>
    <s v="Perfume"/>
    <n v="34.06"/>
    <s v="Autumn"/>
    <s v="Card"/>
    <n v="2.8"/>
    <x v="14"/>
    <n v="6"/>
    <n v="41.036144578313255"/>
    <n v="6.976144578313253"/>
    <x v="1"/>
    <n v="1"/>
  </r>
  <r>
    <n v="1480"/>
    <n v="47"/>
    <s v="Male"/>
    <s v="Footwear"/>
    <s v="Sandals"/>
    <n v="119.82"/>
    <s v="Autumn"/>
    <s v="Card"/>
    <n v="3.5"/>
    <x v="1"/>
    <n v="4"/>
    <n v="137.72413793103448"/>
    <n v="17.904137931034484"/>
    <x v="4"/>
    <n v="1"/>
  </r>
  <r>
    <n v="1481"/>
    <n v="38"/>
    <s v="Female"/>
    <s v="Home"/>
    <s v="Lamp"/>
    <n v="294.52"/>
    <s v="Autumn"/>
    <s v="Card"/>
    <n v="3.8"/>
    <x v="6"/>
    <n v="8"/>
    <n v="350.61904761904759"/>
    <n v="56.09904761904761"/>
    <x v="1"/>
    <n v="1"/>
  </r>
  <r>
    <n v="1482"/>
    <n v="46"/>
    <s v="Male"/>
    <s v="Groceries"/>
    <s v="Rice Pack"/>
    <n v="71.239999999999995"/>
    <s v="Summer"/>
    <s v="Card"/>
    <n v="4.3"/>
    <x v="19"/>
    <n v="5"/>
    <n v="83.811764705882354"/>
    <n v="12.571764705882359"/>
    <x v="4"/>
    <n v="1"/>
  </r>
  <r>
    <n v="1483"/>
    <n v="30"/>
    <s v="Female"/>
    <s v="Womens Clothing"/>
    <s v="Jeans"/>
    <n v="151.65"/>
    <s v="Summer"/>
    <s v="Card"/>
    <n v="3.5"/>
    <x v="0"/>
    <n v="4"/>
    <n v="184.9390243902439"/>
    <n v="33.289024390243895"/>
    <x v="5"/>
    <n v="1"/>
  </r>
  <r>
    <n v="1484"/>
    <n v="36"/>
    <s v="Male"/>
    <s v="Sports"/>
    <s v="Dumbbells"/>
    <n v="80.95"/>
    <s v="Summer"/>
    <s v="Card"/>
    <n v="4"/>
    <x v="14"/>
    <n v="6"/>
    <n v="97.530120481927725"/>
    <n v="16.580120481927722"/>
    <x v="1"/>
    <n v="1"/>
  </r>
  <r>
    <n v="1485"/>
    <n v="67"/>
    <s v="Male"/>
    <s v="Sports"/>
    <s v="Football"/>
    <n v="185.85"/>
    <s v="Summer"/>
    <s v="Card"/>
    <n v="5"/>
    <x v="3"/>
    <n v="10"/>
    <n v="232.31249999999997"/>
    <n v="46.462499999999977"/>
    <x v="2"/>
    <n v="1"/>
  </r>
  <r>
    <n v="1486"/>
    <n v="32"/>
    <s v="Male"/>
    <s v="Footwear"/>
    <s v="Formal Shoes"/>
    <n v="77.209999999999994"/>
    <s v="Autumn"/>
    <s v="Card"/>
    <n v="4.0999999999999996"/>
    <x v="6"/>
    <n v="3"/>
    <n v="91.916666666666657"/>
    <n v="14.706666666666663"/>
    <x v="5"/>
    <n v="1"/>
  </r>
  <r>
    <n v="1487"/>
    <n v="66"/>
    <s v="Female"/>
    <s v="Womens Clothing"/>
    <s v="Skirt"/>
    <n v="192.04"/>
    <s v="Winter"/>
    <s v="Card"/>
    <n v="3.9"/>
    <x v="19"/>
    <n v="5"/>
    <n v="225.92941176470589"/>
    <n v="33.889411764705898"/>
    <x v="2"/>
    <n v="1"/>
  </r>
  <r>
    <n v="1488"/>
    <n v="60"/>
    <s v="Female"/>
    <s v="Footwear"/>
    <s v="Sneakers"/>
    <n v="73.34"/>
    <s v="Summer"/>
    <s v="Cash on Delivery"/>
    <n v="4.8"/>
    <x v="14"/>
    <n v="6"/>
    <n v="88.361445783132538"/>
    <n v="15.021445783132535"/>
    <x v="0"/>
    <n v="1"/>
  </r>
  <r>
    <n v="1489"/>
    <n v="35"/>
    <s v="Female"/>
    <s v="Footwear"/>
    <s v="Formal Shoes"/>
    <n v="239.36"/>
    <s v="Summer"/>
    <s v="Card"/>
    <n v="4.3"/>
    <x v="3"/>
    <n v="5"/>
    <n v="299.2"/>
    <n v="59.839999999999975"/>
    <x v="5"/>
    <n v="1"/>
  </r>
  <r>
    <n v="1490"/>
    <n v="26"/>
    <s v="Female"/>
    <s v="Womens Clothing"/>
    <s v="Jeans"/>
    <n v="175.79"/>
    <s v="Winter"/>
    <s v="Card"/>
    <n v="3"/>
    <x v="19"/>
    <n v="5"/>
    <n v="206.81176470588235"/>
    <n v="31.021764705882362"/>
    <x v="5"/>
    <n v="1"/>
  </r>
  <r>
    <n v="1491"/>
    <n v="57"/>
    <s v="Female"/>
    <s v="Beauty"/>
    <s v="Skincare Kit"/>
    <n v="24.93"/>
    <s v="Winter"/>
    <s v="Card"/>
    <n v="4.7"/>
    <x v="0"/>
    <n v="4"/>
    <n v="30.40243902439024"/>
    <n v="5.4724390243902405"/>
    <x v="0"/>
    <n v="1"/>
  </r>
  <r>
    <n v="1492"/>
    <n v="47"/>
    <s v="Female"/>
    <s v="Groceries"/>
    <s v="Beverages"/>
    <n v="34.74"/>
    <s v="Spring"/>
    <s v="Cash on Delivery"/>
    <n v="4.3"/>
    <x v="0"/>
    <n v="4"/>
    <n v="42.365853658536587"/>
    <n v="7.6258536585365846"/>
    <x v="4"/>
    <n v="1"/>
  </r>
  <r>
    <n v="1493"/>
    <n v="46"/>
    <s v="Male"/>
    <s v="Groceries"/>
    <s v="Rice Pack"/>
    <n v="36.61"/>
    <s v="Summer"/>
    <s v="Card"/>
    <n v="4"/>
    <x v="18"/>
    <n v="7"/>
    <n v="48.171052631578945"/>
    <n v="11.561052631578946"/>
    <x v="4"/>
    <n v="1"/>
  </r>
  <r>
    <n v="1494"/>
    <n v="29"/>
    <s v="Male"/>
    <s v="Electronics"/>
    <s v="Mobile Phone"/>
    <n v="2302.21"/>
    <s v="Winter"/>
    <s v="Card"/>
    <n v="3.1"/>
    <x v="3"/>
    <n v="5"/>
    <n v="2877.7624999999998"/>
    <n v="575.55249999999978"/>
    <x v="5"/>
    <n v="1"/>
  </r>
  <r>
    <n v="1495"/>
    <n v="33"/>
    <s v="Female"/>
    <s v="Beauty"/>
    <s v="Skincare Kit"/>
    <n v="48.6"/>
    <s v="Summer"/>
    <s v="Cash on Delivery"/>
    <n v="4.0999999999999996"/>
    <x v="2"/>
    <n v="3"/>
    <n v="54.606741573033709"/>
    <n v="6.0067415730337075"/>
    <x v="5"/>
    <n v="1"/>
  </r>
  <r>
    <n v="1496"/>
    <n v="26"/>
    <s v="Male"/>
    <s v="Electronics"/>
    <s v="Laptop"/>
    <n v="534.41"/>
    <s v="Autumn"/>
    <s v="Card"/>
    <n v="3.6"/>
    <x v="16"/>
    <n v="3"/>
    <n v="568.52127659574467"/>
    <n v="34.111276595744698"/>
    <x v="5"/>
    <n v="1"/>
  </r>
  <r>
    <n v="1497"/>
    <n v="67"/>
    <s v="Female"/>
    <s v="Accessories"/>
    <s v="Handbag"/>
    <n v="175.36"/>
    <s v="Summer"/>
    <s v="Card"/>
    <n v="4.0999999999999996"/>
    <x v="11"/>
    <n v="8"/>
    <n v="236.972972972973"/>
    <n v="61.612972972972983"/>
    <x v="2"/>
    <n v="1"/>
  </r>
  <r>
    <n v="1498"/>
    <n v="21"/>
    <s v="Female"/>
    <s v="Accessories"/>
    <s v="Handbag"/>
    <n v="34.6"/>
    <s v="Summer"/>
    <s v="Cash on Delivery"/>
    <n v="3.1"/>
    <x v="10"/>
    <n v="6"/>
    <n v="44.358974358974358"/>
    <n v="9.7589743589743563"/>
    <x v="3"/>
    <n v="1"/>
  </r>
  <r>
    <n v="1499"/>
    <n v="26"/>
    <s v="Male"/>
    <s v="Sports"/>
    <s v="Yoga Mat"/>
    <n v="118.37"/>
    <s v="Summer"/>
    <s v="Card"/>
    <n v="3.1"/>
    <x v="15"/>
    <n v="1"/>
    <n v="120.78571428571429"/>
    <n v="2.4157142857142873"/>
    <x v="5"/>
    <n v="1"/>
  </r>
  <r>
    <n v="1500"/>
    <n v="55"/>
    <s v="Male"/>
    <s v="Footwear"/>
    <s v="Formal Shoes"/>
    <n v="203.25"/>
    <s v="Spring"/>
    <s v="Card"/>
    <n v="4.3"/>
    <x v="0"/>
    <n v="4"/>
    <n v="247.86585365853657"/>
    <n v="44.615853658536565"/>
    <x v="4"/>
    <n v="1"/>
  </r>
  <r>
    <n v="1501"/>
    <n v="23"/>
    <s v="Female"/>
    <s v="Footwear"/>
    <s v="Formal Shoes"/>
    <n v="133.44"/>
    <s v="Summer"/>
    <s v="Card"/>
    <n v="4.7"/>
    <x v="8"/>
    <n v="6"/>
    <n v="151.63636363636363"/>
    <n v="18.196363636363628"/>
    <x v="3"/>
    <n v="1"/>
  </r>
  <r>
    <n v="1502"/>
    <n v="21"/>
    <s v="Female"/>
    <s v="Accessories"/>
    <s v="Handbag"/>
    <n v="100"/>
    <s v="Spring"/>
    <s v="Cash on Delivery"/>
    <n v="4.0999999999999996"/>
    <x v="19"/>
    <n v="5"/>
    <n v="117.64705882352942"/>
    <n v="17.64705882352942"/>
    <x v="3"/>
    <n v="1"/>
  </r>
  <r>
    <n v="1503"/>
    <n v="23"/>
    <s v="Female"/>
    <s v="Home"/>
    <s v="Kitchen Set"/>
    <n v="55.34"/>
    <s v="Winter"/>
    <s v="Card"/>
    <n v="4.2"/>
    <x v="14"/>
    <n v="6"/>
    <n v="66.674698795180731"/>
    <n v="11.334698795180728"/>
    <x v="3"/>
    <n v="1"/>
  </r>
  <r>
    <n v="1504"/>
    <n v="36"/>
    <s v="Female"/>
    <s v="Footwear"/>
    <s v="Formal Shoes"/>
    <n v="136.43"/>
    <s v="Spring"/>
    <s v="Card"/>
    <n v="4"/>
    <x v="8"/>
    <n v="6"/>
    <n v="155.03409090909091"/>
    <n v="18.6040909090909"/>
    <x v="1"/>
    <n v="1"/>
  </r>
  <r>
    <n v="1505"/>
    <n v="35"/>
    <s v="Female"/>
    <s v="Womens Clothing"/>
    <s v="Top"/>
    <n v="67.510000000000005"/>
    <s v="Spring"/>
    <s v="Card"/>
    <n v="4.0999999999999996"/>
    <x v="7"/>
    <n v="5"/>
    <n v="75.01111111111112"/>
    <n v="7.5011111111111148"/>
    <x v="5"/>
    <n v="1"/>
  </r>
  <r>
    <n v="1506"/>
    <n v="29"/>
    <s v="Male"/>
    <s v="Footwear"/>
    <s v="Sneakers"/>
    <n v="245.39"/>
    <s v="Winter"/>
    <s v="Card"/>
    <n v="4.5"/>
    <x v="19"/>
    <n v="5"/>
    <n v="288.69411764705882"/>
    <n v="43.304117647058831"/>
    <x v="5"/>
    <n v="1"/>
  </r>
  <r>
    <n v="1507"/>
    <n v="20"/>
    <s v="Male"/>
    <s v="Footwear"/>
    <s v="Formal Shoes"/>
    <n v="113.11"/>
    <s v="Summer"/>
    <s v="Card"/>
    <n v="3.4"/>
    <x v="5"/>
    <n v="4"/>
    <n v="122.94565217391303"/>
    <n v="9.8356521739130329"/>
    <x v="3"/>
    <n v="1"/>
  </r>
  <r>
    <n v="1508"/>
    <n v="64"/>
    <s v="Female"/>
    <s v="Footwear"/>
    <s v="Sandals"/>
    <n v="80.180000000000007"/>
    <s v="Spring"/>
    <s v="Card"/>
    <n v="4.4000000000000004"/>
    <x v="1"/>
    <n v="4"/>
    <n v="92.160919540229898"/>
    <n v="11.980919540229891"/>
    <x v="0"/>
    <n v="1"/>
  </r>
  <r>
    <n v="1509"/>
    <n v="67"/>
    <s v="Male"/>
    <s v="Electronics"/>
    <s v="Mobile Phone"/>
    <n v="1105.76"/>
    <s v="Winter"/>
    <s v="Card"/>
    <n v="3.8"/>
    <x v="12"/>
    <n v="7"/>
    <n v="1365.1358024691358"/>
    <n v="259.37580246913581"/>
    <x v="2"/>
    <n v="1"/>
  </r>
  <r>
    <n v="1510"/>
    <n v="26"/>
    <s v="Female"/>
    <s v="Footwear"/>
    <s v="Formal Shoes"/>
    <n v="96.55"/>
    <s v="Winter"/>
    <s v="Cash on Delivery"/>
    <n v="4.5"/>
    <x v="7"/>
    <n v="5"/>
    <n v="107.27777777777777"/>
    <n v="10.727777777777774"/>
    <x v="5"/>
    <n v="1"/>
  </r>
  <r>
    <n v="1511"/>
    <n v="54"/>
    <s v="Male"/>
    <s v="Sports"/>
    <s v="Dumbbells"/>
    <n v="106.35"/>
    <s v="Spring"/>
    <s v="Card"/>
    <n v="4.8"/>
    <x v="6"/>
    <n v="8"/>
    <n v="126.60714285714286"/>
    <n v="20.257142857142867"/>
    <x v="4"/>
    <n v="1"/>
  </r>
  <r>
    <n v="1512"/>
    <n v="28"/>
    <s v="Female"/>
    <s v="Groceries"/>
    <s v="Snacks"/>
    <n v="13.26"/>
    <s v="Spring"/>
    <s v="Cash on Delivery"/>
    <n v="4.4000000000000004"/>
    <x v="4"/>
    <n v="2"/>
    <n v="15.418604651162791"/>
    <n v="2.1586046511627917"/>
    <x v="5"/>
    <n v="1"/>
  </r>
  <r>
    <n v="1513"/>
    <n v="64"/>
    <s v="Female"/>
    <s v="Womens Clothing"/>
    <s v="Top"/>
    <n v="180.55"/>
    <s v="Spring"/>
    <s v="Card"/>
    <n v="3.9"/>
    <x v="17"/>
    <n v="2"/>
    <n v="188.07291666666669"/>
    <n v="7.5229166666666742"/>
    <x v="0"/>
    <n v="1"/>
  </r>
  <r>
    <n v="1514"/>
    <n v="32"/>
    <s v="Female"/>
    <s v="Womens Clothing"/>
    <s v="Skirt"/>
    <n v="156.68"/>
    <s v="Autumn"/>
    <s v="Card"/>
    <n v="4.3"/>
    <x v="16"/>
    <n v="3"/>
    <n v="166.68085106382981"/>
    <n v="10.000851063829799"/>
    <x v="5"/>
    <n v="1"/>
  </r>
  <r>
    <n v="1515"/>
    <n v="44"/>
    <s v="Male"/>
    <s v="Sports"/>
    <s v="Yoga Mat"/>
    <n v="187.98"/>
    <s v="Winter"/>
    <s v="Card"/>
    <n v="3.6"/>
    <x v="12"/>
    <n v="7"/>
    <n v="232.07407407407405"/>
    <n v="44.094074074074058"/>
    <x v="1"/>
    <n v="1"/>
  </r>
  <r>
    <n v="1516"/>
    <n v="31"/>
    <s v="Female"/>
    <s v="Beauty"/>
    <s v="Perfume"/>
    <n v="117.64"/>
    <s v="Winter"/>
    <s v="Card"/>
    <n v="3.8"/>
    <x v="21"/>
    <n v="8"/>
    <n v="148.91139240506328"/>
    <n v="31.271392405063281"/>
    <x v="5"/>
    <n v="1"/>
  </r>
  <r>
    <n v="1517"/>
    <n v="46"/>
    <s v="Male"/>
    <s v="Sports"/>
    <s v="Dumbbells"/>
    <n v="153.87"/>
    <s v="Winter"/>
    <s v="Card"/>
    <n v="4.3"/>
    <x v="8"/>
    <n v="6"/>
    <n v="174.85227272727272"/>
    <n v="20.982272727272715"/>
    <x v="4"/>
    <n v="1"/>
  </r>
  <r>
    <n v="1518"/>
    <n v="23"/>
    <s v="Female"/>
    <s v="Sports"/>
    <s v="Dumbbells"/>
    <n v="42.64"/>
    <s v="Spring"/>
    <s v="Card"/>
    <n v="3.4"/>
    <x v="17"/>
    <n v="2"/>
    <n v="44.416666666666671"/>
    <n v="1.7766666666666708"/>
    <x v="3"/>
    <n v="1"/>
  </r>
  <r>
    <n v="1519"/>
    <n v="31"/>
    <s v="Male"/>
    <s v="Electronics"/>
    <s v="Smart Watch"/>
    <n v="2438.54"/>
    <s v="Summer"/>
    <s v="Card"/>
    <n v="4.5"/>
    <x v="5"/>
    <n v="4"/>
    <n v="2650.586956521739"/>
    <n v="212.04695652173905"/>
    <x v="5"/>
    <n v="1"/>
  </r>
  <r>
    <n v="1520"/>
    <n v="47"/>
    <s v="Male"/>
    <s v="Footwear"/>
    <s v="Sandals"/>
    <n v="135.83000000000001"/>
    <s v="Winter"/>
    <s v="Card"/>
    <n v="4.5999999999999996"/>
    <x v="14"/>
    <n v="6"/>
    <n v="163.65060240963857"/>
    <n v="27.820602409638553"/>
    <x v="4"/>
    <n v="1"/>
  </r>
  <r>
    <n v="1521"/>
    <n v="43"/>
    <s v="Male"/>
    <s v="Footwear"/>
    <s v="Sandals"/>
    <n v="160.25"/>
    <s v="Winter"/>
    <s v="Card"/>
    <n v="4.8"/>
    <x v="24"/>
    <n v="9"/>
    <n v="222.56944444444446"/>
    <n v="62.319444444444457"/>
    <x v="1"/>
    <n v="1"/>
  </r>
  <r>
    <n v="1522"/>
    <n v="27"/>
    <s v="Female"/>
    <s v="Beauty"/>
    <s v="Makeup Set"/>
    <n v="68.53"/>
    <s v="Spring"/>
    <s v="Card"/>
    <n v="3.7"/>
    <x v="14"/>
    <n v="6"/>
    <n v="82.566265060240966"/>
    <n v="14.036265060240964"/>
    <x v="5"/>
    <n v="1"/>
  </r>
  <r>
    <n v="1523"/>
    <n v="37"/>
    <s v="Female"/>
    <s v="Womens Clothing"/>
    <s v="Skirt"/>
    <n v="64.5"/>
    <s v="Autumn"/>
    <s v="Cash on Delivery"/>
    <n v="4"/>
    <x v="16"/>
    <n v="3"/>
    <n v="68.61702127659575"/>
    <n v="4.1170212765957501"/>
    <x v="1"/>
    <n v="1"/>
  </r>
  <r>
    <n v="1524"/>
    <n v="57"/>
    <s v="Female"/>
    <s v="Sports"/>
    <s v="Dumbbells"/>
    <n v="213.01"/>
    <s v="Winter"/>
    <s v="Card"/>
    <n v="4.3"/>
    <x v="13"/>
    <n v="2"/>
    <n v="234.07692307692307"/>
    <n v="21.066923076923075"/>
    <x v="0"/>
    <n v="1"/>
  </r>
  <r>
    <n v="1525"/>
    <n v="44"/>
    <s v="Male"/>
    <s v="Footwear"/>
    <s v="Sneakers"/>
    <n v="175.76"/>
    <s v="Spring"/>
    <s v="Card"/>
    <n v="4.7"/>
    <x v="21"/>
    <n v="8"/>
    <n v="222.48101265822783"/>
    <n v="46.721012658227835"/>
    <x v="1"/>
    <n v="1"/>
  </r>
  <r>
    <n v="1526"/>
    <n v="51"/>
    <s v="Male"/>
    <s v="Footwear"/>
    <s v="Formal Shoes"/>
    <n v="136.07"/>
    <s v="Spring"/>
    <s v="Card"/>
    <n v="4.3"/>
    <x v="11"/>
    <n v="8"/>
    <n v="183.87837837837836"/>
    <n v="47.808378378378364"/>
    <x v="4"/>
    <n v="1"/>
  </r>
  <r>
    <n v="1527"/>
    <n v="66"/>
    <s v="Male"/>
    <s v="Electronics"/>
    <s v="Headphones"/>
    <n v="632.67999999999995"/>
    <s v="Winter"/>
    <s v="Card"/>
    <n v="5"/>
    <x v="18"/>
    <n v="7"/>
    <n v="832.47368421052624"/>
    <n v="199.79368421052629"/>
    <x v="2"/>
    <n v="1"/>
  </r>
  <r>
    <n v="1528"/>
    <n v="68"/>
    <s v="Male"/>
    <s v="Sports"/>
    <s v="Football"/>
    <n v="213.91"/>
    <s v="Summer"/>
    <s v="Card"/>
    <n v="3.3"/>
    <x v="17"/>
    <n v="2"/>
    <n v="222.82291666666666"/>
    <n v="8.9129166666666606"/>
    <x v="2"/>
    <n v="1"/>
  </r>
  <r>
    <n v="1529"/>
    <n v="52"/>
    <s v="Male"/>
    <s v="Electronics"/>
    <s v="Mobile Phone"/>
    <n v="631.19000000000005"/>
    <s v="Summer"/>
    <s v="Card"/>
    <n v="4.7"/>
    <x v="14"/>
    <n v="6"/>
    <n v="760.46987951807239"/>
    <n v="129.27987951807233"/>
    <x v="4"/>
    <n v="1"/>
  </r>
  <r>
    <n v="1530"/>
    <n v="30"/>
    <s v="Female"/>
    <s v="Footwear"/>
    <s v="Sandals"/>
    <n v="122.86"/>
    <s v="Winter"/>
    <s v="Card"/>
    <n v="2.9"/>
    <x v="7"/>
    <n v="5"/>
    <n v="136.51111111111112"/>
    <n v="13.651111111111121"/>
    <x v="5"/>
    <n v="1"/>
  </r>
  <r>
    <n v="1531"/>
    <n v="50"/>
    <s v="Female"/>
    <s v="Womens Clothing"/>
    <s v="Skirt"/>
    <n v="146.57"/>
    <s v="Autumn"/>
    <s v="Card"/>
    <n v="3.3"/>
    <x v="14"/>
    <n v="6"/>
    <n v="176.59036144578315"/>
    <n v="30.020361445783152"/>
    <x v="4"/>
    <n v="1"/>
  </r>
  <r>
    <n v="1532"/>
    <n v="58"/>
    <s v="Male"/>
    <s v="Home"/>
    <s v="Lamp"/>
    <n v="171.7"/>
    <s v="Winter"/>
    <s v="Card"/>
    <n v="3.7"/>
    <x v="8"/>
    <n v="6"/>
    <n v="195.11363636363635"/>
    <n v="23.413636363636357"/>
    <x v="0"/>
    <n v="1"/>
  </r>
  <r>
    <n v="1533"/>
    <n v="36"/>
    <s v="Male"/>
    <s v="Electronics"/>
    <s v="Smart Watch"/>
    <n v="1385.6"/>
    <s v="Spring"/>
    <s v="Card"/>
    <n v="3.4"/>
    <x v="5"/>
    <n v="4"/>
    <n v="1506.086956521739"/>
    <n v="120.4869565217391"/>
    <x v="1"/>
    <n v="1"/>
  </r>
  <r>
    <n v="1534"/>
    <n v="38"/>
    <s v="Male"/>
    <s v="Mens Clothing"/>
    <s v="Jeans"/>
    <n v="91"/>
    <s v="Spring"/>
    <s v="Cash on Delivery"/>
    <n v="4.2"/>
    <x v="4"/>
    <n v="7"/>
    <n v="105.81395348837209"/>
    <n v="14.813953488372093"/>
    <x v="1"/>
    <n v="1"/>
  </r>
  <r>
    <n v="1535"/>
    <n v="23"/>
    <s v="Male"/>
    <s v="Footwear"/>
    <s v="Sneakers"/>
    <n v="191.42"/>
    <s v="Winter"/>
    <s v="Card"/>
    <n v="3.9"/>
    <x v="0"/>
    <n v="4"/>
    <n v="233.43902439024387"/>
    <n v="42.019024390243885"/>
    <x v="3"/>
    <n v="1"/>
  </r>
  <r>
    <n v="1536"/>
    <n v="56"/>
    <s v="Female"/>
    <s v="Accessories"/>
    <s v="Handbag"/>
    <n v="114.28"/>
    <s v="Summer"/>
    <s v="Card"/>
    <n v="4"/>
    <x v="3"/>
    <n v="5"/>
    <n v="142.85"/>
    <n v="28.569999999999993"/>
    <x v="0"/>
    <n v="1"/>
  </r>
  <r>
    <n v="1537"/>
    <n v="46"/>
    <s v="Male"/>
    <s v="Groceries"/>
    <s v="Snacks"/>
    <n v="48.42"/>
    <s v="Summer"/>
    <s v="Card"/>
    <n v="3.7"/>
    <x v="12"/>
    <n v="7"/>
    <n v="59.777777777777779"/>
    <n v="11.357777777777777"/>
    <x v="4"/>
    <n v="1"/>
  </r>
  <r>
    <n v="1538"/>
    <n v="48"/>
    <s v="Male"/>
    <s v="Footwear"/>
    <s v="Sneakers"/>
    <n v="84.31"/>
    <s v="Spring"/>
    <s v="Cash on Delivery"/>
    <n v="4.5"/>
    <x v="7"/>
    <n v="0"/>
    <n v="93.677777777777777"/>
    <n v="9.3677777777777749"/>
    <x v="4"/>
    <n v="1"/>
  </r>
  <r>
    <n v="1539"/>
    <n v="40"/>
    <s v="Male"/>
    <s v="Footwear"/>
    <s v="Sandals"/>
    <n v="73.92"/>
    <s v="Spring"/>
    <s v="Card"/>
    <n v="3.4"/>
    <x v="18"/>
    <n v="7"/>
    <n v="97.26315789473685"/>
    <n v="23.343157894736848"/>
    <x v="1"/>
    <n v="1"/>
  </r>
  <r>
    <n v="1540"/>
    <n v="47"/>
    <s v="Male"/>
    <s v="Footwear"/>
    <s v="Sandals"/>
    <n v="67.400000000000006"/>
    <s v="Summer"/>
    <s v="Cash on Delivery"/>
    <n v="4.3"/>
    <x v="23"/>
    <n v="1"/>
    <n v="72.473118279569903"/>
    <n v="5.073118279569897"/>
    <x v="4"/>
    <n v="1"/>
  </r>
  <r>
    <n v="1541"/>
    <n v="67"/>
    <s v="Male"/>
    <s v="Home"/>
    <s v="Kitchen Set"/>
    <n v="295.08999999999997"/>
    <s v="Autumn"/>
    <s v="Card"/>
    <n v="3.6"/>
    <x v="17"/>
    <n v="2"/>
    <n v="307.38541666666663"/>
    <n v="12.295416666666654"/>
    <x v="2"/>
    <n v="1"/>
  </r>
  <r>
    <n v="1542"/>
    <n v="30"/>
    <s v="Female"/>
    <s v="Footwear"/>
    <s v="Sneakers"/>
    <n v="121.3"/>
    <s v="Spring"/>
    <s v="Card"/>
    <n v="3.1"/>
    <x v="7"/>
    <n v="5"/>
    <n v="134.77777777777777"/>
    <n v="13.477777777777774"/>
    <x v="5"/>
    <n v="1"/>
  </r>
  <r>
    <n v="1543"/>
    <n v="46"/>
    <s v="Male"/>
    <s v="Electronics"/>
    <s v="Headphones"/>
    <n v="2344.0300000000002"/>
    <s v="Autumn"/>
    <s v="Card"/>
    <n v="4.8"/>
    <x v="14"/>
    <n v="6"/>
    <n v="2824.1325301204824"/>
    <n v="480.10253012048224"/>
    <x v="4"/>
    <n v="1"/>
  </r>
  <r>
    <n v="1544"/>
    <n v="64"/>
    <s v="Female"/>
    <s v="Beauty"/>
    <s v="Makeup Set"/>
    <n v="87.85"/>
    <s v="Spring"/>
    <s v="Cash on Delivery"/>
    <n v="2.1"/>
    <x v="6"/>
    <n v="8"/>
    <n v="104.58333333333333"/>
    <n v="16.733333333333334"/>
    <x v="0"/>
    <n v="1"/>
  </r>
  <r>
    <n v="1545"/>
    <n v="50"/>
    <s v="Female"/>
    <s v="Beauty"/>
    <s v="Makeup Set"/>
    <n v="31.22"/>
    <s v="Spring"/>
    <s v="Card"/>
    <n v="3.8"/>
    <x v="3"/>
    <n v="10"/>
    <n v="39.024999999999999"/>
    <n v="7.8049999999999997"/>
    <x v="4"/>
    <n v="1"/>
  </r>
  <r>
    <n v="1546"/>
    <n v="60"/>
    <s v="Female"/>
    <s v="Accessories"/>
    <s v="Wallet"/>
    <n v="74.33"/>
    <s v="Winter"/>
    <s v="Card"/>
    <n v="3.8"/>
    <x v="18"/>
    <n v="7"/>
    <n v="97.80263157894737"/>
    <n v="23.472631578947372"/>
    <x v="0"/>
    <n v="1"/>
  </r>
  <r>
    <n v="1547"/>
    <n v="36"/>
    <s v="Female"/>
    <s v="Sports"/>
    <s v="Dumbbells"/>
    <n v="142.80000000000001"/>
    <s v="Winter"/>
    <s v="Card"/>
    <n v="5"/>
    <x v="0"/>
    <n v="4"/>
    <n v="174.14634146341464"/>
    <n v="31.346341463414632"/>
    <x v="1"/>
    <n v="1"/>
  </r>
  <r>
    <n v="1548"/>
    <n v="25"/>
    <s v="Male"/>
    <s v="Sports"/>
    <s v="Football"/>
    <n v="76.08"/>
    <s v="Summer"/>
    <s v="Card"/>
    <n v="3.7"/>
    <x v="6"/>
    <n v="3"/>
    <n v="90.571428571428569"/>
    <n v="14.491428571428571"/>
    <x v="3"/>
    <n v="1"/>
  </r>
  <r>
    <n v="1549"/>
    <n v="59"/>
    <s v="Male"/>
    <s v="Mens Clothing"/>
    <s v="Shirt"/>
    <n v="71.09"/>
    <s v="Spring"/>
    <s v="Cash on Delivery"/>
    <n v="3.8"/>
    <x v="7"/>
    <n v="5"/>
    <n v="78.988888888888894"/>
    <n v="7.8988888888888908"/>
    <x v="0"/>
    <n v="1"/>
  </r>
  <r>
    <n v="1550"/>
    <n v="21"/>
    <s v="Male"/>
    <s v="Footwear"/>
    <s v="Sneakers"/>
    <n v="210.67"/>
    <s v="Winter"/>
    <s v="Card"/>
    <n v="3.4"/>
    <x v="16"/>
    <n v="3"/>
    <n v="224.11702127659575"/>
    <n v="13.447021276595763"/>
    <x v="3"/>
    <n v="1"/>
  </r>
  <r>
    <n v="1551"/>
    <n v="21"/>
    <s v="Female"/>
    <s v="Beauty"/>
    <s v="Perfume"/>
    <n v="131.55000000000001"/>
    <s v="Summer"/>
    <s v="Card"/>
    <n v="4.3"/>
    <x v="1"/>
    <n v="4"/>
    <n v="151.20689655172416"/>
    <n v="19.656896551724145"/>
    <x v="3"/>
    <n v="1"/>
  </r>
  <r>
    <n v="1552"/>
    <n v="28"/>
    <s v="Male"/>
    <s v="Sports"/>
    <s v="Dumbbells"/>
    <n v="123.55"/>
    <s v="Summer"/>
    <s v="Card"/>
    <n v="4.0999999999999996"/>
    <x v="21"/>
    <n v="8"/>
    <n v="156.39240506329114"/>
    <n v="32.842405063291139"/>
    <x v="5"/>
    <n v="1"/>
  </r>
  <r>
    <n v="1553"/>
    <n v="21"/>
    <s v="Female"/>
    <s v="Accessories"/>
    <s v="Handbag"/>
    <n v="130.77000000000001"/>
    <s v="Winter"/>
    <s v="Card"/>
    <n v="4.8"/>
    <x v="17"/>
    <n v="2"/>
    <n v="136.21875000000003"/>
    <n v="5.4487500000000182"/>
    <x v="3"/>
    <n v="1"/>
  </r>
  <r>
    <n v="1554"/>
    <n v="56"/>
    <s v="Male"/>
    <s v="Mens Clothing"/>
    <s v="Jacket"/>
    <n v="110.31"/>
    <s v="Summer"/>
    <s v="Card"/>
    <n v="3"/>
    <x v="15"/>
    <n v="1"/>
    <n v="112.56122448979592"/>
    <n v="2.2512244897959164"/>
    <x v="0"/>
    <n v="1"/>
  </r>
  <r>
    <n v="1555"/>
    <n v="29"/>
    <s v="Male"/>
    <s v="Sports"/>
    <s v="Yoga Mat"/>
    <n v="238.27"/>
    <s v="Winter"/>
    <s v="Card"/>
    <n v="5"/>
    <x v="4"/>
    <n v="2"/>
    <n v="277.05813953488376"/>
    <n v="38.788139534883754"/>
    <x v="5"/>
    <n v="1"/>
  </r>
  <r>
    <n v="1556"/>
    <n v="20"/>
    <s v="Male"/>
    <s v="Home"/>
    <s v="Kitchen Set"/>
    <n v="201.69"/>
    <s v="Autumn"/>
    <s v="Card"/>
    <n v="2.9"/>
    <x v="22"/>
    <n v="9"/>
    <n v="261.93506493506493"/>
    <n v="60.245064935064931"/>
    <x v="3"/>
    <n v="1"/>
  </r>
  <r>
    <n v="1557"/>
    <n v="49"/>
    <s v="Female"/>
    <s v="Sports"/>
    <s v="Dumbbells"/>
    <n v="199.72"/>
    <s v="Autumn"/>
    <s v="Card"/>
    <n v="3.9"/>
    <x v="18"/>
    <n v="7"/>
    <n v="262.78947368421052"/>
    <n v="63.069473684210521"/>
    <x v="4"/>
    <n v="1"/>
  </r>
  <r>
    <n v="1558"/>
    <n v="48"/>
    <s v="Male"/>
    <s v="Home"/>
    <s v="Lamp"/>
    <n v="113.79"/>
    <s v="Winter"/>
    <s v="Card"/>
    <n v="3.3"/>
    <x v="15"/>
    <n v="1"/>
    <n v="116.11224489795919"/>
    <n v="2.3222448979591803"/>
    <x v="4"/>
    <n v="1"/>
  </r>
  <r>
    <n v="1559"/>
    <n v="42"/>
    <s v="Male"/>
    <s v="Sports"/>
    <s v="Football"/>
    <n v="216.19"/>
    <s v="Winter"/>
    <s v="Card"/>
    <n v="4.5"/>
    <x v="1"/>
    <n v="4"/>
    <n v="248.49425287356323"/>
    <n v="32.304252873563229"/>
    <x v="1"/>
    <n v="1"/>
  </r>
  <r>
    <n v="1560"/>
    <n v="35"/>
    <s v="Female"/>
    <s v="Accessories"/>
    <s v="Wallet"/>
    <n v="157.94999999999999"/>
    <s v="Spring"/>
    <s v="Card"/>
    <n v="3.8"/>
    <x v="4"/>
    <n v="2"/>
    <n v="183.66279069767441"/>
    <n v="25.712790697674421"/>
    <x v="5"/>
    <n v="1"/>
  </r>
  <r>
    <n v="1561"/>
    <n v="61"/>
    <s v="Female"/>
    <s v="Womens Clothing"/>
    <s v="Skirt"/>
    <n v="144.71"/>
    <s v="Spring"/>
    <s v="Card"/>
    <n v="5"/>
    <x v="6"/>
    <n v="8"/>
    <n v="172.27380952380955"/>
    <n v="27.563809523809539"/>
    <x v="0"/>
    <n v="1"/>
  </r>
  <r>
    <n v="1562"/>
    <n v="27"/>
    <s v="Male"/>
    <s v="Sports"/>
    <s v="Yoga Mat"/>
    <n v="123.19"/>
    <s v="Winter"/>
    <s v="Card"/>
    <n v="5"/>
    <x v="8"/>
    <n v="6"/>
    <n v="139.98863636363637"/>
    <n v="16.798636363636376"/>
    <x v="5"/>
    <n v="1"/>
  </r>
  <r>
    <n v="1563"/>
    <n v="56"/>
    <s v="Male"/>
    <s v="Sports"/>
    <s v="Dumbbells"/>
    <n v="174.68"/>
    <s v="Autumn"/>
    <s v="Card"/>
    <n v="3.1"/>
    <x v="10"/>
    <n v="6"/>
    <n v="223.94871794871796"/>
    <n v="49.268717948717949"/>
    <x v="0"/>
    <n v="1"/>
  </r>
  <r>
    <n v="1564"/>
    <n v="54"/>
    <s v="Male"/>
    <s v="Footwear"/>
    <s v="Sandals"/>
    <n v="80.349999999999994"/>
    <s v="Autumn"/>
    <s v="Cash on Delivery"/>
    <n v="3.8"/>
    <x v="4"/>
    <n v="2"/>
    <n v="93.430232558139537"/>
    <n v="13.080232558139542"/>
    <x v="4"/>
    <n v="1"/>
  </r>
  <r>
    <n v="1565"/>
    <n v="46"/>
    <s v="Female"/>
    <s v="Home"/>
    <s v="Curtains"/>
    <n v="196.05"/>
    <s v="Autumn"/>
    <s v="Card"/>
    <n v="4.5999999999999996"/>
    <x v="8"/>
    <n v="1"/>
    <n v="222.78409090909093"/>
    <n v="26.734090909090924"/>
    <x v="4"/>
    <n v="1"/>
  </r>
  <r>
    <n v="1566"/>
    <n v="55"/>
    <s v="Female"/>
    <s v="Beauty"/>
    <s v="Makeup Set"/>
    <n v="127.11"/>
    <s v="Spring"/>
    <s v="Card"/>
    <n v="4.0999999999999996"/>
    <x v="19"/>
    <n v="5"/>
    <n v="149.54117647058823"/>
    <n v="22.431176470588227"/>
    <x v="4"/>
    <n v="1"/>
  </r>
  <r>
    <n v="1567"/>
    <n v="30"/>
    <s v="Female"/>
    <s v="Beauty"/>
    <s v="Perfume"/>
    <n v="69.8"/>
    <s v="Winter"/>
    <s v="Cash on Delivery"/>
    <n v="2.8"/>
    <x v="0"/>
    <n v="4"/>
    <n v="85.121951219512184"/>
    <n v="15.321951219512187"/>
    <x v="5"/>
    <n v="1"/>
  </r>
  <r>
    <n v="1568"/>
    <n v="27"/>
    <s v="Male"/>
    <s v="Sports"/>
    <s v="Yoga Mat"/>
    <n v="210.43"/>
    <s v="Autumn"/>
    <s v="Card"/>
    <n v="3.9"/>
    <x v="6"/>
    <n v="3"/>
    <n v="250.51190476190479"/>
    <n v="40.081904761904781"/>
    <x v="5"/>
    <n v="1"/>
  </r>
  <r>
    <n v="1569"/>
    <n v="56"/>
    <s v="Male"/>
    <s v="Sports"/>
    <s v="Yoga Mat"/>
    <n v="219.8"/>
    <s v="Winter"/>
    <s v="Card"/>
    <n v="3.9"/>
    <x v="16"/>
    <n v="3"/>
    <n v="233.82978723404258"/>
    <n v="14.029787234042573"/>
    <x v="0"/>
    <n v="1"/>
  </r>
  <r>
    <n v="1570"/>
    <n v="42"/>
    <s v="Female"/>
    <s v="Footwear"/>
    <s v="Sandals"/>
    <n v="74.97"/>
    <s v="Summer"/>
    <s v="Cash on Delivery"/>
    <n v="2.2000000000000002"/>
    <x v="16"/>
    <n v="3"/>
    <n v="79.755319148936167"/>
    <n v="4.7853191489361677"/>
    <x v="1"/>
    <n v="1"/>
  </r>
  <r>
    <n v="1571"/>
    <n v="34"/>
    <s v="Female"/>
    <s v="Beauty"/>
    <s v="Makeup Set"/>
    <n v="103.19"/>
    <s v="Summer"/>
    <s v="Card"/>
    <n v="4"/>
    <x v="7"/>
    <n v="5"/>
    <n v="114.65555555555555"/>
    <n v="11.465555555555554"/>
    <x v="5"/>
    <n v="1"/>
  </r>
  <r>
    <n v="1572"/>
    <n v="21"/>
    <s v="Female"/>
    <s v="Beauty"/>
    <s v="Skincare Kit"/>
    <n v="138.69"/>
    <s v="Winter"/>
    <s v="Card"/>
    <n v="4.5"/>
    <x v="6"/>
    <n v="3"/>
    <n v="165.10714285714286"/>
    <n v="26.417142857142863"/>
    <x v="3"/>
    <n v="1"/>
  </r>
  <r>
    <n v="1573"/>
    <n v="49"/>
    <s v="Male"/>
    <s v="Sports"/>
    <s v="Yoga Mat"/>
    <n v="164.76"/>
    <s v="Summer"/>
    <s v="Card"/>
    <n v="3.5"/>
    <x v="11"/>
    <n v="8"/>
    <n v="222.64864864864865"/>
    <n v="57.888648648648655"/>
    <x v="4"/>
    <n v="1"/>
  </r>
  <r>
    <n v="1574"/>
    <n v="25"/>
    <s v="Male"/>
    <s v="Sports"/>
    <s v="Yoga Mat"/>
    <n v="182.09"/>
    <s v="Winter"/>
    <s v="Card"/>
    <n v="3.9"/>
    <x v="5"/>
    <n v="4"/>
    <n v="197.92391304347825"/>
    <n v="15.833913043478248"/>
    <x v="3"/>
    <n v="1"/>
  </r>
  <r>
    <n v="1575"/>
    <n v="50"/>
    <s v="Male"/>
    <s v="Footwear"/>
    <s v="Sandals"/>
    <n v="180.26"/>
    <s v="Spring"/>
    <s v="Card"/>
    <n v="3.9"/>
    <x v="15"/>
    <n v="1"/>
    <n v="183.93877551020407"/>
    <n v="3.6787755102040762"/>
    <x v="4"/>
    <n v="1"/>
  </r>
  <r>
    <n v="1576"/>
    <n v="45"/>
    <s v="Female"/>
    <s v="Accessories"/>
    <s v="Sunglasses"/>
    <n v="159.72999999999999"/>
    <s v="Spring"/>
    <s v="Card"/>
    <n v="3.7"/>
    <x v="7"/>
    <n v="5"/>
    <n v="177.47777777777776"/>
    <n v="17.74777777777777"/>
    <x v="1"/>
    <n v="1"/>
  </r>
  <r>
    <n v="1577"/>
    <n v="36"/>
    <s v="Female"/>
    <s v="Womens Clothing"/>
    <s v="Top"/>
    <n v="178.61"/>
    <s v="Spring"/>
    <s v="Card"/>
    <n v="3.7"/>
    <x v="6"/>
    <n v="3"/>
    <n v="212.63095238095241"/>
    <n v="34.020952380952394"/>
    <x v="1"/>
    <n v="1"/>
  </r>
  <r>
    <n v="1578"/>
    <n v="55"/>
    <s v="Female"/>
    <s v="Womens Clothing"/>
    <s v="Skirt"/>
    <n v="100.75"/>
    <s v="Autumn"/>
    <s v="Card"/>
    <n v="4.2"/>
    <x v="11"/>
    <n v="8"/>
    <n v="136.14864864864865"/>
    <n v="35.398648648648646"/>
    <x v="4"/>
    <n v="1"/>
  </r>
  <r>
    <n v="1579"/>
    <n v="67"/>
    <s v="Female"/>
    <s v="Sports"/>
    <s v="Yoga Mat"/>
    <n v="65.25"/>
    <s v="Winter"/>
    <s v="Card"/>
    <n v="3.8"/>
    <x v="14"/>
    <n v="6"/>
    <n v="78.614457831325311"/>
    <n v="13.364457831325311"/>
    <x v="2"/>
    <n v="1"/>
  </r>
  <r>
    <n v="1580"/>
    <n v="31"/>
    <s v="Male"/>
    <s v="Mens Clothing"/>
    <s v="Shirt"/>
    <n v="191.96"/>
    <s v="Summer"/>
    <s v="Card"/>
    <n v="3.7"/>
    <x v="1"/>
    <n v="4"/>
    <n v="220.64367816091956"/>
    <n v="28.683678160919555"/>
    <x v="5"/>
    <n v="1"/>
  </r>
  <r>
    <n v="1581"/>
    <n v="42"/>
    <s v="Female"/>
    <s v="Womens Clothing"/>
    <s v="Dress"/>
    <n v="152.61000000000001"/>
    <s v="Summer"/>
    <s v="Card"/>
    <n v="3.2"/>
    <x v="0"/>
    <n v="4"/>
    <n v="186.10975609756099"/>
    <n v="33.499756097560976"/>
    <x v="1"/>
    <n v="1"/>
  </r>
  <r>
    <n v="1582"/>
    <n v="37"/>
    <s v="Male"/>
    <s v="Sports"/>
    <s v="Yoga Mat"/>
    <n v="118.07"/>
    <s v="Winter"/>
    <s v="Card"/>
    <n v="2.8"/>
    <x v="10"/>
    <n v="6"/>
    <n v="151.37179487179486"/>
    <n v="33.301794871794868"/>
    <x v="1"/>
    <n v="1"/>
  </r>
  <r>
    <n v="1583"/>
    <n v="39"/>
    <s v="Female"/>
    <s v="Beauty"/>
    <s v="Makeup Set"/>
    <n v="100.38"/>
    <s v="Autumn"/>
    <s v="Card"/>
    <n v="4.3"/>
    <x v="7"/>
    <n v="5"/>
    <n v="111.53333333333333"/>
    <n v="11.153333333333336"/>
    <x v="1"/>
    <n v="1"/>
  </r>
  <r>
    <n v="1584"/>
    <n v="53"/>
    <s v="Female"/>
    <s v="Home"/>
    <s v="Kitchen Set"/>
    <n v="198.76"/>
    <s v="Spring"/>
    <s v="Card"/>
    <n v="3.8"/>
    <x v="19"/>
    <n v="5"/>
    <n v="233.83529411764707"/>
    <n v="35.075294117647076"/>
    <x v="4"/>
    <n v="1"/>
  </r>
  <r>
    <n v="1585"/>
    <n v="48"/>
    <s v="Male"/>
    <s v="Sports"/>
    <s v="Football"/>
    <n v="33.840000000000003"/>
    <s v="Autumn"/>
    <s v="Card"/>
    <n v="4.0999999999999996"/>
    <x v="1"/>
    <n v="4"/>
    <n v="38.896551724137936"/>
    <n v="5.0565517241379325"/>
    <x v="4"/>
    <n v="1"/>
  </r>
  <r>
    <n v="1586"/>
    <n v="30"/>
    <s v="Male"/>
    <s v="Footwear"/>
    <s v="Formal Shoes"/>
    <n v="106.05"/>
    <s v="Autumn"/>
    <s v="Card"/>
    <n v="4.4000000000000004"/>
    <x v="1"/>
    <n v="4"/>
    <n v="121.89655172413792"/>
    <n v="15.846551724137925"/>
    <x v="5"/>
    <n v="1"/>
  </r>
  <r>
    <n v="1587"/>
    <n v="40"/>
    <s v="Female"/>
    <s v="Footwear"/>
    <s v="Formal Shoes"/>
    <n v="54.39"/>
    <s v="Autumn"/>
    <s v="Card"/>
    <n v="3.9"/>
    <x v="5"/>
    <n v="4"/>
    <n v="59.119565217391305"/>
    <n v="4.7295652173913041"/>
    <x v="1"/>
    <n v="1"/>
  </r>
  <r>
    <n v="1588"/>
    <n v="52"/>
    <s v="Female"/>
    <s v="Groceries"/>
    <s v="Beverages"/>
    <n v="11.01"/>
    <s v="Winter"/>
    <s v="Cash on Delivery"/>
    <n v="4.0999999999999996"/>
    <x v="5"/>
    <n v="4"/>
    <n v="11.967391304347826"/>
    <n v="0.95739130434782638"/>
    <x v="4"/>
    <n v="1"/>
  </r>
  <r>
    <n v="1589"/>
    <n v="67"/>
    <s v="Female"/>
    <s v="Footwear"/>
    <s v="Formal Shoes"/>
    <n v="126.08"/>
    <s v="Summer"/>
    <s v="Card"/>
    <n v="3.8"/>
    <x v="10"/>
    <n v="6"/>
    <n v="161.64102564102564"/>
    <n v="35.561025641025637"/>
    <x v="2"/>
    <n v="1"/>
  </r>
  <r>
    <n v="1590"/>
    <n v="43"/>
    <s v="Male"/>
    <s v="Mens Clothing"/>
    <s v="T-Shirt"/>
    <n v="114.33"/>
    <s v="Summer"/>
    <s v="Card"/>
    <n v="3.9"/>
    <x v="1"/>
    <n v="4"/>
    <n v="131.41379310344828"/>
    <n v="17.083793103448286"/>
    <x v="1"/>
    <n v="1"/>
  </r>
  <r>
    <n v="1591"/>
    <n v="52"/>
    <s v="Male"/>
    <s v="Mens Clothing"/>
    <s v="Jeans"/>
    <n v="157.41"/>
    <s v="Summer"/>
    <s v="Card"/>
    <n v="4.7"/>
    <x v="6"/>
    <n v="3"/>
    <n v="187.39285714285714"/>
    <n v="29.982857142857142"/>
    <x v="4"/>
    <n v="1"/>
  </r>
  <r>
    <n v="1592"/>
    <n v="70"/>
    <s v="Female"/>
    <s v="Footwear"/>
    <s v="Formal Shoes"/>
    <n v="157.88999999999999"/>
    <s v="Autumn"/>
    <s v="Card"/>
    <n v="4"/>
    <x v="6"/>
    <n v="3"/>
    <n v="187.96428571428569"/>
    <n v="30.074285714285708"/>
    <x v="2"/>
    <n v="1"/>
  </r>
  <r>
    <n v="1593"/>
    <n v="46"/>
    <s v="Female"/>
    <s v="Womens Clothing"/>
    <s v="Top"/>
    <n v="52.6"/>
    <s v="Summer"/>
    <s v="Card"/>
    <n v="4"/>
    <x v="23"/>
    <n v="1"/>
    <n v="56.55913978494624"/>
    <n v="3.9591397849462382"/>
    <x v="4"/>
    <n v="1"/>
  </r>
  <r>
    <n v="1594"/>
    <n v="63"/>
    <s v="Male"/>
    <s v="Sports"/>
    <s v="Football"/>
    <n v="37.630000000000003"/>
    <s v="Spring"/>
    <s v="Cash on Delivery"/>
    <n v="3.6"/>
    <x v="1"/>
    <n v="4"/>
    <n v="43.252873563218394"/>
    <n v="5.6228735632183913"/>
    <x v="0"/>
    <n v="1"/>
  </r>
  <r>
    <n v="1595"/>
    <n v="60"/>
    <s v="Male"/>
    <s v="Electronics"/>
    <s v="Mobile Phone"/>
    <n v="1061.83"/>
    <s v="Summer"/>
    <s v="Card"/>
    <n v="4.9000000000000004"/>
    <x v="7"/>
    <n v="5"/>
    <n v="1179.8111111111109"/>
    <n v="117.98111111111098"/>
    <x v="0"/>
    <n v="1"/>
  </r>
  <r>
    <n v="1596"/>
    <n v="53"/>
    <s v="Male"/>
    <s v="Mens Clothing"/>
    <s v="Shirt"/>
    <n v="44.56"/>
    <s v="Summer"/>
    <s v="Card"/>
    <n v="3.9"/>
    <x v="11"/>
    <n v="8"/>
    <n v="60.216216216216218"/>
    <n v="15.656216216216215"/>
    <x v="4"/>
    <n v="1"/>
  </r>
  <r>
    <n v="1597"/>
    <n v="43"/>
    <s v="Female"/>
    <s v="Womens Clothing"/>
    <s v="Jeans"/>
    <n v="57.06"/>
    <s v="Spring"/>
    <s v="Card"/>
    <n v="3.9"/>
    <x v="11"/>
    <n v="8"/>
    <n v="77.108108108108112"/>
    <n v="20.04810810810811"/>
    <x v="1"/>
    <n v="1"/>
  </r>
  <r>
    <n v="1598"/>
    <n v="44"/>
    <s v="Female"/>
    <s v="Womens Clothing"/>
    <s v="Dress"/>
    <n v="34.94"/>
    <s v="Autumn"/>
    <s v="Cash on Delivery"/>
    <n v="1.6"/>
    <x v="10"/>
    <n v="11"/>
    <n v="44.794871794871788"/>
    <n v="9.8548717948717908"/>
    <x v="1"/>
    <n v="1"/>
  </r>
  <r>
    <n v="1599"/>
    <n v="32"/>
    <s v="Male"/>
    <s v="Groceries"/>
    <s v="Rice Pack"/>
    <n v="12.13"/>
    <s v="Winter"/>
    <s v="Card"/>
    <n v="4.9000000000000004"/>
    <x v="6"/>
    <n v="3"/>
    <n v="14.440476190476192"/>
    <n v="2.3104761904761908"/>
    <x v="5"/>
    <n v="1"/>
  </r>
  <r>
    <n v="1600"/>
    <n v="53"/>
    <s v="Male"/>
    <s v="Electronics"/>
    <s v="Mobile Phone"/>
    <n v="930.34"/>
    <s v="Summer"/>
    <s v="Card"/>
    <n v="4.5999999999999996"/>
    <x v="7"/>
    <n v="5"/>
    <n v="1033.7111111111112"/>
    <n v="103.37111111111119"/>
    <x v="4"/>
    <n v="1"/>
  </r>
  <r>
    <n v="1601"/>
    <n v="24"/>
    <s v="Male"/>
    <s v="Electronics"/>
    <s v="Mobile Phone"/>
    <n v="2059.52"/>
    <s v="Winter"/>
    <s v="Card"/>
    <n v="3.4"/>
    <x v="0"/>
    <n v="4"/>
    <n v="2511.6097560975609"/>
    <n v="452.08975609756089"/>
    <x v="3"/>
    <n v="1"/>
  </r>
  <r>
    <n v="1602"/>
    <n v="36"/>
    <s v="Male"/>
    <s v="Footwear"/>
    <s v="Sneakers"/>
    <n v="160.32"/>
    <s v="Autumn"/>
    <s v="Card"/>
    <n v="3.9"/>
    <x v="6"/>
    <n v="8"/>
    <n v="190.85714285714286"/>
    <n v="30.537142857142868"/>
    <x v="1"/>
    <n v="1"/>
  </r>
  <r>
    <n v="1603"/>
    <n v="57"/>
    <s v="Female"/>
    <s v="Accessories"/>
    <s v="Handbag"/>
    <n v="28.73"/>
    <s v="Winter"/>
    <s v="Card"/>
    <n v="3.8"/>
    <x v="7"/>
    <n v="5"/>
    <n v="31.922222222222221"/>
    <n v="3.1922222222222203"/>
    <x v="0"/>
    <n v="1"/>
  </r>
  <r>
    <n v="1604"/>
    <n v="67"/>
    <s v="Male"/>
    <s v="Footwear"/>
    <s v="Formal Shoes"/>
    <n v="229.11"/>
    <s v="Summer"/>
    <s v="Card"/>
    <n v="4"/>
    <x v="1"/>
    <n v="4"/>
    <n v="263.34482758620692"/>
    <n v="34.234827586206904"/>
    <x v="2"/>
    <n v="1"/>
  </r>
  <r>
    <n v="1605"/>
    <n v="38"/>
    <s v="Male"/>
    <s v="Sports"/>
    <s v="Yoga Mat"/>
    <n v="163.57"/>
    <s v="Spring"/>
    <s v="Card"/>
    <n v="4"/>
    <x v="2"/>
    <n v="3"/>
    <n v="183.78651685393257"/>
    <n v="20.216516853932575"/>
    <x v="1"/>
    <n v="1"/>
  </r>
  <r>
    <n v="1606"/>
    <n v="48"/>
    <s v="Male"/>
    <s v="Sports"/>
    <s v="Football"/>
    <n v="149.97999999999999"/>
    <s v="Winter"/>
    <s v="Card"/>
    <n v="4.0999999999999996"/>
    <x v="13"/>
    <n v="2"/>
    <n v="164.8131868131868"/>
    <n v="14.833186813186813"/>
    <x v="4"/>
    <n v="1"/>
  </r>
  <r>
    <n v="1607"/>
    <n v="47"/>
    <s v="Male"/>
    <s v="Mens Clothing"/>
    <s v="Jeans"/>
    <n v="32.58"/>
    <s v="Winter"/>
    <s v="Card"/>
    <n v="4.5"/>
    <x v="4"/>
    <n v="7"/>
    <n v="37.883720930232556"/>
    <n v="5.3037209302325579"/>
    <x v="4"/>
    <n v="1"/>
  </r>
  <r>
    <n v="1608"/>
    <n v="60"/>
    <s v="Male"/>
    <s v="Sports"/>
    <s v="Yoga Mat"/>
    <n v="61.48"/>
    <s v="Spring"/>
    <s v="Card"/>
    <n v="3.9"/>
    <x v="10"/>
    <n v="6"/>
    <n v="78.820512820512818"/>
    <n v="17.340512820512821"/>
    <x v="0"/>
    <n v="1"/>
  </r>
  <r>
    <n v="1609"/>
    <n v="56"/>
    <s v="Female"/>
    <s v="Footwear"/>
    <s v="Sandals"/>
    <n v="140.04"/>
    <s v="Winter"/>
    <s v="Card"/>
    <n v="3.2"/>
    <x v="2"/>
    <n v="3"/>
    <n v="157.34831460674155"/>
    <n v="17.308314606741561"/>
    <x v="0"/>
    <n v="1"/>
  </r>
  <r>
    <n v="1610"/>
    <n v="60"/>
    <s v="Female"/>
    <s v="Accessories"/>
    <s v="Sunglasses"/>
    <n v="47.05"/>
    <s v="Winter"/>
    <s v="Card"/>
    <n v="2.2999999999999998"/>
    <x v="19"/>
    <n v="5"/>
    <n v="55.352941176470587"/>
    <n v="8.3029411764705898"/>
    <x v="0"/>
    <n v="1"/>
  </r>
  <r>
    <n v="1611"/>
    <n v="58"/>
    <s v="Female"/>
    <s v="Sports"/>
    <s v="Dumbbells"/>
    <n v="187.21"/>
    <s v="Winter"/>
    <s v="Card"/>
    <n v="3.7"/>
    <x v="12"/>
    <n v="7"/>
    <n v="231.12345679012344"/>
    <n v="43.913456790123433"/>
    <x v="0"/>
    <n v="1"/>
  </r>
  <r>
    <n v="1612"/>
    <n v="67"/>
    <s v="Female"/>
    <s v="Footwear"/>
    <s v="Sneakers"/>
    <n v="211.09"/>
    <s v="Spring"/>
    <s v="Card"/>
    <n v="3.8"/>
    <x v="13"/>
    <n v="2"/>
    <n v="231.96703296703296"/>
    <n v="20.87703296703296"/>
    <x v="2"/>
    <n v="1"/>
  </r>
  <r>
    <n v="1613"/>
    <n v="56"/>
    <s v="Female"/>
    <s v="Footwear"/>
    <s v="Sneakers"/>
    <n v="181.83"/>
    <s v="Spring"/>
    <s v="Card"/>
    <n v="4"/>
    <x v="15"/>
    <n v="1"/>
    <n v="185.54081632653063"/>
    <n v="3.7108163265306189"/>
    <x v="0"/>
    <n v="1"/>
  </r>
  <r>
    <n v="1614"/>
    <n v="39"/>
    <s v="Female"/>
    <s v="Beauty"/>
    <s v="Perfume"/>
    <n v="96.55"/>
    <s v="Winter"/>
    <s v="Cash on Delivery"/>
    <n v="3.5"/>
    <x v="21"/>
    <n v="8"/>
    <n v="122.21518987341771"/>
    <n v="25.665189873417717"/>
    <x v="1"/>
    <n v="1"/>
  </r>
  <r>
    <n v="1615"/>
    <n v="53"/>
    <s v="Female"/>
    <s v="Beauty"/>
    <s v="Skincare Kit"/>
    <n v="105.07"/>
    <s v="Spring"/>
    <s v="Card"/>
    <n v="3.2"/>
    <x v="18"/>
    <n v="7"/>
    <n v="138.25"/>
    <n v="33.180000000000007"/>
    <x v="4"/>
    <n v="1"/>
  </r>
  <r>
    <n v="1616"/>
    <n v="50"/>
    <s v="Female"/>
    <s v="Beauty"/>
    <s v="Skincare Kit"/>
    <n v="140.66"/>
    <s v="Winter"/>
    <s v="Card"/>
    <n v="4.5"/>
    <x v="10"/>
    <n v="6"/>
    <n v="180.33333333333331"/>
    <n v="39.673333333333318"/>
    <x v="4"/>
    <n v="1"/>
  </r>
  <r>
    <n v="1617"/>
    <n v="38"/>
    <s v="Female"/>
    <s v="Beauty"/>
    <s v="Perfume"/>
    <n v="48.99"/>
    <s v="Summer"/>
    <s v="Cash on Delivery"/>
    <n v="4.5999999999999996"/>
    <x v="3"/>
    <n v="5"/>
    <n v="61.237499999999997"/>
    <n v="12.247499999999995"/>
    <x v="1"/>
    <n v="1"/>
  </r>
  <r>
    <n v="1618"/>
    <n v="20"/>
    <s v="Female"/>
    <s v="Footwear"/>
    <s v="Sneakers"/>
    <n v="43.11"/>
    <s v="Autumn"/>
    <s v="Cash on Delivery"/>
    <n v="2.7"/>
    <x v="2"/>
    <n v="3"/>
    <n v="48.438202247191008"/>
    <n v="5.3282022471910082"/>
    <x v="3"/>
    <n v="1"/>
  </r>
  <r>
    <n v="1619"/>
    <n v="55"/>
    <s v="Male"/>
    <s v="Mens Clothing"/>
    <s v="Jacket"/>
    <n v="168.41"/>
    <s v="Winter"/>
    <s v="Card"/>
    <n v="3.4"/>
    <x v="5"/>
    <n v="4"/>
    <n v="183.05434782608694"/>
    <n v="14.644347826086943"/>
    <x v="4"/>
    <n v="1"/>
  </r>
  <r>
    <n v="1620"/>
    <n v="33"/>
    <s v="Male"/>
    <s v="Sports"/>
    <s v="Dumbbells"/>
    <n v="174.82"/>
    <s v="Summer"/>
    <s v="Card"/>
    <n v="3.2"/>
    <x v="2"/>
    <n v="3"/>
    <n v="196.42696629213481"/>
    <n v="21.606966292134814"/>
    <x v="5"/>
    <n v="1"/>
  </r>
  <r>
    <n v="1621"/>
    <n v="68"/>
    <s v="Female"/>
    <s v="Beauty"/>
    <s v="Skincare Kit"/>
    <n v="76.84"/>
    <s v="Autumn"/>
    <s v="Cash on Delivery"/>
    <n v="3.2"/>
    <x v="19"/>
    <n v="5"/>
    <n v="90.4"/>
    <n v="13.560000000000002"/>
    <x v="2"/>
    <n v="1"/>
  </r>
  <r>
    <n v="1622"/>
    <n v="41"/>
    <s v="Female"/>
    <s v="Beauty"/>
    <s v="Skincare Kit"/>
    <n v="106.37"/>
    <s v="Winter"/>
    <s v="Card"/>
    <n v="2.2999999999999998"/>
    <x v="3"/>
    <n v="5"/>
    <n v="132.96250000000001"/>
    <n v="26.592500000000001"/>
    <x v="1"/>
    <n v="1"/>
  </r>
  <r>
    <n v="1623"/>
    <n v="54"/>
    <s v="Male"/>
    <s v="Electronics"/>
    <s v="Mobile Phone"/>
    <n v="2164.64"/>
    <s v="Spring"/>
    <s v="Card"/>
    <n v="3.9"/>
    <x v="7"/>
    <n v="5"/>
    <n v="2405.1555555555556"/>
    <n v="240.51555555555569"/>
    <x v="4"/>
    <n v="1"/>
  </r>
  <r>
    <n v="1624"/>
    <n v="31"/>
    <s v="Female"/>
    <s v="Beauty"/>
    <s v="Skincare Kit"/>
    <n v="61.15"/>
    <s v="Summer"/>
    <s v="Card"/>
    <n v="3.4"/>
    <x v="14"/>
    <n v="6"/>
    <n v="73.674698795180731"/>
    <n v="12.524698795180733"/>
    <x v="5"/>
    <n v="1"/>
  </r>
  <r>
    <n v="1625"/>
    <n v="31"/>
    <s v="Male"/>
    <s v="Electronics"/>
    <s v="Headphones"/>
    <n v="1128.3"/>
    <s v="Summer"/>
    <s v="Card"/>
    <n v="3.2"/>
    <x v="7"/>
    <n v="5"/>
    <n v="1253.6666666666665"/>
    <n v="125.36666666666656"/>
    <x v="5"/>
    <n v="1"/>
  </r>
  <r>
    <n v="1626"/>
    <n v="47"/>
    <s v="Male"/>
    <s v="Electronics"/>
    <s v="Mobile Phone"/>
    <n v="696.28"/>
    <s v="Autumn"/>
    <s v="Card"/>
    <n v="3.7"/>
    <x v="19"/>
    <n v="5"/>
    <n v="819.15294117647056"/>
    <n v="122.87294117647059"/>
    <x v="4"/>
    <n v="1"/>
  </r>
  <r>
    <n v="1627"/>
    <n v="55"/>
    <s v="Male"/>
    <s v="Footwear"/>
    <s v="Formal Shoes"/>
    <n v="212.95"/>
    <s v="Winter"/>
    <s v="Card"/>
    <n v="3.4"/>
    <x v="8"/>
    <n v="6"/>
    <n v="241.98863636363635"/>
    <n v="29.038636363636357"/>
    <x v="4"/>
    <n v="1"/>
  </r>
  <r>
    <n v="1628"/>
    <n v="56"/>
    <s v="Female"/>
    <s v="Footwear"/>
    <s v="Sneakers"/>
    <n v="213.37"/>
    <s v="Winter"/>
    <s v="Card"/>
    <n v="2.9"/>
    <x v="17"/>
    <n v="2"/>
    <n v="222.26041666666669"/>
    <n v="8.8904166666666811"/>
    <x v="0"/>
    <n v="1"/>
  </r>
  <r>
    <n v="1629"/>
    <n v="57"/>
    <s v="Female"/>
    <s v="Groceries"/>
    <s v="Rice Pack"/>
    <n v="30.58"/>
    <s v="Summer"/>
    <s v="Card"/>
    <n v="4.4000000000000004"/>
    <x v="4"/>
    <n v="7"/>
    <n v="35.558139534883722"/>
    <n v="4.9781395348837236"/>
    <x v="0"/>
    <n v="1"/>
  </r>
  <r>
    <n v="1630"/>
    <n v="54"/>
    <s v="Female"/>
    <s v="Footwear"/>
    <s v="Formal Shoes"/>
    <n v="146.74"/>
    <s v="Summer"/>
    <s v="Card"/>
    <n v="3.7"/>
    <x v="24"/>
    <n v="9"/>
    <n v="203.80555555555557"/>
    <n v="57.065555555555562"/>
    <x v="4"/>
    <n v="1"/>
  </r>
  <r>
    <n v="1631"/>
    <n v="44"/>
    <s v="Female"/>
    <s v="Groceries"/>
    <s v="Snacks"/>
    <n v="14.22"/>
    <s v="Spring"/>
    <s v="Cash on Delivery"/>
    <n v="2.5"/>
    <x v="4"/>
    <n v="7"/>
    <n v="16.534883720930235"/>
    <n v="2.3148837209302346"/>
    <x v="1"/>
    <n v="1"/>
  </r>
  <r>
    <n v="1632"/>
    <n v="44"/>
    <s v="Male"/>
    <s v="Sports"/>
    <s v="Football"/>
    <n v="87.41"/>
    <s v="Autumn"/>
    <s v="Cash on Delivery"/>
    <n v="3.4"/>
    <x v="17"/>
    <n v="2"/>
    <n v="91.052083333333329"/>
    <n v="3.642083333333332"/>
    <x v="1"/>
    <n v="1"/>
  </r>
  <r>
    <n v="1633"/>
    <n v="23"/>
    <s v="Female"/>
    <s v="Groceries"/>
    <s v="Rice Pack"/>
    <n v="78.14"/>
    <s v="Winter"/>
    <s v="Card"/>
    <n v="3.7"/>
    <x v="4"/>
    <n v="7"/>
    <n v="90.860465116279073"/>
    <n v="12.720465116279073"/>
    <x v="3"/>
    <n v="1"/>
  </r>
  <r>
    <n v="1634"/>
    <n v="64"/>
    <s v="Female"/>
    <s v="Groceries"/>
    <s v="Cooking Oil"/>
    <n v="40.22"/>
    <s v="Spring"/>
    <s v="Cash on Delivery"/>
    <n v="4.5"/>
    <x v="2"/>
    <n v="3"/>
    <n v="45.191011235955052"/>
    <n v="4.9710112359550536"/>
    <x v="0"/>
    <n v="1"/>
  </r>
  <r>
    <n v="1635"/>
    <n v="39"/>
    <s v="Male"/>
    <s v="Home"/>
    <s v="Curtains"/>
    <n v="199.12"/>
    <s v="Summer"/>
    <s v="Card"/>
    <n v="3.7"/>
    <x v="12"/>
    <n v="7"/>
    <n v="245.82716049382714"/>
    <n v="46.707160493827132"/>
    <x v="1"/>
    <n v="1"/>
  </r>
  <r>
    <n v="1636"/>
    <n v="40"/>
    <s v="Female"/>
    <s v="Sports"/>
    <s v="Dumbbells"/>
    <n v="204.66"/>
    <s v="Winter"/>
    <s v="Card"/>
    <n v="3"/>
    <x v="6"/>
    <n v="3"/>
    <n v="243.64285714285714"/>
    <n v="38.982857142857142"/>
    <x v="1"/>
    <n v="1"/>
  </r>
  <r>
    <n v="1637"/>
    <n v="21"/>
    <s v="Female"/>
    <s v="Footwear"/>
    <s v="Sandals"/>
    <n v="121.27"/>
    <s v="Summer"/>
    <s v="Card"/>
    <n v="5"/>
    <x v="10"/>
    <n v="6"/>
    <n v="155.47435897435898"/>
    <n v="34.204358974358982"/>
    <x v="3"/>
    <n v="1"/>
  </r>
  <r>
    <n v="1638"/>
    <n v="28"/>
    <s v="Female"/>
    <s v="Accessories"/>
    <s v="Sunglasses"/>
    <n v="63.38"/>
    <s v="Summer"/>
    <s v="Cash on Delivery"/>
    <n v="4.9000000000000004"/>
    <x v="22"/>
    <n v="9"/>
    <n v="82.311688311688314"/>
    <n v="18.931688311688312"/>
    <x v="5"/>
    <n v="1"/>
  </r>
  <r>
    <n v="1639"/>
    <n v="34"/>
    <s v="Male"/>
    <s v="Electronics"/>
    <s v="Headphones"/>
    <n v="1458.59"/>
    <s v="Spring"/>
    <s v="Card"/>
    <n v="3.8"/>
    <x v="19"/>
    <n v="5"/>
    <n v="1715.9882352941177"/>
    <n v="257.39823529411774"/>
    <x v="5"/>
    <n v="1"/>
  </r>
  <r>
    <n v="1640"/>
    <n v="47"/>
    <s v="Female"/>
    <s v="Womens Clothing"/>
    <s v="Jeans"/>
    <n v="115.9"/>
    <s v="Winter"/>
    <s v="Card"/>
    <n v="4"/>
    <x v="18"/>
    <n v="12"/>
    <n v="152.5"/>
    <n v="36.599999999999994"/>
    <x v="4"/>
    <n v="1"/>
  </r>
  <r>
    <n v="1641"/>
    <n v="30"/>
    <s v="Female"/>
    <s v="Accessories"/>
    <s v="Sunglasses"/>
    <n v="45.95"/>
    <s v="Winter"/>
    <s v="Cash on Delivery"/>
    <n v="3.8"/>
    <x v="4"/>
    <n v="2"/>
    <n v="53.430232558139537"/>
    <n v="7.4802325581395337"/>
    <x v="5"/>
    <n v="1"/>
  </r>
  <r>
    <n v="1642"/>
    <n v="53"/>
    <s v="Male"/>
    <s v="Electronics"/>
    <s v="Headphones"/>
    <n v="2248.9899999999998"/>
    <s v="Spring"/>
    <s v="Card"/>
    <n v="3.6"/>
    <x v="4"/>
    <n v="2"/>
    <n v="2615.1046511627906"/>
    <n v="366.11465116279078"/>
    <x v="4"/>
    <n v="1"/>
  </r>
  <r>
    <n v="1643"/>
    <n v="33"/>
    <s v="Female"/>
    <s v="Footwear"/>
    <s v="Sandals"/>
    <n v="168.21"/>
    <s v="Winter"/>
    <s v="Card"/>
    <n v="3.1"/>
    <x v="0"/>
    <n v="9"/>
    <n v="205.13414634146341"/>
    <n v="36.924146341463398"/>
    <x v="5"/>
    <n v="1"/>
  </r>
  <r>
    <n v="1644"/>
    <n v="28"/>
    <s v="Male"/>
    <s v="Sports"/>
    <s v="Dumbbells"/>
    <n v="38.31"/>
    <s v="Spring"/>
    <s v="Card"/>
    <n v="3.7"/>
    <x v="14"/>
    <n v="6"/>
    <n v="46.156626506024104"/>
    <n v="7.8466265060241014"/>
    <x v="5"/>
    <n v="1"/>
  </r>
  <r>
    <n v="1645"/>
    <n v="58"/>
    <s v="Male"/>
    <s v="Sports"/>
    <s v="Dumbbells"/>
    <n v="137.26"/>
    <s v="Winter"/>
    <s v="Card"/>
    <n v="4.4000000000000004"/>
    <x v="1"/>
    <n v="4"/>
    <n v="157.77011494252872"/>
    <n v="20.51011494252873"/>
    <x v="0"/>
    <n v="1"/>
  </r>
  <r>
    <n v="1646"/>
    <n v="59"/>
    <s v="Male"/>
    <s v="Footwear"/>
    <s v="Sneakers"/>
    <n v="115.57"/>
    <s v="Winter"/>
    <s v="Card"/>
    <n v="2.5"/>
    <x v="1"/>
    <n v="4"/>
    <n v="132.83908045977012"/>
    <n v="17.269080459770123"/>
    <x v="0"/>
    <n v="1"/>
  </r>
  <r>
    <n v="1647"/>
    <n v="54"/>
    <s v="Male"/>
    <s v="Footwear"/>
    <s v="Sneakers"/>
    <n v="189.63"/>
    <s v="Summer"/>
    <s v="Card"/>
    <n v="4.4000000000000004"/>
    <x v="4"/>
    <n v="7"/>
    <n v="220.5"/>
    <n v="30.870000000000005"/>
    <x v="4"/>
    <n v="1"/>
  </r>
  <r>
    <n v="1648"/>
    <n v="67"/>
    <s v="Female"/>
    <s v="Beauty"/>
    <s v="Perfume"/>
    <n v="58.44"/>
    <s v="Winter"/>
    <s v="Card"/>
    <n v="3.4"/>
    <x v="0"/>
    <n v="4"/>
    <n v="71.268292682926827"/>
    <n v="12.828292682926829"/>
    <x v="2"/>
    <n v="1"/>
  </r>
  <r>
    <n v="1649"/>
    <n v="32"/>
    <s v="Male"/>
    <s v="Electronics"/>
    <s v="Smart Watch"/>
    <n v="1800.7"/>
    <s v="Summer"/>
    <s v="Card"/>
    <n v="3.6"/>
    <x v="7"/>
    <n v="5"/>
    <n v="2000.7777777777778"/>
    <n v="200.07777777777778"/>
    <x v="5"/>
    <n v="1"/>
  </r>
  <r>
    <n v="1650"/>
    <n v="23"/>
    <s v="Male"/>
    <s v="Groceries"/>
    <s v="Beverages"/>
    <n v="8.34"/>
    <s v="Autumn"/>
    <s v="Card"/>
    <n v="4.0999999999999996"/>
    <x v="27"/>
    <n v="10"/>
    <n v="11.12"/>
    <n v="2.7799999999999994"/>
    <x v="3"/>
    <n v="1"/>
  </r>
  <r>
    <n v="1651"/>
    <n v="56"/>
    <s v="Female"/>
    <s v="Accessories"/>
    <s v="Sunglasses"/>
    <n v="83.07"/>
    <s v="Summer"/>
    <s v="Card"/>
    <n v="3.8"/>
    <x v="1"/>
    <n v="4"/>
    <n v="95.482758620689651"/>
    <n v="12.412758620689658"/>
    <x v="0"/>
    <n v="1"/>
  </r>
  <r>
    <n v="1652"/>
    <n v="65"/>
    <s v="Male"/>
    <s v="Home"/>
    <s v="Kitchen Set"/>
    <n v="173.82"/>
    <s v="Autumn"/>
    <s v="Card"/>
    <n v="5"/>
    <x v="10"/>
    <n v="6"/>
    <n v="222.84615384615384"/>
    <n v="49.026153846153846"/>
    <x v="0"/>
    <n v="1"/>
  </r>
  <r>
    <n v="1653"/>
    <n v="47"/>
    <s v="Female"/>
    <s v="Womens Clothing"/>
    <s v="Jeans"/>
    <n v="145.85"/>
    <s v="Spring"/>
    <s v="Card"/>
    <n v="3"/>
    <x v="5"/>
    <n v="4"/>
    <n v="158.53260869565216"/>
    <n v="12.682608695652164"/>
    <x v="4"/>
    <n v="1"/>
  </r>
  <r>
    <n v="1654"/>
    <n v="22"/>
    <s v="Female"/>
    <s v="Womens Clothing"/>
    <s v="Jeans"/>
    <n v="79.34"/>
    <s v="Winter"/>
    <s v="Cash on Delivery"/>
    <n v="3.5"/>
    <x v="18"/>
    <n v="7"/>
    <n v="104.39473684210526"/>
    <n v="25.054736842105257"/>
    <x v="3"/>
    <n v="1"/>
  </r>
  <r>
    <n v="1655"/>
    <n v="38"/>
    <s v="Female"/>
    <s v="Womens Clothing"/>
    <s v="Dress"/>
    <n v="140"/>
    <s v="Winter"/>
    <s v="Card"/>
    <n v="3.8"/>
    <x v="2"/>
    <n v="3"/>
    <n v="157.30337078651687"/>
    <n v="17.303370786516865"/>
    <x v="1"/>
    <n v="1"/>
  </r>
  <r>
    <n v="1656"/>
    <n v="48"/>
    <s v="Male"/>
    <s v="Electronics"/>
    <s v="Mobile Phone"/>
    <n v="532.67999999999995"/>
    <s v="Summer"/>
    <s v="Card"/>
    <n v="3"/>
    <x v="16"/>
    <n v="3"/>
    <n v="566.68085106382978"/>
    <n v="34.000851063829828"/>
    <x v="4"/>
    <n v="1"/>
  </r>
  <r>
    <n v="1657"/>
    <n v="26"/>
    <s v="Male"/>
    <s v="Sports"/>
    <s v="Dumbbells"/>
    <n v="168.47"/>
    <s v="Winter"/>
    <s v="Card"/>
    <n v="3.7"/>
    <x v="10"/>
    <n v="11"/>
    <n v="215.98717948717947"/>
    <n v="47.517179487179476"/>
    <x v="5"/>
    <n v="1"/>
  </r>
  <r>
    <n v="1658"/>
    <n v="65"/>
    <s v="Female"/>
    <s v="Womens Clothing"/>
    <s v="Dress"/>
    <n v="93.8"/>
    <s v="Winter"/>
    <s v="Cash on Delivery"/>
    <n v="4.3"/>
    <x v="6"/>
    <n v="3"/>
    <n v="111.66666666666667"/>
    <n v="17.866666666666674"/>
    <x v="0"/>
    <n v="1"/>
  </r>
  <r>
    <n v="1659"/>
    <n v="68"/>
    <s v="Male"/>
    <s v="Mens Clothing"/>
    <s v="Shirt"/>
    <n v="162.35"/>
    <s v="Summer"/>
    <s v="Card"/>
    <n v="4.4000000000000004"/>
    <x v="14"/>
    <n v="6"/>
    <n v="195.60240963855421"/>
    <n v="33.252409638554212"/>
    <x v="2"/>
    <n v="1"/>
  </r>
  <r>
    <n v="1660"/>
    <n v="58"/>
    <s v="Male"/>
    <s v="Mens Clothing"/>
    <s v="T-Shirt"/>
    <n v="62.32"/>
    <s v="Spring"/>
    <s v="Card"/>
    <n v="3.9"/>
    <x v="1"/>
    <n v="4"/>
    <n v="71.632183908045974"/>
    <n v="9.3121839080459736"/>
    <x v="0"/>
    <n v="1"/>
  </r>
  <r>
    <n v="1661"/>
    <n v="48"/>
    <s v="Female"/>
    <s v="Beauty"/>
    <s v="Makeup Set"/>
    <n v="134.47999999999999"/>
    <s v="Winter"/>
    <s v="Card"/>
    <n v="3.9"/>
    <x v="0"/>
    <n v="4"/>
    <n v="163.99999999999997"/>
    <n v="29.519999999999982"/>
    <x v="4"/>
    <n v="1"/>
  </r>
  <r>
    <n v="1662"/>
    <n v="37"/>
    <s v="Male"/>
    <s v="Footwear"/>
    <s v="Sneakers"/>
    <n v="200.91"/>
    <s v="Spring"/>
    <s v="Card"/>
    <n v="2.8"/>
    <x v="6"/>
    <n v="3"/>
    <n v="239.17857142857144"/>
    <n v="38.268571428571448"/>
    <x v="1"/>
    <n v="1"/>
  </r>
  <r>
    <n v="1663"/>
    <n v="31"/>
    <s v="Female"/>
    <s v="Beauty"/>
    <s v="Skincare Kit"/>
    <n v="137.99"/>
    <s v="Winter"/>
    <s v="Card"/>
    <n v="3.8"/>
    <x v="7"/>
    <n v="5"/>
    <n v="153.32222222222222"/>
    <n v="15.332222222222214"/>
    <x v="5"/>
    <n v="1"/>
  </r>
  <r>
    <n v="1664"/>
    <n v="62"/>
    <s v="Female"/>
    <s v="Footwear"/>
    <s v="Formal Shoes"/>
    <n v="51.08"/>
    <s v="Winter"/>
    <s v="Cash on Delivery"/>
    <n v="3.1"/>
    <x v="21"/>
    <n v="8"/>
    <n v="64.658227848101262"/>
    <n v="13.578227848101264"/>
    <x v="0"/>
    <n v="1"/>
  </r>
  <r>
    <n v="1665"/>
    <n v="56"/>
    <s v="Male"/>
    <s v="Sports"/>
    <s v="Football"/>
    <n v="211"/>
    <s v="Autumn"/>
    <s v="Card"/>
    <n v="1.3"/>
    <x v="26"/>
    <n v="0"/>
    <n v="222.10526315789474"/>
    <n v="11.10526315789474"/>
    <x v="0"/>
    <n v="1"/>
  </r>
  <r>
    <n v="1666"/>
    <n v="28"/>
    <s v="Female"/>
    <s v="Womens Clothing"/>
    <s v="Dress"/>
    <n v="40.1"/>
    <s v="Autumn"/>
    <s v="Card"/>
    <n v="3.5"/>
    <x v="3"/>
    <n v="5"/>
    <n v="50.125"/>
    <n v="10.024999999999999"/>
    <x v="5"/>
    <n v="1"/>
  </r>
  <r>
    <n v="1667"/>
    <n v="27"/>
    <s v="Male"/>
    <s v="Groceries"/>
    <s v="Cooking Oil"/>
    <n v="19.89"/>
    <s v="Summer"/>
    <s v="Card"/>
    <n v="4.0999999999999996"/>
    <x v="13"/>
    <n v="2"/>
    <n v="21.857142857142858"/>
    <n v="1.9671428571428571"/>
    <x v="5"/>
    <n v="1"/>
  </r>
  <r>
    <n v="1668"/>
    <n v="61"/>
    <s v="Male"/>
    <s v="Sports"/>
    <s v="Yoga Mat"/>
    <n v="135.32"/>
    <s v="Autumn"/>
    <s v="Card"/>
    <n v="3"/>
    <x v="4"/>
    <n v="7"/>
    <n v="157.34883720930233"/>
    <n v="22.028837209302338"/>
    <x v="0"/>
    <n v="1"/>
  </r>
  <r>
    <n v="1669"/>
    <n v="23"/>
    <s v="Female"/>
    <s v="Accessories"/>
    <s v="Wallet"/>
    <n v="101.21"/>
    <s v="Winter"/>
    <s v="Card"/>
    <n v="3.6"/>
    <x v="24"/>
    <n v="9"/>
    <n v="140.56944444444443"/>
    <n v="39.359444444444435"/>
    <x v="3"/>
    <n v="1"/>
  </r>
  <r>
    <n v="1670"/>
    <n v="60"/>
    <s v="Female"/>
    <s v="Sports"/>
    <s v="Yoga Mat"/>
    <n v="163.92"/>
    <s v="Spring"/>
    <s v="Card"/>
    <n v="3.1"/>
    <x v="19"/>
    <n v="5"/>
    <n v="192.84705882352941"/>
    <n v="28.927058823529421"/>
    <x v="0"/>
    <n v="1"/>
  </r>
  <r>
    <n v="1671"/>
    <n v="54"/>
    <s v="Male"/>
    <s v="Footwear"/>
    <s v="Sneakers"/>
    <n v="138.78"/>
    <s v="Summer"/>
    <s v="Card"/>
    <n v="3.7"/>
    <x v="19"/>
    <n v="5"/>
    <n v="163.27058823529413"/>
    <n v="24.490588235294126"/>
    <x v="4"/>
    <n v="1"/>
  </r>
  <r>
    <n v="1672"/>
    <n v="37"/>
    <s v="Male"/>
    <s v="Mens Clothing"/>
    <s v="T-Shirt"/>
    <n v="168.61"/>
    <s v="Autumn"/>
    <s v="Card"/>
    <n v="4.5999999999999996"/>
    <x v="19"/>
    <n v="5"/>
    <n v="198.36470588235295"/>
    <n v="29.754705882352937"/>
    <x v="1"/>
    <n v="1"/>
  </r>
  <r>
    <n v="1673"/>
    <n v="60"/>
    <s v="Female"/>
    <s v="Womens Clothing"/>
    <s v="Skirt"/>
    <n v="177.44"/>
    <s v="Autumn"/>
    <s v="Card"/>
    <n v="3.8"/>
    <x v="13"/>
    <n v="2"/>
    <n v="194.98901098901098"/>
    <n v="17.549010989010981"/>
    <x v="0"/>
    <n v="1"/>
  </r>
  <r>
    <n v="1674"/>
    <n v="42"/>
    <s v="Male"/>
    <s v="Footwear"/>
    <s v="Sneakers"/>
    <n v="58.43"/>
    <s v="Summer"/>
    <s v="Card"/>
    <n v="3.9"/>
    <x v="1"/>
    <n v="4"/>
    <n v="67.160919540229884"/>
    <n v="8.730919540229884"/>
    <x v="1"/>
    <n v="1"/>
  </r>
  <r>
    <n v="1675"/>
    <n v="27"/>
    <s v="Male"/>
    <s v="Home"/>
    <s v="Lamp"/>
    <n v="184.18"/>
    <s v="Winter"/>
    <s v="Card"/>
    <n v="4.2"/>
    <x v="22"/>
    <n v="9"/>
    <n v="239.19480519480518"/>
    <n v="55.014805194805177"/>
    <x v="5"/>
    <n v="1"/>
  </r>
  <r>
    <n v="1676"/>
    <n v="54"/>
    <s v="Female"/>
    <s v="Footwear"/>
    <s v="Formal Shoes"/>
    <n v="180.54"/>
    <s v="Autumn"/>
    <s v="Card"/>
    <n v="3.9"/>
    <x v="19"/>
    <n v="5"/>
    <n v="212.4"/>
    <n v="31.860000000000014"/>
    <x v="4"/>
    <n v="1"/>
  </r>
  <r>
    <n v="1677"/>
    <n v="56"/>
    <s v="Male"/>
    <s v="Mens Clothing"/>
    <s v="Jeans"/>
    <n v="135.91"/>
    <s v="Winter"/>
    <s v="Card"/>
    <n v="3.6"/>
    <x v="10"/>
    <n v="6"/>
    <n v="174.24358974358972"/>
    <n v="38.333589743589727"/>
    <x v="0"/>
    <n v="1"/>
  </r>
  <r>
    <n v="1678"/>
    <n v="44"/>
    <s v="Female"/>
    <s v="Womens Clothing"/>
    <s v="Dress"/>
    <n v="183.99"/>
    <s v="Autumn"/>
    <s v="Card"/>
    <n v="3.1"/>
    <x v="6"/>
    <n v="8"/>
    <n v="219.03571428571431"/>
    <n v="35.045714285714297"/>
    <x v="1"/>
    <n v="1"/>
  </r>
  <r>
    <n v="1679"/>
    <n v="32"/>
    <s v="Female"/>
    <s v="Footwear"/>
    <s v="Sneakers"/>
    <n v="188.12"/>
    <s v="Winter"/>
    <s v="Card"/>
    <n v="2.7"/>
    <x v="16"/>
    <n v="3"/>
    <n v="200.12765957446811"/>
    <n v="12.007659574468107"/>
    <x v="5"/>
    <n v="1"/>
  </r>
  <r>
    <n v="1680"/>
    <n v="60"/>
    <s v="Female"/>
    <s v="Footwear"/>
    <s v="Sneakers"/>
    <n v="81.88"/>
    <s v="Winter"/>
    <s v="Cash on Delivery"/>
    <n v="4.5"/>
    <x v="4"/>
    <n v="7"/>
    <n v="95.20930232558139"/>
    <n v="13.329302325581395"/>
    <x v="0"/>
    <n v="1"/>
  </r>
  <r>
    <n v="1681"/>
    <n v="55"/>
    <s v="Female"/>
    <s v="Footwear"/>
    <s v="Sneakers"/>
    <n v="134.88"/>
    <s v="Winter"/>
    <s v="Card"/>
    <n v="4.0999999999999996"/>
    <x v="2"/>
    <n v="3"/>
    <n v="151.55056179775281"/>
    <n v="16.670561797752811"/>
    <x v="4"/>
    <n v="1"/>
  </r>
  <r>
    <n v="1682"/>
    <n v="60"/>
    <s v="Female"/>
    <s v="Footwear"/>
    <s v="Sneakers"/>
    <n v="76.8"/>
    <s v="Winter"/>
    <s v="Card"/>
    <n v="3.3"/>
    <x v="14"/>
    <n v="6"/>
    <n v="92.53012048192771"/>
    <n v="15.730120481927713"/>
    <x v="0"/>
    <n v="1"/>
  </r>
  <r>
    <n v="1683"/>
    <n v="54"/>
    <s v="Female"/>
    <s v="Beauty"/>
    <s v="Perfume"/>
    <n v="54.63"/>
    <s v="Winter"/>
    <s v="Cash on Delivery"/>
    <n v="4.5"/>
    <x v="7"/>
    <n v="5"/>
    <n v="60.7"/>
    <n v="6.07"/>
    <x v="4"/>
    <n v="1"/>
  </r>
  <r>
    <n v="1684"/>
    <n v="39"/>
    <s v="Male"/>
    <s v="Mens Clothing"/>
    <s v="Jeans"/>
    <n v="47.56"/>
    <s v="Spring"/>
    <s v="Cash on Delivery"/>
    <n v="2.1"/>
    <x v="16"/>
    <n v="3"/>
    <n v="50.59574468085107"/>
    <n v="3.0357446808510673"/>
    <x v="1"/>
    <n v="1"/>
  </r>
  <r>
    <n v="1685"/>
    <n v="20"/>
    <s v="Male"/>
    <s v="Footwear"/>
    <s v="Sneakers"/>
    <n v="53.28"/>
    <s v="Summer"/>
    <s v="Card"/>
    <n v="3"/>
    <x v="22"/>
    <n v="9"/>
    <n v="69.194805194805198"/>
    <n v="15.914805194805197"/>
    <x v="3"/>
    <n v="1"/>
  </r>
  <r>
    <n v="1686"/>
    <n v="31"/>
    <s v="Female"/>
    <s v="Groceries"/>
    <s v="Rice Pack"/>
    <n v="78.790000000000006"/>
    <s v="Winter"/>
    <s v="Cash on Delivery"/>
    <n v="4.8"/>
    <x v="4"/>
    <n v="2"/>
    <n v="91.616279069767444"/>
    <n v="12.826279069767438"/>
    <x v="5"/>
    <n v="1"/>
  </r>
  <r>
    <n v="1687"/>
    <n v="45"/>
    <s v="Female"/>
    <s v="Beauty"/>
    <s v="Perfume"/>
    <n v="52.81"/>
    <s v="Winter"/>
    <s v="Card"/>
    <n v="4.5999999999999996"/>
    <x v="18"/>
    <n v="7"/>
    <n v="69.486842105263165"/>
    <n v="16.676842105263162"/>
    <x v="1"/>
    <n v="1"/>
  </r>
  <r>
    <n v="1688"/>
    <n v="38"/>
    <s v="Male"/>
    <s v="Electronics"/>
    <s v="Smart Watch"/>
    <n v="2403.13"/>
    <s v="Summer"/>
    <s v="Card"/>
    <n v="4.9000000000000004"/>
    <x v="5"/>
    <n v="4"/>
    <n v="2612.0978260869565"/>
    <n v="208.96782608695639"/>
    <x v="1"/>
    <n v="1"/>
  </r>
  <r>
    <n v="1689"/>
    <n v="61"/>
    <s v="Female"/>
    <s v="Accessories"/>
    <s v="Sunglasses"/>
    <n v="117"/>
    <s v="Summer"/>
    <s v="Card"/>
    <n v="3.4"/>
    <x v="19"/>
    <n v="5"/>
    <n v="137.64705882352942"/>
    <n v="20.64705882352942"/>
    <x v="0"/>
    <n v="1"/>
  </r>
  <r>
    <n v="1690"/>
    <n v="51"/>
    <s v="Male"/>
    <s v="Footwear"/>
    <s v="Sneakers"/>
    <n v="94.71"/>
    <s v="Summer"/>
    <s v="Card"/>
    <n v="3.6"/>
    <x v="1"/>
    <n v="4"/>
    <n v="108.86206896551724"/>
    <n v="14.152068965517245"/>
    <x v="4"/>
    <n v="1"/>
  </r>
  <r>
    <n v="1691"/>
    <n v="54"/>
    <s v="Female"/>
    <s v="Footwear"/>
    <s v="Sandals"/>
    <n v="121.85"/>
    <s v="Autumn"/>
    <s v="Card"/>
    <n v="4.0999999999999996"/>
    <x v="18"/>
    <n v="7"/>
    <n v="160.32894736842104"/>
    <n v="38.478947368421046"/>
    <x v="4"/>
    <n v="1"/>
  </r>
  <r>
    <n v="1692"/>
    <n v="49"/>
    <s v="Male"/>
    <s v="Groceries"/>
    <s v="Beverages"/>
    <n v="72.209999999999994"/>
    <s v="Autumn"/>
    <s v="Cash on Delivery"/>
    <n v="3.8"/>
    <x v="6"/>
    <n v="3"/>
    <n v="85.964285714285708"/>
    <n v="13.754285714285714"/>
    <x v="4"/>
    <n v="1"/>
  </r>
  <r>
    <n v="1693"/>
    <n v="69"/>
    <s v="Female"/>
    <s v="Accessories"/>
    <s v="Wallet"/>
    <n v="166.88"/>
    <s v="Summer"/>
    <s v="Card"/>
    <n v="4.0999999999999996"/>
    <x v="5"/>
    <n v="4"/>
    <n v="181.39130434782606"/>
    <n v="14.511304347826069"/>
    <x v="2"/>
    <n v="1"/>
  </r>
  <r>
    <n v="1694"/>
    <n v="46"/>
    <s v="Female"/>
    <s v="Beauty"/>
    <s v="Skincare Kit"/>
    <n v="75.22"/>
    <s v="Autumn"/>
    <s v="Cash on Delivery"/>
    <n v="4.0999999999999996"/>
    <x v="7"/>
    <n v="5"/>
    <n v="83.577777777777769"/>
    <n v="8.3577777777777698"/>
    <x v="4"/>
    <n v="1"/>
  </r>
  <r>
    <n v="1695"/>
    <n v="48"/>
    <s v="Male"/>
    <s v="Footwear"/>
    <s v="Sneakers"/>
    <n v="77.91"/>
    <s v="Spring"/>
    <s v="Card"/>
    <n v="3.9"/>
    <x v="14"/>
    <n v="6"/>
    <n v="93.867469879518069"/>
    <n v="15.957469879518072"/>
    <x v="4"/>
    <n v="1"/>
  </r>
  <r>
    <n v="1696"/>
    <n v="58"/>
    <s v="Male"/>
    <s v="Sports"/>
    <s v="Yoga Mat"/>
    <n v="65.28"/>
    <s v="Winter"/>
    <s v="Card"/>
    <n v="4.5999999999999996"/>
    <x v="8"/>
    <n v="6"/>
    <n v="74.181818181818187"/>
    <n v="8.9018181818181858"/>
    <x v="0"/>
    <n v="1"/>
  </r>
  <r>
    <n v="1697"/>
    <n v="47"/>
    <s v="Female"/>
    <s v="Footwear"/>
    <s v="Sandals"/>
    <n v="132.81"/>
    <s v="Spring"/>
    <s v="Card"/>
    <n v="4.0999999999999996"/>
    <x v="16"/>
    <n v="3"/>
    <n v="141.28723404255319"/>
    <n v="8.4772340425531922"/>
    <x v="4"/>
    <n v="1"/>
  </r>
  <r>
    <n v="1698"/>
    <n v="33"/>
    <s v="Male"/>
    <s v="Electronics"/>
    <s v="Smart Watch"/>
    <n v="2290.9699999999998"/>
    <s v="Summer"/>
    <s v="Card"/>
    <n v="4.2"/>
    <x v="8"/>
    <n v="1"/>
    <n v="2603.3749999999995"/>
    <n v="312.40499999999975"/>
    <x v="5"/>
    <n v="1"/>
  </r>
  <r>
    <n v="1699"/>
    <n v="34"/>
    <s v="Female"/>
    <s v="Beauty"/>
    <s v="Skincare Kit"/>
    <n v="31.61"/>
    <s v="Autumn"/>
    <s v="Card"/>
    <n v="5"/>
    <x v="12"/>
    <n v="7"/>
    <n v="39.02469135802469"/>
    <n v="7.4146913580246903"/>
    <x v="5"/>
    <n v="1"/>
  </r>
  <r>
    <n v="1700"/>
    <n v="43"/>
    <s v="Male"/>
    <s v="Mens Clothing"/>
    <s v="Shirt"/>
    <n v="184.32"/>
    <s v="Spring"/>
    <s v="Card"/>
    <n v="4.5999999999999996"/>
    <x v="10"/>
    <n v="6"/>
    <n v="236.30769230769229"/>
    <n v="51.987692307692299"/>
    <x v="1"/>
    <n v="1"/>
  </r>
  <r>
    <n v="1701"/>
    <n v="58"/>
    <s v="Male"/>
    <s v="Footwear"/>
    <s v="Formal Shoes"/>
    <n v="135.47"/>
    <s v="Spring"/>
    <s v="Card"/>
    <n v="4.9000000000000004"/>
    <x v="25"/>
    <n v="10"/>
    <n v="193.52857142857144"/>
    <n v="58.05857142857144"/>
    <x v="0"/>
    <n v="1"/>
  </r>
  <r>
    <n v="1702"/>
    <n v="58"/>
    <s v="Female"/>
    <s v="Footwear"/>
    <s v="Sneakers"/>
    <n v="101.31"/>
    <s v="Autumn"/>
    <s v="Card"/>
    <n v="3.9"/>
    <x v="11"/>
    <n v="8"/>
    <n v="136.90540540540542"/>
    <n v="35.595405405405415"/>
    <x v="0"/>
    <n v="1"/>
  </r>
  <r>
    <n v="1703"/>
    <n v="41"/>
    <s v="Female"/>
    <s v="Womens Clothing"/>
    <s v="Dress"/>
    <n v="162.41"/>
    <s v="Winter"/>
    <s v="Card"/>
    <n v="4"/>
    <x v="17"/>
    <n v="2"/>
    <n v="169.17708333333334"/>
    <n v="6.7670833333333462"/>
    <x v="1"/>
    <n v="1"/>
  </r>
  <r>
    <n v="1704"/>
    <n v="70"/>
    <s v="Female"/>
    <s v="Footwear"/>
    <s v="Sneakers"/>
    <n v="207.96"/>
    <s v="Spring"/>
    <s v="Card"/>
    <n v="4.0999999999999996"/>
    <x v="1"/>
    <n v="4"/>
    <n v="239.0344827586207"/>
    <n v="31.07448275862069"/>
    <x v="2"/>
    <n v="1"/>
  </r>
  <r>
    <n v="1705"/>
    <n v="35"/>
    <s v="Female"/>
    <s v="Accessories"/>
    <s v="Sunglasses"/>
    <n v="63.49"/>
    <s v="Winter"/>
    <s v="Card"/>
    <n v="2.2000000000000002"/>
    <x v="7"/>
    <n v="5"/>
    <n v="70.544444444444451"/>
    <n v="7.0544444444444494"/>
    <x v="5"/>
    <n v="1"/>
  </r>
  <r>
    <n v="1706"/>
    <n v="63"/>
    <s v="Female"/>
    <s v="Footwear"/>
    <s v="Sneakers"/>
    <n v="139.55000000000001"/>
    <s v="Spring"/>
    <s v="Card"/>
    <n v="4.3"/>
    <x v="8"/>
    <n v="6"/>
    <n v="158.57954545454547"/>
    <n v="19.029545454545456"/>
    <x v="0"/>
    <n v="1"/>
  </r>
  <r>
    <n v="1707"/>
    <n v="38"/>
    <s v="Male"/>
    <s v="Electronics"/>
    <s v="Laptop"/>
    <n v="2428.09"/>
    <s v="Winter"/>
    <s v="Card"/>
    <n v="4.4000000000000004"/>
    <x v="10"/>
    <n v="6"/>
    <n v="3112.9358974358975"/>
    <n v="684.84589743589731"/>
    <x v="1"/>
    <n v="1"/>
  </r>
  <r>
    <n v="1708"/>
    <n v="44"/>
    <s v="Female"/>
    <s v="Beauty"/>
    <s v="Skincare Kit"/>
    <n v="96.31"/>
    <s v="Winter"/>
    <s v="Card"/>
    <n v="3.3"/>
    <x v="3"/>
    <n v="5"/>
    <n v="120.3875"/>
    <n v="24.077500000000001"/>
    <x v="1"/>
    <n v="1"/>
  </r>
  <r>
    <n v="1709"/>
    <n v="67"/>
    <s v="Female"/>
    <s v="Footwear"/>
    <s v="Formal Shoes"/>
    <n v="161.62"/>
    <s v="Autumn"/>
    <s v="Card"/>
    <n v="3.6"/>
    <x v="0"/>
    <n v="4"/>
    <n v="197.09756097560975"/>
    <n v="35.477560975609748"/>
    <x v="2"/>
    <n v="1"/>
  </r>
  <r>
    <n v="1710"/>
    <n v="55"/>
    <s v="Male"/>
    <s v="Mens Clothing"/>
    <s v="T-Shirt"/>
    <n v="71.430000000000007"/>
    <s v="Summer"/>
    <s v="Cash on Delivery"/>
    <n v="4.7"/>
    <x v="11"/>
    <n v="8"/>
    <n v="96.527027027027032"/>
    <n v="25.097027027027025"/>
    <x v="4"/>
    <n v="1"/>
  </r>
  <r>
    <n v="1711"/>
    <n v="29"/>
    <s v="Male"/>
    <s v="Footwear"/>
    <s v="Sneakers"/>
    <n v="208.05"/>
    <s v="Autumn"/>
    <s v="Card"/>
    <n v="3.3"/>
    <x v="1"/>
    <n v="4"/>
    <n v="239.13793103448276"/>
    <n v="31.08793103448275"/>
    <x v="5"/>
    <n v="1"/>
  </r>
  <r>
    <n v="1712"/>
    <n v="43"/>
    <s v="Male"/>
    <s v="Mens Clothing"/>
    <s v="T-Shirt"/>
    <n v="133.51"/>
    <s v="Spring"/>
    <s v="Card"/>
    <n v="3.6"/>
    <x v="8"/>
    <n v="6"/>
    <n v="151.71590909090909"/>
    <n v="18.205909090909103"/>
    <x v="1"/>
    <n v="1"/>
  </r>
  <r>
    <n v="1713"/>
    <n v="68"/>
    <s v="Female"/>
    <s v="Womens Clothing"/>
    <s v="Dress"/>
    <n v="64.66"/>
    <s v="Winter"/>
    <s v="Cash on Delivery"/>
    <n v="3.6"/>
    <x v="17"/>
    <n v="2"/>
    <n v="67.354166666666671"/>
    <n v="2.6941666666666748"/>
    <x v="2"/>
    <n v="1"/>
  </r>
  <r>
    <n v="1714"/>
    <n v="42"/>
    <s v="Female"/>
    <s v="Groceries"/>
    <s v="Cooking Oil"/>
    <n v="33.18"/>
    <s v="Autumn"/>
    <s v="Cash on Delivery"/>
    <n v="4.2"/>
    <x v="6"/>
    <n v="3"/>
    <n v="39.5"/>
    <n v="6.32"/>
    <x v="1"/>
    <n v="1"/>
  </r>
  <r>
    <n v="1715"/>
    <n v="66"/>
    <s v="Male"/>
    <s v="Sports"/>
    <s v="Yoga Mat"/>
    <n v="53.42"/>
    <s v="Winter"/>
    <s v="Card"/>
    <n v="5"/>
    <x v="1"/>
    <n v="4"/>
    <n v="61.402298850574716"/>
    <n v="7.9822988505747148"/>
    <x v="2"/>
    <n v="1"/>
  </r>
  <r>
    <n v="1716"/>
    <n v="40"/>
    <s v="Male"/>
    <s v="Groceries"/>
    <s v="Beverages"/>
    <n v="34.409999999999997"/>
    <s v="Spring"/>
    <s v="Card"/>
    <n v="3.3"/>
    <x v="14"/>
    <n v="6"/>
    <n v="41.4578313253012"/>
    <n v="7.0478313253012033"/>
    <x v="1"/>
    <n v="1"/>
  </r>
  <r>
    <n v="1717"/>
    <n v="46"/>
    <s v="Male"/>
    <s v="Electronics"/>
    <s v="Laptop"/>
    <n v="887.32"/>
    <s v="Autumn"/>
    <s v="Card"/>
    <n v="3.8"/>
    <x v="0"/>
    <n v="4"/>
    <n v="1082.0975609756097"/>
    <n v="194.77756097560962"/>
    <x v="4"/>
    <n v="1"/>
  </r>
  <r>
    <n v="1718"/>
    <n v="40"/>
    <s v="Male"/>
    <s v="Sports"/>
    <s v="Football"/>
    <n v="225.57"/>
    <s v="Winter"/>
    <s v="Card"/>
    <n v="5"/>
    <x v="14"/>
    <n v="6"/>
    <n v="271.77108433734941"/>
    <n v="46.201084337349414"/>
    <x v="1"/>
    <n v="1"/>
  </r>
  <r>
    <n v="1719"/>
    <n v="63"/>
    <s v="Male"/>
    <s v="Groceries"/>
    <s v="Snacks"/>
    <n v="24.77"/>
    <s v="Winter"/>
    <s v="Cash on Delivery"/>
    <n v="4"/>
    <x v="1"/>
    <n v="4"/>
    <n v="28.47126436781609"/>
    <n v="3.7012643678160906"/>
    <x v="0"/>
    <n v="1"/>
  </r>
  <r>
    <n v="1720"/>
    <n v="43"/>
    <s v="Female"/>
    <s v="Beauty"/>
    <s v="Makeup Set"/>
    <n v="74.94"/>
    <s v="Winter"/>
    <s v="Card"/>
    <n v="4.5"/>
    <x v="4"/>
    <n v="7"/>
    <n v="87.139534883720927"/>
    <n v="12.199534883720929"/>
    <x v="1"/>
    <n v="1"/>
  </r>
  <r>
    <n v="1721"/>
    <n v="60"/>
    <s v="Female"/>
    <s v="Sports"/>
    <s v="Yoga Mat"/>
    <n v="154.94999999999999"/>
    <s v="Summer"/>
    <s v="Card"/>
    <n v="2.8"/>
    <x v="19"/>
    <n v="5"/>
    <n v="182.29411764705881"/>
    <n v="27.344117647058823"/>
    <x v="0"/>
    <n v="1"/>
  </r>
  <r>
    <n v="1722"/>
    <n v="66"/>
    <s v="Female"/>
    <s v="Womens Clothing"/>
    <s v="Skirt"/>
    <n v="182.06"/>
    <s v="Spring"/>
    <s v="Card"/>
    <n v="3.5"/>
    <x v="4"/>
    <n v="7"/>
    <n v="211.69767441860466"/>
    <n v="29.637674418604661"/>
    <x v="2"/>
    <n v="1"/>
  </r>
  <r>
    <n v="1723"/>
    <n v="28"/>
    <s v="Female"/>
    <s v="Beauty"/>
    <s v="Perfume"/>
    <n v="102.87"/>
    <s v="Autumn"/>
    <s v="Card"/>
    <n v="3.6"/>
    <x v="10"/>
    <n v="6"/>
    <n v="131.88461538461539"/>
    <n v="29.014615384615382"/>
    <x v="5"/>
    <n v="1"/>
  </r>
  <r>
    <n v="1724"/>
    <n v="68"/>
    <s v="Female"/>
    <s v="Footwear"/>
    <s v="Sandals"/>
    <n v="246.27"/>
    <s v="Winter"/>
    <s v="Card"/>
    <n v="4.7"/>
    <x v="14"/>
    <n v="6"/>
    <n v="296.71084337349401"/>
    <n v="50.440843373494005"/>
    <x v="2"/>
    <n v="1"/>
  </r>
  <r>
    <n v="1725"/>
    <n v="48"/>
    <s v="Male"/>
    <s v="Mens Clothing"/>
    <s v="Shirt"/>
    <n v="91.82"/>
    <s v="Autumn"/>
    <s v="Cash on Delivery"/>
    <n v="4.2"/>
    <x v="21"/>
    <n v="8"/>
    <n v="116.22784810126581"/>
    <n v="24.407848101265813"/>
    <x v="4"/>
    <n v="1"/>
  </r>
  <r>
    <n v="1726"/>
    <n v="21"/>
    <s v="Female"/>
    <s v="Beauty"/>
    <s v="Makeup Set"/>
    <n v="34.909999999999997"/>
    <s v="Autumn"/>
    <s v="Card"/>
    <n v="4.0999999999999996"/>
    <x v="6"/>
    <n v="3"/>
    <n v="41.55952380952381"/>
    <n v="6.6495238095238136"/>
    <x v="3"/>
    <n v="1"/>
  </r>
  <r>
    <n v="1727"/>
    <n v="22"/>
    <s v="Male"/>
    <s v="Electronics"/>
    <s v="Laptop"/>
    <n v="2921.73"/>
    <s v="Spring"/>
    <s v="Card"/>
    <n v="4.4000000000000004"/>
    <x v="2"/>
    <n v="3"/>
    <n v="3282.8426966292136"/>
    <n v="361.11269662921359"/>
    <x v="3"/>
    <n v="1"/>
  </r>
  <r>
    <n v="1728"/>
    <n v="20"/>
    <s v="Female"/>
    <s v="Accessories"/>
    <s v="Handbag"/>
    <n v="141.9"/>
    <s v="Winter"/>
    <s v="Card"/>
    <n v="3.4"/>
    <x v="2"/>
    <n v="3"/>
    <n v="159.43820224719101"/>
    <n v="17.538202247191009"/>
    <x v="3"/>
    <n v="1"/>
  </r>
  <r>
    <n v="1729"/>
    <n v="64"/>
    <s v="Female"/>
    <s v="Accessories"/>
    <s v="Wallet"/>
    <n v="95.27"/>
    <s v="Spring"/>
    <s v="Card"/>
    <n v="4.5999999999999996"/>
    <x v="18"/>
    <n v="7"/>
    <n v="125.35526315789473"/>
    <n v="30.08526315789473"/>
    <x v="0"/>
    <n v="1"/>
  </r>
  <r>
    <n v="1730"/>
    <n v="43"/>
    <s v="Female"/>
    <s v="Accessories"/>
    <s v="Wallet"/>
    <n v="26.57"/>
    <s v="Summer"/>
    <s v="Cash on Delivery"/>
    <n v="3.8"/>
    <x v="10"/>
    <n v="6"/>
    <n v="34.064102564102562"/>
    <n v="7.4941025641025618"/>
    <x v="1"/>
    <n v="1"/>
  </r>
  <r>
    <n v="1731"/>
    <n v="41"/>
    <s v="Female"/>
    <s v="Footwear"/>
    <s v="Sneakers"/>
    <n v="232.67"/>
    <s v="Winter"/>
    <s v="Card"/>
    <n v="4.3"/>
    <x v="3"/>
    <n v="5"/>
    <n v="290.83749999999998"/>
    <n v="58.16749999999999"/>
    <x v="1"/>
    <n v="1"/>
  </r>
  <r>
    <n v="1732"/>
    <n v="37"/>
    <s v="Male"/>
    <s v="Mens Clothing"/>
    <s v="Jacket"/>
    <n v="144.66999999999999"/>
    <s v="Winter"/>
    <s v="Card"/>
    <n v="5"/>
    <x v="7"/>
    <n v="5"/>
    <n v="160.74444444444444"/>
    <n v="16.074444444444453"/>
    <x v="1"/>
    <n v="1"/>
  </r>
  <r>
    <n v="1733"/>
    <n v="37"/>
    <s v="Male"/>
    <s v="Sports"/>
    <s v="Football"/>
    <n v="38.82"/>
    <s v="Summer"/>
    <s v="Cash on Delivery"/>
    <n v="3.8"/>
    <x v="10"/>
    <n v="6"/>
    <n v="49.769230769230766"/>
    <n v="10.949230769230766"/>
    <x v="1"/>
    <n v="1"/>
  </r>
  <r>
    <n v="1734"/>
    <n v="52"/>
    <s v="Male"/>
    <s v="Mens Clothing"/>
    <s v="Jacket"/>
    <n v="165.6"/>
    <s v="Spring"/>
    <s v="Card"/>
    <n v="4.2"/>
    <x v="5"/>
    <n v="4"/>
    <n v="180"/>
    <n v="14.400000000000006"/>
    <x v="4"/>
    <n v="1"/>
  </r>
  <r>
    <n v="1735"/>
    <n v="29"/>
    <s v="Male"/>
    <s v="Sports"/>
    <s v="Yoga Mat"/>
    <n v="89.4"/>
    <s v="Spring"/>
    <s v="Card"/>
    <n v="4.8"/>
    <x v="19"/>
    <n v="5"/>
    <n v="105.1764705882353"/>
    <n v="15.776470588235298"/>
    <x v="5"/>
    <n v="1"/>
  </r>
  <r>
    <n v="1736"/>
    <n v="61"/>
    <s v="Female"/>
    <s v="Womens Clothing"/>
    <s v="Skirt"/>
    <n v="55.18"/>
    <s v="Winter"/>
    <s v="Cash on Delivery"/>
    <n v="3.9"/>
    <x v="1"/>
    <n v="4"/>
    <n v="63.425287356321839"/>
    <n v="8.245287356321839"/>
    <x v="0"/>
    <n v="1"/>
  </r>
  <r>
    <n v="1737"/>
    <n v="27"/>
    <s v="Male"/>
    <s v="Electronics"/>
    <s v="Laptop"/>
    <n v="2194.8200000000002"/>
    <s v="Autumn"/>
    <s v="Card"/>
    <n v="4.2"/>
    <x v="18"/>
    <n v="7"/>
    <n v="2887.9210526315792"/>
    <n v="693.10105263157902"/>
    <x v="5"/>
    <n v="1"/>
  </r>
  <r>
    <n v="1738"/>
    <n v="69"/>
    <s v="Female"/>
    <s v="Womens Clothing"/>
    <s v="Top"/>
    <n v="149.44"/>
    <s v="Autumn"/>
    <s v="Card"/>
    <n v="4.0999999999999996"/>
    <x v="7"/>
    <n v="5"/>
    <n v="166.04444444444445"/>
    <n v="16.604444444444454"/>
    <x v="2"/>
    <n v="1"/>
  </r>
  <r>
    <n v="1739"/>
    <n v="53"/>
    <s v="Male"/>
    <s v="Mens Clothing"/>
    <s v="Jacket"/>
    <n v="181.37"/>
    <s v="Autumn"/>
    <s v="Card"/>
    <n v="4"/>
    <x v="3"/>
    <n v="5"/>
    <n v="226.71250000000001"/>
    <n v="45.342500000000001"/>
    <x v="4"/>
    <n v="1"/>
  </r>
  <r>
    <n v="1740"/>
    <n v="42"/>
    <s v="Male"/>
    <s v="Sports"/>
    <s v="Yoga Mat"/>
    <n v="65.55"/>
    <s v="Summer"/>
    <s v="Cash on Delivery"/>
    <n v="4"/>
    <x v="5"/>
    <n v="4"/>
    <n v="71.25"/>
    <n v="5.7000000000000028"/>
    <x v="1"/>
    <n v="1"/>
  </r>
  <r>
    <n v="1741"/>
    <n v="40"/>
    <s v="Female"/>
    <s v="Beauty"/>
    <s v="Perfume"/>
    <n v="60.6"/>
    <s v="Winter"/>
    <s v="Card"/>
    <n v="4.5"/>
    <x v="19"/>
    <n v="5"/>
    <n v="71.294117647058826"/>
    <n v="10.694117647058825"/>
    <x v="1"/>
    <n v="1"/>
  </r>
  <r>
    <n v="1742"/>
    <n v="45"/>
    <s v="Female"/>
    <s v="Womens Clothing"/>
    <s v="Top"/>
    <n v="87.8"/>
    <s v="Autumn"/>
    <s v="Cash on Delivery"/>
    <n v="4.7"/>
    <x v="21"/>
    <n v="8"/>
    <n v="111.1392405063291"/>
    <n v="23.339240506329105"/>
    <x v="1"/>
    <n v="1"/>
  </r>
  <r>
    <n v="1743"/>
    <n v="37"/>
    <s v="Male"/>
    <s v="Sports"/>
    <s v="Yoga Mat"/>
    <n v="223.54"/>
    <s v="Autumn"/>
    <s v="Card"/>
    <n v="3.7"/>
    <x v="19"/>
    <n v="5"/>
    <n v="262.98823529411766"/>
    <n v="39.448235294117666"/>
    <x v="1"/>
    <n v="1"/>
  </r>
  <r>
    <n v="1744"/>
    <n v="27"/>
    <s v="Female"/>
    <s v="Accessories"/>
    <s v="Sunglasses"/>
    <n v="113.9"/>
    <s v="Spring"/>
    <s v="Card"/>
    <n v="4.5"/>
    <x v="5"/>
    <n v="4"/>
    <n v="123.80434782608695"/>
    <n v="9.9043478260869477"/>
    <x v="5"/>
    <n v="1"/>
  </r>
  <r>
    <n v="1745"/>
    <n v="51"/>
    <s v="Male"/>
    <s v="Groceries"/>
    <s v="Rice Pack"/>
    <n v="47.16"/>
    <s v="Winter"/>
    <s v="Card"/>
    <n v="5"/>
    <x v="20"/>
    <n v="11"/>
    <n v="69.352941176470594"/>
    <n v="22.192941176470597"/>
    <x v="4"/>
    <n v="1"/>
  </r>
  <r>
    <n v="1746"/>
    <n v="60"/>
    <s v="Male"/>
    <s v="Electronics"/>
    <s v="Smart Watch"/>
    <n v="2140.91"/>
    <s v="Spring"/>
    <s v="Card"/>
    <n v="3.7"/>
    <x v="4"/>
    <n v="7"/>
    <n v="2489.4302325581393"/>
    <n v="348.52023255813947"/>
    <x v="0"/>
    <n v="1"/>
  </r>
  <r>
    <n v="1747"/>
    <n v="39"/>
    <s v="Female"/>
    <s v="Beauty"/>
    <s v="Makeup Set"/>
    <n v="114.5"/>
    <s v="Autumn"/>
    <s v="Card"/>
    <n v="2.6"/>
    <x v="23"/>
    <n v="1"/>
    <n v="123.11827956989248"/>
    <n v="8.6182795698924792"/>
    <x v="1"/>
    <n v="1"/>
  </r>
  <r>
    <n v="1748"/>
    <n v="38"/>
    <s v="Male"/>
    <s v="Electronics"/>
    <s v="Smart Watch"/>
    <n v="1304.49"/>
    <s v="Winter"/>
    <s v="Card"/>
    <n v="3.5"/>
    <x v="8"/>
    <n v="6"/>
    <n v="1482.375"/>
    <n v="177.88499999999999"/>
    <x v="1"/>
    <n v="1"/>
  </r>
  <r>
    <n v="1749"/>
    <n v="58"/>
    <s v="Male"/>
    <s v="Mens Clothing"/>
    <s v="Jacket"/>
    <n v="99.6"/>
    <s v="Spring"/>
    <s v="Cash on Delivery"/>
    <n v="4.2"/>
    <x v="8"/>
    <n v="6"/>
    <n v="113.18181818181817"/>
    <n v="13.581818181818178"/>
    <x v="0"/>
    <n v="1"/>
  </r>
  <r>
    <n v="1750"/>
    <n v="24"/>
    <s v="Male"/>
    <s v="Electronics"/>
    <s v="Headphones"/>
    <n v="1953.51"/>
    <s v="Autumn"/>
    <s v="Card"/>
    <n v="4.9000000000000004"/>
    <x v="6"/>
    <n v="8"/>
    <n v="2325.6071428571431"/>
    <n v="372.09714285714313"/>
    <x v="3"/>
    <n v="1"/>
  </r>
  <r>
    <n v="1751"/>
    <n v="22"/>
    <s v="Male"/>
    <s v="Mens Clothing"/>
    <s v="T-Shirt"/>
    <n v="143.30000000000001"/>
    <s v="Winter"/>
    <s v="Card"/>
    <n v="3.8"/>
    <x v="1"/>
    <n v="4"/>
    <n v="164.71264367816093"/>
    <n v="21.412643678160919"/>
    <x v="3"/>
    <n v="1"/>
  </r>
  <r>
    <n v="1752"/>
    <n v="56"/>
    <s v="Female"/>
    <s v="Accessories"/>
    <s v="Sunglasses"/>
    <n v="48.36"/>
    <s v="Autumn"/>
    <s v="Card"/>
    <n v="3.4"/>
    <x v="14"/>
    <n v="6"/>
    <n v="58.265060240963855"/>
    <n v="9.9050602409638557"/>
    <x v="0"/>
    <n v="1"/>
  </r>
  <r>
    <n v="1753"/>
    <n v="68"/>
    <s v="Male"/>
    <s v="Electronics"/>
    <s v="Laptop"/>
    <n v="566.58000000000004"/>
    <s v="Summer"/>
    <s v="Card"/>
    <n v="3.2"/>
    <x v="2"/>
    <n v="3"/>
    <n v="636.60674157303379"/>
    <n v="70.026741573033746"/>
    <x v="2"/>
    <n v="1"/>
  </r>
  <r>
    <n v="1754"/>
    <n v="70"/>
    <s v="Female"/>
    <s v="Groceries"/>
    <s v="Cooking Oil"/>
    <n v="39.270000000000003"/>
    <s v="Spring"/>
    <s v="Card"/>
    <n v="3.1"/>
    <x v="11"/>
    <n v="8"/>
    <n v="53.067567567567572"/>
    <n v="13.797567567567569"/>
    <x v="2"/>
    <n v="1"/>
  </r>
  <r>
    <n v="1755"/>
    <n v="22"/>
    <s v="Male"/>
    <s v="Mens Clothing"/>
    <s v="Shirt"/>
    <n v="98.74"/>
    <s v="Summer"/>
    <s v="Card"/>
    <n v="4"/>
    <x v="8"/>
    <n v="6"/>
    <n v="112.20454545454545"/>
    <n v="13.464545454545458"/>
    <x v="3"/>
    <n v="1"/>
  </r>
  <r>
    <n v="1756"/>
    <n v="69"/>
    <s v="Female"/>
    <s v="Beauty"/>
    <s v="Makeup Set"/>
    <n v="108.96"/>
    <s v="Summer"/>
    <s v="Card"/>
    <n v="4.4000000000000004"/>
    <x v="18"/>
    <n v="7"/>
    <n v="143.36842105263156"/>
    <n v="34.408421052631567"/>
    <x v="2"/>
    <n v="1"/>
  </r>
  <r>
    <n v="1757"/>
    <n v="66"/>
    <s v="Male"/>
    <s v="Groceries"/>
    <s v="Beverages"/>
    <n v="55.46"/>
    <s v="Spring"/>
    <s v="Card"/>
    <n v="3.7"/>
    <x v="7"/>
    <n v="5"/>
    <n v="61.62222222222222"/>
    <n v="6.1622222222222192"/>
    <x v="2"/>
    <n v="1"/>
  </r>
  <r>
    <n v="1758"/>
    <n v="43"/>
    <s v="Female"/>
    <s v="Sports"/>
    <s v="Football"/>
    <n v="80.150000000000006"/>
    <s v="Autumn"/>
    <s v="Card"/>
    <n v="4.7"/>
    <x v="2"/>
    <n v="3"/>
    <n v="90.05617977528091"/>
    <n v="9.9061797752809042"/>
    <x v="1"/>
    <n v="1"/>
  </r>
  <r>
    <n v="1759"/>
    <n v="63"/>
    <s v="Male"/>
    <s v="Sports"/>
    <s v="Yoga Mat"/>
    <n v="202.07"/>
    <s v="Summer"/>
    <s v="Card"/>
    <n v="3.7"/>
    <x v="6"/>
    <n v="3"/>
    <n v="240.55952380952382"/>
    <n v="38.489523809523831"/>
    <x v="0"/>
    <n v="1"/>
  </r>
  <r>
    <n v="1760"/>
    <n v="23"/>
    <s v="Male"/>
    <s v="Mens Clothing"/>
    <s v="Shirt"/>
    <n v="117.84"/>
    <s v="Winter"/>
    <s v="Card"/>
    <n v="3.1"/>
    <x v="18"/>
    <n v="7"/>
    <n v="155.05263157894737"/>
    <n v="37.212631578947367"/>
    <x v="3"/>
    <n v="1"/>
  </r>
  <r>
    <n v="1761"/>
    <n v="44"/>
    <s v="Male"/>
    <s v="Mens Clothing"/>
    <s v="Shirt"/>
    <n v="194.65"/>
    <s v="Spring"/>
    <s v="Card"/>
    <n v="4.2"/>
    <x v="10"/>
    <n v="6"/>
    <n v="249.55128205128204"/>
    <n v="54.901282051282038"/>
    <x v="1"/>
    <n v="1"/>
  </r>
  <r>
    <n v="1762"/>
    <n v="68"/>
    <s v="Female"/>
    <s v="Beauty"/>
    <s v="Makeup Set"/>
    <n v="107.91"/>
    <s v="Spring"/>
    <s v="Card"/>
    <n v="4"/>
    <x v="14"/>
    <n v="6"/>
    <n v="130.01204819277109"/>
    <n v="22.102048192771093"/>
    <x v="2"/>
    <n v="1"/>
  </r>
  <r>
    <n v="1763"/>
    <n v="34"/>
    <s v="Male"/>
    <s v="Sports"/>
    <s v="Dumbbells"/>
    <n v="184.29"/>
    <s v="Autumn"/>
    <s v="Card"/>
    <n v="5"/>
    <x v="2"/>
    <n v="3"/>
    <n v="207.06741573033707"/>
    <n v="22.777415730337083"/>
    <x v="5"/>
    <n v="1"/>
  </r>
  <r>
    <n v="1764"/>
    <n v="35"/>
    <s v="Female"/>
    <s v="Beauty"/>
    <s v="Makeup Set"/>
    <n v="121.94"/>
    <s v="Spring"/>
    <s v="Card"/>
    <n v="3.4"/>
    <x v="10"/>
    <n v="6"/>
    <n v="156.33333333333331"/>
    <n v="34.393333333333317"/>
    <x v="5"/>
    <n v="1"/>
  </r>
  <r>
    <n v="1765"/>
    <n v="51"/>
    <s v="Male"/>
    <s v="Sports"/>
    <s v="Football"/>
    <n v="218.04"/>
    <s v="Summer"/>
    <s v="Card"/>
    <n v="3"/>
    <x v="3"/>
    <n v="5"/>
    <n v="272.54999999999995"/>
    <n v="54.509999999999962"/>
    <x v="4"/>
    <n v="1"/>
  </r>
  <r>
    <n v="1766"/>
    <n v="62"/>
    <s v="Female"/>
    <s v="Accessories"/>
    <s v="Handbag"/>
    <n v="90.96"/>
    <s v="Winter"/>
    <s v="Card"/>
    <n v="3.6"/>
    <x v="2"/>
    <n v="3"/>
    <n v="102.20224719101122"/>
    <n v="11.242247191011231"/>
    <x v="0"/>
    <n v="1"/>
  </r>
  <r>
    <n v="1767"/>
    <n v="44"/>
    <s v="Male"/>
    <s v="Electronics"/>
    <s v="Laptop"/>
    <n v="2617.6799999999998"/>
    <s v="Autumn"/>
    <s v="Card"/>
    <n v="3.7"/>
    <x v="8"/>
    <n v="6"/>
    <n v="2974.6363636363635"/>
    <n v="356.95636363636368"/>
    <x v="1"/>
    <n v="1"/>
  </r>
  <r>
    <n v="1768"/>
    <n v="29"/>
    <s v="Male"/>
    <s v="Sports"/>
    <s v="Football"/>
    <n v="165.92"/>
    <s v="Spring"/>
    <s v="Card"/>
    <n v="3.2"/>
    <x v="12"/>
    <n v="7"/>
    <n v="204.83950617283946"/>
    <n v="38.919506172839476"/>
    <x v="5"/>
    <n v="1"/>
  </r>
  <r>
    <n v="1769"/>
    <n v="67"/>
    <s v="Female"/>
    <s v="Beauty"/>
    <s v="Skincare Kit"/>
    <n v="120.75"/>
    <s v="Autumn"/>
    <s v="Card"/>
    <n v="3.4"/>
    <x v="1"/>
    <n v="4"/>
    <n v="138.79310344827587"/>
    <n v="18.043103448275872"/>
    <x v="2"/>
    <n v="1"/>
  </r>
  <r>
    <n v="1770"/>
    <n v="55"/>
    <s v="Female"/>
    <s v="Footwear"/>
    <s v="Formal Shoes"/>
    <n v="213.52"/>
    <s v="Winter"/>
    <s v="Card"/>
    <n v="3.1"/>
    <x v="4"/>
    <n v="7"/>
    <n v="248.27906976744188"/>
    <n v="34.759069767441872"/>
    <x v="4"/>
    <n v="1"/>
  </r>
  <r>
    <n v="1771"/>
    <n v="55"/>
    <s v="Male"/>
    <s v="Electronics"/>
    <s v="Mobile Phone"/>
    <n v="2217.08"/>
    <s v="Winter"/>
    <s v="Card"/>
    <n v="4.2"/>
    <x v="21"/>
    <n v="8"/>
    <n v="2806.4303797468351"/>
    <n v="589.35037974683519"/>
    <x v="4"/>
    <n v="1"/>
  </r>
  <r>
    <n v="1772"/>
    <n v="45"/>
    <s v="Female"/>
    <s v="Footwear"/>
    <s v="Sandals"/>
    <n v="101.95"/>
    <s v="Winter"/>
    <s v="Card"/>
    <n v="3.5"/>
    <x v="8"/>
    <n v="1"/>
    <n v="115.85227272727273"/>
    <n v="13.902272727272731"/>
    <x v="1"/>
    <n v="1"/>
  </r>
  <r>
    <n v="1773"/>
    <n v="58"/>
    <s v="Female"/>
    <s v="Footwear"/>
    <s v="Sandals"/>
    <n v="89.54"/>
    <s v="Winter"/>
    <s v="Cash on Delivery"/>
    <n v="4.3"/>
    <x v="19"/>
    <n v="5"/>
    <n v="105.34117647058825"/>
    <n v="15.801176470588246"/>
    <x v="0"/>
    <n v="1"/>
  </r>
  <r>
    <n v="1774"/>
    <n v="25"/>
    <s v="Female"/>
    <s v="Beauty"/>
    <s v="Makeup Set"/>
    <n v="53.08"/>
    <s v="Summer"/>
    <s v="Card"/>
    <n v="2.9"/>
    <x v="5"/>
    <n v="4"/>
    <n v="57.695652173913039"/>
    <n v="4.6156521739130412"/>
    <x v="3"/>
    <n v="1"/>
  </r>
  <r>
    <n v="1775"/>
    <n v="31"/>
    <s v="Female"/>
    <s v="Groceries"/>
    <s v="Rice Pack"/>
    <n v="54.74"/>
    <s v="Autumn"/>
    <s v="Cash on Delivery"/>
    <n v="3.8"/>
    <x v="18"/>
    <n v="7"/>
    <n v="72.026315789473685"/>
    <n v="17.286315789473683"/>
    <x v="5"/>
    <n v="1"/>
  </r>
  <r>
    <n v="1776"/>
    <n v="43"/>
    <s v="Female"/>
    <s v="Footwear"/>
    <s v="Sneakers"/>
    <n v="117.15"/>
    <s v="Summer"/>
    <s v="Card"/>
    <n v="3.1"/>
    <x v="4"/>
    <n v="7"/>
    <n v="136.22093023255815"/>
    <n v="19.07093023255814"/>
    <x v="1"/>
    <n v="1"/>
  </r>
  <r>
    <n v="1777"/>
    <n v="63"/>
    <s v="Male"/>
    <s v="Footwear"/>
    <s v="Sneakers"/>
    <n v="92.46"/>
    <s v="Spring"/>
    <s v="Cash on Delivery"/>
    <n v="4.3"/>
    <x v="1"/>
    <n v="4"/>
    <n v="106.27586206896551"/>
    <n v="13.815862068965515"/>
    <x v="0"/>
    <n v="1"/>
  </r>
  <r>
    <n v="1778"/>
    <n v="40"/>
    <s v="Female"/>
    <s v="Groceries"/>
    <s v="Cooking Oil"/>
    <n v="25.19"/>
    <s v="Summer"/>
    <s v="Card"/>
    <n v="3.4"/>
    <x v="14"/>
    <n v="6"/>
    <n v="30.349397590361448"/>
    <n v="5.1593975903614471"/>
    <x v="1"/>
    <n v="1"/>
  </r>
  <r>
    <n v="1779"/>
    <n v="25"/>
    <s v="Male"/>
    <s v="Sports"/>
    <s v="Dumbbells"/>
    <n v="204.19"/>
    <s v="Summer"/>
    <s v="Card"/>
    <n v="3.9"/>
    <x v="17"/>
    <n v="2"/>
    <n v="212.69791666666669"/>
    <n v="8.5079166666666879"/>
    <x v="3"/>
    <n v="1"/>
  </r>
  <r>
    <n v="1780"/>
    <n v="24"/>
    <s v="Female"/>
    <s v="Groceries"/>
    <s v="Rice Pack"/>
    <n v="68.44"/>
    <s v="Autumn"/>
    <s v="Card"/>
    <n v="3.7"/>
    <x v="19"/>
    <n v="5"/>
    <n v="80.517647058823528"/>
    <n v="12.07764705882353"/>
    <x v="3"/>
    <n v="1"/>
  </r>
  <r>
    <n v="1781"/>
    <n v="57"/>
    <s v="Female"/>
    <s v="Footwear"/>
    <s v="Formal Shoes"/>
    <n v="65.540000000000006"/>
    <s v="Summer"/>
    <s v="Cash on Delivery"/>
    <n v="4.2"/>
    <x v="6"/>
    <n v="8"/>
    <n v="78.023809523809533"/>
    <n v="12.483809523809526"/>
    <x v="0"/>
    <n v="1"/>
  </r>
  <r>
    <n v="1782"/>
    <n v="57"/>
    <s v="Male"/>
    <s v="Footwear"/>
    <s v="Formal Shoes"/>
    <n v="90.98"/>
    <s v="Autumn"/>
    <s v="Card"/>
    <n v="3"/>
    <x v="6"/>
    <n v="8"/>
    <n v="108.30952380952382"/>
    <n v="17.32952380952382"/>
    <x v="0"/>
    <n v="1"/>
  </r>
  <r>
    <n v="1783"/>
    <n v="23"/>
    <s v="Male"/>
    <s v="Electronics"/>
    <s v="Headphones"/>
    <n v="2369.0100000000002"/>
    <s v="Summer"/>
    <s v="Card"/>
    <n v="4.0999999999999996"/>
    <x v="29"/>
    <n v="0"/>
    <n v="2369.0100000000002"/>
    <n v="0"/>
    <x v="3"/>
    <n v="1"/>
  </r>
  <r>
    <n v="1784"/>
    <n v="63"/>
    <s v="Female"/>
    <s v="Beauty"/>
    <s v="Skincare Kit"/>
    <n v="131.24"/>
    <s v="Autumn"/>
    <s v="Card"/>
    <n v="4.0999999999999996"/>
    <x v="2"/>
    <n v="3"/>
    <n v="147.46067415730337"/>
    <n v="16.220674157303364"/>
    <x v="0"/>
    <n v="1"/>
  </r>
  <r>
    <n v="1785"/>
    <n v="34"/>
    <s v="Male"/>
    <s v="Sports"/>
    <s v="Dumbbells"/>
    <n v="152.61000000000001"/>
    <s v="Summer"/>
    <s v="Card"/>
    <n v="3.7"/>
    <x v="5"/>
    <n v="4"/>
    <n v="165.88043478260872"/>
    <n v="13.270434782608703"/>
    <x v="5"/>
    <n v="1"/>
  </r>
  <r>
    <n v="1786"/>
    <n v="64"/>
    <s v="Female"/>
    <s v="Sports"/>
    <s v="Dumbbells"/>
    <n v="224.38"/>
    <s v="Spring"/>
    <s v="Card"/>
    <n v="3.4"/>
    <x v="2"/>
    <n v="3"/>
    <n v="252.11235955056179"/>
    <n v="27.732359550561796"/>
    <x v="0"/>
    <n v="1"/>
  </r>
  <r>
    <n v="1787"/>
    <n v="52"/>
    <s v="Male"/>
    <s v="Mens Clothing"/>
    <s v="T-Shirt"/>
    <n v="31.54"/>
    <s v="Spring"/>
    <s v="Cash on Delivery"/>
    <n v="3.7"/>
    <x v="0"/>
    <n v="4"/>
    <n v="38.463414634146339"/>
    <n v="6.9234146341463401"/>
    <x v="4"/>
    <n v="1"/>
  </r>
  <r>
    <n v="1788"/>
    <n v="31"/>
    <s v="Female"/>
    <s v="Beauty"/>
    <s v="Makeup Set"/>
    <n v="122.72"/>
    <s v="Summer"/>
    <s v="Card"/>
    <n v="3.2"/>
    <x v="13"/>
    <n v="2"/>
    <n v="134.85714285714286"/>
    <n v="12.137142857142862"/>
    <x v="5"/>
    <n v="1"/>
  </r>
  <r>
    <n v="1789"/>
    <n v="56"/>
    <s v="Female"/>
    <s v="Accessories"/>
    <s v="Sunglasses"/>
    <n v="60.7"/>
    <s v="Summer"/>
    <s v="Card"/>
    <n v="4.0999999999999996"/>
    <x v="4"/>
    <n v="7"/>
    <n v="70.581395348837219"/>
    <n v="9.8813953488372164"/>
    <x v="0"/>
    <n v="1"/>
  </r>
  <r>
    <n v="1790"/>
    <n v="64"/>
    <s v="Male"/>
    <s v="Groceries"/>
    <s v="Cooking Oil"/>
    <n v="40.94"/>
    <s v="Autumn"/>
    <s v="Card"/>
    <n v="3.5"/>
    <x v="1"/>
    <n v="4"/>
    <n v="47.057471264367813"/>
    <n v="6.1174712643678149"/>
    <x v="0"/>
    <n v="1"/>
  </r>
  <r>
    <n v="1791"/>
    <n v="67"/>
    <s v="Male"/>
    <s v="Sports"/>
    <s v="Football"/>
    <n v="226.26"/>
    <s v="Autumn"/>
    <s v="Card"/>
    <n v="3"/>
    <x v="6"/>
    <n v="3"/>
    <n v="269.35714285714283"/>
    <n v="43.097142857142842"/>
    <x v="2"/>
    <n v="1"/>
  </r>
  <r>
    <n v="1792"/>
    <n v="48"/>
    <s v="Male"/>
    <s v="Footwear"/>
    <s v="Formal Shoes"/>
    <n v="94.74"/>
    <s v="Winter"/>
    <s v="Cash on Delivery"/>
    <n v="3.4"/>
    <x v="11"/>
    <n v="8"/>
    <n v="128.02702702702703"/>
    <n v="33.287027027027037"/>
    <x v="4"/>
    <n v="1"/>
  </r>
  <r>
    <n v="1793"/>
    <n v="41"/>
    <s v="Female"/>
    <s v="Beauty"/>
    <s v="Makeup Set"/>
    <n v="130.69"/>
    <s v="Autumn"/>
    <s v="Card"/>
    <n v="4.3"/>
    <x v="7"/>
    <n v="5"/>
    <n v="145.21111111111111"/>
    <n v="14.521111111111111"/>
    <x v="1"/>
    <n v="1"/>
  </r>
  <r>
    <n v="1794"/>
    <n v="62"/>
    <s v="Male"/>
    <s v="Sports"/>
    <s v="Yoga Mat"/>
    <n v="176.42"/>
    <s v="Winter"/>
    <s v="Card"/>
    <n v="4.0999999999999996"/>
    <x v="17"/>
    <n v="2"/>
    <n v="183.77083333333331"/>
    <n v="7.3508333333333269"/>
    <x v="0"/>
    <n v="1"/>
  </r>
  <r>
    <n v="1795"/>
    <n v="24"/>
    <s v="Male"/>
    <s v="Footwear"/>
    <s v="Formal Shoes"/>
    <n v="103.89"/>
    <s v="Winter"/>
    <s v="Card"/>
    <n v="4.8"/>
    <x v="19"/>
    <n v="5"/>
    <n v="122.22352941176472"/>
    <n v="18.333529411764715"/>
    <x v="3"/>
    <n v="1"/>
  </r>
  <r>
    <n v="1796"/>
    <n v="22"/>
    <s v="Male"/>
    <s v="Mens Clothing"/>
    <s v="Shirt"/>
    <n v="48.19"/>
    <s v="Spring"/>
    <s v="Card"/>
    <n v="3.8"/>
    <x v="14"/>
    <n v="6"/>
    <n v="58.060240963855421"/>
    <n v="9.8702409638554229"/>
    <x v="3"/>
    <n v="1"/>
  </r>
  <r>
    <n v="1797"/>
    <n v="68"/>
    <s v="Male"/>
    <s v="Sports"/>
    <s v="Yoga Mat"/>
    <n v="57.02"/>
    <s v="Spring"/>
    <s v="Card"/>
    <n v="3.7"/>
    <x v="29"/>
    <n v="0"/>
    <n v="57.02"/>
    <n v="0"/>
    <x v="2"/>
    <n v="1"/>
  </r>
  <r>
    <n v="1798"/>
    <n v="70"/>
    <s v="Male"/>
    <s v="Sports"/>
    <s v="Football"/>
    <n v="54.5"/>
    <s v="Winter"/>
    <s v="Card"/>
    <n v="3.5"/>
    <x v="16"/>
    <n v="3"/>
    <n v="57.978723404255319"/>
    <n v="3.4787234042553195"/>
    <x v="2"/>
    <n v="1"/>
  </r>
  <r>
    <n v="1799"/>
    <n v="22"/>
    <s v="Male"/>
    <s v="Mens Clothing"/>
    <s v="T-Shirt"/>
    <n v="67.459999999999994"/>
    <s v="Spring"/>
    <s v="Cash on Delivery"/>
    <n v="3.7"/>
    <x v="16"/>
    <n v="3"/>
    <n v="71.765957446808514"/>
    <n v="4.3059574468085202"/>
    <x v="3"/>
    <n v="1"/>
  </r>
  <r>
    <n v="1800"/>
    <n v="52"/>
    <s v="Male"/>
    <s v="Footwear"/>
    <s v="Sneakers"/>
    <n v="241.87"/>
    <s v="Spring"/>
    <s v="Card"/>
    <n v="3.4"/>
    <x v="10"/>
    <n v="6"/>
    <n v="310.08974358974359"/>
    <n v="68.219743589743587"/>
    <x v="4"/>
    <n v="1"/>
  </r>
  <r>
    <n v="1801"/>
    <n v="28"/>
    <s v="Female"/>
    <s v="Home"/>
    <s v="Kitchen Set"/>
    <n v="117.11"/>
    <s v="Spring"/>
    <s v="Card"/>
    <n v="3.2"/>
    <x v="1"/>
    <n v="4"/>
    <n v="134.60919540229884"/>
    <n v="17.499195402298838"/>
    <x v="5"/>
    <n v="1"/>
  </r>
  <r>
    <n v="1802"/>
    <n v="33"/>
    <s v="Male"/>
    <s v="Home"/>
    <s v="Curtains"/>
    <n v="154.72"/>
    <s v="Autumn"/>
    <s v="Card"/>
    <n v="3.5"/>
    <x v="0"/>
    <n v="9"/>
    <n v="188.68292682926827"/>
    <n v="33.96292682926827"/>
    <x v="5"/>
    <n v="1"/>
  </r>
  <r>
    <n v="1803"/>
    <n v="23"/>
    <s v="Male"/>
    <s v="Footwear"/>
    <s v="Sneakers"/>
    <n v="168.45"/>
    <s v="Summer"/>
    <s v="Card"/>
    <n v="3.8"/>
    <x v="3"/>
    <n v="5"/>
    <n v="210.56249999999997"/>
    <n v="42.112499999999983"/>
    <x v="3"/>
    <n v="1"/>
  </r>
  <r>
    <n v="1804"/>
    <n v="60"/>
    <s v="Male"/>
    <s v="Sports"/>
    <s v="Dumbbells"/>
    <n v="202.79"/>
    <s v="Summer"/>
    <s v="Card"/>
    <n v="3"/>
    <x v="8"/>
    <n v="1"/>
    <n v="230.44318181818181"/>
    <n v="27.653181818181821"/>
    <x v="0"/>
    <n v="1"/>
  </r>
  <r>
    <n v="1805"/>
    <n v="66"/>
    <s v="Female"/>
    <s v="Home"/>
    <s v="Curtains"/>
    <n v="194.2"/>
    <s v="Spring"/>
    <s v="Card"/>
    <n v="4.7"/>
    <x v="22"/>
    <n v="9"/>
    <n v="252.20779220779218"/>
    <n v="58.007792207792193"/>
    <x v="2"/>
    <n v="1"/>
  </r>
  <r>
    <n v="1806"/>
    <n v="59"/>
    <s v="Female"/>
    <s v="Beauty"/>
    <s v="Perfume"/>
    <n v="90.63"/>
    <s v="Autumn"/>
    <s v="Card"/>
    <n v="4.7"/>
    <x v="8"/>
    <n v="6"/>
    <n v="102.98863636363636"/>
    <n v="12.358636363636364"/>
    <x v="0"/>
    <n v="1"/>
  </r>
  <r>
    <n v="1807"/>
    <n v="53"/>
    <s v="Female"/>
    <s v="Footwear"/>
    <s v="Formal Shoes"/>
    <n v="243.55"/>
    <s v="Winter"/>
    <s v="Card"/>
    <n v="5"/>
    <x v="3"/>
    <n v="5"/>
    <n v="304.4375"/>
    <n v="60.887499999999989"/>
    <x v="4"/>
    <n v="1"/>
  </r>
  <r>
    <n v="1808"/>
    <n v="30"/>
    <s v="Male"/>
    <s v="Groceries"/>
    <s v="Rice Pack"/>
    <n v="38.880000000000003"/>
    <s v="Autumn"/>
    <s v="Cash on Delivery"/>
    <n v="4.0999999999999996"/>
    <x v="1"/>
    <n v="4"/>
    <n v="44.689655172413794"/>
    <n v="5.809655172413791"/>
    <x v="5"/>
    <n v="1"/>
  </r>
  <r>
    <n v="1809"/>
    <n v="32"/>
    <s v="Female"/>
    <s v="Beauty"/>
    <s v="Skincare Kit"/>
    <n v="105.29"/>
    <s v="Spring"/>
    <s v="Card"/>
    <n v="4"/>
    <x v="10"/>
    <n v="6"/>
    <n v="134.9871794871795"/>
    <n v="29.697179487179497"/>
    <x v="5"/>
    <n v="1"/>
  </r>
  <r>
    <n v="1810"/>
    <n v="38"/>
    <s v="Male"/>
    <s v="Sports"/>
    <s v="Football"/>
    <n v="140.26"/>
    <s v="Winter"/>
    <s v="Card"/>
    <n v="3.7"/>
    <x v="0"/>
    <n v="4"/>
    <n v="171.04878048780486"/>
    <n v="30.788780487804871"/>
    <x v="1"/>
    <n v="1"/>
  </r>
  <r>
    <n v="1811"/>
    <n v="45"/>
    <s v="Female"/>
    <s v="Womens Clothing"/>
    <s v="Jeans"/>
    <n v="50.56"/>
    <s v="Autumn"/>
    <s v="Cash on Delivery"/>
    <n v="5"/>
    <x v="6"/>
    <n v="8"/>
    <n v="60.190476190476197"/>
    <n v="9.6304761904761946"/>
    <x v="1"/>
    <n v="1"/>
  </r>
  <r>
    <n v="1812"/>
    <n v="53"/>
    <s v="Female"/>
    <s v="Groceries"/>
    <s v="Cooking Oil"/>
    <n v="40.869999999999997"/>
    <s v="Autumn"/>
    <s v="Card"/>
    <n v="3.9"/>
    <x v="8"/>
    <n v="1"/>
    <n v="46.443181818181813"/>
    <n v="5.5731818181818156"/>
    <x v="4"/>
    <n v="1"/>
  </r>
  <r>
    <n v="1813"/>
    <n v="62"/>
    <s v="Male"/>
    <s v="Mens Clothing"/>
    <s v="Shirt"/>
    <n v="88.13"/>
    <s v="Summer"/>
    <s v="Card"/>
    <n v="3.1"/>
    <x v="24"/>
    <n v="9"/>
    <n v="122.40277777777777"/>
    <n v="34.272777777777776"/>
    <x v="0"/>
    <n v="1"/>
  </r>
  <r>
    <n v="1814"/>
    <n v="26"/>
    <s v="Male"/>
    <s v="Mens Clothing"/>
    <s v="Shirt"/>
    <n v="149.41999999999999"/>
    <s v="Winter"/>
    <s v="Card"/>
    <n v="3.9"/>
    <x v="27"/>
    <n v="10"/>
    <n v="199.22666666666666"/>
    <n v="49.806666666666672"/>
    <x v="5"/>
    <n v="1"/>
  </r>
  <r>
    <n v="1815"/>
    <n v="28"/>
    <s v="Male"/>
    <s v="Footwear"/>
    <s v="Sandals"/>
    <n v="161.21"/>
    <s v="Spring"/>
    <s v="Card"/>
    <n v="3.2"/>
    <x v="0"/>
    <n v="4"/>
    <n v="196.59756097560975"/>
    <n v="35.387560975609745"/>
    <x v="5"/>
    <n v="1"/>
  </r>
  <r>
    <n v="1816"/>
    <n v="49"/>
    <s v="Female"/>
    <s v="Beauty"/>
    <s v="Makeup Set"/>
    <n v="37.520000000000003"/>
    <s v="Summer"/>
    <s v="Cash on Delivery"/>
    <n v="4.5"/>
    <x v="16"/>
    <n v="3"/>
    <n v="39.914893617021285"/>
    <n v="2.3948936170212818"/>
    <x v="4"/>
    <n v="1"/>
  </r>
  <r>
    <n v="1817"/>
    <n v="60"/>
    <s v="Male"/>
    <s v="Sports"/>
    <s v="Yoga Mat"/>
    <n v="126.98"/>
    <s v="Autumn"/>
    <s v="Card"/>
    <n v="5"/>
    <x v="10"/>
    <n v="6"/>
    <n v="162.7948717948718"/>
    <n v="35.814871794871792"/>
    <x v="0"/>
    <n v="1"/>
  </r>
  <r>
    <n v="1818"/>
    <n v="36"/>
    <s v="Male"/>
    <s v="Footwear"/>
    <s v="Sandals"/>
    <n v="229.83"/>
    <s v="Summer"/>
    <s v="Card"/>
    <n v="4.8"/>
    <x v="5"/>
    <n v="4"/>
    <n v="249.81521739130434"/>
    <n v="19.985217391304332"/>
    <x v="1"/>
    <n v="1"/>
  </r>
  <r>
    <n v="1819"/>
    <n v="57"/>
    <s v="Female"/>
    <s v="Accessories"/>
    <s v="Wallet"/>
    <n v="179.83"/>
    <s v="Summer"/>
    <s v="Card"/>
    <n v="2.4"/>
    <x v="1"/>
    <n v="4"/>
    <n v="206.70114942528738"/>
    <n v="26.871149425287371"/>
    <x v="0"/>
    <n v="1"/>
  </r>
  <r>
    <n v="1820"/>
    <n v="21"/>
    <s v="Male"/>
    <s v="Footwear"/>
    <s v="Sneakers"/>
    <n v="231.92"/>
    <s v="Winter"/>
    <s v="Card"/>
    <n v="4.7"/>
    <x v="11"/>
    <n v="8"/>
    <n v="313.40540540540542"/>
    <n v="81.48540540540543"/>
    <x v="3"/>
    <n v="1"/>
  </r>
  <r>
    <n v="1821"/>
    <n v="55"/>
    <s v="Female"/>
    <s v="Footwear"/>
    <s v="Formal Shoes"/>
    <n v="108.55"/>
    <s v="Summer"/>
    <s v="Card"/>
    <n v="4"/>
    <x v="8"/>
    <n v="1"/>
    <n v="123.35227272727272"/>
    <n v="14.802272727272722"/>
    <x v="4"/>
    <n v="1"/>
  </r>
  <r>
    <n v="1822"/>
    <n v="39"/>
    <s v="Male"/>
    <s v="Footwear"/>
    <s v="Sandals"/>
    <n v="40.97"/>
    <s v="Autumn"/>
    <s v="Card"/>
    <n v="3.9"/>
    <x v="18"/>
    <n v="12"/>
    <n v="53.907894736842103"/>
    <n v="12.937894736842104"/>
    <x v="1"/>
    <n v="1"/>
  </r>
  <r>
    <n v="1823"/>
    <n v="35"/>
    <s v="Female"/>
    <s v="Beauty"/>
    <s v="Makeup Set"/>
    <n v="72.38"/>
    <s v="Autumn"/>
    <s v="Card"/>
    <n v="4.2"/>
    <x v="0"/>
    <n v="9"/>
    <n v="88.268292682926813"/>
    <n v="15.888292682926817"/>
    <x v="5"/>
    <n v="1"/>
  </r>
  <r>
    <n v="1824"/>
    <n v="54"/>
    <s v="Male"/>
    <s v="Mens Clothing"/>
    <s v="Jeans"/>
    <n v="77.650000000000006"/>
    <s v="Spring"/>
    <s v="Card"/>
    <n v="2.7"/>
    <x v="19"/>
    <n v="5"/>
    <n v="91.352941176470594"/>
    <n v="13.702941176470588"/>
    <x v="4"/>
    <n v="1"/>
  </r>
  <r>
    <n v="1825"/>
    <n v="34"/>
    <s v="Female"/>
    <s v="Beauty"/>
    <s v="Perfume"/>
    <n v="63.86"/>
    <s v="Spring"/>
    <s v="Cash on Delivery"/>
    <n v="2.5"/>
    <x v="1"/>
    <n v="4"/>
    <n v="73.402298850574709"/>
    <n v="9.5422988505747099"/>
    <x v="5"/>
    <n v="1"/>
  </r>
  <r>
    <n v="1826"/>
    <n v="61"/>
    <s v="Male"/>
    <s v="Groceries"/>
    <s v="Beverages"/>
    <n v="75.86"/>
    <s v="Autumn"/>
    <s v="Card"/>
    <n v="4"/>
    <x v="7"/>
    <n v="5"/>
    <n v="84.288888888888891"/>
    <n v="8.428888888888892"/>
    <x v="0"/>
    <n v="1"/>
  </r>
  <r>
    <n v="1827"/>
    <n v="42"/>
    <s v="Female"/>
    <s v="Accessories"/>
    <s v="Sunglasses"/>
    <n v="37.67"/>
    <s v="Autumn"/>
    <s v="Card"/>
    <n v="3.2"/>
    <x v="11"/>
    <n v="8"/>
    <n v="50.905405405405411"/>
    <n v="13.235405405405409"/>
    <x v="1"/>
    <n v="1"/>
  </r>
  <r>
    <n v="1828"/>
    <n v="28"/>
    <s v="Female"/>
    <s v="Accessories"/>
    <s v="Handbag"/>
    <n v="120.28"/>
    <s v="Winter"/>
    <s v="Card"/>
    <n v="3.5"/>
    <x v="1"/>
    <n v="4"/>
    <n v="138.2528735632184"/>
    <n v="17.9728735632184"/>
    <x v="5"/>
    <n v="1"/>
  </r>
  <r>
    <n v="1829"/>
    <n v="30"/>
    <s v="Male"/>
    <s v="Groceries"/>
    <s v="Snacks"/>
    <n v="38.97"/>
    <s v="Spring"/>
    <s v="Card"/>
    <n v="3.6"/>
    <x v="16"/>
    <n v="3"/>
    <n v="41.457446808510639"/>
    <n v="2.48744680851064"/>
    <x v="5"/>
    <n v="1"/>
  </r>
  <r>
    <n v="1830"/>
    <n v="32"/>
    <s v="Female"/>
    <s v="Sports"/>
    <s v="Dumbbells"/>
    <n v="140.66"/>
    <s v="Winter"/>
    <s v="Card"/>
    <n v="3"/>
    <x v="8"/>
    <n v="6"/>
    <n v="159.84090909090909"/>
    <n v="19.180909090909097"/>
    <x v="5"/>
    <n v="1"/>
  </r>
  <r>
    <n v="1831"/>
    <n v="63"/>
    <s v="Female"/>
    <s v="Sports"/>
    <s v="Dumbbells"/>
    <n v="229.74"/>
    <s v="Autumn"/>
    <s v="Card"/>
    <n v="4.4000000000000004"/>
    <x v="14"/>
    <n v="6"/>
    <n v="276.79518072289159"/>
    <n v="47.055180722891578"/>
    <x v="0"/>
    <n v="1"/>
  </r>
  <r>
    <n v="1832"/>
    <n v="27"/>
    <s v="Female"/>
    <s v="Home"/>
    <s v="Lamp"/>
    <n v="191.41"/>
    <s v="Spring"/>
    <s v="Card"/>
    <n v="4.5"/>
    <x v="16"/>
    <n v="3"/>
    <n v="203.62765957446808"/>
    <n v="12.217659574468087"/>
    <x v="5"/>
    <n v="1"/>
  </r>
  <r>
    <n v="1833"/>
    <n v="37"/>
    <s v="Male"/>
    <s v="Sports"/>
    <s v="Football"/>
    <n v="165.73"/>
    <s v="Autumn"/>
    <s v="Card"/>
    <n v="3.5"/>
    <x v="16"/>
    <n v="3"/>
    <n v="176.30851063829786"/>
    <n v="10.578510638297871"/>
    <x v="1"/>
    <n v="1"/>
  </r>
  <r>
    <n v="1834"/>
    <n v="54"/>
    <s v="Male"/>
    <s v="Electronics"/>
    <s v="Mobile Phone"/>
    <n v="2817.12"/>
    <s v="Winter"/>
    <s v="Card"/>
    <n v="4"/>
    <x v="0"/>
    <n v="4"/>
    <n v="3435.5121951219508"/>
    <n v="618.39219512195086"/>
    <x v="4"/>
    <n v="1"/>
  </r>
  <r>
    <n v="1835"/>
    <n v="34"/>
    <s v="Male"/>
    <s v="Footwear"/>
    <s v="Formal Shoes"/>
    <n v="243.34"/>
    <s v="Winter"/>
    <s v="Card"/>
    <n v="3.5"/>
    <x v="2"/>
    <n v="3"/>
    <n v="273.41573033707863"/>
    <n v="30.075730337078625"/>
    <x v="5"/>
    <n v="1"/>
  </r>
  <r>
    <n v="1836"/>
    <n v="56"/>
    <s v="Male"/>
    <s v="Electronics"/>
    <s v="Smart Watch"/>
    <n v="1574.28"/>
    <s v="Spring"/>
    <s v="Card"/>
    <n v="3.3"/>
    <x v="1"/>
    <n v="4"/>
    <n v="1809.5172413793102"/>
    <n v="235.23724137931026"/>
    <x v="0"/>
    <n v="1"/>
  </r>
  <r>
    <n v="1837"/>
    <n v="28"/>
    <s v="Female"/>
    <s v="Accessories"/>
    <s v="Handbag"/>
    <n v="142.54"/>
    <s v="Summer"/>
    <s v="Card"/>
    <n v="4.7"/>
    <x v="3"/>
    <n v="10"/>
    <n v="178.17499999999998"/>
    <n v="35.634999999999991"/>
    <x v="5"/>
    <n v="1"/>
  </r>
  <r>
    <n v="1838"/>
    <n v="26"/>
    <s v="Male"/>
    <s v="Sports"/>
    <s v="Football"/>
    <n v="138.28"/>
    <s v="Autumn"/>
    <s v="Card"/>
    <n v="4"/>
    <x v="19"/>
    <n v="5"/>
    <n v="162.68235294117648"/>
    <n v="24.402352941176474"/>
    <x v="5"/>
    <n v="1"/>
  </r>
  <r>
    <n v="1839"/>
    <n v="64"/>
    <s v="Female"/>
    <s v="Womens Clothing"/>
    <s v="Top"/>
    <n v="82.07"/>
    <s v="Winter"/>
    <s v="Card"/>
    <n v="4.4000000000000004"/>
    <x v="13"/>
    <n v="2"/>
    <n v="90.186813186813183"/>
    <n v="8.1168131868131894"/>
    <x v="0"/>
    <n v="1"/>
  </r>
  <r>
    <n v="1840"/>
    <n v="64"/>
    <s v="Female"/>
    <s v="Accessories"/>
    <s v="Wallet"/>
    <n v="137.63999999999999"/>
    <s v="Winter"/>
    <s v="Card"/>
    <n v="2.9"/>
    <x v="18"/>
    <n v="7"/>
    <n v="181.10526315789471"/>
    <n v="43.465263157894725"/>
    <x v="0"/>
    <n v="1"/>
  </r>
  <r>
    <n v="1841"/>
    <n v="64"/>
    <s v="Female"/>
    <s v="Accessories"/>
    <s v="Sunglasses"/>
    <n v="69.56"/>
    <s v="Winter"/>
    <s v="Cash on Delivery"/>
    <n v="3.2"/>
    <x v="22"/>
    <n v="9"/>
    <n v="90.337662337662337"/>
    <n v="20.777662337662335"/>
    <x v="0"/>
    <n v="1"/>
  </r>
  <r>
    <n v="1842"/>
    <n v="40"/>
    <s v="Male"/>
    <s v="Mens Clothing"/>
    <s v="Jacket"/>
    <n v="119.18"/>
    <s v="Summer"/>
    <s v="Card"/>
    <n v="4"/>
    <x v="18"/>
    <n v="7"/>
    <n v="156.81578947368422"/>
    <n v="37.635789473684213"/>
    <x v="1"/>
    <n v="1"/>
  </r>
  <r>
    <n v="1843"/>
    <n v="28"/>
    <s v="Male"/>
    <s v="Sports"/>
    <s v="Dumbbells"/>
    <n v="197.53"/>
    <s v="Winter"/>
    <s v="Card"/>
    <n v="4.0999999999999996"/>
    <x v="10"/>
    <n v="6"/>
    <n v="253.24358974358972"/>
    <n v="55.713589743589722"/>
    <x v="5"/>
    <n v="1"/>
  </r>
  <r>
    <n v="1844"/>
    <n v="63"/>
    <s v="Female"/>
    <s v="Footwear"/>
    <s v="Sandals"/>
    <n v="183.93"/>
    <s v="Autumn"/>
    <s v="Card"/>
    <n v="4.7"/>
    <x v="10"/>
    <n v="6"/>
    <n v="235.80769230769232"/>
    <n v="51.877692307692314"/>
    <x v="0"/>
    <n v="1"/>
  </r>
  <r>
    <n v="1845"/>
    <n v="54"/>
    <s v="Male"/>
    <s v="Electronics"/>
    <s v="Mobile Phone"/>
    <n v="1324.31"/>
    <s v="Summer"/>
    <s v="Card"/>
    <n v="3.5"/>
    <x v="0"/>
    <n v="4"/>
    <n v="1615.012195121951"/>
    <n v="290.70219512195104"/>
    <x v="4"/>
    <n v="1"/>
  </r>
  <r>
    <n v="1846"/>
    <n v="57"/>
    <s v="Male"/>
    <s v="Footwear"/>
    <s v="Sandals"/>
    <n v="192.19"/>
    <s v="Autumn"/>
    <s v="Card"/>
    <n v="3.8"/>
    <x v="5"/>
    <n v="4"/>
    <n v="208.90217391304347"/>
    <n v="16.712173913043472"/>
    <x v="0"/>
    <n v="1"/>
  </r>
  <r>
    <n v="1847"/>
    <n v="34"/>
    <s v="Male"/>
    <s v="Sports"/>
    <s v="Dumbbells"/>
    <n v="111.77"/>
    <s v="Spring"/>
    <s v="Card"/>
    <n v="4.5999999999999996"/>
    <x v="8"/>
    <n v="1"/>
    <n v="127.01136363636363"/>
    <n v="15.24136363636363"/>
    <x v="5"/>
    <n v="1"/>
  </r>
  <r>
    <n v="1848"/>
    <n v="52"/>
    <s v="Male"/>
    <s v="Sports"/>
    <s v="Football"/>
    <n v="105.58"/>
    <s v="Summer"/>
    <s v="Card"/>
    <n v="3.2"/>
    <x v="14"/>
    <n v="6"/>
    <n v="127.20481927710844"/>
    <n v="21.624819277108443"/>
    <x v="4"/>
    <n v="1"/>
  </r>
  <r>
    <n v="1849"/>
    <n v="44"/>
    <s v="Female"/>
    <s v="Beauty"/>
    <s v="Perfume"/>
    <n v="57.25"/>
    <s v="Summer"/>
    <s v="Cash on Delivery"/>
    <n v="3.3"/>
    <x v="7"/>
    <n v="5"/>
    <n v="63.611111111111107"/>
    <n v="6.3611111111111072"/>
    <x v="1"/>
    <n v="1"/>
  </r>
  <r>
    <n v="1850"/>
    <n v="43"/>
    <s v="Female"/>
    <s v="Beauty"/>
    <s v="Makeup Set"/>
    <n v="146.27000000000001"/>
    <s v="Winter"/>
    <s v="Card"/>
    <n v="3.1"/>
    <x v="0"/>
    <n v="4"/>
    <n v="178.3780487804878"/>
    <n v="32.108048780487792"/>
    <x v="1"/>
    <n v="1"/>
  </r>
  <r>
    <n v="1851"/>
    <n v="63"/>
    <s v="Female"/>
    <s v="Accessories"/>
    <s v="Wallet"/>
    <n v="137.27000000000001"/>
    <s v="Winter"/>
    <s v="Card"/>
    <n v="4.4000000000000004"/>
    <x v="16"/>
    <n v="3"/>
    <n v="146.03191489361703"/>
    <n v="8.7619148936170177"/>
    <x v="0"/>
    <n v="1"/>
  </r>
  <r>
    <n v="1852"/>
    <n v="37"/>
    <s v="Male"/>
    <s v="Mens Clothing"/>
    <s v="Jeans"/>
    <n v="79.69"/>
    <s v="Autumn"/>
    <s v="Cash on Delivery"/>
    <n v="4.3"/>
    <x v="17"/>
    <n v="2"/>
    <n v="83.010416666666671"/>
    <n v="3.3204166666666737"/>
    <x v="1"/>
    <n v="1"/>
  </r>
  <r>
    <n v="1853"/>
    <n v="48"/>
    <s v="Female"/>
    <s v="Beauty"/>
    <s v="Makeup Set"/>
    <n v="29.31"/>
    <s v="Winter"/>
    <s v="Card"/>
    <n v="4.9000000000000004"/>
    <x v="0"/>
    <n v="4"/>
    <n v="35.743902439024389"/>
    <n v="6.43390243902439"/>
    <x v="4"/>
    <n v="1"/>
  </r>
  <r>
    <n v="1854"/>
    <n v="47"/>
    <s v="Male"/>
    <s v="Mens Clothing"/>
    <s v="Jacket"/>
    <n v="110.78"/>
    <s v="Spring"/>
    <s v="Card"/>
    <n v="3.9"/>
    <x v="7"/>
    <n v="5"/>
    <n v="123.08888888888889"/>
    <n v="12.308888888888887"/>
    <x v="4"/>
    <n v="1"/>
  </r>
  <r>
    <n v="1855"/>
    <n v="60"/>
    <s v="Female"/>
    <s v="Accessories"/>
    <s v="Sunglasses"/>
    <n v="88.27"/>
    <s v="Autumn"/>
    <s v="Card"/>
    <n v="2.9"/>
    <x v="4"/>
    <n v="7"/>
    <n v="102.63953488372093"/>
    <n v="14.369534883720931"/>
    <x v="0"/>
    <n v="1"/>
  </r>
  <r>
    <n v="1856"/>
    <n v="25"/>
    <s v="Female"/>
    <s v="Accessories"/>
    <s v="Wallet"/>
    <n v="155.11000000000001"/>
    <s v="Autumn"/>
    <s v="Card"/>
    <n v="4.4000000000000004"/>
    <x v="1"/>
    <n v="4"/>
    <n v="178.2873563218391"/>
    <n v="23.177356321839085"/>
    <x v="3"/>
    <n v="1"/>
  </r>
  <r>
    <n v="1857"/>
    <n v="20"/>
    <s v="Male"/>
    <s v="Footwear"/>
    <s v="Sneakers"/>
    <n v="125.9"/>
    <s v="Autumn"/>
    <s v="Card"/>
    <n v="4.0999999999999996"/>
    <x v="3"/>
    <n v="5"/>
    <n v="157.375"/>
    <n v="31.474999999999994"/>
    <x v="3"/>
    <n v="1"/>
  </r>
  <r>
    <n v="1858"/>
    <n v="29"/>
    <s v="Female"/>
    <s v="Groceries"/>
    <s v="Rice Pack"/>
    <n v="78.52"/>
    <s v="Autumn"/>
    <s v="Cash on Delivery"/>
    <n v="3.5"/>
    <x v="0"/>
    <n v="4"/>
    <n v="95.756097560975604"/>
    <n v="17.236097560975608"/>
    <x v="5"/>
    <n v="1"/>
  </r>
  <r>
    <n v="1859"/>
    <n v="49"/>
    <s v="Female"/>
    <s v="Groceries"/>
    <s v="Snacks"/>
    <n v="21.32"/>
    <s v="Autumn"/>
    <s v="Cash on Delivery"/>
    <n v="4.5999999999999996"/>
    <x v="1"/>
    <n v="4"/>
    <n v="24.505747126436781"/>
    <n v="3.1857471264367803"/>
    <x v="4"/>
    <n v="1"/>
  </r>
  <r>
    <n v="1860"/>
    <n v="70"/>
    <s v="Female"/>
    <s v="Footwear"/>
    <s v="Sneakers"/>
    <n v="180.88"/>
    <s v="Winter"/>
    <s v="Card"/>
    <n v="3.1"/>
    <x v="4"/>
    <n v="2"/>
    <n v="210.32558139534885"/>
    <n v="29.445581395348853"/>
    <x v="2"/>
    <n v="1"/>
  </r>
  <r>
    <n v="1861"/>
    <n v="23"/>
    <s v="Female"/>
    <s v="Sports"/>
    <s v="Yoga Mat"/>
    <n v="240.21"/>
    <s v="Winter"/>
    <s v="Card"/>
    <n v="2.2999999999999998"/>
    <x v="0"/>
    <n v="4"/>
    <n v="292.9390243902439"/>
    <n v="52.729024390243893"/>
    <x v="3"/>
    <n v="1"/>
  </r>
  <r>
    <n v="1862"/>
    <n v="34"/>
    <s v="Male"/>
    <s v="Mens Clothing"/>
    <s v="Jeans"/>
    <n v="76.040000000000006"/>
    <s v="Summer"/>
    <s v="Cash on Delivery"/>
    <n v="4"/>
    <x v="16"/>
    <n v="3"/>
    <n v="80.893617021276611"/>
    <n v="4.8536170212766052"/>
    <x v="5"/>
    <n v="1"/>
  </r>
  <r>
    <n v="1863"/>
    <n v="68"/>
    <s v="Male"/>
    <s v="Footwear"/>
    <s v="Sandals"/>
    <n v="52.98"/>
    <s v="Spring"/>
    <s v="Card"/>
    <n v="3.8"/>
    <x v="10"/>
    <n v="6"/>
    <n v="67.92307692307692"/>
    <n v="14.943076923076923"/>
    <x v="2"/>
    <n v="1"/>
  </r>
  <r>
    <n v="1864"/>
    <n v="51"/>
    <s v="Female"/>
    <s v="Beauty"/>
    <s v="Skincare Kit"/>
    <n v="101.93"/>
    <s v="Spring"/>
    <s v="Card"/>
    <n v="3.7"/>
    <x v="13"/>
    <n v="2"/>
    <n v="112.01098901098902"/>
    <n v="10.080989010989015"/>
    <x v="4"/>
    <n v="1"/>
  </r>
  <r>
    <n v="1865"/>
    <n v="49"/>
    <s v="Male"/>
    <s v="Footwear"/>
    <s v="Sandals"/>
    <n v="122.96"/>
    <s v="Winter"/>
    <s v="Card"/>
    <n v="4.2"/>
    <x v="1"/>
    <n v="4"/>
    <n v="141.33333333333331"/>
    <n v="18.373333333333321"/>
    <x v="4"/>
    <n v="1"/>
  </r>
  <r>
    <n v="1866"/>
    <n v="46"/>
    <s v="Male"/>
    <s v="Electronics"/>
    <s v="Laptop"/>
    <n v="2820.93"/>
    <s v="Summer"/>
    <s v="Card"/>
    <n v="4.5999999999999996"/>
    <x v="1"/>
    <n v="4"/>
    <n v="3242.4482758620688"/>
    <n v="421.518275862069"/>
    <x v="4"/>
    <n v="1"/>
  </r>
  <r>
    <n v="1867"/>
    <n v="46"/>
    <s v="Male"/>
    <s v="Mens Clothing"/>
    <s v="Jacket"/>
    <n v="123.87"/>
    <s v="Summer"/>
    <s v="Card"/>
    <n v="3.8"/>
    <x v="26"/>
    <n v="0"/>
    <n v="130.38947368421054"/>
    <n v="6.5194736842105385"/>
    <x v="4"/>
    <n v="1"/>
  </r>
  <r>
    <n v="1868"/>
    <n v="49"/>
    <s v="Male"/>
    <s v="Mens Clothing"/>
    <s v="Jacket"/>
    <n v="67.94"/>
    <s v="Summer"/>
    <s v="Cash on Delivery"/>
    <n v="3.9"/>
    <x v="18"/>
    <n v="7"/>
    <n v="89.39473684210526"/>
    <n v="21.454736842105262"/>
    <x v="4"/>
    <n v="1"/>
  </r>
  <r>
    <n v="1869"/>
    <n v="56"/>
    <s v="Male"/>
    <s v="Mens Clothing"/>
    <s v="Jacket"/>
    <n v="50.4"/>
    <s v="Spring"/>
    <s v="Card"/>
    <n v="4.2"/>
    <x v="0"/>
    <n v="4"/>
    <n v="61.463414634146332"/>
    <n v="11.063414634146334"/>
    <x v="0"/>
    <n v="1"/>
  </r>
  <r>
    <n v="1870"/>
    <n v="65"/>
    <s v="Male"/>
    <s v="Mens Clothing"/>
    <s v="T-Shirt"/>
    <n v="174.89"/>
    <s v="Winter"/>
    <s v="Card"/>
    <n v="2.4"/>
    <x v="15"/>
    <n v="1"/>
    <n v="178.45918367346937"/>
    <n v="3.5691836734693823"/>
    <x v="0"/>
    <n v="1"/>
  </r>
  <r>
    <n v="1871"/>
    <n v="44"/>
    <s v="Female"/>
    <s v="Womens Clothing"/>
    <s v="Top"/>
    <n v="119.31"/>
    <s v="Spring"/>
    <s v="Card"/>
    <n v="3.8"/>
    <x v="19"/>
    <n v="5"/>
    <n v="140.36470588235295"/>
    <n v="21.054705882352948"/>
    <x v="1"/>
    <n v="1"/>
  </r>
  <r>
    <n v="1872"/>
    <n v="43"/>
    <s v="Male"/>
    <s v="Sports"/>
    <s v="Football"/>
    <n v="188.28"/>
    <s v="Spring"/>
    <s v="Card"/>
    <n v="3.7"/>
    <x v="10"/>
    <n v="6"/>
    <n v="241.38461538461539"/>
    <n v="53.104615384615386"/>
    <x v="1"/>
    <n v="1"/>
  </r>
  <r>
    <n v="1873"/>
    <n v="58"/>
    <s v="Male"/>
    <s v="Footwear"/>
    <s v="Sneakers"/>
    <n v="75.03"/>
    <s v="Spring"/>
    <s v="Card"/>
    <n v="4.3"/>
    <x v="7"/>
    <n v="5"/>
    <n v="83.36666666666666"/>
    <n v="8.3366666666666589"/>
    <x v="0"/>
    <n v="1"/>
  </r>
  <r>
    <n v="1874"/>
    <n v="27"/>
    <s v="Female"/>
    <s v="Sports"/>
    <s v="Football"/>
    <n v="122.27"/>
    <s v="Autumn"/>
    <s v="Card"/>
    <n v="5"/>
    <x v="19"/>
    <n v="5"/>
    <n v="143.84705882352941"/>
    <n v="21.577058823529413"/>
    <x v="5"/>
    <n v="1"/>
  </r>
  <r>
    <n v="1875"/>
    <n v="67"/>
    <s v="Female"/>
    <s v="Womens Clothing"/>
    <s v="Jeans"/>
    <n v="48.15"/>
    <s v="Summer"/>
    <s v="Cash on Delivery"/>
    <n v="3.5"/>
    <x v="8"/>
    <n v="6"/>
    <n v="54.715909090909086"/>
    <n v="6.5659090909090878"/>
    <x v="2"/>
    <n v="1"/>
  </r>
  <r>
    <n v="1876"/>
    <n v="57"/>
    <s v="Female"/>
    <s v="Groceries"/>
    <s v="Beverages"/>
    <n v="75.56"/>
    <s v="Summer"/>
    <s v="Cash on Delivery"/>
    <n v="3.8"/>
    <x v="10"/>
    <n v="6"/>
    <n v="96.871794871794876"/>
    <n v="21.311794871794874"/>
    <x v="0"/>
    <n v="1"/>
  </r>
  <r>
    <n v="1877"/>
    <n v="37"/>
    <s v="Male"/>
    <s v="Home"/>
    <s v="Kitchen Set"/>
    <n v="289.68"/>
    <s v="Spring"/>
    <s v="Card"/>
    <n v="5"/>
    <x v="18"/>
    <n v="7"/>
    <n v="381.15789473684214"/>
    <n v="91.477894736842131"/>
    <x v="1"/>
    <n v="1"/>
  </r>
  <r>
    <n v="1878"/>
    <n v="59"/>
    <s v="Male"/>
    <s v="Sports"/>
    <s v="Dumbbells"/>
    <n v="241.42"/>
    <s v="Summer"/>
    <s v="Card"/>
    <n v="5"/>
    <x v="12"/>
    <n v="7"/>
    <n v="298.04938271604937"/>
    <n v="56.629382716049378"/>
    <x v="0"/>
    <n v="1"/>
  </r>
  <r>
    <n v="1879"/>
    <n v="51"/>
    <s v="Female"/>
    <s v="Beauty"/>
    <s v="Perfume"/>
    <n v="138.15"/>
    <s v="Winter"/>
    <s v="Card"/>
    <n v="3.5"/>
    <x v="19"/>
    <n v="5"/>
    <n v="162.52941176470588"/>
    <n v="24.379411764705878"/>
    <x v="4"/>
    <n v="1"/>
  </r>
  <r>
    <n v="1880"/>
    <n v="30"/>
    <s v="Female"/>
    <s v="Accessories"/>
    <s v="Sunglasses"/>
    <n v="46.15"/>
    <s v="Autumn"/>
    <s v="Cash on Delivery"/>
    <n v="3.7"/>
    <x v="4"/>
    <n v="2"/>
    <n v="53.662790697674417"/>
    <n v="7.5127906976744185"/>
    <x v="5"/>
    <n v="1"/>
  </r>
  <r>
    <n v="1881"/>
    <n v="61"/>
    <s v="Male"/>
    <s v="Groceries"/>
    <s v="Rice Pack"/>
    <n v="62.19"/>
    <s v="Summer"/>
    <s v="Card"/>
    <n v="2.9"/>
    <x v="8"/>
    <n v="6"/>
    <n v="70.670454545454547"/>
    <n v="8.480454545454549"/>
    <x v="0"/>
    <n v="1"/>
  </r>
  <r>
    <n v="1882"/>
    <n v="24"/>
    <s v="Male"/>
    <s v="Footwear"/>
    <s v="Formal Shoes"/>
    <n v="223.63"/>
    <s v="Spring"/>
    <s v="Card"/>
    <n v="5"/>
    <x v="26"/>
    <n v="0"/>
    <n v="235.4"/>
    <n v="11.77000000000001"/>
    <x v="3"/>
    <n v="1"/>
  </r>
  <r>
    <n v="1883"/>
    <n v="46"/>
    <s v="Female"/>
    <s v="Groceries"/>
    <s v="Beverages"/>
    <n v="61.01"/>
    <s v="Spring"/>
    <s v="Cash on Delivery"/>
    <n v="3.2"/>
    <x v="19"/>
    <n v="5"/>
    <n v="71.776470588235298"/>
    <n v="10.7664705882353"/>
    <x v="4"/>
    <n v="1"/>
  </r>
  <r>
    <n v="1884"/>
    <n v="24"/>
    <s v="Male"/>
    <s v="Mens Clothing"/>
    <s v="Shirt"/>
    <n v="55.92"/>
    <s v="Spring"/>
    <s v="Card"/>
    <n v="4"/>
    <x v="8"/>
    <n v="6"/>
    <n v="63.545454545454547"/>
    <n v="7.625454545454545"/>
    <x v="3"/>
    <n v="1"/>
  </r>
  <r>
    <n v="1885"/>
    <n v="23"/>
    <s v="Male"/>
    <s v="Electronics"/>
    <s v="Smart Watch"/>
    <n v="590.1"/>
    <s v="Spring"/>
    <s v="Card"/>
    <n v="4.3"/>
    <x v="16"/>
    <n v="3"/>
    <n v="627.76595744680856"/>
    <n v="37.665957446808534"/>
    <x v="3"/>
    <n v="1"/>
  </r>
  <r>
    <n v="1886"/>
    <n v="23"/>
    <s v="Female"/>
    <s v="Sports"/>
    <s v="Yoga Mat"/>
    <n v="193.08"/>
    <s v="Autumn"/>
    <s v="Card"/>
    <n v="3.3"/>
    <x v="14"/>
    <n v="6"/>
    <n v="232.62650602409641"/>
    <n v="39.546506024096402"/>
    <x v="3"/>
    <n v="1"/>
  </r>
  <r>
    <n v="1887"/>
    <n v="24"/>
    <s v="Female"/>
    <s v="Womens Clothing"/>
    <s v="Top"/>
    <n v="165.24"/>
    <s v="Winter"/>
    <s v="Card"/>
    <n v="3.9"/>
    <x v="19"/>
    <n v="5"/>
    <n v="194.4"/>
    <n v="29.159999999999997"/>
    <x v="3"/>
    <n v="1"/>
  </r>
  <r>
    <n v="1888"/>
    <n v="38"/>
    <s v="Male"/>
    <s v="Mens Clothing"/>
    <s v="Shirt"/>
    <n v="80.67"/>
    <s v="Summer"/>
    <s v="Card"/>
    <n v="3.6"/>
    <x v="12"/>
    <n v="7"/>
    <n v="99.592592592592595"/>
    <n v="18.922592592592594"/>
    <x v="1"/>
    <n v="1"/>
  </r>
  <r>
    <n v="1889"/>
    <n v="26"/>
    <s v="Female"/>
    <s v="Beauty"/>
    <s v="Perfume"/>
    <n v="121.33"/>
    <s v="Spring"/>
    <s v="Card"/>
    <n v="5"/>
    <x v="6"/>
    <n v="8"/>
    <n v="144.4404761904762"/>
    <n v="23.110476190476206"/>
    <x v="5"/>
    <n v="1"/>
  </r>
  <r>
    <n v="1890"/>
    <n v="42"/>
    <s v="Male"/>
    <s v="Sports"/>
    <s v="Yoga Mat"/>
    <n v="41.11"/>
    <s v="Spring"/>
    <s v="Card"/>
    <n v="3.1"/>
    <x v="24"/>
    <n v="9"/>
    <n v="57.097222222222221"/>
    <n v="15.987222222222222"/>
    <x v="1"/>
    <n v="1"/>
  </r>
  <r>
    <n v="1891"/>
    <n v="50"/>
    <s v="Male"/>
    <s v="Home"/>
    <s v="Lamp"/>
    <n v="45"/>
    <s v="Spring"/>
    <s v="Cash on Delivery"/>
    <n v="4.0999999999999996"/>
    <x v="13"/>
    <n v="2"/>
    <n v="49.450549450549445"/>
    <n v="4.4505494505494454"/>
    <x v="4"/>
    <n v="1"/>
  </r>
  <r>
    <n v="1892"/>
    <n v="42"/>
    <s v="Female"/>
    <s v="Accessories"/>
    <s v="Handbag"/>
    <n v="50.74"/>
    <s v="Autumn"/>
    <s v="Card"/>
    <n v="4.2"/>
    <x v="17"/>
    <n v="2"/>
    <n v="52.854166666666671"/>
    <n v="2.1141666666666694"/>
    <x v="1"/>
    <n v="1"/>
  </r>
  <r>
    <n v="1893"/>
    <n v="22"/>
    <s v="Female"/>
    <s v="Womens Clothing"/>
    <s v="Top"/>
    <n v="109.38"/>
    <s v="Spring"/>
    <s v="Card"/>
    <n v="4.3"/>
    <x v="6"/>
    <n v="3"/>
    <n v="130.21428571428572"/>
    <n v="20.834285714285727"/>
    <x v="3"/>
    <n v="1"/>
  </r>
  <r>
    <n v="1894"/>
    <n v="40"/>
    <s v="Female"/>
    <s v="Womens Clothing"/>
    <s v="Top"/>
    <n v="55"/>
    <s v="Winter"/>
    <s v="Cash on Delivery"/>
    <n v="4"/>
    <x v="0"/>
    <n v="4"/>
    <n v="67.073170731707307"/>
    <n v="12.073170731707307"/>
    <x v="1"/>
    <n v="1"/>
  </r>
  <r>
    <n v="1895"/>
    <n v="52"/>
    <s v="Male"/>
    <s v="Footwear"/>
    <s v="Sandals"/>
    <n v="181.52"/>
    <s v="Winter"/>
    <s v="Card"/>
    <n v="4.3"/>
    <x v="18"/>
    <n v="7"/>
    <n v="238.84210526315792"/>
    <n v="57.322105263157908"/>
    <x v="4"/>
    <n v="1"/>
  </r>
  <r>
    <n v="1896"/>
    <n v="55"/>
    <s v="Female"/>
    <s v="Accessories"/>
    <s v="Handbag"/>
    <n v="89.11"/>
    <s v="Winter"/>
    <s v="Cash on Delivery"/>
    <n v="2.6"/>
    <x v="8"/>
    <n v="1"/>
    <n v="101.26136363636364"/>
    <n v="12.151363636363641"/>
    <x v="4"/>
    <n v="1"/>
  </r>
  <r>
    <n v="1897"/>
    <n v="34"/>
    <s v="Female"/>
    <s v="Accessories"/>
    <s v="Sunglasses"/>
    <n v="179.27"/>
    <s v="Winter"/>
    <s v="Card"/>
    <n v="4.2"/>
    <x v="1"/>
    <n v="4"/>
    <n v="206.05747126436782"/>
    <n v="26.787471264367809"/>
    <x v="5"/>
    <n v="1"/>
  </r>
  <r>
    <n v="1898"/>
    <n v="28"/>
    <s v="Male"/>
    <s v="Mens Clothing"/>
    <s v="T-Shirt"/>
    <n v="147.68"/>
    <s v="Autumn"/>
    <s v="Card"/>
    <n v="3.5"/>
    <x v="18"/>
    <n v="7"/>
    <n v="194.31578947368422"/>
    <n v="46.635789473684213"/>
    <x v="5"/>
    <n v="1"/>
  </r>
  <r>
    <n v="1899"/>
    <n v="63"/>
    <s v="Female"/>
    <s v="Womens Clothing"/>
    <s v="Jeans"/>
    <n v="90.28"/>
    <s v="Summer"/>
    <s v="Card"/>
    <n v="4"/>
    <x v="12"/>
    <n v="7"/>
    <n v="111.45679012345678"/>
    <n v="21.176790123456783"/>
    <x v="0"/>
    <n v="1"/>
  </r>
  <r>
    <n v="1900"/>
    <n v="43"/>
    <s v="Female"/>
    <s v="Home"/>
    <s v="Kitchen Set"/>
    <n v="261.98"/>
    <s v="Winter"/>
    <s v="Card"/>
    <n v="4.2"/>
    <x v="18"/>
    <n v="7"/>
    <n v="344.71052631578948"/>
    <n v="82.730526315789461"/>
    <x v="1"/>
    <n v="1"/>
  </r>
  <r>
    <n v="1901"/>
    <n v="35"/>
    <s v="Male"/>
    <s v="Electronics"/>
    <s v="Smart Watch"/>
    <n v="2479.4"/>
    <s v="Summer"/>
    <s v="Card"/>
    <n v="3.9"/>
    <x v="18"/>
    <n v="7"/>
    <n v="3262.3684210526317"/>
    <n v="782.96842105263158"/>
    <x v="5"/>
    <n v="1"/>
  </r>
  <r>
    <n v="1902"/>
    <n v="36"/>
    <s v="Male"/>
    <s v="Sports"/>
    <s v="Dumbbells"/>
    <n v="159.18"/>
    <s v="Spring"/>
    <s v="Card"/>
    <n v="2.4"/>
    <x v="8"/>
    <n v="6"/>
    <n v="180.88636363636365"/>
    <n v="21.706363636363648"/>
    <x v="1"/>
    <n v="1"/>
  </r>
  <r>
    <n v="1903"/>
    <n v="48"/>
    <s v="Male"/>
    <s v="Sports"/>
    <s v="Football"/>
    <n v="144.53"/>
    <s v="Winter"/>
    <s v="Card"/>
    <n v="3.7"/>
    <x v="8"/>
    <n v="6"/>
    <n v="164.23863636363637"/>
    <n v="19.708636363636373"/>
    <x v="4"/>
    <n v="1"/>
  </r>
  <r>
    <n v="1904"/>
    <n v="34"/>
    <s v="Male"/>
    <s v="Electronics"/>
    <s v="Headphones"/>
    <n v="1675.77"/>
    <s v="Autumn"/>
    <s v="Card"/>
    <n v="3.6"/>
    <x v="18"/>
    <n v="7"/>
    <n v="2204.9605263157896"/>
    <n v="529.19052631578961"/>
    <x v="5"/>
    <n v="1"/>
  </r>
  <r>
    <n v="1905"/>
    <n v="47"/>
    <s v="Female"/>
    <s v="Footwear"/>
    <s v="Sandals"/>
    <n v="64.760000000000005"/>
    <s v="Summer"/>
    <s v="Cash on Delivery"/>
    <n v="4.3"/>
    <x v="17"/>
    <n v="2"/>
    <n v="67.458333333333343"/>
    <n v="2.6983333333333377"/>
    <x v="4"/>
    <n v="1"/>
  </r>
  <r>
    <n v="1906"/>
    <n v="48"/>
    <s v="Female"/>
    <s v="Womens Clothing"/>
    <s v="Top"/>
    <n v="118.33"/>
    <s v="Spring"/>
    <s v="Card"/>
    <n v="4"/>
    <x v="18"/>
    <n v="7"/>
    <n v="155.69736842105263"/>
    <n v="37.367368421052632"/>
    <x v="4"/>
    <n v="1"/>
  </r>
  <r>
    <n v="1907"/>
    <n v="50"/>
    <s v="Female"/>
    <s v="Accessories"/>
    <s v="Wallet"/>
    <n v="150.38999999999999"/>
    <s v="Summer"/>
    <s v="Card"/>
    <n v="4.2"/>
    <x v="2"/>
    <n v="3"/>
    <n v="168.97752808988761"/>
    <n v="18.587528089887627"/>
    <x v="4"/>
    <n v="1"/>
  </r>
  <r>
    <n v="1908"/>
    <n v="25"/>
    <s v="Male"/>
    <s v="Footwear"/>
    <s v="Sneakers"/>
    <n v="120.73"/>
    <s v="Winter"/>
    <s v="Card"/>
    <n v="4"/>
    <x v="2"/>
    <n v="3"/>
    <n v="135.65168539325842"/>
    <n v="14.921685393258414"/>
    <x v="3"/>
    <n v="1"/>
  </r>
  <r>
    <n v="1909"/>
    <n v="67"/>
    <s v="Male"/>
    <s v="Groceries"/>
    <s v="Rice Pack"/>
    <n v="25.65"/>
    <s v="Winter"/>
    <s v="Cash on Delivery"/>
    <n v="3.5"/>
    <x v="14"/>
    <n v="6"/>
    <n v="30.903614457831324"/>
    <n v="5.2536144578313255"/>
    <x v="2"/>
    <n v="1"/>
  </r>
  <r>
    <n v="1910"/>
    <n v="65"/>
    <s v="Female"/>
    <s v="Groceries"/>
    <s v="Rice Pack"/>
    <n v="25.3"/>
    <s v="Autumn"/>
    <s v="Cash on Delivery"/>
    <n v="3.4"/>
    <x v="21"/>
    <n v="8"/>
    <n v="32.025316455696199"/>
    <n v="6.7253164556961984"/>
    <x v="0"/>
    <n v="1"/>
  </r>
  <r>
    <n v="1911"/>
    <n v="33"/>
    <s v="Female"/>
    <s v="Sports"/>
    <s v="Football"/>
    <n v="54.43"/>
    <s v="Autumn"/>
    <s v="Cash on Delivery"/>
    <n v="3.6"/>
    <x v="3"/>
    <n v="10"/>
    <n v="68.037499999999994"/>
    <n v="13.607499999999995"/>
    <x v="5"/>
    <n v="1"/>
  </r>
  <r>
    <n v="1912"/>
    <n v="37"/>
    <s v="Male"/>
    <s v="Footwear"/>
    <s v="Sneakers"/>
    <n v="164.63"/>
    <s v="Winter"/>
    <s v="Card"/>
    <n v="2.5"/>
    <x v="6"/>
    <n v="3"/>
    <n v="195.98809523809524"/>
    <n v="31.358095238095245"/>
    <x v="1"/>
    <n v="1"/>
  </r>
  <r>
    <n v="1913"/>
    <n v="24"/>
    <s v="Male"/>
    <s v="Mens Clothing"/>
    <s v="Jeans"/>
    <n v="109.21"/>
    <s v="Summer"/>
    <s v="Card"/>
    <n v="3.9"/>
    <x v="10"/>
    <n v="11"/>
    <n v="140.0128205128205"/>
    <n v="30.802820512820503"/>
    <x v="3"/>
    <n v="1"/>
  </r>
  <r>
    <n v="1914"/>
    <n v="40"/>
    <s v="Female"/>
    <s v="Womens Clothing"/>
    <s v="Dress"/>
    <n v="96.67"/>
    <s v="Spring"/>
    <s v="Cash on Delivery"/>
    <n v="3.5"/>
    <x v="14"/>
    <n v="6"/>
    <n v="116.4698795180723"/>
    <n v="19.799879518072302"/>
    <x v="1"/>
    <n v="1"/>
  </r>
  <r>
    <n v="1915"/>
    <n v="69"/>
    <s v="Female"/>
    <s v="Sports"/>
    <s v="Dumbbells"/>
    <n v="243.62"/>
    <s v="Autumn"/>
    <s v="Card"/>
    <n v="4"/>
    <x v="6"/>
    <n v="3"/>
    <n v="290.02380952380952"/>
    <n v="46.403809523809514"/>
    <x v="2"/>
    <n v="1"/>
  </r>
  <r>
    <n v="1916"/>
    <n v="68"/>
    <s v="Male"/>
    <s v="Sports"/>
    <s v="Yoga Mat"/>
    <n v="241.87"/>
    <s v="Summer"/>
    <s v="Card"/>
    <n v="3.7"/>
    <x v="7"/>
    <n v="5"/>
    <n v="268.74444444444447"/>
    <n v="26.874444444444464"/>
    <x v="2"/>
    <n v="1"/>
  </r>
  <r>
    <n v="1917"/>
    <n v="38"/>
    <s v="Female"/>
    <s v="Sports"/>
    <s v="Football"/>
    <n v="77.44"/>
    <s v="Autumn"/>
    <s v="Card"/>
    <n v="4.3"/>
    <x v="7"/>
    <n v="5"/>
    <n v="86.044444444444437"/>
    <n v="8.6044444444444395"/>
    <x v="1"/>
    <n v="1"/>
  </r>
  <r>
    <n v="1918"/>
    <n v="49"/>
    <s v="Female"/>
    <s v="Beauty"/>
    <s v="Makeup Set"/>
    <n v="107.16"/>
    <s v="Winter"/>
    <s v="Card"/>
    <n v="3.1"/>
    <x v="6"/>
    <n v="8"/>
    <n v="127.57142857142857"/>
    <n v="20.411428571428573"/>
    <x v="4"/>
    <n v="1"/>
  </r>
  <r>
    <n v="1919"/>
    <n v="50"/>
    <s v="Male"/>
    <s v="Mens Clothing"/>
    <s v="Shirt"/>
    <n v="109.18"/>
    <s v="Spring"/>
    <s v="Card"/>
    <n v="4.3"/>
    <x v="8"/>
    <n v="6"/>
    <n v="124.06818181818183"/>
    <n v="14.88818181818182"/>
    <x v="4"/>
    <n v="1"/>
  </r>
  <r>
    <n v="1920"/>
    <n v="62"/>
    <s v="Female"/>
    <s v="Womens Clothing"/>
    <s v="Skirt"/>
    <n v="135.93"/>
    <s v="Summer"/>
    <s v="Card"/>
    <n v="4.0999999999999996"/>
    <x v="19"/>
    <n v="5"/>
    <n v="159.91764705882355"/>
    <n v="23.987647058823541"/>
    <x v="0"/>
    <n v="1"/>
  </r>
  <r>
    <n v="1921"/>
    <n v="34"/>
    <s v="Female"/>
    <s v="Footwear"/>
    <s v="Sneakers"/>
    <n v="219.3"/>
    <s v="Autumn"/>
    <s v="Card"/>
    <n v="2.8"/>
    <x v="3"/>
    <n v="5"/>
    <n v="274.125"/>
    <n v="54.824999999999989"/>
    <x v="5"/>
    <n v="1"/>
  </r>
  <r>
    <n v="1922"/>
    <n v="24"/>
    <s v="Male"/>
    <s v="Home"/>
    <s v="Curtains"/>
    <n v="265"/>
    <s v="Winter"/>
    <s v="Card"/>
    <n v="2.4"/>
    <x v="18"/>
    <n v="7"/>
    <n v="348.68421052631578"/>
    <n v="83.68421052631578"/>
    <x v="3"/>
    <n v="1"/>
  </r>
  <r>
    <n v="1923"/>
    <n v="68"/>
    <s v="Female"/>
    <s v="Beauty"/>
    <s v="Makeup Set"/>
    <n v="65.91"/>
    <s v="Autumn"/>
    <s v="Cash on Delivery"/>
    <n v="5"/>
    <x v="13"/>
    <n v="2"/>
    <n v="72.428571428571416"/>
    <n v="6.5185714285714198"/>
    <x v="2"/>
    <n v="1"/>
  </r>
  <r>
    <n v="1924"/>
    <n v="28"/>
    <s v="Male"/>
    <s v="Sports"/>
    <s v="Dumbbells"/>
    <n v="167.74"/>
    <s v="Autumn"/>
    <s v="Card"/>
    <n v="4.4000000000000004"/>
    <x v="1"/>
    <n v="4"/>
    <n v="192.80459770114945"/>
    <n v="25.064597701149438"/>
    <x v="5"/>
    <n v="1"/>
  </r>
  <r>
    <n v="1925"/>
    <n v="25"/>
    <s v="Female"/>
    <s v="Womens Clothing"/>
    <s v="Dress"/>
    <n v="197.6"/>
    <s v="Summer"/>
    <s v="Card"/>
    <n v="5"/>
    <x v="1"/>
    <n v="4"/>
    <n v="227.12643678160919"/>
    <n v="29.526436781609192"/>
    <x v="3"/>
    <n v="1"/>
  </r>
  <r>
    <n v="1926"/>
    <n v="66"/>
    <s v="Male"/>
    <s v="Sports"/>
    <s v="Football"/>
    <n v="69.37"/>
    <s v="Autumn"/>
    <s v="Card"/>
    <n v="3.8"/>
    <x v="16"/>
    <n v="3"/>
    <n v="73.797872340425542"/>
    <n v="4.4278723404255373"/>
    <x v="2"/>
    <n v="1"/>
  </r>
  <r>
    <n v="1927"/>
    <n v="63"/>
    <s v="Female"/>
    <s v="Footwear"/>
    <s v="Sandals"/>
    <n v="176.79"/>
    <s v="Winter"/>
    <s v="Card"/>
    <n v="2.5"/>
    <x v="6"/>
    <n v="3"/>
    <n v="210.46428571428572"/>
    <n v="33.67428571428573"/>
    <x v="0"/>
    <n v="1"/>
  </r>
  <r>
    <n v="1928"/>
    <n v="57"/>
    <s v="Female"/>
    <s v="Beauty"/>
    <s v="Makeup Set"/>
    <n v="30.64"/>
    <s v="Spring"/>
    <s v="Card"/>
    <n v="3.2"/>
    <x v="10"/>
    <n v="6"/>
    <n v="39.282051282051285"/>
    <n v="8.642051282051284"/>
    <x v="0"/>
    <n v="1"/>
  </r>
  <r>
    <n v="1929"/>
    <n v="62"/>
    <s v="Male"/>
    <s v="Sports"/>
    <s v="Dumbbells"/>
    <n v="55.13"/>
    <s v="Winter"/>
    <s v="Card"/>
    <n v="4.2"/>
    <x v="1"/>
    <n v="4"/>
    <n v="63.367816091954026"/>
    <n v="8.2378160919540235"/>
    <x v="0"/>
    <n v="1"/>
  </r>
  <r>
    <n v="1930"/>
    <n v="59"/>
    <s v="Female"/>
    <s v="Sports"/>
    <s v="Football"/>
    <n v="150.71"/>
    <s v="Spring"/>
    <s v="Card"/>
    <n v="3.5"/>
    <x v="19"/>
    <n v="5"/>
    <n v="177.30588235294118"/>
    <n v="26.595882352941175"/>
    <x v="0"/>
    <n v="1"/>
  </r>
  <r>
    <n v="1931"/>
    <n v="59"/>
    <s v="Female"/>
    <s v="Womens Clothing"/>
    <s v="Skirt"/>
    <n v="42.51"/>
    <s v="Autumn"/>
    <s v="Card"/>
    <n v="3.5"/>
    <x v="0"/>
    <n v="4"/>
    <n v="51.841463414634141"/>
    <n v="9.3314634146341433"/>
    <x v="0"/>
    <n v="1"/>
  </r>
  <r>
    <n v="1932"/>
    <n v="64"/>
    <s v="Female"/>
    <s v="Beauty"/>
    <s v="Perfume"/>
    <n v="83.82"/>
    <s v="Summer"/>
    <s v="Card"/>
    <n v="2.9"/>
    <x v="8"/>
    <n v="6"/>
    <n v="95.249999999999986"/>
    <n v="11.429999999999993"/>
    <x v="0"/>
    <n v="1"/>
  </r>
  <r>
    <n v="1933"/>
    <n v="56"/>
    <s v="Female"/>
    <s v="Beauty"/>
    <s v="Perfume"/>
    <n v="53.72"/>
    <s v="Spring"/>
    <s v="Cash on Delivery"/>
    <n v="2.4"/>
    <x v="6"/>
    <n v="3"/>
    <n v="63.952380952380956"/>
    <n v="10.232380952380957"/>
    <x v="0"/>
    <n v="1"/>
  </r>
  <r>
    <n v="1934"/>
    <n v="42"/>
    <s v="Male"/>
    <s v="Footwear"/>
    <s v="Sneakers"/>
    <n v="158.32"/>
    <s v="Autumn"/>
    <s v="Card"/>
    <n v="4.4000000000000004"/>
    <x v="7"/>
    <n v="5"/>
    <n v="175.9111111111111"/>
    <n v="17.591111111111104"/>
    <x v="1"/>
    <n v="1"/>
  </r>
  <r>
    <n v="1935"/>
    <n v="61"/>
    <s v="Female"/>
    <s v="Footwear"/>
    <s v="Sneakers"/>
    <n v="232.32"/>
    <s v="Spring"/>
    <s v="Card"/>
    <n v="2.7"/>
    <x v="17"/>
    <n v="2"/>
    <n v="242"/>
    <n v="9.6800000000000068"/>
    <x v="0"/>
    <n v="1"/>
  </r>
  <r>
    <n v="1936"/>
    <n v="36"/>
    <s v="Male"/>
    <s v="Sports"/>
    <s v="Dumbbells"/>
    <n v="228.65"/>
    <s v="Summer"/>
    <s v="Card"/>
    <n v="4.0999999999999996"/>
    <x v="1"/>
    <n v="4"/>
    <n v="262.81609195402302"/>
    <n v="34.166091954023017"/>
    <x v="1"/>
    <n v="1"/>
  </r>
  <r>
    <n v="1937"/>
    <n v="69"/>
    <s v="Male"/>
    <s v="Sports"/>
    <s v="Football"/>
    <n v="56.11"/>
    <s v="Summer"/>
    <s v="Cash on Delivery"/>
    <n v="2.7"/>
    <x v="10"/>
    <n v="6"/>
    <n v="71.935897435897431"/>
    <n v="15.825897435897431"/>
    <x v="2"/>
    <n v="1"/>
  </r>
  <r>
    <n v="1938"/>
    <n v="32"/>
    <s v="Female"/>
    <s v="Home"/>
    <s v="Curtains"/>
    <n v="175.14"/>
    <s v="Spring"/>
    <s v="Card"/>
    <n v="3.6"/>
    <x v="3"/>
    <n v="10"/>
    <n v="218.92499999999998"/>
    <n v="43.784999999999997"/>
    <x v="5"/>
    <n v="1"/>
  </r>
  <r>
    <n v="1939"/>
    <n v="58"/>
    <s v="Female"/>
    <s v="Sports"/>
    <s v="Yoga Mat"/>
    <n v="195.03"/>
    <s v="Winter"/>
    <s v="Card"/>
    <n v="3.1"/>
    <x v="1"/>
    <n v="4"/>
    <n v="224.17241379310346"/>
    <n v="29.142413793103458"/>
    <x v="0"/>
    <n v="1"/>
  </r>
  <r>
    <n v="1940"/>
    <n v="52"/>
    <s v="Female"/>
    <s v="Home"/>
    <s v="Curtains"/>
    <n v="181.83"/>
    <s v="Spring"/>
    <s v="Card"/>
    <n v="3.8"/>
    <x v="8"/>
    <n v="6"/>
    <n v="206.625"/>
    <n v="24.794999999999987"/>
    <x v="4"/>
    <n v="1"/>
  </r>
  <r>
    <n v="1941"/>
    <n v="64"/>
    <s v="Female"/>
    <s v="Footwear"/>
    <s v="Sneakers"/>
    <n v="107.22"/>
    <s v="Winter"/>
    <s v="Card"/>
    <n v="4.4000000000000004"/>
    <x v="2"/>
    <n v="3"/>
    <n v="120.47191011235955"/>
    <n v="13.251910112359553"/>
    <x v="0"/>
    <n v="1"/>
  </r>
  <r>
    <n v="1942"/>
    <n v="42"/>
    <s v="Female"/>
    <s v="Accessories"/>
    <s v="Wallet"/>
    <n v="49.81"/>
    <s v="Autumn"/>
    <s v="Card"/>
    <n v="4.3"/>
    <x v="2"/>
    <n v="3"/>
    <n v="55.966292134831463"/>
    <n v="6.1562921348314603"/>
    <x v="1"/>
    <n v="1"/>
  </r>
  <r>
    <n v="1943"/>
    <n v="65"/>
    <s v="Male"/>
    <s v="Sports"/>
    <s v="Football"/>
    <n v="54.39"/>
    <s v="Winter"/>
    <s v="Cash on Delivery"/>
    <n v="3.8"/>
    <x v="13"/>
    <n v="2"/>
    <n v="59.769230769230766"/>
    <n v="5.3792307692307659"/>
    <x v="0"/>
    <n v="1"/>
  </r>
  <r>
    <n v="1944"/>
    <n v="48"/>
    <s v="Male"/>
    <s v="Footwear"/>
    <s v="Sneakers"/>
    <n v="63.06"/>
    <s v="Autumn"/>
    <s v="Card"/>
    <n v="4.2"/>
    <x v="10"/>
    <n v="6"/>
    <n v="80.84615384615384"/>
    <n v="17.786153846153837"/>
    <x v="4"/>
    <n v="1"/>
  </r>
  <r>
    <n v="1945"/>
    <n v="66"/>
    <s v="Male"/>
    <s v="Electronics"/>
    <s v="Laptop"/>
    <n v="1918.19"/>
    <s v="Autumn"/>
    <s v="Card"/>
    <n v="3.3"/>
    <x v="5"/>
    <n v="4"/>
    <n v="2084.9891304347825"/>
    <n v="166.79913043478246"/>
    <x v="2"/>
    <n v="1"/>
  </r>
  <r>
    <n v="1946"/>
    <n v="50"/>
    <s v="Male"/>
    <s v="Mens Clothing"/>
    <s v="Shirt"/>
    <n v="132.11000000000001"/>
    <s v="Spring"/>
    <s v="Card"/>
    <n v="3.7"/>
    <x v="0"/>
    <n v="4"/>
    <n v="161.10975609756099"/>
    <n v="28.999756097560976"/>
    <x v="4"/>
    <n v="1"/>
  </r>
  <r>
    <n v="1947"/>
    <n v="35"/>
    <s v="Female"/>
    <s v="Womens Clothing"/>
    <s v="Top"/>
    <n v="84.23"/>
    <s v="Summer"/>
    <s v="Cash on Delivery"/>
    <n v="5"/>
    <x v="5"/>
    <n v="4"/>
    <n v="91.554347826086953"/>
    <n v="7.3243478260869495"/>
    <x v="5"/>
    <n v="1"/>
  </r>
  <r>
    <n v="1948"/>
    <n v="42"/>
    <s v="Female"/>
    <s v="Beauty"/>
    <s v="Skincare Kit"/>
    <n v="114.27"/>
    <s v="Spring"/>
    <s v="Card"/>
    <n v="5"/>
    <x v="8"/>
    <n v="6"/>
    <n v="129.85227272727272"/>
    <n v="15.582272727272724"/>
    <x v="1"/>
    <n v="1"/>
  </r>
  <r>
    <n v="1949"/>
    <n v="30"/>
    <s v="Female"/>
    <s v="Home"/>
    <s v="Kitchen Set"/>
    <n v="39.24"/>
    <s v="Spring"/>
    <s v="Cash on Delivery"/>
    <n v="3.3"/>
    <x v="10"/>
    <n v="6"/>
    <n v="50.307692307692307"/>
    <n v="11.067692307692305"/>
    <x v="5"/>
    <n v="1"/>
  </r>
  <r>
    <n v="1950"/>
    <n v="42"/>
    <s v="Female"/>
    <s v="Footwear"/>
    <s v="Sandals"/>
    <n v="121.16"/>
    <s v="Spring"/>
    <s v="Card"/>
    <n v="2.8"/>
    <x v="6"/>
    <n v="8"/>
    <n v="144.23809523809524"/>
    <n v="23.078095238095244"/>
    <x v="1"/>
    <n v="1"/>
  </r>
  <r>
    <n v="1951"/>
    <n v="51"/>
    <s v="Female"/>
    <s v="Groceries"/>
    <s v="Snacks"/>
    <n v="45.86"/>
    <s v="Autumn"/>
    <s v="Card"/>
    <n v="3.6"/>
    <x v="5"/>
    <n v="4"/>
    <n v="49.847826086956516"/>
    <n v="3.9878260869565167"/>
    <x v="4"/>
    <n v="1"/>
  </r>
  <r>
    <n v="1952"/>
    <n v="38"/>
    <s v="Male"/>
    <s v="Mens Clothing"/>
    <s v="Jeans"/>
    <n v="38.47"/>
    <s v="Spring"/>
    <s v="Card"/>
    <n v="3.6"/>
    <x v="14"/>
    <n v="6"/>
    <n v="46.349397590361448"/>
    <n v="7.8793975903614495"/>
    <x v="1"/>
    <n v="1"/>
  </r>
  <r>
    <n v="1953"/>
    <n v="46"/>
    <s v="Male"/>
    <s v="Sports"/>
    <s v="Yoga Mat"/>
    <n v="98.54"/>
    <s v="Winter"/>
    <s v="Card"/>
    <n v="4.7"/>
    <x v="5"/>
    <n v="4"/>
    <n v="107.10869565217392"/>
    <n v="8.5686956521739148"/>
    <x v="4"/>
    <n v="1"/>
  </r>
  <r>
    <n v="1954"/>
    <n v="55"/>
    <s v="Male"/>
    <s v="Footwear"/>
    <s v="Formal Shoes"/>
    <n v="194.32"/>
    <s v="Spring"/>
    <s v="Card"/>
    <n v="3.5"/>
    <x v="5"/>
    <n v="4"/>
    <n v="211.21739130434781"/>
    <n v="16.897391304347821"/>
    <x v="4"/>
    <n v="1"/>
  </r>
  <r>
    <n v="1955"/>
    <n v="61"/>
    <s v="Female"/>
    <s v="Beauty"/>
    <s v="Skincare Kit"/>
    <n v="71.83"/>
    <s v="Winter"/>
    <s v="Cash on Delivery"/>
    <n v="4"/>
    <x v="0"/>
    <n v="4"/>
    <n v="87.597560975609753"/>
    <n v="15.767560975609754"/>
    <x v="0"/>
    <n v="1"/>
  </r>
  <r>
    <n v="1956"/>
    <n v="65"/>
    <s v="Female"/>
    <s v="Footwear"/>
    <s v="Sneakers"/>
    <n v="119.74"/>
    <s v="Winter"/>
    <s v="Card"/>
    <n v="3.5"/>
    <x v="16"/>
    <n v="3"/>
    <n v="127.38297872340426"/>
    <n v="7.6429787234042692"/>
    <x v="0"/>
    <n v="1"/>
  </r>
  <r>
    <n v="1957"/>
    <n v="66"/>
    <s v="Female"/>
    <s v="Footwear"/>
    <s v="Sneakers"/>
    <n v="242.56"/>
    <s v="Summer"/>
    <s v="Card"/>
    <n v="5"/>
    <x v="4"/>
    <n v="7"/>
    <n v="282.04651162790697"/>
    <n v="39.486511627906964"/>
    <x v="2"/>
    <n v="1"/>
  </r>
  <r>
    <n v="1958"/>
    <n v="51"/>
    <s v="Female"/>
    <s v="Womens Clothing"/>
    <s v="Dress"/>
    <n v="78.03"/>
    <s v="Autumn"/>
    <s v="Cash on Delivery"/>
    <n v="4.0999999999999996"/>
    <x v="1"/>
    <n v="4"/>
    <n v="89.689655172413794"/>
    <n v="11.659655172413792"/>
    <x v="4"/>
    <n v="1"/>
  </r>
  <r>
    <n v="1959"/>
    <n v="52"/>
    <s v="Male"/>
    <s v="Sports"/>
    <s v="Football"/>
    <n v="82.92"/>
    <s v="Summer"/>
    <s v="Card"/>
    <n v="4.2"/>
    <x v="18"/>
    <n v="7"/>
    <n v="109.10526315789474"/>
    <n v="26.185263157894738"/>
    <x v="4"/>
    <n v="1"/>
  </r>
  <r>
    <n v="1960"/>
    <n v="56"/>
    <s v="Female"/>
    <s v="Home"/>
    <s v="Curtains"/>
    <n v="220.57"/>
    <s v="Spring"/>
    <s v="Card"/>
    <n v="3.1"/>
    <x v="0"/>
    <n v="4"/>
    <n v="268.98780487804873"/>
    <n v="48.417804878048742"/>
    <x v="0"/>
    <n v="1"/>
  </r>
  <r>
    <n v="1961"/>
    <n v="61"/>
    <s v="Male"/>
    <s v="Sports"/>
    <s v="Football"/>
    <n v="93.71"/>
    <s v="Winter"/>
    <s v="Cash on Delivery"/>
    <n v="3.6"/>
    <x v="15"/>
    <n v="1"/>
    <n v="95.622448979591837"/>
    <n v="1.9124489795918436"/>
    <x v="0"/>
    <n v="1"/>
  </r>
  <r>
    <n v="1962"/>
    <n v="55"/>
    <s v="Male"/>
    <s v="Footwear"/>
    <s v="Sneakers"/>
    <n v="237.85"/>
    <s v="Spring"/>
    <s v="Card"/>
    <n v="3.4"/>
    <x v="18"/>
    <n v="7"/>
    <n v="312.96052631578948"/>
    <n v="75.110526315789485"/>
    <x v="4"/>
    <n v="1"/>
  </r>
  <r>
    <n v="1963"/>
    <n v="43"/>
    <s v="Female"/>
    <s v="Home"/>
    <s v="Lamp"/>
    <n v="209.95"/>
    <s v="Spring"/>
    <s v="Card"/>
    <n v="2.5"/>
    <x v="6"/>
    <n v="3"/>
    <n v="249.94047619047618"/>
    <n v="39.990476190476187"/>
    <x v="1"/>
    <n v="1"/>
  </r>
  <r>
    <n v="1964"/>
    <n v="67"/>
    <s v="Male"/>
    <s v="Footwear"/>
    <s v="Sandals"/>
    <n v="208.53"/>
    <s v="Winter"/>
    <s v="Card"/>
    <n v="4.4000000000000004"/>
    <x v="27"/>
    <n v="10"/>
    <n v="278.04000000000002"/>
    <n v="69.510000000000019"/>
    <x v="2"/>
    <n v="1"/>
  </r>
  <r>
    <n v="1965"/>
    <n v="23"/>
    <s v="Male"/>
    <s v="Footwear"/>
    <s v="Sandals"/>
    <n v="79.069999999999993"/>
    <s v="Summer"/>
    <s v="Cash on Delivery"/>
    <n v="5"/>
    <x v="2"/>
    <n v="3"/>
    <n v="88.842696629213478"/>
    <n v="9.7726966292134847"/>
    <x v="3"/>
    <n v="1"/>
  </r>
  <r>
    <n v="1966"/>
    <n v="54"/>
    <s v="Female"/>
    <s v="Womens Clothing"/>
    <s v="Skirt"/>
    <n v="86"/>
    <s v="Spring"/>
    <s v="Cash on Delivery"/>
    <n v="3.2"/>
    <x v="0"/>
    <n v="9"/>
    <n v="104.8780487804878"/>
    <n v="18.878048780487802"/>
    <x v="4"/>
    <n v="1"/>
  </r>
  <r>
    <n v="1967"/>
    <n v="37"/>
    <s v="Female"/>
    <s v="Womens Clothing"/>
    <s v="Dress"/>
    <n v="118.51"/>
    <s v="Summer"/>
    <s v="Card"/>
    <n v="4.5999999999999996"/>
    <x v="13"/>
    <n v="2"/>
    <n v="130.23076923076923"/>
    <n v="11.720769230769221"/>
    <x v="1"/>
    <n v="1"/>
  </r>
  <r>
    <n v="1968"/>
    <n v="44"/>
    <s v="Male"/>
    <s v="Electronics"/>
    <s v="Laptop"/>
    <n v="1102.43"/>
    <s v="Spring"/>
    <s v="Card"/>
    <n v="3.9"/>
    <x v="25"/>
    <n v="10"/>
    <n v="1574.9"/>
    <n v="472.47"/>
    <x v="1"/>
    <n v="1"/>
  </r>
  <r>
    <n v="1969"/>
    <n v="54"/>
    <s v="Female"/>
    <s v="Womens Clothing"/>
    <s v="Jeans"/>
    <n v="130.37"/>
    <s v="Spring"/>
    <s v="Card"/>
    <n v="2.8"/>
    <x v="14"/>
    <n v="6"/>
    <n v="157.07228915662651"/>
    <n v="26.702289156626506"/>
    <x v="4"/>
    <n v="1"/>
  </r>
  <r>
    <n v="1970"/>
    <n v="39"/>
    <s v="Male"/>
    <s v="Sports"/>
    <s v="Dumbbells"/>
    <n v="26.25"/>
    <s v="Autumn"/>
    <s v="Cash on Delivery"/>
    <n v="3"/>
    <x v="10"/>
    <n v="6"/>
    <n v="33.653846153846153"/>
    <n v="7.4038461538461533"/>
    <x v="1"/>
    <n v="1"/>
  </r>
  <r>
    <n v="1971"/>
    <n v="41"/>
    <s v="Male"/>
    <s v="Sports"/>
    <s v="Football"/>
    <n v="229.64"/>
    <s v="Summer"/>
    <s v="Card"/>
    <n v="4.2"/>
    <x v="7"/>
    <n v="5"/>
    <n v="255.15555555555554"/>
    <n v="25.515555555555551"/>
    <x v="1"/>
    <n v="1"/>
  </r>
  <r>
    <n v="1972"/>
    <n v="48"/>
    <s v="Female"/>
    <s v="Womens Clothing"/>
    <s v="Jeans"/>
    <n v="144.76"/>
    <s v="Summer"/>
    <s v="Card"/>
    <n v="4.2"/>
    <x v="7"/>
    <n v="5"/>
    <n v="160.84444444444443"/>
    <n v="16.084444444444443"/>
    <x v="4"/>
    <n v="1"/>
  </r>
  <r>
    <n v="1973"/>
    <n v="39"/>
    <s v="Female"/>
    <s v="Womens Clothing"/>
    <s v="Dress"/>
    <n v="188.91"/>
    <s v="Winter"/>
    <s v="Card"/>
    <n v="3.4"/>
    <x v="3"/>
    <n v="5"/>
    <n v="236.13749999999999"/>
    <n v="47.227499999999992"/>
    <x v="1"/>
    <n v="1"/>
  </r>
  <r>
    <n v="1974"/>
    <n v="44"/>
    <s v="Male"/>
    <s v="Footwear"/>
    <s v="Sandals"/>
    <n v="108.13"/>
    <s v="Winter"/>
    <s v="Card"/>
    <n v="3.5"/>
    <x v="17"/>
    <n v="2"/>
    <n v="112.63541666666667"/>
    <n v="4.505416666666676"/>
    <x v="1"/>
    <n v="1"/>
  </r>
  <r>
    <n v="1975"/>
    <n v="60"/>
    <s v="Female"/>
    <s v="Footwear"/>
    <s v="Sandals"/>
    <n v="49.64"/>
    <s v="Spring"/>
    <s v="Cash on Delivery"/>
    <n v="3.2"/>
    <x v="8"/>
    <n v="6"/>
    <n v="56.409090909090907"/>
    <n v="6.7690909090909059"/>
    <x v="0"/>
    <n v="1"/>
  </r>
  <r>
    <n v="1976"/>
    <n v="57"/>
    <s v="Female"/>
    <s v="Womens Clothing"/>
    <s v="Dress"/>
    <n v="33.5"/>
    <s v="Summer"/>
    <s v="Card"/>
    <n v="1.7"/>
    <x v="2"/>
    <n v="3"/>
    <n v="37.640449438202246"/>
    <n v="4.1404494382022463"/>
    <x v="0"/>
    <n v="1"/>
  </r>
  <r>
    <n v="1977"/>
    <n v="48"/>
    <s v="Male"/>
    <s v="Mens Clothing"/>
    <s v="Jacket"/>
    <n v="176.4"/>
    <s v="Autumn"/>
    <s v="Card"/>
    <n v="4.3"/>
    <x v="15"/>
    <n v="1"/>
    <n v="180"/>
    <n v="3.5999999999999943"/>
    <x v="4"/>
    <n v="1"/>
  </r>
  <r>
    <n v="1978"/>
    <n v="38"/>
    <s v="Female"/>
    <s v="Footwear"/>
    <s v="Sandals"/>
    <n v="177.52"/>
    <s v="Winter"/>
    <s v="Card"/>
    <n v="4.7"/>
    <x v="2"/>
    <n v="3"/>
    <n v="199.46067415730337"/>
    <n v="21.940674157303363"/>
    <x v="1"/>
    <n v="1"/>
  </r>
  <r>
    <n v="1979"/>
    <n v="66"/>
    <s v="Female"/>
    <s v="Womens Clothing"/>
    <s v="Jeans"/>
    <n v="48.85"/>
    <s v="Spring"/>
    <s v="Card"/>
    <n v="4.3"/>
    <x v="18"/>
    <n v="7"/>
    <n v="64.276315789473685"/>
    <n v="15.426315789473684"/>
    <x v="2"/>
    <n v="1"/>
  </r>
  <r>
    <n v="1980"/>
    <n v="70"/>
    <s v="Female"/>
    <s v="Womens Clothing"/>
    <s v="Dress"/>
    <n v="139.16999999999999"/>
    <s v="Summer"/>
    <s v="Card"/>
    <n v="4.3"/>
    <x v="12"/>
    <n v="7"/>
    <n v="171.81481481481478"/>
    <n v="32.644814814814794"/>
    <x v="2"/>
    <n v="1"/>
  </r>
  <r>
    <n v="1981"/>
    <n v="24"/>
    <s v="Male"/>
    <s v="Mens Clothing"/>
    <s v="T-Shirt"/>
    <n v="196.55"/>
    <s v="Summer"/>
    <s v="Card"/>
    <n v="3.2"/>
    <x v="5"/>
    <n v="4"/>
    <n v="213.64130434782609"/>
    <n v="17.091304347826082"/>
    <x v="3"/>
    <n v="1"/>
  </r>
  <r>
    <n v="1982"/>
    <n v="41"/>
    <s v="Female"/>
    <s v="Beauty"/>
    <s v="Perfume"/>
    <n v="26.86"/>
    <s v="Winter"/>
    <s v="Card"/>
    <n v="3.5"/>
    <x v="13"/>
    <n v="2"/>
    <n v="29.516483516483515"/>
    <n v="2.6564835164835152"/>
    <x v="1"/>
    <n v="1"/>
  </r>
  <r>
    <n v="1983"/>
    <n v="63"/>
    <s v="Male"/>
    <s v="Sports"/>
    <s v="Yoga Mat"/>
    <n v="161.59"/>
    <s v="Spring"/>
    <s v="Card"/>
    <n v="5"/>
    <x v="21"/>
    <n v="8"/>
    <n v="204.54430379746836"/>
    <n v="42.954303797468356"/>
    <x v="0"/>
    <n v="1"/>
  </r>
  <r>
    <n v="1984"/>
    <n v="40"/>
    <s v="Female"/>
    <s v="Womens Clothing"/>
    <s v="Top"/>
    <n v="171.74"/>
    <s v="Autumn"/>
    <s v="Card"/>
    <n v="2.9"/>
    <x v="0"/>
    <n v="4"/>
    <n v="209.4390243902439"/>
    <n v="37.699024390243892"/>
    <x v="1"/>
    <n v="1"/>
  </r>
  <r>
    <n v="1985"/>
    <n v="52"/>
    <s v="Male"/>
    <s v="Sports"/>
    <s v="Dumbbells"/>
    <n v="46.83"/>
    <s v="Winter"/>
    <s v="Card"/>
    <n v="3.7"/>
    <x v="10"/>
    <n v="6"/>
    <n v="60.038461538461533"/>
    <n v="13.208461538461535"/>
    <x v="4"/>
    <n v="1"/>
  </r>
  <r>
    <n v="1986"/>
    <n v="38"/>
    <s v="Male"/>
    <s v="Sports"/>
    <s v="Football"/>
    <n v="61.79"/>
    <s v="Autumn"/>
    <s v="Card"/>
    <n v="2.9"/>
    <x v="24"/>
    <n v="9"/>
    <n v="85.819444444444443"/>
    <n v="24.029444444444444"/>
    <x v="1"/>
    <n v="1"/>
  </r>
  <r>
    <n v="1987"/>
    <n v="25"/>
    <s v="Male"/>
    <s v="Mens Clothing"/>
    <s v="Jacket"/>
    <n v="111.92"/>
    <s v="Autumn"/>
    <s v="Card"/>
    <n v="4.3"/>
    <x v="21"/>
    <n v="8"/>
    <n v="141.67088607594937"/>
    <n v="29.750886075949367"/>
    <x v="3"/>
    <n v="1"/>
  </r>
  <r>
    <n v="1988"/>
    <n v="56"/>
    <s v="Male"/>
    <s v="Electronics"/>
    <s v="Laptop"/>
    <n v="1616.64"/>
    <s v="Summer"/>
    <s v="Card"/>
    <n v="4.2"/>
    <x v="6"/>
    <n v="3"/>
    <n v="1924.5714285714287"/>
    <n v="307.93142857142857"/>
    <x v="0"/>
    <n v="1"/>
  </r>
  <r>
    <n v="1989"/>
    <n v="48"/>
    <s v="Male"/>
    <s v="Sports"/>
    <s v="Yoga Mat"/>
    <n v="217.52"/>
    <s v="Summer"/>
    <s v="Card"/>
    <n v="4.5"/>
    <x v="10"/>
    <n v="6"/>
    <n v="278.87179487179486"/>
    <n v="61.351794871794851"/>
    <x v="4"/>
    <n v="1"/>
  </r>
  <r>
    <n v="1990"/>
    <n v="64"/>
    <s v="Male"/>
    <s v="Sports"/>
    <s v="Yoga Mat"/>
    <n v="162.80000000000001"/>
    <s v="Spring"/>
    <s v="Card"/>
    <n v="4.9000000000000004"/>
    <x v="0"/>
    <n v="4"/>
    <n v="198.53658536585365"/>
    <n v="35.736585365853642"/>
    <x v="0"/>
    <n v="1"/>
  </r>
  <r>
    <n v="1991"/>
    <n v="22"/>
    <s v="Male"/>
    <s v="Mens Clothing"/>
    <s v="Jacket"/>
    <n v="65.02"/>
    <s v="Summer"/>
    <s v="Card"/>
    <n v="3.9"/>
    <x v="6"/>
    <n v="3"/>
    <n v="77.404761904761898"/>
    <n v="12.384761904761902"/>
    <x v="3"/>
    <n v="1"/>
  </r>
  <r>
    <n v="1992"/>
    <n v="36"/>
    <s v="Male"/>
    <s v="Footwear"/>
    <s v="Formal Shoes"/>
    <n v="138.44999999999999"/>
    <s v="Summer"/>
    <s v="Card"/>
    <n v="3.2"/>
    <x v="3"/>
    <n v="5"/>
    <n v="173.06249999999997"/>
    <n v="34.612499999999983"/>
    <x v="1"/>
    <n v="1"/>
  </r>
  <r>
    <n v="1993"/>
    <n v="45"/>
    <s v="Female"/>
    <s v="Sports"/>
    <s v="Football"/>
    <n v="184.55"/>
    <s v="Spring"/>
    <s v="Card"/>
    <n v="4.2"/>
    <x v="5"/>
    <n v="4"/>
    <n v="200.59782608695653"/>
    <n v="16.047826086956519"/>
    <x v="1"/>
    <n v="1"/>
  </r>
  <r>
    <n v="1994"/>
    <n v="33"/>
    <s v="Female"/>
    <s v="Womens Clothing"/>
    <s v="Top"/>
    <n v="109.48"/>
    <s v="Spring"/>
    <s v="Card"/>
    <n v="3.8"/>
    <x v="8"/>
    <n v="6"/>
    <n v="124.40909090909091"/>
    <n v="14.929090909090903"/>
    <x v="5"/>
    <n v="1"/>
  </r>
  <r>
    <n v="1995"/>
    <n v="59"/>
    <s v="Female"/>
    <s v="Womens Clothing"/>
    <s v="Jeans"/>
    <n v="147.63"/>
    <s v="Winter"/>
    <s v="Card"/>
    <n v="5"/>
    <x v="14"/>
    <n v="6"/>
    <n v="177.86746987951807"/>
    <n v="30.237469879518073"/>
    <x v="0"/>
    <n v="1"/>
  </r>
  <r>
    <n v="1996"/>
    <n v="49"/>
    <s v="Male"/>
    <s v="Mens Clothing"/>
    <s v="Shirt"/>
    <n v="176.47"/>
    <s v="Summer"/>
    <s v="Card"/>
    <n v="3.2"/>
    <x v="0"/>
    <n v="4"/>
    <n v="215.20731707317071"/>
    <n v="38.737317073170715"/>
    <x v="4"/>
    <n v="1"/>
  </r>
  <r>
    <n v="1997"/>
    <n v="36"/>
    <s v="Male"/>
    <s v="Electronics"/>
    <s v="Mobile Phone"/>
    <n v="1270.98"/>
    <s v="Spring"/>
    <s v="Card"/>
    <n v="5"/>
    <x v="8"/>
    <n v="6"/>
    <n v="1444.2954545454545"/>
    <n v="173.31545454545449"/>
    <x v="1"/>
    <n v="1"/>
  </r>
  <r>
    <n v="1998"/>
    <n v="59"/>
    <s v="Male"/>
    <s v="Sports"/>
    <s v="Football"/>
    <n v="158.36000000000001"/>
    <s v="Summer"/>
    <s v="Card"/>
    <n v="4.0999999999999996"/>
    <x v="21"/>
    <n v="8"/>
    <n v="200.45569620253164"/>
    <n v="42.095696202531627"/>
    <x v="0"/>
    <n v="1"/>
  </r>
  <r>
    <n v="1999"/>
    <n v="47"/>
    <s v="Male"/>
    <s v="Sports"/>
    <s v="Football"/>
    <n v="25.96"/>
    <s v="Winter"/>
    <s v="Cash on Delivery"/>
    <n v="3.5"/>
    <x v="18"/>
    <n v="7"/>
    <n v="34.157894736842103"/>
    <n v="8.1978947368421018"/>
    <x v="4"/>
    <n v="1"/>
  </r>
  <r>
    <n v="2000"/>
    <n v="45"/>
    <s v="Female"/>
    <s v="Footwear"/>
    <s v="Formal Shoes"/>
    <n v="219.08"/>
    <s v="Spring"/>
    <s v="Card"/>
    <n v="3.9"/>
    <x v="27"/>
    <n v="10"/>
    <n v="292.10666666666668"/>
    <n v="73.026666666666671"/>
    <x v="1"/>
    <n v="1"/>
  </r>
  <r>
    <n v="2001"/>
    <n v="44"/>
    <s v="Male"/>
    <s v="Sports"/>
    <s v="Yoga Mat"/>
    <n v="216.53"/>
    <s v="Spring"/>
    <s v="Card"/>
    <n v="3.4"/>
    <x v="15"/>
    <n v="1"/>
    <n v="220.94897959183675"/>
    <n v="4.4189795918367452"/>
    <x v="1"/>
    <n v="1"/>
  </r>
  <r>
    <n v="2002"/>
    <n v="58"/>
    <s v="Male"/>
    <s v="Sports"/>
    <s v="Yoga Mat"/>
    <n v="155.38999999999999"/>
    <s v="Winter"/>
    <s v="Card"/>
    <n v="3.5"/>
    <x v="21"/>
    <n v="8"/>
    <n v="196.69620253164555"/>
    <n v="41.306202531645567"/>
    <x v="0"/>
    <n v="1"/>
  </r>
  <r>
    <n v="2003"/>
    <n v="65"/>
    <s v="Male"/>
    <s v="Footwear"/>
    <s v="Sandals"/>
    <n v="178.96"/>
    <s v="Winter"/>
    <s v="Card"/>
    <n v="3.1"/>
    <x v="6"/>
    <n v="3"/>
    <n v="213.04761904761907"/>
    <n v="34.087619047619057"/>
    <x v="0"/>
    <n v="1"/>
  </r>
  <r>
    <n v="2004"/>
    <n v="50"/>
    <s v="Male"/>
    <s v="Mens Clothing"/>
    <s v="T-Shirt"/>
    <n v="156.35"/>
    <s v="Winter"/>
    <s v="Card"/>
    <n v="3.1"/>
    <x v="13"/>
    <n v="2"/>
    <n v="171.8131868131868"/>
    <n v="15.463186813186809"/>
    <x v="4"/>
    <n v="1"/>
  </r>
  <r>
    <n v="2005"/>
    <n v="32"/>
    <s v="Female"/>
    <s v="Groceries"/>
    <s v="Cooking Oil"/>
    <n v="30.91"/>
    <s v="Spring"/>
    <s v="Card"/>
    <n v="3.4"/>
    <x v="4"/>
    <n v="2"/>
    <n v="35.941860465116278"/>
    <n v="5.0318604651162779"/>
    <x v="5"/>
    <n v="1"/>
  </r>
  <r>
    <n v="2006"/>
    <n v="33"/>
    <s v="Female"/>
    <s v="Groceries"/>
    <s v="Beverages"/>
    <n v="33.28"/>
    <s v="Autumn"/>
    <s v="Card"/>
    <n v="4.2"/>
    <x v="5"/>
    <n v="4"/>
    <n v="36.173913043478258"/>
    <n v="2.893913043478257"/>
    <x v="5"/>
    <n v="1"/>
  </r>
  <r>
    <n v="2007"/>
    <n v="41"/>
    <s v="Female"/>
    <s v="Groceries"/>
    <s v="Snacks"/>
    <n v="14.36"/>
    <s v="Winter"/>
    <s v="Cash on Delivery"/>
    <n v="3.6"/>
    <x v="19"/>
    <n v="5"/>
    <n v="16.894117647058824"/>
    <n v="2.5341176470588245"/>
    <x v="1"/>
    <n v="1"/>
  </r>
  <r>
    <n v="2008"/>
    <n v="60"/>
    <s v="Male"/>
    <s v="Sports"/>
    <s v="Football"/>
    <n v="164.7"/>
    <s v="Summer"/>
    <s v="Card"/>
    <n v="4.8"/>
    <x v="11"/>
    <n v="8"/>
    <n v="222.56756756756755"/>
    <n v="57.867567567567562"/>
    <x v="0"/>
    <n v="1"/>
  </r>
  <r>
    <n v="2009"/>
    <n v="54"/>
    <s v="Male"/>
    <s v="Sports"/>
    <s v="Dumbbells"/>
    <n v="156.24"/>
    <s v="Summer"/>
    <s v="Card"/>
    <n v="4.5999999999999996"/>
    <x v="6"/>
    <n v="3"/>
    <n v="186.00000000000003"/>
    <n v="29.760000000000019"/>
    <x v="4"/>
    <n v="1"/>
  </r>
  <r>
    <n v="2010"/>
    <n v="34"/>
    <s v="Female"/>
    <s v="Womens Clothing"/>
    <s v="Skirt"/>
    <n v="153.01"/>
    <s v="Summer"/>
    <s v="Card"/>
    <n v="3.8"/>
    <x v="1"/>
    <n v="4"/>
    <n v="175.87356321839079"/>
    <n v="22.863563218390794"/>
    <x v="5"/>
    <n v="1"/>
  </r>
  <r>
    <n v="2011"/>
    <n v="46"/>
    <s v="Female"/>
    <s v="Footwear"/>
    <s v="Sandals"/>
    <n v="120.06"/>
    <s v="Autumn"/>
    <s v="Card"/>
    <n v="4.0999999999999996"/>
    <x v="16"/>
    <n v="3"/>
    <n v="127.72340425531915"/>
    <n v="7.6634042553191506"/>
    <x v="4"/>
    <n v="1"/>
  </r>
  <r>
    <n v="2012"/>
    <n v="38"/>
    <s v="Female"/>
    <s v="Womens Clothing"/>
    <s v="Top"/>
    <n v="162.6"/>
    <s v="Summer"/>
    <s v="Card"/>
    <n v="4.4000000000000004"/>
    <x v="11"/>
    <n v="8"/>
    <n v="219.72972972972971"/>
    <n v="57.129729729729718"/>
    <x v="1"/>
    <n v="1"/>
  </r>
  <r>
    <n v="2013"/>
    <n v="51"/>
    <s v="Female"/>
    <s v="Beauty"/>
    <s v="Perfume"/>
    <n v="89.47"/>
    <s v="Spring"/>
    <s v="Card"/>
    <n v="3.6"/>
    <x v="7"/>
    <n v="5"/>
    <n v="99.411111111111111"/>
    <n v="9.9411111111111126"/>
    <x v="4"/>
    <n v="1"/>
  </r>
  <r>
    <n v="2014"/>
    <n v="20"/>
    <s v="Female"/>
    <s v="Footwear"/>
    <s v="Sneakers"/>
    <n v="88.2"/>
    <s v="Winter"/>
    <s v="Cash on Delivery"/>
    <n v="3.4"/>
    <x v="14"/>
    <n v="6"/>
    <n v="106.26506024096386"/>
    <n v="18.065060240963859"/>
    <x v="3"/>
    <n v="1"/>
  </r>
  <r>
    <n v="2015"/>
    <n v="35"/>
    <s v="Male"/>
    <s v="Footwear"/>
    <s v="Sandals"/>
    <n v="199.05"/>
    <s v="Winter"/>
    <s v="Card"/>
    <n v="3.4"/>
    <x v="7"/>
    <n v="5"/>
    <n v="221.16666666666669"/>
    <n v="22.116666666666674"/>
    <x v="5"/>
    <n v="1"/>
  </r>
  <r>
    <n v="2016"/>
    <n v="57"/>
    <s v="Male"/>
    <s v="Home"/>
    <s v="Curtains"/>
    <n v="97.73"/>
    <s v="Winter"/>
    <s v="Cash on Delivery"/>
    <n v="4.0999999999999996"/>
    <x v="8"/>
    <n v="6"/>
    <n v="111.05681818181819"/>
    <n v="13.326818181818183"/>
    <x v="0"/>
    <n v="1"/>
  </r>
  <r>
    <n v="2017"/>
    <n v="35"/>
    <s v="Male"/>
    <s v="Groceries"/>
    <s v="Cooking Oil"/>
    <n v="21.46"/>
    <s v="Summer"/>
    <s v="Cash on Delivery"/>
    <n v="3.7"/>
    <x v="5"/>
    <n v="4"/>
    <n v="23.326086956521738"/>
    <n v="1.8660869565217375"/>
    <x v="5"/>
    <n v="1"/>
  </r>
  <r>
    <n v="2018"/>
    <n v="51"/>
    <s v="Female"/>
    <s v="Womens Clothing"/>
    <s v="Top"/>
    <n v="196.16"/>
    <s v="Autumn"/>
    <s v="Card"/>
    <n v="3.4"/>
    <x v="3"/>
    <n v="5"/>
    <n v="245.2"/>
    <n v="49.039999999999992"/>
    <x v="4"/>
    <n v="1"/>
  </r>
  <r>
    <n v="2019"/>
    <n v="45"/>
    <s v="Female"/>
    <s v="Beauty"/>
    <s v="Skincare Kit"/>
    <n v="89.54"/>
    <s v="Spring"/>
    <s v="Cash on Delivery"/>
    <n v="4.5999999999999996"/>
    <x v="3"/>
    <n v="5"/>
    <n v="111.925"/>
    <n v="22.384999999999991"/>
    <x v="1"/>
    <n v="1"/>
  </r>
  <r>
    <n v="2020"/>
    <n v="48"/>
    <s v="Male"/>
    <s v="Footwear"/>
    <s v="Sneakers"/>
    <n v="65.63"/>
    <s v="Autumn"/>
    <s v="Card"/>
    <n v="3.4"/>
    <x v="3"/>
    <n v="5"/>
    <n v="82.037499999999994"/>
    <n v="16.407499999999999"/>
    <x v="4"/>
    <n v="1"/>
  </r>
  <r>
    <n v="2021"/>
    <n v="29"/>
    <s v="Male"/>
    <s v="Groceries"/>
    <s v="Cooking Oil"/>
    <n v="50.38"/>
    <s v="Autumn"/>
    <s v="Cash on Delivery"/>
    <n v="4.5"/>
    <x v="8"/>
    <n v="6"/>
    <n v="57.25"/>
    <n v="6.8699999999999974"/>
    <x v="5"/>
    <n v="1"/>
  </r>
  <r>
    <n v="2022"/>
    <n v="58"/>
    <s v="Male"/>
    <s v="Groceries"/>
    <s v="Snacks"/>
    <n v="10.55"/>
    <s v="Autumn"/>
    <s v="Card"/>
    <n v="4.2"/>
    <x v="6"/>
    <n v="3"/>
    <n v="12.55952380952381"/>
    <n v="2.0095238095238095"/>
    <x v="0"/>
    <n v="1"/>
  </r>
  <r>
    <n v="2023"/>
    <n v="22"/>
    <s v="Female"/>
    <s v="Groceries"/>
    <s v="Rice Pack"/>
    <n v="9.68"/>
    <s v="Summer"/>
    <s v="Cash on Delivery"/>
    <n v="4.4000000000000004"/>
    <x v="0"/>
    <n v="4"/>
    <n v="11.804878048780486"/>
    <n v="2.1248780487804861"/>
    <x v="3"/>
    <n v="1"/>
  </r>
  <r>
    <n v="2024"/>
    <n v="69"/>
    <s v="Female"/>
    <s v="Home"/>
    <s v="Kitchen Set"/>
    <n v="58.08"/>
    <s v="Autumn"/>
    <s v="Cash on Delivery"/>
    <n v="3.3"/>
    <x v="3"/>
    <n v="5"/>
    <n v="72.599999999999994"/>
    <n v="14.519999999999996"/>
    <x v="2"/>
    <n v="1"/>
  </r>
  <r>
    <n v="2025"/>
    <n v="50"/>
    <s v="Male"/>
    <s v="Footwear"/>
    <s v="Sneakers"/>
    <n v="87.66"/>
    <s v="Winter"/>
    <s v="Card"/>
    <n v="3"/>
    <x v="6"/>
    <n v="3"/>
    <n v="104.35714285714286"/>
    <n v="16.697142857142865"/>
    <x v="4"/>
    <n v="1"/>
  </r>
  <r>
    <n v="2026"/>
    <n v="58"/>
    <s v="Male"/>
    <s v="Electronics"/>
    <s v="Laptop"/>
    <n v="715.45"/>
    <s v="Autumn"/>
    <s v="Card"/>
    <n v="3.3"/>
    <x v="3"/>
    <n v="5"/>
    <n v="894.3125"/>
    <n v="178.86249999999995"/>
    <x v="0"/>
    <n v="1"/>
  </r>
  <r>
    <n v="2027"/>
    <n v="30"/>
    <s v="Female"/>
    <s v="Accessories"/>
    <s v="Wallet"/>
    <n v="96.49"/>
    <s v="Winter"/>
    <s v="Cash on Delivery"/>
    <n v="4.7"/>
    <x v="28"/>
    <n v="12"/>
    <n v="135.90140845070422"/>
    <n v="39.411408450704229"/>
    <x v="5"/>
    <n v="1"/>
  </r>
  <r>
    <n v="2028"/>
    <n v="25"/>
    <s v="Female"/>
    <s v="Accessories"/>
    <s v="Wallet"/>
    <n v="152.71"/>
    <s v="Winter"/>
    <s v="Card"/>
    <n v="3.8"/>
    <x v="0"/>
    <n v="4"/>
    <n v="186.23170731707316"/>
    <n v="33.521707317073151"/>
    <x v="3"/>
    <n v="1"/>
  </r>
  <r>
    <n v="2029"/>
    <n v="51"/>
    <s v="Female"/>
    <s v="Accessories"/>
    <s v="Handbag"/>
    <n v="72.38"/>
    <s v="Spring"/>
    <s v="Cash on Delivery"/>
    <n v="5"/>
    <x v="2"/>
    <n v="3"/>
    <n v="81.325842696629209"/>
    <n v="8.9458426966292137"/>
    <x v="4"/>
    <n v="1"/>
  </r>
  <r>
    <n v="2030"/>
    <n v="46"/>
    <s v="Female"/>
    <s v="Accessories"/>
    <s v="Wallet"/>
    <n v="67.510000000000005"/>
    <s v="Winter"/>
    <s v="Cash on Delivery"/>
    <n v="3.8"/>
    <x v="1"/>
    <n v="4"/>
    <n v="77.597701149425291"/>
    <n v="10.087701149425286"/>
    <x v="4"/>
    <n v="1"/>
  </r>
  <r>
    <n v="2031"/>
    <n v="54"/>
    <s v="Female"/>
    <s v="Home"/>
    <s v="Lamp"/>
    <n v="174.89"/>
    <s v="Summer"/>
    <s v="Card"/>
    <n v="4.2"/>
    <x v="2"/>
    <n v="3"/>
    <n v="196.50561797752806"/>
    <n v="21.615617977528075"/>
    <x v="4"/>
    <n v="1"/>
  </r>
  <r>
    <n v="2032"/>
    <n v="27"/>
    <s v="Male"/>
    <s v="Sports"/>
    <s v="Yoga Mat"/>
    <n v="96.73"/>
    <s v="Winter"/>
    <s v="Card"/>
    <n v="2.6"/>
    <x v="13"/>
    <n v="2"/>
    <n v="106.2967032967033"/>
    <n v="9.5667032967032952"/>
    <x v="5"/>
    <n v="1"/>
  </r>
  <r>
    <n v="2033"/>
    <n v="63"/>
    <s v="Male"/>
    <s v="Mens Clothing"/>
    <s v="Shirt"/>
    <n v="68.14"/>
    <s v="Summer"/>
    <s v="Card"/>
    <n v="5"/>
    <x v="12"/>
    <n v="7"/>
    <n v="84.123456790123456"/>
    <n v="15.983456790123455"/>
    <x v="0"/>
    <n v="1"/>
  </r>
  <r>
    <n v="2034"/>
    <n v="66"/>
    <s v="Female"/>
    <s v="Footwear"/>
    <s v="Sandals"/>
    <n v="54.49"/>
    <s v="Autumn"/>
    <s v="Card"/>
    <n v="4.8"/>
    <x v="17"/>
    <n v="2"/>
    <n v="56.760416666666671"/>
    <n v="2.2704166666666694"/>
    <x v="2"/>
    <n v="1"/>
  </r>
  <r>
    <n v="2035"/>
    <n v="70"/>
    <s v="Male"/>
    <s v="Electronics"/>
    <s v="Laptop"/>
    <n v="896.45"/>
    <s v="Summer"/>
    <s v="Card"/>
    <n v="4.4000000000000004"/>
    <x v="19"/>
    <n v="5"/>
    <n v="1054.6470588235295"/>
    <n v="158.19705882352946"/>
    <x v="2"/>
    <n v="1"/>
  </r>
  <r>
    <n v="2036"/>
    <n v="60"/>
    <s v="Female"/>
    <s v="Accessories"/>
    <s v="Wallet"/>
    <n v="129.05000000000001"/>
    <s v="Summer"/>
    <s v="Card"/>
    <n v="2.5"/>
    <x v="8"/>
    <n v="6"/>
    <n v="146.64772727272728"/>
    <n v="17.597727272727269"/>
    <x v="0"/>
    <n v="1"/>
  </r>
  <r>
    <n v="2037"/>
    <n v="57"/>
    <s v="Male"/>
    <s v="Groceries"/>
    <s v="Cooking Oil"/>
    <n v="74.010000000000005"/>
    <s v="Spring"/>
    <s v="Card"/>
    <n v="2.7"/>
    <x v="3"/>
    <n v="5"/>
    <n v="92.512500000000003"/>
    <n v="18.502499999999998"/>
    <x v="0"/>
    <n v="1"/>
  </r>
  <r>
    <n v="2038"/>
    <n v="47"/>
    <s v="Female"/>
    <s v="Groceries"/>
    <s v="Cooking Oil"/>
    <n v="28.94"/>
    <s v="Winter"/>
    <s v="Card"/>
    <n v="4.2"/>
    <x v="7"/>
    <n v="5"/>
    <n v="32.155555555555559"/>
    <n v="3.2155555555555573"/>
    <x v="4"/>
    <n v="1"/>
  </r>
  <r>
    <n v="2039"/>
    <n v="60"/>
    <s v="Male"/>
    <s v="Mens Clothing"/>
    <s v="Jeans"/>
    <n v="97.47"/>
    <s v="Winter"/>
    <s v="Cash on Delivery"/>
    <n v="4.4000000000000004"/>
    <x v="13"/>
    <n v="2"/>
    <n v="107.1098901098901"/>
    <n v="9.6398901098901035"/>
    <x v="0"/>
    <n v="1"/>
  </r>
  <r>
    <n v="2040"/>
    <n v="59"/>
    <s v="Female"/>
    <s v="Footwear"/>
    <s v="Sneakers"/>
    <n v="145.79"/>
    <s v="Summer"/>
    <s v="Card"/>
    <n v="4"/>
    <x v="14"/>
    <n v="6"/>
    <n v="175.65060240963857"/>
    <n v="29.860602409638574"/>
    <x v="0"/>
    <n v="1"/>
  </r>
  <r>
    <n v="2041"/>
    <n v="54"/>
    <s v="Female"/>
    <s v="Home"/>
    <s v="Lamp"/>
    <n v="39.020000000000003"/>
    <s v="Autumn"/>
    <s v="Card"/>
    <n v="3.5"/>
    <x v="14"/>
    <n v="6"/>
    <n v="47.01204819277109"/>
    <n v="7.9920481927710867"/>
    <x v="4"/>
    <n v="1"/>
  </r>
  <r>
    <n v="2042"/>
    <n v="49"/>
    <s v="Male"/>
    <s v="Sports"/>
    <s v="Yoga Mat"/>
    <n v="186.01"/>
    <s v="Winter"/>
    <s v="Card"/>
    <n v="4.3"/>
    <x v="0"/>
    <n v="4"/>
    <n v="226.84146341463412"/>
    <n v="40.831463414634129"/>
    <x v="4"/>
    <n v="1"/>
  </r>
  <r>
    <n v="2043"/>
    <n v="67"/>
    <s v="Male"/>
    <s v="Footwear"/>
    <s v="Sneakers"/>
    <n v="58.17"/>
    <s v="Summer"/>
    <s v="Card"/>
    <n v="4.9000000000000004"/>
    <x v="19"/>
    <n v="5"/>
    <n v="68.435294117647061"/>
    <n v="10.265294117647059"/>
    <x v="2"/>
    <n v="1"/>
  </r>
  <r>
    <n v="2044"/>
    <n v="69"/>
    <s v="Male"/>
    <s v="Footwear"/>
    <s v="Sneakers"/>
    <n v="173.95"/>
    <s v="Summer"/>
    <s v="Card"/>
    <n v="3.6"/>
    <x v="21"/>
    <n v="8"/>
    <n v="220.18987341772149"/>
    <n v="46.239873417721498"/>
    <x v="2"/>
    <n v="1"/>
  </r>
  <r>
    <n v="2045"/>
    <n v="48"/>
    <s v="Male"/>
    <s v="Footwear"/>
    <s v="Sandals"/>
    <n v="249.92"/>
    <s v="Autumn"/>
    <s v="Card"/>
    <n v="4.5"/>
    <x v="13"/>
    <n v="2"/>
    <n v="274.63736263736263"/>
    <n v="24.71736263736264"/>
    <x v="4"/>
    <n v="1"/>
  </r>
  <r>
    <n v="2046"/>
    <n v="21"/>
    <s v="Male"/>
    <s v="Footwear"/>
    <s v="Sneakers"/>
    <n v="96.58"/>
    <s v="Autumn"/>
    <s v="Card"/>
    <n v="2.2000000000000002"/>
    <x v="16"/>
    <n v="3"/>
    <n v="102.74468085106383"/>
    <n v="6.1646808510638351"/>
    <x v="3"/>
    <n v="1"/>
  </r>
  <r>
    <n v="2047"/>
    <n v="33"/>
    <s v="Male"/>
    <s v="Sports"/>
    <s v="Football"/>
    <n v="80.86"/>
    <s v="Winter"/>
    <s v="Card"/>
    <n v="4.5"/>
    <x v="5"/>
    <n v="4"/>
    <n v="87.891304347826079"/>
    <n v="7.0313043478260795"/>
    <x v="5"/>
    <n v="1"/>
  </r>
  <r>
    <n v="2048"/>
    <n v="37"/>
    <s v="Male"/>
    <s v="Mens Clothing"/>
    <s v="Shirt"/>
    <n v="50.27"/>
    <s v="Summer"/>
    <s v="Card"/>
    <n v="3"/>
    <x v="7"/>
    <n v="5"/>
    <n v="55.855555555555554"/>
    <n v="5.5855555555555512"/>
    <x v="1"/>
    <n v="1"/>
  </r>
  <r>
    <n v="2049"/>
    <n v="24"/>
    <s v="Female"/>
    <s v="Beauty"/>
    <s v="Makeup Set"/>
    <n v="34.42"/>
    <s v="Autumn"/>
    <s v="Cash on Delivery"/>
    <n v="4.5"/>
    <x v="14"/>
    <n v="6"/>
    <n v="41.46987951807229"/>
    <n v="7.049879518072288"/>
    <x v="3"/>
    <n v="1"/>
  </r>
  <r>
    <n v="2050"/>
    <n v="34"/>
    <s v="Female"/>
    <s v="Beauty"/>
    <s v="Makeup Set"/>
    <n v="49.63"/>
    <s v="Summer"/>
    <s v="Card"/>
    <n v="3.7"/>
    <x v="12"/>
    <n v="7"/>
    <n v="61.271604938271601"/>
    <n v="11.641604938271598"/>
    <x v="5"/>
    <n v="1"/>
  </r>
  <r>
    <n v="2051"/>
    <n v="25"/>
    <s v="Female"/>
    <s v="Home"/>
    <s v="Curtains"/>
    <n v="219.43"/>
    <s v="Spring"/>
    <s v="Card"/>
    <n v="2.9"/>
    <x v="3"/>
    <n v="5"/>
    <n v="274.28749999999997"/>
    <n v="54.857499999999959"/>
    <x v="3"/>
    <n v="1"/>
  </r>
  <r>
    <n v="2052"/>
    <n v="69"/>
    <s v="Male"/>
    <s v="Footwear"/>
    <s v="Sneakers"/>
    <n v="145.47999999999999"/>
    <s v="Autumn"/>
    <s v="Card"/>
    <n v="3.7"/>
    <x v="1"/>
    <n v="4"/>
    <n v="167.2183908045977"/>
    <n v="21.738390804597714"/>
    <x v="2"/>
    <n v="1"/>
  </r>
  <r>
    <n v="2053"/>
    <n v="64"/>
    <s v="Female"/>
    <s v="Footwear"/>
    <s v="Sandals"/>
    <n v="194.52"/>
    <s v="Summer"/>
    <s v="Card"/>
    <n v="4.0999999999999996"/>
    <x v="5"/>
    <n v="4"/>
    <n v="211.43478260869566"/>
    <n v="16.914782608695646"/>
    <x v="0"/>
    <n v="1"/>
  </r>
  <r>
    <n v="2054"/>
    <n v="65"/>
    <s v="Male"/>
    <s v="Footwear"/>
    <s v="Sneakers"/>
    <n v="230.37"/>
    <s v="Spring"/>
    <s v="Card"/>
    <n v="2.6"/>
    <x v="13"/>
    <n v="2"/>
    <n v="253.15384615384616"/>
    <n v="22.783846153846156"/>
    <x v="0"/>
    <n v="1"/>
  </r>
  <r>
    <n v="2055"/>
    <n v="45"/>
    <s v="Male"/>
    <s v="Footwear"/>
    <s v="Sandals"/>
    <n v="60.13"/>
    <s v="Spring"/>
    <s v="Card"/>
    <n v="2.8"/>
    <x v="12"/>
    <n v="7"/>
    <n v="74.23456790123457"/>
    <n v="14.104567901234567"/>
    <x v="1"/>
    <n v="1"/>
  </r>
  <r>
    <n v="2056"/>
    <n v="64"/>
    <s v="Male"/>
    <s v="Sports"/>
    <s v="Dumbbells"/>
    <n v="34.24"/>
    <s v="Winter"/>
    <s v="Card"/>
    <n v="4"/>
    <x v="6"/>
    <n v="8"/>
    <n v="40.761904761904766"/>
    <n v="6.5219047619047643"/>
    <x v="0"/>
    <n v="1"/>
  </r>
  <r>
    <n v="2057"/>
    <n v="60"/>
    <s v="Male"/>
    <s v="Mens Clothing"/>
    <s v="Jacket"/>
    <n v="167.44"/>
    <s v="Winter"/>
    <s v="Card"/>
    <n v="3.9"/>
    <x v="0"/>
    <n v="4"/>
    <n v="204.19512195121951"/>
    <n v="36.755121951219508"/>
    <x v="0"/>
    <n v="1"/>
  </r>
  <r>
    <n v="2058"/>
    <n v="24"/>
    <s v="Female"/>
    <s v="Beauty"/>
    <s v="Makeup Set"/>
    <n v="115.74"/>
    <s v="Spring"/>
    <s v="Card"/>
    <n v="3.2"/>
    <x v="4"/>
    <n v="2"/>
    <n v="134.58139534883722"/>
    <n v="18.841395348837224"/>
    <x v="3"/>
    <n v="1"/>
  </r>
  <r>
    <n v="2059"/>
    <n v="54"/>
    <s v="Female"/>
    <s v="Footwear"/>
    <s v="Sandals"/>
    <n v="62.32"/>
    <s v="Summer"/>
    <s v="Cash on Delivery"/>
    <n v="3.2"/>
    <x v="0"/>
    <n v="4"/>
    <n v="76"/>
    <n v="13.68"/>
    <x v="4"/>
    <n v="1"/>
  </r>
  <r>
    <n v="2060"/>
    <n v="22"/>
    <s v="Female"/>
    <s v="Groceries"/>
    <s v="Cooking Oil"/>
    <n v="63.29"/>
    <s v="Spring"/>
    <s v="Card"/>
    <n v="4.3"/>
    <x v="1"/>
    <n v="4"/>
    <n v="72.747126436781613"/>
    <n v="9.4571264367816141"/>
    <x v="3"/>
    <n v="1"/>
  </r>
  <r>
    <n v="2061"/>
    <n v="34"/>
    <s v="Female"/>
    <s v="Accessories"/>
    <s v="Wallet"/>
    <n v="32.61"/>
    <s v="Summer"/>
    <s v="Cash on Delivery"/>
    <n v="3.4"/>
    <x v="10"/>
    <n v="6"/>
    <n v="41.807692307692307"/>
    <n v="9.1976923076923072"/>
    <x v="5"/>
    <n v="1"/>
  </r>
  <r>
    <n v="2062"/>
    <n v="51"/>
    <s v="Female"/>
    <s v="Home"/>
    <s v="Lamp"/>
    <n v="108.64"/>
    <s v="Spring"/>
    <s v="Card"/>
    <n v="2.8"/>
    <x v="8"/>
    <n v="6"/>
    <n v="123.45454545454545"/>
    <n v="14.814545454545453"/>
    <x v="4"/>
    <n v="1"/>
  </r>
  <r>
    <n v="2063"/>
    <n v="36"/>
    <s v="Male"/>
    <s v="Mens Clothing"/>
    <s v="T-Shirt"/>
    <n v="193.29"/>
    <s v="Summer"/>
    <s v="Card"/>
    <n v="3.3"/>
    <x v="3"/>
    <n v="5"/>
    <n v="241.61249999999998"/>
    <n v="48.322499999999991"/>
    <x v="1"/>
    <n v="1"/>
  </r>
  <r>
    <n v="2064"/>
    <n v="45"/>
    <s v="Male"/>
    <s v="Mens Clothing"/>
    <s v="Jacket"/>
    <n v="58.73"/>
    <s v="Summer"/>
    <s v="Cash on Delivery"/>
    <n v="3.9"/>
    <x v="4"/>
    <n v="7"/>
    <n v="68.290697674418595"/>
    <n v="9.5606976744185985"/>
    <x v="1"/>
    <n v="1"/>
  </r>
  <r>
    <n v="2065"/>
    <n v="55"/>
    <s v="Female"/>
    <s v="Footwear"/>
    <s v="Formal Shoes"/>
    <n v="178.52"/>
    <s v="Autumn"/>
    <s v="Card"/>
    <n v="3.8"/>
    <x v="2"/>
    <n v="3"/>
    <n v="200.58426966292134"/>
    <n v="22.064269662921333"/>
    <x v="4"/>
    <n v="1"/>
  </r>
  <r>
    <n v="2066"/>
    <n v="29"/>
    <s v="Male"/>
    <s v="Electronics"/>
    <s v="Smart Watch"/>
    <n v="636.49"/>
    <s v="Summer"/>
    <s v="Card"/>
    <n v="3.7"/>
    <x v="8"/>
    <n v="6"/>
    <n v="723.28409090909088"/>
    <n v="86.794090909090869"/>
    <x v="5"/>
    <n v="1"/>
  </r>
  <r>
    <n v="2067"/>
    <n v="46"/>
    <s v="Female"/>
    <s v="Beauty"/>
    <s v="Skincare Kit"/>
    <n v="86.93"/>
    <s v="Spring"/>
    <s v="Cash on Delivery"/>
    <n v="2.6"/>
    <x v="1"/>
    <n v="4"/>
    <n v="99.919540229885072"/>
    <n v="12.989540229885066"/>
    <x v="4"/>
    <n v="1"/>
  </r>
  <r>
    <n v="2068"/>
    <n v="63"/>
    <s v="Male"/>
    <s v="Mens Clothing"/>
    <s v="Jeans"/>
    <n v="101.13"/>
    <s v="Winter"/>
    <s v="Card"/>
    <n v="3.7"/>
    <x v="18"/>
    <n v="7"/>
    <n v="133.06578947368419"/>
    <n v="31.935789473684196"/>
    <x v="0"/>
    <n v="1"/>
  </r>
  <r>
    <n v="2069"/>
    <n v="42"/>
    <s v="Male"/>
    <s v="Home"/>
    <s v="Kitchen Set"/>
    <n v="143.76"/>
    <s v="Summer"/>
    <s v="Card"/>
    <n v="3.8"/>
    <x v="4"/>
    <n v="7"/>
    <n v="167.16279069767441"/>
    <n v="23.402790697674419"/>
    <x v="1"/>
    <n v="1"/>
  </r>
  <r>
    <n v="2070"/>
    <n v="42"/>
    <s v="Male"/>
    <s v="Home"/>
    <s v="Kitchen Set"/>
    <n v="204.7"/>
    <s v="Spring"/>
    <s v="Card"/>
    <n v="4.2"/>
    <x v="3"/>
    <n v="5"/>
    <n v="255.87499999999997"/>
    <n v="51.174999999999983"/>
    <x v="1"/>
    <n v="1"/>
  </r>
  <r>
    <n v="2071"/>
    <n v="54"/>
    <s v="Female"/>
    <s v="Beauty"/>
    <s v="Skincare Kit"/>
    <n v="78.61"/>
    <s v="Spring"/>
    <s v="Card"/>
    <n v="4.5999999999999996"/>
    <x v="1"/>
    <n v="4"/>
    <n v="90.356321839080465"/>
    <n v="11.746321839080466"/>
    <x v="4"/>
    <n v="1"/>
  </r>
  <r>
    <n v="2072"/>
    <n v="43"/>
    <s v="Male"/>
    <s v="Electronics"/>
    <s v="Mobile Phone"/>
    <n v="2249.9499999999998"/>
    <s v="Spring"/>
    <s v="Card"/>
    <n v="3.8"/>
    <x v="4"/>
    <n v="2"/>
    <n v="2616.2209302325577"/>
    <n v="366.27093023255793"/>
    <x v="1"/>
    <n v="1"/>
  </r>
  <r>
    <n v="2073"/>
    <n v="47"/>
    <s v="Male"/>
    <s v="Home"/>
    <s v="Lamp"/>
    <n v="129.09"/>
    <s v="Summer"/>
    <s v="Card"/>
    <n v="4"/>
    <x v="12"/>
    <n v="7"/>
    <n v="159.37037037037035"/>
    <n v="30.280370370370349"/>
    <x v="4"/>
    <n v="1"/>
  </r>
  <r>
    <n v="2074"/>
    <n v="36"/>
    <s v="Male"/>
    <s v="Electronics"/>
    <s v="Headphones"/>
    <n v="2297.54"/>
    <s v="Autumn"/>
    <s v="Card"/>
    <n v="3.2"/>
    <x v="17"/>
    <n v="2"/>
    <n v="2393.2708333333335"/>
    <n v="95.730833333333521"/>
    <x v="1"/>
    <n v="1"/>
  </r>
  <r>
    <n v="2075"/>
    <n v="23"/>
    <s v="Female"/>
    <s v="Home"/>
    <s v="Curtains"/>
    <n v="219.81"/>
    <s v="Spring"/>
    <s v="Card"/>
    <n v="3.7"/>
    <x v="2"/>
    <n v="3"/>
    <n v="246.97752808988764"/>
    <n v="27.167528089887639"/>
    <x v="3"/>
    <n v="1"/>
  </r>
  <r>
    <n v="2076"/>
    <n v="40"/>
    <s v="Female"/>
    <s v="Sports"/>
    <s v="Dumbbells"/>
    <n v="211.71"/>
    <s v="Spring"/>
    <s v="Card"/>
    <n v="2.5"/>
    <x v="14"/>
    <n v="6"/>
    <n v="255.07228915662654"/>
    <n v="43.362289156626531"/>
    <x v="1"/>
    <n v="1"/>
  </r>
  <r>
    <n v="2077"/>
    <n v="62"/>
    <s v="Female"/>
    <s v="Groceries"/>
    <s v="Snacks"/>
    <n v="65.47"/>
    <s v="Winter"/>
    <s v="Card"/>
    <n v="4.8"/>
    <x v="4"/>
    <n v="2"/>
    <n v="76.127906976744185"/>
    <n v="10.657906976744187"/>
    <x v="0"/>
    <n v="1"/>
  </r>
  <r>
    <n v="2078"/>
    <n v="21"/>
    <s v="Male"/>
    <s v="Electronics"/>
    <s v="Mobile Phone"/>
    <n v="854.78"/>
    <s v="Winter"/>
    <s v="Card"/>
    <n v="2.2999999999999998"/>
    <x v="1"/>
    <n v="4"/>
    <n v="982.50574712643675"/>
    <n v="127.72574712643677"/>
    <x v="3"/>
    <n v="1"/>
  </r>
  <r>
    <n v="2079"/>
    <n v="60"/>
    <s v="Female"/>
    <s v="Accessories"/>
    <s v="Handbag"/>
    <n v="177.57"/>
    <s v="Spring"/>
    <s v="Card"/>
    <n v="5"/>
    <x v="20"/>
    <n v="11"/>
    <n v="261.13235294117646"/>
    <n v="83.562352941176471"/>
    <x v="0"/>
    <n v="1"/>
  </r>
  <r>
    <n v="2080"/>
    <n v="45"/>
    <s v="Female"/>
    <s v="Accessories"/>
    <s v="Wallet"/>
    <n v="145.21"/>
    <s v="Autumn"/>
    <s v="Card"/>
    <n v="3.1"/>
    <x v="14"/>
    <n v="6"/>
    <n v="174.95180722891567"/>
    <n v="29.741807228915661"/>
    <x v="1"/>
    <n v="1"/>
  </r>
  <r>
    <n v="2081"/>
    <n v="30"/>
    <s v="Male"/>
    <s v="Footwear"/>
    <s v="Formal Shoes"/>
    <n v="162.9"/>
    <s v="Spring"/>
    <s v="Card"/>
    <n v="3.7"/>
    <x v="7"/>
    <n v="5"/>
    <n v="181"/>
    <n v="18.099999999999994"/>
    <x v="5"/>
    <n v="1"/>
  </r>
  <r>
    <n v="2082"/>
    <n v="31"/>
    <s v="Male"/>
    <s v="Footwear"/>
    <s v="Sandals"/>
    <n v="89.34"/>
    <s v="Spring"/>
    <s v="Cash on Delivery"/>
    <n v="3"/>
    <x v="16"/>
    <n v="3"/>
    <n v="95.042553191489375"/>
    <n v="5.7025531914893719"/>
    <x v="5"/>
    <n v="1"/>
  </r>
  <r>
    <n v="2083"/>
    <n v="37"/>
    <s v="Female"/>
    <s v="Beauty"/>
    <s v="Skincare Kit"/>
    <n v="138.25"/>
    <s v="Winter"/>
    <s v="Card"/>
    <n v="4.5999999999999996"/>
    <x v="16"/>
    <n v="3"/>
    <n v="147.07446808510639"/>
    <n v="8.824468085106389"/>
    <x v="1"/>
    <n v="1"/>
  </r>
  <r>
    <n v="2084"/>
    <n v="62"/>
    <s v="Male"/>
    <s v="Sports"/>
    <s v="Yoga Mat"/>
    <n v="99.57"/>
    <s v="Spring"/>
    <s v="Card"/>
    <n v="4.8"/>
    <x v="9"/>
    <n v="11"/>
    <n v="136.39726027397259"/>
    <n v="36.827260273972598"/>
    <x v="0"/>
    <n v="1"/>
  </r>
  <r>
    <n v="2085"/>
    <n v="56"/>
    <s v="Female"/>
    <s v="Accessories"/>
    <s v="Sunglasses"/>
    <n v="63.46"/>
    <s v="Summer"/>
    <s v="Cash on Delivery"/>
    <n v="3.5"/>
    <x v="1"/>
    <n v="4"/>
    <n v="72.94252873563218"/>
    <n v="9.4825287356321795"/>
    <x v="0"/>
    <n v="1"/>
  </r>
  <r>
    <n v="2086"/>
    <n v="21"/>
    <s v="Male"/>
    <s v="Sports"/>
    <s v="Football"/>
    <n v="245.31"/>
    <s v="Autumn"/>
    <s v="Card"/>
    <n v="4.7"/>
    <x v="19"/>
    <n v="5"/>
    <n v="288.60000000000002"/>
    <n v="43.29000000000002"/>
    <x v="3"/>
    <n v="1"/>
  </r>
  <r>
    <n v="2087"/>
    <n v="39"/>
    <s v="Female"/>
    <s v="Home"/>
    <s v="Kitchen Set"/>
    <n v="214"/>
    <s v="Spring"/>
    <s v="Card"/>
    <n v="4"/>
    <x v="18"/>
    <n v="7"/>
    <n v="281.57894736842104"/>
    <n v="67.578947368421041"/>
    <x v="1"/>
    <n v="1"/>
  </r>
  <r>
    <n v="2088"/>
    <n v="39"/>
    <s v="Female"/>
    <s v="Groceries"/>
    <s v="Rice Pack"/>
    <n v="16.440000000000001"/>
    <s v="Autumn"/>
    <s v="Card"/>
    <n v="4.7"/>
    <x v="4"/>
    <n v="7"/>
    <n v="19.116279069767444"/>
    <n v="2.6762790697674426"/>
    <x v="1"/>
    <n v="1"/>
  </r>
  <r>
    <n v="2089"/>
    <n v="37"/>
    <s v="Female"/>
    <s v="Womens Clothing"/>
    <s v="Top"/>
    <n v="141.18"/>
    <s v="Spring"/>
    <s v="Card"/>
    <n v="3.9"/>
    <x v="3"/>
    <n v="5"/>
    <n v="176.47499999999999"/>
    <n v="35.294999999999987"/>
    <x v="1"/>
    <n v="1"/>
  </r>
  <r>
    <n v="2090"/>
    <n v="45"/>
    <s v="Male"/>
    <s v="Footwear"/>
    <s v="Sneakers"/>
    <n v="178.77"/>
    <s v="Summer"/>
    <s v="Card"/>
    <n v="4.2"/>
    <x v="8"/>
    <n v="1"/>
    <n v="203.14772727272728"/>
    <n v="24.37772727272727"/>
    <x v="1"/>
    <n v="1"/>
  </r>
  <r>
    <n v="2091"/>
    <n v="30"/>
    <s v="Male"/>
    <s v="Footwear"/>
    <s v="Sandals"/>
    <n v="109.01"/>
    <s v="Summer"/>
    <s v="Card"/>
    <n v="2.5"/>
    <x v="3"/>
    <n v="5"/>
    <n v="136.26249999999999"/>
    <n v="27.252499999999984"/>
    <x v="5"/>
    <n v="1"/>
  </r>
  <r>
    <n v="2092"/>
    <n v="28"/>
    <s v="Female"/>
    <s v="Accessories"/>
    <s v="Wallet"/>
    <n v="167.86"/>
    <s v="Spring"/>
    <s v="Card"/>
    <n v="4.0999999999999996"/>
    <x v="8"/>
    <n v="6"/>
    <n v="190.75000000000003"/>
    <n v="22.890000000000015"/>
    <x v="5"/>
    <n v="1"/>
  </r>
  <r>
    <n v="2093"/>
    <n v="49"/>
    <s v="Female"/>
    <s v="Beauty"/>
    <s v="Skincare Kit"/>
    <n v="115.21"/>
    <s v="Autumn"/>
    <s v="Card"/>
    <n v="3.4"/>
    <x v="13"/>
    <n v="2"/>
    <n v="126.60439560439559"/>
    <n v="11.394395604395598"/>
    <x v="4"/>
    <n v="1"/>
  </r>
  <r>
    <n v="2094"/>
    <n v="61"/>
    <s v="Female"/>
    <s v="Footwear"/>
    <s v="Sandals"/>
    <n v="54"/>
    <s v="Summer"/>
    <s v="Card"/>
    <n v="2"/>
    <x v="1"/>
    <n v="4"/>
    <n v="62.068965517241381"/>
    <n v="8.0689655172413808"/>
    <x v="0"/>
    <n v="1"/>
  </r>
  <r>
    <n v="2095"/>
    <n v="46"/>
    <s v="Male"/>
    <s v="Electronics"/>
    <s v="Laptop"/>
    <n v="2492.66"/>
    <s v="Summer"/>
    <s v="Card"/>
    <n v="3.3"/>
    <x v="8"/>
    <n v="6"/>
    <n v="2832.5681818181815"/>
    <n v="339.90818181818167"/>
    <x v="4"/>
    <n v="1"/>
  </r>
  <r>
    <n v="2096"/>
    <n v="64"/>
    <s v="Female"/>
    <s v="Beauty"/>
    <s v="Skincare Kit"/>
    <n v="124.33"/>
    <s v="Spring"/>
    <s v="Card"/>
    <n v="4"/>
    <x v="0"/>
    <n v="4"/>
    <n v="151.62195121951217"/>
    <n v="27.291951219512171"/>
    <x v="0"/>
    <n v="1"/>
  </r>
  <r>
    <n v="2097"/>
    <n v="69"/>
    <s v="Female"/>
    <s v="Sports"/>
    <s v="Dumbbells"/>
    <n v="238.61"/>
    <s v="Summer"/>
    <s v="Card"/>
    <n v="5"/>
    <x v="0"/>
    <n v="4"/>
    <n v="290.98780487804879"/>
    <n v="52.377804878048778"/>
    <x v="2"/>
    <n v="1"/>
  </r>
  <r>
    <n v="2098"/>
    <n v="64"/>
    <s v="Male"/>
    <s v="Footwear"/>
    <s v="Sandals"/>
    <n v="93.33"/>
    <s v="Autumn"/>
    <s v="Cash on Delivery"/>
    <n v="3.7"/>
    <x v="4"/>
    <n v="2"/>
    <n v="108.52325581395348"/>
    <n v="15.193255813953485"/>
    <x v="0"/>
    <n v="1"/>
  </r>
  <r>
    <n v="2099"/>
    <n v="54"/>
    <s v="Male"/>
    <s v="Groceries"/>
    <s v="Rice Pack"/>
    <n v="63.11"/>
    <s v="Autumn"/>
    <s v="Cash on Delivery"/>
    <n v="5"/>
    <x v="18"/>
    <n v="7"/>
    <n v="83.03947368421052"/>
    <n v="19.929473684210521"/>
    <x v="4"/>
    <n v="1"/>
  </r>
  <r>
    <n v="2100"/>
    <n v="35"/>
    <s v="Male"/>
    <s v="Mens Clothing"/>
    <s v="Shirt"/>
    <n v="187.27"/>
    <s v="Summer"/>
    <s v="Card"/>
    <n v="4.4000000000000004"/>
    <x v="3"/>
    <n v="5"/>
    <n v="234.08750000000001"/>
    <n v="46.817499999999995"/>
    <x v="5"/>
    <n v="1"/>
  </r>
  <r>
    <n v="2101"/>
    <n v="62"/>
    <s v="Female"/>
    <s v="Footwear"/>
    <s v="Sandals"/>
    <n v="106.67"/>
    <s v="Spring"/>
    <s v="Card"/>
    <n v="3.3"/>
    <x v="6"/>
    <n v="8"/>
    <n v="126.98809523809524"/>
    <n v="20.318095238095239"/>
    <x v="0"/>
    <n v="1"/>
  </r>
  <r>
    <n v="2102"/>
    <n v="63"/>
    <s v="Male"/>
    <s v="Mens Clothing"/>
    <s v="T-Shirt"/>
    <n v="52.94"/>
    <s v="Spring"/>
    <s v="Card"/>
    <n v="4.3"/>
    <x v="19"/>
    <n v="5"/>
    <n v="62.28235294117647"/>
    <n v="9.3423529411764719"/>
    <x v="0"/>
    <n v="1"/>
  </r>
  <r>
    <n v="2103"/>
    <n v="56"/>
    <s v="Male"/>
    <s v="Mens Clothing"/>
    <s v="T-Shirt"/>
    <n v="124.47"/>
    <s v="Autumn"/>
    <s v="Card"/>
    <n v="3.6"/>
    <x v="8"/>
    <n v="6"/>
    <n v="141.44318181818181"/>
    <n v="16.973181818181814"/>
    <x v="0"/>
    <n v="1"/>
  </r>
  <r>
    <n v="2104"/>
    <n v="36"/>
    <s v="Female"/>
    <s v="Womens Clothing"/>
    <s v="Dress"/>
    <n v="165.8"/>
    <s v="Spring"/>
    <s v="Card"/>
    <n v="3.5"/>
    <x v="10"/>
    <n v="6"/>
    <n v="212.56410256410257"/>
    <n v="46.764102564102558"/>
    <x v="1"/>
    <n v="1"/>
  </r>
  <r>
    <n v="2105"/>
    <n v="30"/>
    <s v="Female"/>
    <s v="Accessories"/>
    <s v="Handbag"/>
    <n v="103.79"/>
    <s v="Autumn"/>
    <s v="Card"/>
    <n v="3.3"/>
    <x v="4"/>
    <n v="7"/>
    <n v="120.68604651162792"/>
    <n v="16.896046511627915"/>
    <x v="5"/>
    <n v="1"/>
  </r>
  <r>
    <n v="2106"/>
    <n v="20"/>
    <s v="Male"/>
    <s v="Electronics"/>
    <s v="Laptop"/>
    <n v="647.02"/>
    <s v="Spring"/>
    <s v="Card"/>
    <n v="3.5"/>
    <x v="7"/>
    <n v="5"/>
    <n v="718.91111111111104"/>
    <n v="71.891111111111059"/>
    <x v="3"/>
    <n v="1"/>
  </r>
  <r>
    <n v="2107"/>
    <n v="57"/>
    <s v="Male"/>
    <s v="Sports"/>
    <s v="Dumbbells"/>
    <n v="70.3"/>
    <s v="Spring"/>
    <s v="Cash on Delivery"/>
    <n v="3.9"/>
    <x v="14"/>
    <n v="6"/>
    <n v="84.698795180722897"/>
    <n v="14.3987951807229"/>
    <x v="0"/>
    <n v="1"/>
  </r>
  <r>
    <n v="2108"/>
    <n v="38"/>
    <s v="Male"/>
    <s v="Electronics"/>
    <s v="Laptop"/>
    <n v="1795.05"/>
    <s v="Winter"/>
    <s v="Card"/>
    <n v="3.6"/>
    <x v="0"/>
    <n v="4"/>
    <n v="2189.0853658536585"/>
    <n v="394.0353658536585"/>
    <x v="1"/>
    <n v="1"/>
  </r>
  <r>
    <n v="2109"/>
    <n v="64"/>
    <s v="Female"/>
    <s v="Footwear"/>
    <s v="Formal Shoes"/>
    <n v="247.74"/>
    <s v="Spring"/>
    <s v="Card"/>
    <n v="3.6"/>
    <x v="12"/>
    <n v="7"/>
    <n v="305.85185185185185"/>
    <n v="58.111851851851839"/>
    <x v="0"/>
    <n v="1"/>
  </r>
  <r>
    <n v="2110"/>
    <n v="54"/>
    <s v="Female"/>
    <s v="Accessories"/>
    <s v="Wallet"/>
    <n v="161.25"/>
    <s v="Summer"/>
    <s v="Card"/>
    <n v="3.8"/>
    <x v="19"/>
    <n v="5"/>
    <n v="189.70588235294119"/>
    <n v="28.455882352941188"/>
    <x v="4"/>
    <n v="1"/>
  </r>
  <r>
    <n v="2111"/>
    <n v="70"/>
    <s v="Female"/>
    <s v="Beauty"/>
    <s v="Skincare Kit"/>
    <n v="75.11"/>
    <s v="Summer"/>
    <s v="Cash on Delivery"/>
    <n v="4.2"/>
    <x v="6"/>
    <n v="3"/>
    <n v="89.416666666666671"/>
    <n v="14.306666666666672"/>
    <x v="2"/>
    <n v="1"/>
  </r>
  <r>
    <n v="2112"/>
    <n v="28"/>
    <s v="Male"/>
    <s v="Mens Clothing"/>
    <s v="Shirt"/>
    <n v="47.83"/>
    <s v="Winter"/>
    <s v="Card"/>
    <n v="2.2000000000000002"/>
    <x v="6"/>
    <n v="3"/>
    <n v="56.94047619047619"/>
    <n v="9.1104761904761915"/>
    <x v="5"/>
    <n v="1"/>
  </r>
  <r>
    <n v="2113"/>
    <n v="65"/>
    <s v="Male"/>
    <s v="Home"/>
    <s v="Kitchen Set"/>
    <n v="214.25"/>
    <s v="Autumn"/>
    <s v="Card"/>
    <n v="3.1"/>
    <x v="13"/>
    <n v="2"/>
    <n v="235.43956043956044"/>
    <n v="21.189560439560438"/>
    <x v="0"/>
    <n v="1"/>
  </r>
  <r>
    <n v="2114"/>
    <n v="42"/>
    <s v="Male"/>
    <s v="Footwear"/>
    <s v="Formal Shoes"/>
    <n v="246.94"/>
    <s v="Autumn"/>
    <s v="Card"/>
    <n v="2.5"/>
    <x v="13"/>
    <n v="2"/>
    <n v="271.36263736263737"/>
    <n v="24.422637362637374"/>
    <x v="1"/>
    <n v="1"/>
  </r>
  <r>
    <n v="2115"/>
    <n v="65"/>
    <s v="Female"/>
    <s v="Womens Clothing"/>
    <s v="Dress"/>
    <n v="32.9"/>
    <s v="Winter"/>
    <s v="Card"/>
    <n v="4.5999999999999996"/>
    <x v="6"/>
    <n v="3"/>
    <n v="39.166666666666664"/>
    <n v="6.2666666666666657"/>
    <x v="0"/>
    <n v="1"/>
  </r>
  <r>
    <n v="2116"/>
    <n v="20"/>
    <s v="Male"/>
    <s v="Groceries"/>
    <s v="Snacks"/>
    <n v="53.05"/>
    <s v="Spring"/>
    <s v="Card"/>
    <n v="4.8"/>
    <x v="24"/>
    <n v="9"/>
    <n v="73.680555555555557"/>
    <n v="20.63055555555556"/>
    <x v="3"/>
    <n v="1"/>
  </r>
  <r>
    <n v="2117"/>
    <n v="68"/>
    <s v="Male"/>
    <s v="Mens Clothing"/>
    <s v="Jacket"/>
    <n v="68.39"/>
    <s v="Autumn"/>
    <s v="Cash on Delivery"/>
    <n v="4.0999999999999996"/>
    <x v="11"/>
    <n v="8"/>
    <n v="92.418918918918919"/>
    <n v="24.028918918918919"/>
    <x v="2"/>
    <n v="1"/>
  </r>
  <r>
    <n v="2118"/>
    <n v="49"/>
    <s v="Male"/>
    <s v="Mens Clothing"/>
    <s v="Shirt"/>
    <n v="153.15"/>
    <s v="Winter"/>
    <s v="Card"/>
    <n v="3.1"/>
    <x v="5"/>
    <n v="4"/>
    <n v="166.46739130434781"/>
    <n v="13.317391304347808"/>
    <x v="4"/>
    <n v="1"/>
  </r>
  <r>
    <n v="2119"/>
    <n v="63"/>
    <s v="Female"/>
    <s v="Accessories"/>
    <s v="Handbag"/>
    <n v="50.16"/>
    <s v="Winter"/>
    <s v="Card"/>
    <n v="4.3"/>
    <x v="8"/>
    <n v="6"/>
    <n v="56.999999999999993"/>
    <n v="6.8399999999999963"/>
    <x v="0"/>
    <n v="1"/>
  </r>
  <r>
    <n v="2120"/>
    <n v="30"/>
    <s v="Male"/>
    <s v="Footwear"/>
    <s v="Sandals"/>
    <n v="103.58"/>
    <s v="Spring"/>
    <s v="Card"/>
    <n v="4.5"/>
    <x v="19"/>
    <n v="5"/>
    <n v="121.85882352941177"/>
    <n v="18.278823529411767"/>
    <x v="5"/>
    <n v="1"/>
  </r>
  <r>
    <n v="2121"/>
    <n v="65"/>
    <s v="Female"/>
    <s v="Womens Clothing"/>
    <s v="Top"/>
    <n v="159.66999999999999"/>
    <s v="Autumn"/>
    <s v="Card"/>
    <n v="3.8"/>
    <x v="7"/>
    <n v="5"/>
    <n v="177.4111111111111"/>
    <n v="17.74111111111111"/>
    <x v="0"/>
    <n v="1"/>
  </r>
  <r>
    <n v="2122"/>
    <n v="22"/>
    <s v="Female"/>
    <s v="Beauty"/>
    <s v="Skincare Kit"/>
    <n v="100.76"/>
    <s v="Autumn"/>
    <s v="Card"/>
    <n v="5"/>
    <x v="12"/>
    <n v="7"/>
    <n v="124.39506172839506"/>
    <n v="23.635061728395058"/>
    <x v="3"/>
    <n v="1"/>
  </r>
  <r>
    <n v="2123"/>
    <n v="64"/>
    <s v="Male"/>
    <s v="Sports"/>
    <s v="Football"/>
    <n v="229.26"/>
    <s v="Autumn"/>
    <s v="Card"/>
    <n v="4"/>
    <x v="10"/>
    <n v="6"/>
    <n v="293.92307692307691"/>
    <n v="64.663076923076915"/>
    <x v="0"/>
    <n v="1"/>
  </r>
  <r>
    <n v="2124"/>
    <n v="20"/>
    <s v="Male"/>
    <s v="Mens Clothing"/>
    <s v="T-Shirt"/>
    <n v="121.19"/>
    <s v="Spring"/>
    <s v="Card"/>
    <n v="3.6"/>
    <x v="3"/>
    <n v="5"/>
    <n v="151.48749999999998"/>
    <n v="30.297499999999985"/>
    <x v="3"/>
    <n v="1"/>
  </r>
  <r>
    <n v="2125"/>
    <n v="36"/>
    <s v="Male"/>
    <s v="Mens Clothing"/>
    <s v="Jeans"/>
    <n v="172.85"/>
    <s v="Winter"/>
    <s v="Card"/>
    <n v="3.6"/>
    <x v="1"/>
    <n v="4"/>
    <n v="198.67816091954023"/>
    <n v="25.828160919540238"/>
    <x v="1"/>
    <n v="1"/>
  </r>
  <r>
    <n v="2126"/>
    <n v="37"/>
    <s v="Male"/>
    <s v="Electronics"/>
    <s v="Smart Watch"/>
    <n v="2994.75"/>
    <s v="Winter"/>
    <s v="Card"/>
    <n v="3.4"/>
    <x v="8"/>
    <n v="6"/>
    <n v="3403.125"/>
    <n v="408.375"/>
    <x v="1"/>
    <n v="1"/>
  </r>
  <r>
    <n v="2127"/>
    <n v="24"/>
    <s v="Female"/>
    <s v="Footwear"/>
    <s v="Sandals"/>
    <n v="169.29"/>
    <s v="Spring"/>
    <s v="Card"/>
    <n v="3.5"/>
    <x v="10"/>
    <n v="6"/>
    <n v="217.03846153846152"/>
    <n v="47.748461538461527"/>
    <x v="3"/>
    <n v="1"/>
  </r>
  <r>
    <n v="2128"/>
    <n v="45"/>
    <s v="Female"/>
    <s v="Accessories"/>
    <s v="Sunglasses"/>
    <n v="48"/>
    <s v="Spring"/>
    <s v="Card"/>
    <n v="3.6"/>
    <x v="6"/>
    <n v="8"/>
    <n v="57.142857142857146"/>
    <n v="9.1428571428571459"/>
    <x v="1"/>
    <n v="1"/>
  </r>
  <r>
    <n v="2129"/>
    <n v="28"/>
    <s v="Male"/>
    <s v="Sports"/>
    <s v="Football"/>
    <n v="73.95"/>
    <s v="Summer"/>
    <s v="Card"/>
    <n v="3.8"/>
    <x v="23"/>
    <n v="1"/>
    <n v="79.516129032258078"/>
    <n v="5.5661290322580754"/>
    <x v="5"/>
    <n v="1"/>
  </r>
  <r>
    <n v="2130"/>
    <n v="38"/>
    <s v="Male"/>
    <s v="Groceries"/>
    <s v="Beverages"/>
    <n v="44.44"/>
    <s v="Spring"/>
    <s v="Cash on Delivery"/>
    <n v="4.9000000000000004"/>
    <x v="3"/>
    <n v="5"/>
    <n v="55.55"/>
    <n v="11.11"/>
    <x v="1"/>
    <n v="1"/>
  </r>
  <r>
    <n v="2131"/>
    <n v="42"/>
    <s v="Female"/>
    <s v="Accessories"/>
    <s v="Wallet"/>
    <n v="162.6"/>
    <s v="Spring"/>
    <s v="Card"/>
    <n v="4.7"/>
    <x v="8"/>
    <n v="1"/>
    <n v="184.77272727272725"/>
    <n v="22.172727272727258"/>
    <x v="1"/>
    <n v="1"/>
  </r>
  <r>
    <n v="2132"/>
    <n v="36"/>
    <s v="Male"/>
    <s v="Electronics"/>
    <s v="Headphones"/>
    <n v="1381.61"/>
    <s v="Spring"/>
    <s v="Card"/>
    <n v="4.8"/>
    <x v="1"/>
    <n v="4"/>
    <n v="1588.0574712643677"/>
    <n v="206.44747126436778"/>
    <x v="1"/>
    <n v="1"/>
  </r>
  <r>
    <n v="2133"/>
    <n v="37"/>
    <s v="Male"/>
    <s v="Electronics"/>
    <s v="Headphones"/>
    <n v="2720.99"/>
    <s v="Spring"/>
    <s v="Card"/>
    <n v="3.1"/>
    <x v="3"/>
    <n v="5"/>
    <n v="3401.2374999999997"/>
    <n v="680.24749999999995"/>
    <x v="1"/>
    <n v="1"/>
  </r>
  <r>
    <n v="2134"/>
    <n v="24"/>
    <s v="Male"/>
    <s v="Footwear"/>
    <s v="Sandals"/>
    <n v="53.39"/>
    <s v="Spring"/>
    <s v="Cash on Delivery"/>
    <n v="3.3"/>
    <x v="7"/>
    <n v="5"/>
    <n v="59.322222222222223"/>
    <n v="5.9322222222222223"/>
    <x v="3"/>
    <n v="1"/>
  </r>
  <r>
    <n v="2135"/>
    <n v="42"/>
    <s v="Male"/>
    <s v="Footwear"/>
    <s v="Sneakers"/>
    <n v="156.01"/>
    <s v="Summer"/>
    <s v="Card"/>
    <n v="3.9"/>
    <x v="5"/>
    <n v="4"/>
    <n v="169.57608695652172"/>
    <n v="13.56608695652173"/>
    <x v="1"/>
    <n v="1"/>
  </r>
  <r>
    <n v="2136"/>
    <n v="23"/>
    <s v="Female"/>
    <s v="Beauty"/>
    <s v="Perfume"/>
    <n v="107.23"/>
    <s v="Winter"/>
    <s v="Card"/>
    <n v="3.3"/>
    <x v="13"/>
    <n v="2"/>
    <n v="117.83516483516483"/>
    <n v="10.605164835164828"/>
    <x v="3"/>
    <n v="1"/>
  </r>
  <r>
    <n v="2137"/>
    <n v="31"/>
    <s v="Female"/>
    <s v="Beauty"/>
    <s v="Perfume"/>
    <n v="72.150000000000006"/>
    <s v="Autumn"/>
    <s v="Cash on Delivery"/>
    <n v="4.0999999999999996"/>
    <x v="6"/>
    <n v="3"/>
    <n v="85.892857142857153"/>
    <n v="13.742857142857147"/>
    <x v="5"/>
    <n v="1"/>
  </r>
  <r>
    <n v="2138"/>
    <n v="28"/>
    <s v="Female"/>
    <s v="Footwear"/>
    <s v="Sneakers"/>
    <n v="235.98"/>
    <s v="Winter"/>
    <s v="Card"/>
    <n v="2.6"/>
    <x v="11"/>
    <n v="8"/>
    <n v="318.89189189189187"/>
    <n v="82.911891891891884"/>
    <x v="5"/>
    <n v="1"/>
  </r>
  <r>
    <n v="2139"/>
    <n v="65"/>
    <s v="Female"/>
    <s v="Footwear"/>
    <s v="Sneakers"/>
    <n v="216.73"/>
    <s v="Summer"/>
    <s v="Card"/>
    <n v="5"/>
    <x v="6"/>
    <n v="3"/>
    <n v="258.01190476190476"/>
    <n v="41.281904761904769"/>
    <x v="0"/>
    <n v="1"/>
  </r>
  <r>
    <n v="2140"/>
    <n v="57"/>
    <s v="Male"/>
    <s v="Mens Clothing"/>
    <s v="Jacket"/>
    <n v="76.98"/>
    <s v="Summer"/>
    <s v="Card"/>
    <n v="3.9"/>
    <x v="18"/>
    <n v="7"/>
    <n v="101.28947368421053"/>
    <n v="24.309473684210531"/>
    <x v="0"/>
    <n v="1"/>
  </r>
  <r>
    <n v="2141"/>
    <n v="66"/>
    <s v="Female"/>
    <s v="Womens Clothing"/>
    <s v="Dress"/>
    <n v="104.42"/>
    <s v="Spring"/>
    <s v="Card"/>
    <n v="3.6"/>
    <x v="7"/>
    <n v="5"/>
    <n v="116.02222222222223"/>
    <n v="11.602222222222224"/>
    <x v="2"/>
    <n v="1"/>
  </r>
  <r>
    <n v="2142"/>
    <n v="30"/>
    <s v="Female"/>
    <s v="Womens Clothing"/>
    <s v="Jeans"/>
    <n v="190.44"/>
    <s v="Winter"/>
    <s v="Card"/>
    <n v="4"/>
    <x v="5"/>
    <n v="4"/>
    <n v="207"/>
    <n v="16.560000000000002"/>
    <x v="5"/>
    <n v="1"/>
  </r>
  <r>
    <n v="2143"/>
    <n v="52"/>
    <s v="Male"/>
    <s v="Footwear"/>
    <s v="Sandals"/>
    <n v="140.52000000000001"/>
    <s v="Spring"/>
    <s v="Card"/>
    <n v="3.5"/>
    <x v="19"/>
    <n v="5"/>
    <n v="165.31764705882355"/>
    <n v="24.797647058823543"/>
    <x v="4"/>
    <n v="1"/>
  </r>
  <r>
    <n v="2144"/>
    <n v="59"/>
    <s v="Male"/>
    <s v="Footwear"/>
    <s v="Sandals"/>
    <n v="109.11"/>
    <s v="Winter"/>
    <s v="Card"/>
    <n v="4.3"/>
    <x v="5"/>
    <n v="4"/>
    <n v="118.59782608695652"/>
    <n v="9.4878260869565167"/>
    <x v="0"/>
    <n v="1"/>
  </r>
  <r>
    <n v="2145"/>
    <n v="46"/>
    <s v="Male"/>
    <s v="Sports"/>
    <s v="Football"/>
    <n v="179.23"/>
    <s v="Spring"/>
    <s v="Card"/>
    <n v="3.8"/>
    <x v="8"/>
    <n v="6"/>
    <n v="203.67045454545453"/>
    <n v="24.440454545454543"/>
    <x v="4"/>
    <n v="1"/>
  </r>
  <r>
    <n v="2146"/>
    <n v="40"/>
    <s v="Male"/>
    <s v="Groceries"/>
    <s v="Cooking Oil"/>
    <n v="23.38"/>
    <s v="Autumn"/>
    <s v="Cash on Delivery"/>
    <n v="2.9"/>
    <x v="8"/>
    <n v="6"/>
    <n v="26.568181818181817"/>
    <n v="3.1881818181818176"/>
    <x v="1"/>
    <n v="1"/>
  </r>
  <r>
    <n v="2147"/>
    <n v="60"/>
    <s v="Female"/>
    <s v="Sports"/>
    <s v="Yoga Mat"/>
    <n v="243.83"/>
    <s v="Autumn"/>
    <s v="Card"/>
    <n v="4"/>
    <x v="3"/>
    <n v="5"/>
    <n v="304.78750000000002"/>
    <n v="60.95750000000001"/>
    <x v="0"/>
    <n v="1"/>
  </r>
  <r>
    <n v="2148"/>
    <n v="57"/>
    <s v="Male"/>
    <s v="Sports"/>
    <s v="Yoga Mat"/>
    <n v="111.73"/>
    <s v="Spring"/>
    <s v="Card"/>
    <n v="5"/>
    <x v="11"/>
    <n v="8"/>
    <n v="150.98648648648648"/>
    <n v="39.25648648648648"/>
    <x v="0"/>
    <n v="1"/>
  </r>
  <r>
    <n v="2149"/>
    <n v="46"/>
    <s v="Male"/>
    <s v="Mens Clothing"/>
    <s v="T-Shirt"/>
    <n v="86.78"/>
    <s v="Winter"/>
    <s v="Card"/>
    <n v="4.4000000000000004"/>
    <x v="8"/>
    <n v="6"/>
    <n v="98.61363636363636"/>
    <n v="11.833636363636359"/>
    <x v="4"/>
    <n v="1"/>
  </r>
  <r>
    <n v="2150"/>
    <n v="66"/>
    <s v="Male"/>
    <s v="Footwear"/>
    <s v="Formal Shoes"/>
    <n v="115.51"/>
    <s v="Autumn"/>
    <s v="Card"/>
    <n v="3.8"/>
    <x v="5"/>
    <n v="4"/>
    <n v="125.55434782608695"/>
    <n v="10.044347826086948"/>
    <x v="2"/>
    <n v="1"/>
  </r>
  <r>
    <n v="2151"/>
    <n v="25"/>
    <s v="Male"/>
    <s v="Electronics"/>
    <s v="Smart Watch"/>
    <n v="2459.81"/>
    <s v="Winter"/>
    <s v="Card"/>
    <n v="4.0999999999999996"/>
    <x v="16"/>
    <n v="3"/>
    <n v="2616.8191489361702"/>
    <n v="157.00914893617028"/>
    <x v="3"/>
    <n v="1"/>
  </r>
  <r>
    <n v="2152"/>
    <n v="43"/>
    <s v="Female"/>
    <s v="Womens Clothing"/>
    <s v="Skirt"/>
    <n v="89.23"/>
    <s v="Summer"/>
    <s v="Card"/>
    <n v="3.2"/>
    <x v="7"/>
    <n v="5"/>
    <n v="99.144444444444446"/>
    <n v="9.9144444444444417"/>
    <x v="1"/>
    <n v="1"/>
  </r>
  <r>
    <n v="2153"/>
    <n v="48"/>
    <s v="Female"/>
    <s v="Beauty"/>
    <s v="Makeup Set"/>
    <n v="108.66"/>
    <s v="Spring"/>
    <s v="Card"/>
    <n v="3.7"/>
    <x v="8"/>
    <n v="6"/>
    <n v="123.47727272727272"/>
    <n v="14.817272727272723"/>
    <x v="4"/>
    <n v="1"/>
  </r>
  <r>
    <n v="2154"/>
    <n v="32"/>
    <s v="Female"/>
    <s v="Sports"/>
    <s v="Dumbbells"/>
    <n v="156.96"/>
    <s v="Autumn"/>
    <s v="Card"/>
    <n v="3.4"/>
    <x v="10"/>
    <n v="6"/>
    <n v="201.23076923076923"/>
    <n v="44.270769230769218"/>
    <x v="5"/>
    <n v="1"/>
  </r>
  <r>
    <n v="2155"/>
    <n v="51"/>
    <s v="Female"/>
    <s v="Womens Clothing"/>
    <s v="Top"/>
    <n v="162.77000000000001"/>
    <s v="Winter"/>
    <s v="Card"/>
    <n v="3.3"/>
    <x v="3"/>
    <n v="5"/>
    <n v="203.46250000000001"/>
    <n v="40.692499999999995"/>
    <x v="4"/>
    <n v="1"/>
  </r>
  <r>
    <n v="2156"/>
    <n v="24"/>
    <s v="Female"/>
    <s v="Womens Clothing"/>
    <s v="Dress"/>
    <n v="134.74"/>
    <s v="Summer"/>
    <s v="Card"/>
    <n v="4.4000000000000004"/>
    <x v="8"/>
    <n v="6"/>
    <n v="153.11363636363637"/>
    <n v="18.373636363636365"/>
    <x v="3"/>
    <n v="1"/>
  </r>
  <r>
    <n v="2157"/>
    <n v="25"/>
    <s v="Female"/>
    <s v="Womens Clothing"/>
    <s v="Skirt"/>
    <n v="62.82"/>
    <s v="Summer"/>
    <s v="Card"/>
    <n v="3.4"/>
    <x v="19"/>
    <n v="5"/>
    <n v="73.905882352941177"/>
    <n v="11.085882352941177"/>
    <x v="3"/>
    <n v="1"/>
  </r>
  <r>
    <n v="2158"/>
    <n v="21"/>
    <s v="Male"/>
    <s v="Mens Clothing"/>
    <s v="Jacket"/>
    <n v="185.24"/>
    <s v="Summer"/>
    <s v="Card"/>
    <n v="3.7"/>
    <x v="3"/>
    <n v="5"/>
    <n v="231.55"/>
    <n v="46.31"/>
    <x v="3"/>
    <n v="1"/>
  </r>
  <r>
    <n v="2159"/>
    <n v="21"/>
    <s v="Female"/>
    <s v="Beauty"/>
    <s v="Perfume"/>
    <n v="52.12"/>
    <s v="Summer"/>
    <s v="Card"/>
    <n v="2.2000000000000002"/>
    <x v="4"/>
    <n v="7"/>
    <n v="60.604651162790695"/>
    <n v="8.4846511627906978"/>
    <x v="3"/>
    <n v="1"/>
  </r>
  <r>
    <n v="2160"/>
    <n v="26"/>
    <s v="Male"/>
    <s v="Mens Clothing"/>
    <s v="Jeans"/>
    <n v="117.39"/>
    <s v="Winter"/>
    <s v="Card"/>
    <n v="4.0999999999999996"/>
    <x v="14"/>
    <n v="6"/>
    <n v="141.43373493975903"/>
    <n v="24.043734939759034"/>
    <x v="5"/>
    <n v="1"/>
  </r>
  <r>
    <n v="2161"/>
    <n v="64"/>
    <s v="Male"/>
    <s v="Electronics"/>
    <s v="Headphones"/>
    <n v="1748.62"/>
    <s v="Spring"/>
    <s v="Card"/>
    <n v="4.5999999999999996"/>
    <x v="1"/>
    <n v="4"/>
    <n v="2009.9080459770114"/>
    <n v="261.28804597701151"/>
    <x v="0"/>
    <n v="1"/>
  </r>
  <r>
    <n v="2162"/>
    <n v="47"/>
    <s v="Female"/>
    <s v="Womens Clothing"/>
    <s v="Top"/>
    <n v="156.93"/>
    <s v="Autumn"/>
    <s v="Card"/>
    <n v="3.4"/>
    <x v="2"/>
    <n v="3"/>
    <n v="176.32584269662922"/>
    <n v="19.395842696629217"/>
    <x v="4"/>
    <n v="1"/>
  </r>
  <r>
    <n v="2163"/>
    <n v="58"/>
    <s v="Female"/>
    <s v="Groceries"/>
    <s v="Cooking Oil"/>
    <n v="10.97"/>
    <s v="Autumn"/>
    <s v="Card"/>
    <n v="3.3"/>
    <x v="7"/>
    <n v="5"/>
    <n v="12.18888888888889"/>
    <n v="1.2188888888888894"/>
    <x v="0"/>
    <n v="1"/>
  </r>
  <r>
    <n v="2164"/>
    <n v="38"/>
    <s v="Male"/>
    <s v="Mens Clothing"/>
    <s v="Jacket"/>
    <n v="196.58"/>
    <s v="Summer"/>
    <s v="Card"/>
    <n v="4.0999999999999996"/>
    <x v="19"/>
    <n v="5"/>
    <n v="231.27058823529413"/>
    <n v="34.690588235294115"/>
    <x v="1"/>
    <n v="1"/>
  </r>
  <r>
    <n v="2165"/>
    <n v="33"/>
    <s v="Female"/>
    <s v="Beauty"/>
    <s v="Skincare Kit"/>
    <n v="124.79"/>
    <s v="Spring"/>
    <s v="Card"/>
    <n v="3.2"/>
    <x v="1"/>
    <n v="4"/>
    <n v="143.43678160919541"/>
    <n v="18.646781609195401"/>
    <x v="5"/>
    <n v="1"/>
  </r>
  <r>
    <n v="2166"/>
    <n v="58"/>
    <s v="Male"/>
    <s v="Mens Clothing"/>
    <s v="Shirt"/>
    <n v="126.22"/>
    <s v="Autumn"/>
    <s v="Card"/>
    <n v="4.9000000000000004"/>
    <x v="6"/>
    <n v="3"/>
    <n v="150.26190476190476"/>
    <n v="24.04190476190476"/>
    <x v="0"/>
    <n v="1"/>
  </r>
  <r>
    <n v="2167"/>
    <n v="43"/>
    <s v="Female"/>
    <s v="Beauty"/>
    <s v="Skincare Kit"/>
    <n v="55.3"/>
    <s v="Winter"/>
    <s v="Cash on Delivery"/>
    <n v="2.7"/>
    <x v="5"/>
    <n v="4"/>
    <n v="60.108695652173907"/>
    <n v="4.8086956521739097"/>
    <x v="1"/>
    <n v="1"/>
  </r>
  <r>
    <n v="2168"/>
    <n v="49"/>
    <s v="Female"/>
    <s v="Womens Clothing"/>
    <s v="Jeans"/>
    <n v="153.03"/>
    <s v="Spring"/>
    <s v="Card"/>
    <n v="3.9"/>
    <x v="22"/>
    <n v="9"/>
    <n v="198.74025974025975"/>
    <n v="45.710259740259744"/>
    <x v="4"/>
    <n v="1"/>
  </r>
  <r>
    <n v="2169"/>
    <n v="36"/>
    <s v="Male"/>
    <s v="Electronics"/>
    <s v="Mobile Phone"/>
    <n v="2044.39"/>
    <s v="Winter"/>
    <s v="Card"/>
    <n v="3.5"/>
    <x v="24"/>
    <n v="9"/>
    <n v="2839.4305555555557"/>
    <n v="795.04055555555556"/>
    <x v="1"/>
    <n v="1"/>
  </r>
  <r>
    <n v="2170"/>
    <n v="69"/>
    <s v="Female"/>
    <s v="Sports"/>
    <s v="Football"/>
    <n v="125.7"/>
    <s v="Winter"/>
    <s v="Card"/>
    <n v="4.4000000000000004"/>
    <x v="19"/>
    <n v="5"/>
    <n v="147.88235294117646"/>
    <n v="22.182352941176461"/>
    <x v="2"/>
    <n v="1"/>
  </r>
  <r>
    <n v="2171"/>
    <n v="50"/>
    <s v="Male"/>
    <s v="Sports"/>
    <s v="Football"/>
    <n v="57.74"/>
    <s v="Summer"/>
    <s v="Cash on Delivery"/>
    <n v="3"/>
    <x v="6"/>
    <n v="8"/>
    <n v="68.738095238095241"/>
    <n v="10.998095238095239"/>
    <x v="4"/>
    <n v="1"/>
  </r>
  <r>
    <n v="2172"/>
    <n v="35"/>
    <s v="Female"/>
    <s v="Footwear"/>
    <s v="Formal Shoes"/>
    <n v="42.14"/>
    <s v="Summer"/>
    <s v="Card"/>
    <n v="2.9"/>
    <x v="14"/>
    <n v="6"/>
    <n v="50.7710843373494"/>
    <n v="8.6310843373493995"/>
    <x v="5"/>
    <n v="1"/>
  </r>
  <r>
    <n v="2173"/>
    <n v="29"/>
    <s v="Female"/>
    <s v="Accessories"/>
    <s v="Wallet"/>
    <n v="65.650000000000006"/>
    <s v="Summer"/>
    <s v="Cash on Delivery"/>
    <n v="3.6"/>
    <x v="2"/>
    <n v="3"/>
    <n v="73.764044943820224"/>
    <n v="8.1140449438202182"/>
    <x v="5"/>
    <n v="1"/>
  </r>
  <r>
    <n v="2174"/>
    <n v="23"/>
    <s v="Male"/>
    <s v="Electronics"/>
    <s v="Smart Watch"/>
    <n v="899.3"/>
    <s v="Spring"/>
    <s v="Card"/>
    <n v="3.8"/>
    <x v="4"/>
    <n v="2"/>
    <n v="1045.6976744186047"/>
    <n v="146.39767441860477"/>
    <x v="3"/>
    <n v="1"/>
  </r>
  <r>
    <n v="2175"/>
    <n v="70"/>
    <s v="Male"/>
    <s v="Home"/>
    <s v="Lamp"/>
    <n v="189.01"/>
    <s v="Spring"/>
    <s v="Card"/>
    <n v="4.8"/>
    <x v="18"/>
    <n v="7"/>
    <n v="248.69736842105263"/>
    <n v="59.687368421052639"/>
    <x v="2"/>
    <n v="1"/>
  </r>
  <r>
    <n v="2176"/>
    <n v="55"/>
    <s v="Female"/>
    <s v="Accessories"/>
    <s v="Sunglasses"/>
    <n v="155.94999999999999"/>
    <s v="Spring"/>
    <s v="Card"/>
    <n v="3.1"/>
    <x v="19"/>
    <n v="5"/>
    <n v="183.47058823529412"/>
    <n v="27.520588235294127"/>
    <x v="4"/>
    <n v="1"/>
  </r>
  <r>
    <n v="2177"/>
    <n v="28"/>
    <s v="Female"/>
    <s v="Beauty"/>
    <s v="Makeup Set"/>
    <n v="90.72"/>
    <s v="Winter"/>
    <s v="Cash on Delivery"/>
    <n v="1.4"/>
    <x v="5"/>
    <n v="4"/>
    <n v="98.608695652173907"/>
    <n v="7.888695652173908"/>
    <x v="5"/>
    <n v="1"/>
  </r>
  <r>
    <n v="2178"/>
    <n v="24"/>
    <s v="Female"/>
    <s v="Beauty"/>
    <s v="Makeup Set"/>
    <n v="58.6"/>
    <s v="Winter"/>
    <s v="Card"/>
    <n v="3.1"/>
    <x v="14"/>
    <n v="6"/>
    <n v="70.602409638554221"/>
    <n v="12.002409638554219"/>
    <x v="3"/>
    <n v="1"/>
  </r>
  <r>
    <n v="2179"/>
    <n v="69"/>
    <s v="Female"/>
    <s v="Womens Clothing"/>
    <s v="Top"/>
    <n v="58.78"/>
    <s v="Summer"/>
    <s v="Card"/>
    <n v="3.7"/>
    <x v="0"/>
    <n v="4"/>
    <n v="71.682926829268283"/>
    <n v="12.902926829268281"/>
    <x v="2"/>
    <n v="1"/>
  </r>
  <r>
    <n v="2180"/>
    <n v="54"/>
    <s v="Female"/>
    <s v="Footwear"/>
    <s v="Sneakers"/>
    <n v="249.37"/>
    <s v="Summer"/>
    <s v="Card"/>
    <n v="3.8"/>
    <x v="5"/>
    <n v="4"/>
    <n v="271.05434782608694"/>
    <n v="21.684347826086935"/>
    <x v="4"/>
    <n v="1"/>
  </r>
  <r>
    <n v="2181"/>
    <n v="39"/>
    <s v="Male"/>
    <s v="Sports"/>
    <s v="Dumbbells"/>
    <n v="66.75"/>
    <s v="Summer"/>
    <s v="Card"/>
    <n v="3.3"/>
    <x v="5"/>
    <n v="4"/>
    <n v="72.554347826086953"/>
    <n v="5.8043478260869534"/>
    <x v="1"/>
    <n v="1"/>
  </r>
  <r>
    <n v="2182"/>
    <n v="21"/>
    <s v="Male"/>
    <s v="Sports"/>
    <s v="Dumbbells"/>
    <n v="232.78"/>
    <s v="Spring"/>
    <s v="Card"/>
    <n v="4.0999999999999996"/>
    <x v="6"/>
    <n v="3"/>
    <n v="277.11904761904765"/>
    <n v="44.339047619047648"/>
    <x v="3"/>
    <n v="1"/>
  </r>
  <r>
    <n v="2183"/>
    <n v="55"/>
    <s v="Male"/>
    <s v="Home"/>
    <s v="Lamp"/>
    <n v="271.73"/>
    <s v="Autumn"/>
    <s v="Card"/>
    <n v="2.8"/>
    <x v="17"/>
    <n v="2"/>
    <n v="283.05208333333337"/>
    <n v="11.322083333333353"/>
    <x v="4"/>
    <n v="1"/>
  </r>
  <r>
    <n v="2184"/>
    <n v="32"/>
    <s v="Female"/>
    <s v="Sports"/>
    <s v="Yoga Mat"/>
    <n v="117.69"/>
    <s v="Autumn"/>
    <s v="Card"/>
    <n v="3.4"/>
    <x v="10"/>
    <n v="6"/>
    <n v="150.88461538461539"/>
    <n v="33.194615384615389"/>
    <x v="5"/>
    <n v="1"/>
  </r>
  <r>
    <n v="2185"/>
    <n v="21"/>
    <s v="Female"/>
    <s v="Sports"/>
    <s v="Yoga Mat"/>
    <n v="248.21"/>
    <s v="Spring"/>
    <s v="Card"/>
    <n v="4"/>
    <x v="5"/>
    <n v="4"/>
    <n v="269.79347826086956"/>
    <n v="21.583478260869555"/>
    <x v="3"/>
    <n v="1"/>
  </r>
  <r>
    <n v="2186"/>
    <n v="20"/>
    <s v="Female"/>
    <s v="Sports"/>
    <s v="Football"/>
    <n v="83.38"/>
    <s v="Winter"/>
    <s v="Cash on Delivery"/>
    <n v="3.5"/>
    <x v="17"/>
    <n v="2"/>
    <n v="86.854166666666671"/>
    <n v="3.474166666666676"/>
    <x v="3"/>
    <n v="1"/>
  </r>
  <r>
    <n v="2187"/>
    <n v="39"/>
    <s v="Female"/>
    <s v="Home"/>
    <s v="Curtains"/>
    <n v="113.79"/>
    <s v="Autumn"/>
    <s v="Card"/>
    <n v="5"/>
    <x v="4"/>
    <n v="2"/>
    <n v="132.31395348837211"/>
    <n v="18.523953488372101"/>
    <x v="1"/>
    <n v="1"/>
  </r>
  <r>
    <n v="2188"/>
    <n v="44"/>
    <s v="Female"/>
    <s v="Home"/>
    <s v="Kitchen Set"/>
    <n v="278.16000000000003"/>
    <s v="Spring"/>
    <s v="Card"/>
    <n v="2.7"/>
    <x v="23"/>
    <n v="1"/>
    <n v="299.09677419354841"/>
    <n v="20.936774193548388"/>
    <x v="1"/>
    <n v="1"/>
  </r>
  <r>
    <n v="2189"/>
    <n v="45"/>
    <s v="Female"/>
    <s v="Footwear"/>
    <s v="Sneakers"/>
    <n v="136.82"/>
    <s v="Autumn"/>
    <s v="Card"/>
    <n v="3.7"/>
    <x v="1"/>
    <n v="4"/>
    <n v="157.26436781609195"/>
    <n v="20.444367816091955"/>
    <x v="1"/>
    <n v="1"/>
  </r>
  <r>
    <n v="2190"/>
    <n v="22"/>
    <s v="Female"/>
    <s v="Womens Clothing"/>
    <s v="Top"/>
    <n v="198.84"/>
    <s v="Winter"/>
    <s v="Card"/>
    <n v="3.5"/>
    <x v="19"/>
    <n v="5"/>
    <n v="233.92941176470589"/>
    <n v="35.089411764705886"/>
    <x v="3"/>
    <n v="1"/>
  </r>
  <r>
    <n v="2191"/>
    <n v="55"/>
    <s v="Female"/>
    <s v="Footwear"/>
    <s v="Sneakers"/>
    <n v="228.85"/>
    <s v="Summer"/>
    <s v="Card"/>
    <n v="4.3"/>
    <x v="0"/>
    <n v="4"/>
    <n v="279.08536585365852"/>
    <n v="50.235365853658521"/>
    <x v="4"/>
    <n v="1"/>
  </r>
  <r>
    <n v="2192"/>
    <n v="59"/>
    <s v="Male"/>
    <s v="Sports"/>
    <s v="Football"/>
    <n v="46.03"/>
    <s v="Summer"/>
    <s v="Cash on Delivery"/>
    <n v="3.2"/>
    <x v="8"/>
    <n v="6"/>
    <n v="52.30681818181818"/>
    <n v="6.2768181818181787"/>
    <x v="0"/>
    <n v="1"/>
  </r>
  <r>
    <n v="2193"/>
    <n v="42"/>
    <s v="Female"/>
    <s v="Womens Clothing"/>
    <s v="Dress"/>
    <n v="66.91"/>
    <s v="Spring"/>
    <s v="Cash on Delivery"/>
    <n v="4.5"/>
    <x v="3"/>
    <n v="5"/>
    <n v="83.637499999999989"/>
    <n v="16.727499999999992"/>
    <x v="1"/>
    <n v="1"/>
  </r>
  <r>
    <n v="2194"/>
    <n v="63"/>
    <s v="Female"/>
    <s v="Womens Clothing"/>
    <s v="Jeans"/>
    <n v="70.959999999999994"/>
    <s v="Winter"/>
    <s v="Cash on Delivery"/>
    <n v="2.5"/>
    <x v="16"/>
    <n v="3"/>
    <n v="75.489361702127653"/>
    <n v="4.5293617021276589"/>
    <x v="0"/>
    <n v="1"/>
  </r>
  <r>
    <n v="2195"/>
    <n v="24"/>
    <s v="Female"/>
    <s v="Beauty"/>
    <s v="Skincare Kit"/>
    <n v="33.03"/>
    <s v="Spring"/>
    <s v="Cash on Delivery"/>
    <n v="4.7"/>
    <x v="8"/>
    <n v="6"/>
    <n v="37.534090909090914"/>
    <n v="4.5040909090909125"/>
    <x v="3"/>
    <n v="1"/>
  </r>
  <r>
    <n v="2196"/>
    <n v="27"/>
    <s v="Female"/>
    <s v="Footwear"/>
    <s v="Formal Shoes"/>
    <n v="167.37"/>
    <s v="Winter"/>
    <s v="Card"/>
    <n v="3.4"/>
    <x v="12"/>
    <n v="7"/>
    <n v="206.62962962962962"/>
    <n v="39.259629629629615"/>
    <x v="5"/>
    <n v="1"/>
  </r>
  <r>
    <n v="2197"/>
    <n v="46"/>
    <s v="Male"/>
    <s v="Electronics"/>
    <s v="Mobile Phone"/>
    <n v="1442.61"/>
    <s v="Autumn"/>
    <s v="Card"/>
    <n v="2.9"/>
    <x v="14"/>
    <n v="6"/>
    <n v="1738.0843373493976"/>
    <n v="295.47433734939773"/>
    <x v="4"/>
    <n v="1"/>
  </r>
  <r>
    <n v="2198"/>
    <n v="67"/>
    <s v="Male"/>
    <s v="Sports"/>
    <s v="Football"/>
    <n v="246"/>
    <s v="Autumn"/>
    <s v="Card"/>
    <n v="5"/>
    <x v="0"/>
    <n v="4"/>
    <n v="300"/>
    <n v="54"/>
    <x v="2"/>
    <n v="1"/>
  </r>
  <r>
    <n v="2199"/>
    <n v="46"/>
    <s v="Male"/>
    <s v="Sports"/>
    <s v="Dumbbells"/>
    <n v="68.17"/>
    <s v="Winter"/>
    <s v="Cash on Delivery"/>
    <n v="3.4"/>
    <x v="14"/>
    <n v="6"/>
    <n v="82.132530120481931"/>
    <n v="13.962530120481929"/>
    <x v="4"/>
    <n v="1"/>
  </r>
  <r>
    <n v="2200"/>
    <n v="41"/>
    <s v="Male"/>
    <s v="Footwear"/>
    <s v="Sneakers"/>
    <n v="74.88"/>
    <s v="Summer"/>
    <s v="Card"/>
    <n v="4.7"/>
    <x v="6"/>
    <n v="3"/>
    <n v="89.142857142857139"/>
    <n v="14.262857142857143"/>
    <x v="1"/>
    <n v="1"/>
  </r>
  <r>
    <n v="2201"/>
    <n v="36"/>
    <s v="Male"/>
    <s v="Sports"/>
    <s v="Yoga Mat"/>
    <n v="105.09"/>
    <s v="Spring"/>
    <s v="Card"/>
    <n v="3.6"/>
    <x v="10"/>
    <n v="6"/>
    <n v="134.73076923076923"/>
    <n v="29.640769230769223"/>
    <x v="1"/>
    <n v="1"/>
  </r>
  <r>
    <n v="2202"/>
    <n v="23"/>
    <s v="Male"/>
    <s v="Sports"/>
    <s v="Football"/>
    <n v="109.86"/>
    <s v="Autumn"/>
    <s v="Card"/>
    <n v="5"/>
    <x v="23"/>
    <n v="1"/>
    <n v="118.12903225806453"/>
    <n v="8.2690322580645272"/>
    <x v="3"/>
    <n v="1"/>
  </r>
  <r>
    <n v="2203"/>
    <n v="32"/>
    <s v="Female"/>
    <s v="Footwear"/>
    <s v="Formal Shoes"/>
    <n v="232.22"/>
    <s v="Spring"/>
    <s v="Card"/>
    <n v="3.5"/>
    <x v="2"/>
    <n v="3"/>
    <n v="260.92134831460675"/>
    <n v="28.701348314606747"/>
    <x v="5"/>
    <n v="1"/>
  </r>
  <r>
    <n v="2204"/>
    <n v="60"/>
    <s v="Male"/>
    <s v="Mens Clothing"/>
    <s v="T-Shirt"/>
    <n v="170.41"/>
    <s v="Summer"/>
    <s v="Card"/>
    <n v="2.6"/>
    <x v="14"/>
    <n v="6"/>
    <n v="205.31325301204819"/>
    <n v="34.903253012048197"/>
    <x v="0"/>
    <n v="1"/>
  </r>
  <r>
    <n v="2205"/>
    <n v="43"/>
    <s v="Male"/>
    <s v="Mens Clothing"/>
    <s v="Jeans"/>
    <n v="122.14"/>
    <s v="Spring"/>
    <s v="Card"/>
    <n v="4"/>
    <x v="7"/>
    <n v="5"/>
    <n v="135.71111111111111"/>
    <n v="13.571111111111108"/>
    <x v="1"/>
    <n v="1"/>
  </r>
  <r>
    <n v="2206"/>
    <n v="58"/>
    <s v="Female"/>
    <s v="Accessories"/>
    <s v="Handbag"/>
    <n v="98.65"/>
    <s v="Spring"/>
    <s v="Cash on Delivery"/>
    <n v="3.9"/>
    <x v="5"/>
    <n v="4"/>
    <n v="107.22826086956522"/>
    <n v="8.5782608695652129"/>
    <x v="0"/>
    <n v="1"/>
  </r>
  <r>
    <n v="2207"/>
    <n v="70"/>
    <s v="Male"/>
    <s v="Sports"/>
    <s v="Football"/>
    <n v="43.95"/>
    <s v="Autumn"/>
    <s v="Cash on Delivery"/>
    <n v="3.4"/>
    <x v="19"/>
    <n v="5"/>
    <n v="51.705882352941181"/>
    <n v="7.7558823529411782"/>
    <x v="2"/>
    <n v="1"/>
  </r>
  <r>
    <n v="2208"/>
    <n v="43"/>
    <s v="Male"/>
    <s v="Sports"/>
    <s v="Football"/>
    <n v="127.93"/>
    <s v="Winter"/>
    <s v="Card"/>
    <n v="2.9"/>
    <x v="1"/>
    <n v="4"/>
    <n v="147.04597701149427"/>
    <n v="19.115977011494266"/>
    <x v="1"/>
    <n v="1"/>
  </r>
  <r>
    <n v="2209"/>
    <n v="55"/>
    <s v="Male"/>
    <s v="Groceries"/>
    <s v="Snacks"/>
    <n v="62.57"/>
    <s v="Autumn"/>
    <s v="Cash on Delivery"/>
    <n v="3.6"/>
    <x v="8"/>
    <n v="6"/>
    <n v="71.102272727272734"/>
    <n v="8.5322727272727334"/>
    <x v="4"/>
    <n v="1"/>
  </r>
  <r>
    <n v="2210"/>
    <n v="24"/>
    <s v="Female"/>
    <s v="Womens Clothing"/>
    <s v="Jeans"/>
    <n v="106.76"/>
    <s v="Autumn"/>
    <s v="Card"/>
    <n v="3.2"/>
    <x v="5"/>
    <n v="4"/>
    <n v="116.04347826086956"/>
    <n v="9.2834782608695576"/>
    <x v="3"/>
    <n v="1"/>
  </r>
  <r>
    <n v="2211"/>
    <n v="41"/>
    <s v="Female"/>
    <s v="Home"/>
    <s v="Kitchen Set"/>
    <n v="245.42"/>
    <s v="Summer"/>
    <s v="Card"/>
    <n v="3.6"/>
    <x v="3"/>
    <n v="5"/>
    <n v="306.77499999999998"/>
    <n v="61.35499999999999"/>
    <x v="1"/>
    <n v="1"/>
  </r>
  <r>
    <n v="2212"/>
    <n v="33"/>
    <s v="Male"/>
    <s v="Sports"/>
    <s v="Yoga Mat"/>
    <n v="184.79"/>
    <s v="Winter"/>
    <s v="Card"/>
    <n v="2.8"/>
    <x v="2"/>
    <n v="3"/>
    <n v="207.62921348314606"/>
    <n v="22.839213483146068"/>
    <x v="5"/>
    <n v="1"/>
  </r>
  <r>
    <n v="2213"/>
    <n v="64"/>
    <s v="Female"/>
    <s v="Accessories"/>
    <s v="Wallet"/>
    <n v="176.59"/>
    <s v="Autumn"/>
    <s v="Card"/>
    <n v="3.9"/>
    <x v="3"/>
    <n v="5"/>
    <n v="220.73749999999998"/>
    <n v="44.14749999999998"/>
    <x v="0"/>
    <n v="1"/>
  </r>
  <r>
    <n v="2214"/>
    <n v="26"/>
    <s v="Female"/>
    <s v="Womens Clothing"/>
    <s v="Top"/>
    <n v="58.44"/>
    <s v="Winter"/>
    <s v="Cash on Delivery"/>
    <n v="2.1"/>
    <x v="12"/>
    <n v="7"/>
    <n v="72.148148148148138"/>
    <n v="13.70814814814814"/>
    <x v="5"/>
    <n v="1"/>
  </r>
  <r>
    <n v="2215"/>
    <n v="53"/>
    <s v="Female"/>
    <s v="Groceries"/>
    <s v="Beverages"/>
    <n v="9.7200000000000006"/>
    <s v="Winter"/>
    <s v="Card"/>
    <n v="3.9"/>
    <x v="18"/>
    <n v="7"/>
    <n v="12.789473684210527"/>
    <n v="3.0694736842105268"/>
    <x v="4"/>
    <n v="1"/>
  </r>
  <r>
    <n v="2216"/>
    <n v="34"/>
    <s v="Female"/>
    <s v="Footwear"/>
    <s v="Sneakers"/>
    <n v="97.08"/>
    <s v="Summer"/>
    <s v="Card"/>
    <n v="2.7"/>
    <x v="8"/>
    <n v="1"/>
    <n v="110.31818181818181"/>
    <n v="13.238181818181815"/>
    <x v="5"/>
    <n v="1"/>
  </r>
  <r>
    <n v="2217"/>
    <n v="35"/>
    <s v="Female"/>
    <s v="Accessories"/>
    <s v="Handbag"/>
    <n v="150.88"/>
    <s v="Winter"/>
    <s v="Card"/>
    <n v="4.3"/>
    <x v="6"/>
    <n v="8"/>
    <n v="179.61904761904762"/>
    <n v="28.739047619047625"/>
    <x v="5"/>
    <n v="1"/>
  </r>
  <r>
    <n v="2218"/>
    <n v="24"/>
    <s v="Female"/>
    <s v="Footwear"/>
    <s v="Sandals"/>
    <n v="173.83"/>
    <s v="Autumn"/>
    <s v="Card"/>
    <n v="2.7"/>
    <x v="16"/>
    <n v="3"/>
    <n v="184.92553191489364"/>
    <n v="11.095531914893627"/>
    <x v="3"/>
    <n v="1"/>
  </r>
  <r>
    <n v="2219"/>
    <n v="57"/>
    <s v="Male"/>
    <s v="Electronics"/>
    <s v="Mobile Phone"/>
    <n v="1857.16"/>
    <s v="Autumn"/>
    <s v="Card"/>
    <n v="4"/>
    <x v="1"/>
    <n v="4"/>
    <n v="2134.666666666667"/>
    <n v="277.50666666666689"/>
    <x v="0"/>
    <n v="1"/>
  </r>
  <r>
    <n v="2220"/>
    <n v="31"/>
    <s v="Male"/>
    <s v="Sports"/>
    <s v="Yoga Mat"/>
    <n v="227.4"/>
    <s v="Winter"/>
    <s v="Card"/>
    <n v="3.5"/>
    <x v="2"/>
    <n v="3"/>
    <n v="255.50561797752809"/>
    <n v="28.105617977528084"/>
    <x v="5"/>
    <n v="1"/>
  </r>
  <r>
    <n v="2221"/>
    <n v="52"/>
    <s v="Female"/>
    <s v="Accessories"/>
    <s v="Handbag"/>
    <n v="119.11"/>
    <s v="Summer"/>
    <s v="Card"/>
    <n v="4.8"/>
    <x v="27"/>
    <n v="10"/>
    <n v="158.81333333333333"/>
    <n v="39.703333333333333"/>
    <x v="4"/>
    <n v="1"/>
  </r>
  <r>
    <n v="2222"/>
    <n v="30"/>
    <s v="Male"/>
    <s v="Electronics"/>
    <s v="Headphones"/>
    <n v="1425.84"/>
    <s v="Spring"/>
    <s v="Card"/>
    <n v="3.6"/>
    <x v="4"/>
    <n v="2"/>
    <n v="1657.953488372093"/>
    <n v="232.11348837209312"/>
    <x v="5"/>
    <n v="1"/>
  </r>
  <r>
    <n v="2223"/>
    <n v="32"/>
    <s v="Male"/>
    <s v="Footwear"/>
    <s v="Formal Shoes"/>
    <n v="170.66"/>
    <s v="Spring"/>
    <s v="Card"/>
    <n v="4.2"/>
    <x v="14"/>
    <n v="6"/>
    <n v="205.6144578313253"/>
    <n v="34.9544578313253"/>
    <x v="5"/>
    <n v="1"/>
  </r>
  <r>
    <n v="2224"/>
    <n v="21"/>
    <s v="Male"/>
    <s v="Sports"/>
    <s v="Dumbbells"/>
    <n v="246.8"/>
    <s v="Autumn"/>
    <s v="Card"/>
    <n v="3.2"/>
    <x v="1"/>
    <n v="4"/>
    <n v="283.67816091954023"/>
    <n v="36.878160919540221"/>
    <x v="3"/>
    <n v="1"/>
  </r>
  <r>
    <n v="2225"/>
    <n v="63"/>
    <s v="Female"/>
    <s v="Beauty"/>
    <s v="Skincare Kit"/>
    <n v="40.06"/>
    <s v="Summer"/>
    <s v="Cash on Delivery"/>
    <n v="4"/>
    <x v="3"/>
    <n v="5"/>
    <n v="50.075000000000003"/>
    <n v="10.015000000000001"/>
    <x v="0"/>
    <n v="1"/>
  </r>
  <r>
    <n v="2226"/>
    <n v="38"/>
    <s v="Female"/>
    <s v="Footwear"/>
    <s v="Formal Shoes"/>
    <n v="47"/>
    <s v="Summer"/>
    <s v="Card"/>
    <n v="3.4"/>
    <x v="0"/>
    <n v="9"/>
    <n v="57.317073170731703"/>
    <n v="10.317073170731703"/>
    <x v="1"/>
    <n v="1"/>
  </r>
  <r>
    <n v="2227"/>
    <n v="46"/>
    <s v="Female"/>
    <s v="Womens Clothing"/>
    <s v="Top"/>
    <n v="149.94999999999999"/>
    <s v="Summer"/>
    <s v="Card"/>
    <n v="4.2"/>
    <x v="13"/>
    <n v="2"/>
    <n v="164.78021978021977"/>
    <n v="14.830219780219778"/>
    <x v="4"/>
    <n v="1"/>
  </r>
  <r>
    <n v="2228"/>
    <n v="68"/>
    <s v="Male"/>
    <s v="Electronics"/>
    <s v="Smart Watch"/>
    <n v="1383.02"/>
    <s v="Spring"/>
    <s v="Card"/>
    <n v="4.5999999999999996"/>
    <x v="6"/>
    <n v="3"/>
    <n v="1646.452380952381"/>
    <n v="263.43238095238098"/>
    <x v="2"/>
    <n v="1"/>
  </r>
  <r>
    <n v="2229"/>
    <n v="30"/>
    <s v="Female"/>
    <s v="Womens Clothing"/>
    <s v="Top"/>
    <n v="170.78"/>
    <s v="Winter"/>
    <s v="Card"/>
    <n v="5"/>
    <x v="10"/>
    <n v="6"/>
    <n v="218.94871794871796"/>
    <n v="48.168717948717955"/>
    <x v="5"/>
    <n v="1"/>
  </r>
  <r>
    <n v="2230"/>
    <n v="26"/>
    <s v="Male"/>
    <s v="Mens Clothing"/>
    <s v="T-Shirt"/>
    <n v="119.83"/>
    <s v="Autumn"/>
    <s v="Card"/>
    <n v="3.4"/>
    <x v="5"/>
    <n v="4"/>
    <n v="130.25"/>
    <n v="10.420000000000002"/>
    <x v="5"/>
    <n v="1"/>
  </r>
  <r>
    <n v="2231"/>
    <n v="49"/>
    <s v="Male"/>
    <s v="Electronics"/>
    <s v="Mobile Phone"/>
    <n v="2780.13"/>
    <s v="Winter"/>
    <s v="Card"/>
    <n v="3.6"/>
    <x v="19"/>
    <n v="5"/>
    <n v="3270.7411764705885"/>
    <n v="490.61117647058836"/>
    <x v="4"/>
    <n v="1"/>
  </r>
  <r>
    <n v="2232"/>
    <n v="68"/>
    <s v="Male"/>
    <s v="Footwear"/>
    <s v="Sandals"/>
    <n v="206.56"/>
    <s v="Spring"/>
    <s v="Card"/>
    <n v="3.3"/>
    <x v="7"/>
    <n v="5"/>
    <n v="229.51111111111112"/>
    <n v="22.951111111111118"/>
    <x v="2"/>
    <n v="1"/>
  </r>
  <r>
    <n v="2233"/>
    <n v="30"/>
    <s v="Female"/>
    <s v="Womens Clothing"/>
    <s v="Jeans"/>
    <n v="186.33"/>
    <s v="Spring"/>
    <s v="Card"/>
    <n v="3.5"/>
    <x v="8"/>
    <n v="6"/>
    <n v="211.73863636363637"/>
    <n v="25.408636363636361"/>
    <x v="5"/>
    <n v="1"/>
  </r>
  <r>
    <n v="2234"/>
    <n v="38"/>
    <s v="Male"/>
    <s v="Mens Clothing"/>
    <s v="Shirt"/>
    <n v="156.71"/>
    <s v="Winter"/>
    <s v="Card"/>
    <n v="3.4"/>
    <x v="6"/>
    <n v="8"/>
    <n v="186.55952380952382"/>
    <n v="29.849523809523816"/>
    <x v="1"/>
    <n v="1"/>
  </r>
  <r>
    <n v="2235"/>
    <n v="42"/>
    <s v="Female"/>
    <s v="Beauty"/>
    <s v="Makeup Set"/>
    <n v="78.39"/>
    <s v="Summer"/>
    <s v="Card"/>
    <n v="3.7"/>
    <x v="10"/>
    <n v="6"/>
    <n v="100.5"/>
    <n v="22.11"/>
    <x v="1"/>
    <n v="1"/>
  </r>
  <r>
    <n v="2236"/>
    <n v="63"/>
    <s v="Male"/>
    <s v="Sports"/>
    <s v="Dumbbells"/>
    <n v="214.61"/>
    <s v="Winter"/>
    <s v="Card"/>
    <n v="3.4"/>
    <x v="13"/>
    <n v="2"/>
    <n v="235.83516483516485"/>
    <n v="21.225164835164833"/>
    <x v="0"/>
    <n v="1"/>
  </r>
  <r>
    <n v="2237"/>
    <n v="34"/>
    <s v="Male"/>
    <s v="Groceries"/>
    <s v="Beverages"/>
    <n v="10.119999999999999"/>
    <s v="Spring"/>
    <s v="Cash on Delivery"/>
    <n v="4.3"/>
    <x v="7"/>
    <n v="5"/>
    <n v="11.244444444444444"/>
    <n v="1.1244444444444444"/>
    <x v="5"/>
    <n v="1"/>
  </r>
  <r>
    <n v="2238"/>
    <n v="28"/>
    <s v="Female"/>
    <s v="Accessories"/>
    <s v="Wallet"/>
    <n v="125.16"/>
    <s v="Winter"/>
    <s v="Card"/>
    <n v="3.8"/>
    <x v="5"/>
    <n v="4"/>
    <n v="136.04347826086956"/>
    <n v="10.883478260869566"/>
    <x v="5"/>
    <n v="1"/>
  </r>
  <r>
    <n v="2239"/>
    <n v="34"/>
    <s v="Female"/>
    <s v="Womens Clothing"/>
    <s v="Top"/>
    <n v="90.17"/>
    <s v="Spring"/>
    <s v="Cash on Delivery"/>
    <n v="3.1"/>
    <x v="12"/>
    <n v="7"/>
    <n v="111.32098765432099"/>
    <n v="21.150987654320986"/>
    <x v="5"/>
    <n v="1"/>
  </r>
  <r>
    <n v="2240"/>
    <n v="60"/>
    <s v="Male"/>
    <s v="Electronics"/>
    <s v="Smart Watch"/>
    <n v="1445.76"/>
    <s v="Spring"/>
    <s v="Card"/>
    <n v="4.5"/>
    <x v="6"/>
    <n v="3"/>
    <n v="1721.1428571428571"/>
    <n v="275.38285714285712"/>
    <x v="0"/>
    <n v="1"/>
  </r>
  <r>
    <n v="2241"/>
    <n v="64"/>
    <s v="Male"/>
    <s v="Footwear"/>
    <s v="Formal Shoes"/>
    <n v="45.29"/>
    <s v="Summer"/>
    <s v="Cash on Delivery"/>
    <n v="4"/>
    <x v="25"/>
    <n v="10"/>
    <n v="64.7"/>
    <n v="19.410000000000004"/>
    <x v="0"/>
    <n v="1"/>
  </r>
  <r>
    <n v="2242"/>
    <n v="36"/>
    <s v="Female"/>
    <s v="Footwear"/>
    <s v="Sandals"/>
    <n v="120.65"/>
    <s v="Spring"/>
    <s v="Card"/>
    <n v="4.9000000000000004"/>
    <x v="16"/>
    <n v="3"/>
    <n v="128.35106382978725"/>
    <n v="7.7010638297872447"/>
    <x v="1"/>
    <n v="1"/>
  </r>
  <r>
    <n v="2243"/>
    <n v="69"/>
    <s v="Male"/>
    <s v="Sports"/>
    <s v="Yoga Mat"/>
    <n v="204.74"/>
    <s v="Summer"/>
    <s v="Card"/>
    <n v="4.0999999999999996"/>
    <x v="19"/>
    <n v="5"/>
    <n v="240.87058823529412"/>
    <n v="36.130588235294113"/>
    <x v="2"/>
    <n v="1"/>
  </r>
  <r>
    <n v="2244"/>
    <n v="37"/>
    <s v="Female"/>
    <s v="Beauty"/>
    <s v="Makeup Set"/>
    <n v="23.24"/>
    <s v="Summer"/>
    <s v="Card"/>
    <n v="3.6"/>
    <x v="3"/>
    <n v="5"/>
    <n v="29.049999999999997"/>
    <n v="5.8099999999999987"/>
    <x v="1"/>
    <n v="1"/>
  </r>
  <r>
    <n v="2245"/>
    <n v="52"/>
    <s v="Female"/>
    <s v="Beauty"/>
    <s v="Perfume"/>
    <n v="32.67"/>
    <s v="Winter"/>
    <s v="Cash on Delivery"/>
    <n v="3.6"/>
    <x v="14"/>
    <n v="6"/>
    <n v="39.361445783132531"/>
    <n v="6.6914457831325294"/>
    <x v="4"/>
    <n v="1"/>
  </r>
  <r>
    <n v="2246"/>
    <n v="31"/>
    <s v="Male"/>
    <s v="Electronics"/>
    <s v="Mobile Phone"/>
    <n v="2789.38"/>
    <s v="Spring"/>
    <s v="Card"/>
    <n v="4.7"/>
    <x v="8"/>
    <n v="6"/>
    <n v="3169.75"/>
    <n v="380.36999999999989"/>
    <x v="5"/>
    <n v="1"/>
  </r>
  <r>
    <n v="2247"/>
    <n v="67"/>
    <s v="Male"/>
    <s v="Footwear"/>
    <s v="Formal Shoes"/>
    <n v="54.61"/>
    <s v="Autumn"/>
    <s v="Card"/>
    <n v="4.0999999999999996"/>
    <x v="5"/>
    <n v="4"/>
    <n v="59.358695652173907"/>
    <n v="4.7486956521739074"/>
    <x v="2"/>
    <n v="1"/>
  </r>
  <r>
    <n v="2248"/>
    <n v="28"/>
    <s v="Male"/>
    <s v="Sports"/>
    <s v="Yoga Mat"/>
    <n v="157.25"/>
    <s v="Spring"/>
    <s v="Card"/>
    <n v="4.2"/>
    <x v="0"/>
    <n v="4"/>
    <n v="191.76829268292681"/>
    <n v="34.518292682926813"/>
    <x v="5"/>
    <n v="1"/>
  </r>
  <r>
    <n v="2249"/>
    <n v="43"/>
    <s v="Male"/>
    <s v="Groceries"/>
    <s v="Snacks"/>
    <n v="20.079999999999998"/>
    <s v="Summer"/>
    <s v="Card"/>
    <n v="4.2"/>
    <x v="13"/>
    <n v="2"/>
    <n v="22.065934065934062"/>
    <n v="1.9859340659340639"/>
    <x v="1"/>
    <n v="1"/>
  </r>
  <r>
    <n v="2250"/>
    <n v="45"/>
    <s v="Female"/>
    <s v="Accessories"/>
    <s v="Sunglasses"/>
    <n v="50.5"/>
    <s v="Autumn"/>
    <s v="Cash on Delivery"/>
    <n v="2.5"/>
    <x v="3"/>
    <n v="5"/>
    <n v="63.125"/>
    <n v="12.625"/>
    <x v="1"/>
    <n v="1"/>
  </r>
  <r>
    <n v="2251"/>
    <n v="57"/>
    <s v="Female"/>
    <s v="Womens Clothing"/>
    <s v="Jeans"/>
    <n v="106.78"/>
    <s v="Spring"/>
    <s v="Card"/>
    <n v="5"/>
    <x v="24"/>
    <n v="9"/>
    <n v="148.30555555555557"/>
    <n v="41.52555555555557"/>
    <x v="0"/>
    <n v="1"/>
  </r>
  <r>
    <n v="2252"/>
    <n v="33"/>
    <s v="Female"/>
    <s v="Accessories"/>
    <s v="Wallet"/>
    <n v="21.35"/>
    <s v="Winter"/>
    <s v="Cash on Delivery"/>
    <n v="3.9"/>
    <x v="1"/>
    <n v="4"/>
    <n v="24.540229885057474"/>
    <n v="3.1902298850574731"/>
    <x v="5"/>
    <n v="1"/>
  </r>
  <r>
    <n v="2253"/>
    <n v="69"/>
    <s v="Female"/>
    <s v="Womens Clothing"/>
    <s v="Top"/>
    <n v="59.4"/>
    <s v="Spring"/>
    <s v="Card"/>
    <n v="3.6"/>
    <x v="14"/>
    <n v="6"/>
    <n v="71.566265060240966"/>
    <n v="12.166265060240967"/>
    <x v="2"/>
    <n v="1"/>
  </r>
  <r>
    <n v="2254"/>
    <n v="60"/>
    <s v="Male"/>
    <s v="Sports"/>
    <s v="Dumbbells"/>
    <n v="196.16"/>
    <s v="Autumn"/>
    <s v="Card"/>
    <n v="1.9"/>
    <x v="17"/>
    <n v="2"/>
    <n v="204.33333333333334"/>
    <n v="8.1733333333333462"/>
    <x v="0"/>
    <n v="1"/>
  </r>
  <r>
    <n v="2255"/>
    <n v="34"/>
    <s v="Female"/>
    <s v="Home"/>
    <s v="Kitchen Set"/>
    <n v="228.6"/>
    <s v="Summer"/>
    <s v="Card"/>
    <n v="3.6"/>
    <x v="10"/>
    <n v="6"/>
    <n v="293.07692307692304"/>
    <n v="64.476923076923043"/>
    <x v="5"/>
    <n v="1"/>
  </r>
  <r>
    <n v="2256"/>
    <n v="62"/>
    <s v="Female"/>
    <s v="Beauty"/>
    <s v="Makeup Set"/>
    <n v="146.15"/>
    <s v="Autumn"/>
    <s v="Card"/>
    <n v="2.4"/>
    <x v="4"/>
    <n v="7"/>
    <n v="169.94186046511629"/>
    <n v="23.791860465116287"/>
    <x v="0"/>
    <n v="1"/>
  </r>
  <r>
    <n v="2257"/>
    <n v="44"/>
    <s v="Female"/>
    <s v="Beauty"/>
    <s v="Perfume"/>
    <n v="118.63"/>
    <s v="Spring"/>
    <s v="Card"/>
    <n v="3.1"/>
    <x v="5"/>
    <n v="4"/>
    <n v="128.94565217391303"/>
    <n v="10.315652173913037"/>
    <x v="1"/>
    <n v="1"/>
  </r>
  <r>
    <n v="2258"/>
    <n v="21"/>
    <s v="Male"/>
    <s v="Electronics"/>
    <s v="Mobile Phone"/>
    <n v="1725.52"/>
    <s v="Spring"/>
    <s v="Card"/>
    <n v="4.3"/>
    <x v="7"/>
    <n v="5"/>
    <n v="1917.2444444444443"/>
    <n v="191.72444444444432"/>
    <x v="3"/>
    <n v="1"/>
  </r>
  <r>
    <n v="2259"/>
    <n v="42"/>
    <s v="Male"/>
    <s v="Footwear"/>
    <s v="Sandals"/>
    <n v="217.85"/>
    <s v="Autumn"/>
    <s v="Card"/>
    <n v="4"/>
    <x v="11"/>
    <n v="8"/>
    <n v="294.39189189189187"/>
    <n v="76.541891891891879"/>
    <x v="1"/>
    <n v="1"/>
  </r>
  <r>
    <n v="2260"/>
    <n v="39"/>
    <s v="Male"/>
    <s v="Footwear"/>
    <s v="Formal Shoes"/>
    <n v="106.65"/>
    <s v="Winter"/>
    <s v="Card"/>
    <n v="4.4000000000000004"/>
    <x v="6"/>
    <n v="3"/>
    <n v="126.96428571428572"/>
    <n v="20.314285714285717"/>
    <x v="1"/>
    <n v="1"/>
  </r>
  <r>
    <n v="2261"/>
    <n v="44"/>
    <s v="Female"/>
    <s v="Sports"/>
    <s v="Dumbbells"/>
    <n v="108.39"/>
    <s v="Winter"/>
    <s v="Card"/>
    <n v="3.3"/>
    <x v="22"/>
    <n v="9"/>
    <n v="140.76623376623377"/>
    <n v="32.376233766233767"/>
    <x v="1"/>
    <n v="1"/>
  </r>
  <r>
    <n v="2262"/>
    <n v="20"/>
    <s v="Male"/>
    <s v="Mens Clothing"/>
    <s v="T-Shirt"/>
    <n v="167.57"/>
    <s v="Winter"/>
    <s v="Card"/>
    <n v="3.5"/>
    <x v="2"/>
    <n v="3"/>
    <n v="188.28089887640448"/>
    <n v="20.710898876404485"/>
    <x v="3"/>
    <n v="1"/>
  </r>
  <r>
    <n v="2263"/>
    <n v="57"/>
    <s v="Female"/>
    <s v="Beauty"/>
    <s v="Skincare Kit"/>
    <n v="102.35"/>
    <s v="Autumn"/>
    <s v="Card"/>
    <n v="4"/>
    <x v="7"/>
    <n v="5"/>
    <n v="113.72222222222221"/>
    <n v="11.37222222222222"/>
    <x v="0"/>
    <n v="1"/>
  </r>
  <r>
    <n v="2264"/>
    <n v="44"/>
    <s v="Male"/>
    <s v="Mens Clothing"/>
    <s v="Jacket"/>
    <n v="121.98"/>
    <s v="Winter"/>
    <s v="Card"/>
    <n v="2.2000000000000002"/>
    <x v="13"/>
    <n v="2"/>
    <n v="134.04395604395603"/>
    <n v="12.063956043956026"/>
    <x v="1"/>
    <n v="1"/>
  </r>
  <r>
    <n v="2265"/>
    <n v="35"/>
    <s v="Male"/>
    <s v="Footwear"/>
    <s v="Formal Shoes"/>
    <n v="248.74"/>
    <s v="Spring"/>
    <s v="Card"/>
    <n v="2.5"/>
    <x v="4"/>
    <n v="2"/>
    <n v="289.23255813953489"/>
    <n v="40.492558139534879"/>
    <x v="5"/>
    <n v="1"/>
  </r>
  <r>
    <n v="2266"/>
    <n v="43"/>
    <s v="Female"/>
    <s v="Beauty"/>
    <s v="Perfume"/>
    <n v="73.459999999999994"/>
    <s v="Winter"/>
    <s v="Cash on Delivery"/>
    <n v="3.6"/>
    <x v="3"/>
    <n v="5"/>
    <n v="91.824999999999989"/>
    <n v="18.364999999999995"/>
    <x v="1"/>
    <n v="1"/>
  </r>
  <r>
    <n v="2267"/>
    <n v="29"/>
    <s v="Male"/>
    <s v="Electronics"/>
    <s v="Laptop"/>
    <n v="1145.69"/>
    <s v="Winter"/>
    <s v="Card"/>
    <n v="3.3"/>
    <x v="0"/>
    <n v="4"/>
    <n v="1397.1829268292684"/>
    <n v="251.4929268292683"/>
    <x v="5"/>
    <n v="1"/>
  </r>
  <r>
    <n v="2268"/>
    <n v="21"/>
    <s v="Female"/>
    <s v="Groceries"/>
    <s v="Cooking Oil"/>
    <n v="52.42"/>
    <s v="Summer"/>
    <s v="Card"/>
    <n v="3.7"/>
    <x v="16"/>
    <n v="3"/>
    <n v="55.765957446808514"/>
    <n v="3.3459574468085123"/>
    <x v="3"/>
    <n v="1"/>
  </r>
  <r>
    <n v="2269"/>
    <n v="50"/>
    <s v="Male"/>
    <s v="Mens Clothing"/>
    <s v="Shirt"/>
    <n v="173.36"/>
    <s v="Winter"/>
    <s v="Card"/>
    <n v="3.5"/>
    <x v="17"/>
    <n v="2"/>
    <n v="180.58333333333334"/>
    <n v="7.2233333333333292"/>
    <x v="4"/>
    <n v="1"/>
  </r>
  <r>
    <n v="2270"/>
    <n v="51"/>
    <s v="Male"/>
    <s v="Electronics"/>
    <s v="Smart Watch"/>
    <n v="1611.83"/>
    <s v="Spring"/>
    <s v="Card"/>
    <n v="2.6"/>
    <x v="18"/>
    <n v="7"/>
    <n v="2120.8289473684208"/>
    <n v="508.99894736842089"/>
    <x v="4"/>
    <n v="1"/>
  </r>
  <r>
    <n v="2271"/>
    <n v="49"/>
    <s v="Female"/>
    <s v="Womens Clothing"/>
    <s v="Dress"/>
    <n v="189.27"/>
    <s v="Summer"/>
    <s v="Card"/>
    <n v="4.0999999999999996"/>
    <x v="8"/>
    <n v="1"/>
    <n v="215.07954545454547"/>
    <n v="25.809545454545457"/>
    <x v="4"/>
    <n v="1"/>
  </r>
  <r>
    <n v="2272"/>
    <n v="38"/>
    <s v="Female"/>
    <s v="Groceries"/>
    <s v="Cooking Oil"/>
    <n v="36.090000000000003"/>
    <s v="Spring"/>
    <s v="Cash on Delivery"/>
    <n v="3.3"/>
    <x v="23"/>
    <n v="1"/>
    <n v="38.806451612903231"/>
    <n v="2.7164516129032279"/>
    <x v="1"/>
    <n v="1"/>
  </r>
  <r>
    <n v="2273"/>
    <n v="33"/>
    <s v="Female"/>
    <s v="Accessories"/>
    <s v="Wallet"/>
    <n v="107.15"/>
    <s v="Spring"/>
    <s v="Card"/>
    <n v="4.5"/>
    <x v="14"/>
    <n v="6"/>
    <n v="129.09638554216869"/>
    <n v="21.946385542168684"/>
    <x v="5"/>
    <n v="1"/>
  </r>
  <r>
    <n v="2274"/>
    <n v="59"/>
    <s v="Female"/>
    <s v="Accessories"/>
    <s v="Sunglasses"/>
    <n v="23.3"/>
    <s v="Spring"/>
    <s v="Card"/>
    <n v="3.7"/>
    <x v="8"/>
    <n v="6"/>
    <n v="26.477272727272727"/>
    <n v="3.1772727272727259"/>
    <x v="0"/>
    <n v="1"/>
  </r>
  <r>
    <n v="2275"/>
    <n v="51"/>
    <s v="Female"/>
    <s v="Groceries"/>
    <s v="Beverages"/>
    <n v="37.909999999999997"/>
    <s v="Autumn"/>
    <s v="Cash on Delivery"/>
    <n v="4.2"/>
    <x v="3"/>
    <n v="5"/>
    <n v="47.387499999999996"/>
    <n v="9.4774999999999991"/>
    <x v="4"/>
    <n v="1"/>
  </r>
  <r>
    <n v="2276"/>
    <n v="21"/>
    <s v="Female"/>
    <s v="Groceries"/>
    <s v="Beverages"/>
    <n v="14.56"/>
    <s v="Autumn"/>
    <s v="Cash on Delivery"/>
    <n v="4.2"/>
    <x v="2"/>
    <n v="3"/>
    <n v="16.359550561797754"/>
    <n v="1.7995505617977532"/>
    <x v="3"/>
    <n v="1"/>
  </r>
  <r>
    <n v="2277"/>
    <n v="25"/>
    <s v="Female"/>
    <s v="Beauty"/>
    <s v="Makeup Set"/>
    <n v="95.41"/>
    <s v="Autumn"/>
    <s v="Cash on Delivery"/>
    <n v="2.7"/>
    <x v="0"/>
    <n v="4"/>
    <n v="116.35365853658536"/>
    <n v="20.94365853658536"/>
    <x v="3"/>
    <n v="1"/>
  </r>
  <r>
    <n v="2278"/>
    <n v="35"/>
    <s v="Male"/>
    <s v="Electronics"/>
    <s v="Smart Watch"/>
    <n v="549.72"/>
    <s v="Autumn"/>
    <s v="Card"/>
    <n v="2.4"/>
    <x v="0"/>
    <n v="4"/>
    <n v="670.39024390243901"/>
    <n v="120.67024390243898"/>
    <x v="5"/>
    <n v="1"/>
  </r>
  <r>
    <n v="2279"/>
    <n v="21"/>
    <s v="Male"/>
    <s v="Electronics"/>
    <s v="Mobile Phone"/>
    <n v="2756.53"/>
    <s v="Winter"/>
    <s v="Card"/>
    <n v="3.4"/>
    <x v="17"/>
    <n v="2"/>
    <n v="2871.385416666667"/>
    <n v="114.85541666666677"/>
    <x v="3"/>
    <n v="1"/>
  </r>
  <r>
    <n v="2280"/>
    <n v="44"/>
    <s v="Female"/>
    <s v="Footwear"/>
    <s v="Sandals"/>
    <n v="189.21"/>
    <s v="Summer"/>
    <s v="Card"/>
    <n v="5"/>
    <x v="8"/>
    <n v="6"/>
    <n v="215.01136363636365"/>
    <n v="25.801363636363646"/>
    <x v="1"/>
    <n v="1"/>
  </r>
  <r>
    <n v="2281"/>
    <n v="47"/>
    <s v="Female"/>
    <s v="Womens Clothing"/>
    <s v="Top"/>
    <n v="110.42"/>
    <s v="Autumn"/>
    <s v="Card"/>
    <n v="3.7"/>
    <x v="19"/>
    <n v="5"/>
    <n v="129.90588235294118"/>
    <n v="19.485882352941175"/>
    <x v="4"/>
    <n v="1"/>
  </r>
  <r>
    <n v="2282"/>
    <n v="24"/>
    <s v="Male"/>
    <s v="Electronics"/>
    <s v="Mobile Phone"/>
    <n v="1152.0999999999999"/>
    <s v="Summer"/>
    <s v="Card"/>
    <n v="3.8"/>
    <x v="14"/>
    <n v="6"/>
    <n v="1388.0722891566265"/>
    <n v="235.97228915662663"/>
    <x v="3"/>
    <n v="1"/>
  </r>
  <r>
    <n v="2283"/>
    <n v="56"/>
    <s v="Male"/>
    <s v="Sports"/>
    <s v="Dumbbells"/>
    <n v="114.65"/>
    <s v="Spring"/>
    <s v="Card"/>
    <n v="4"/>
    <x v="3"/>
    <n v="5"/>
    <n v="143.3125"/>
    <n v="28.662499999999994"/>
    <x v="0"/>
    <n v="1"/>
  </r>
  <r>
    <n v="2284"/>
    <n v="42"/>
    <s v="Female"/>
    <s v="Sports"/>
    <s v="Yoga Mat"/>
    <n v="41.07"/>
    <s v="Spring"/>
    <s v="Cash on Delivery"/>
    <n v="4.0999999999999996"/>
    <x v="8"/>
    <n v="6"/>
    <n v="46.670454545454547"/>
    <n v="5.6004545454545465"/>
    <x v="1"/>
    <n v="1"/>
  </r>
  <r>
    <n v="2285"/>
    <n v="61"/>
    <s v="Male"/>
    <s v="Mens Clothing"/>
    <s v="Shirt"/>
    <n v="74.099999999999994"/>
    <s v="Autumn"/>
    <s v="Card"/>
    <n v="3.9"/>
    <x v="12"/>
    <n v="7"/>
    <n v="91.481481481481467"/>
    <n v="17.381481481481472"/>
    <x v="0"/>
    <n v="1"/>
  </r>
  <r>
    <n v="2286"/>
    <n v="53"/>
    <s v="Female"/>
    <s v="Home"/>
    <s v="Kitchen Set"/>
    <n v="168.46"/>
    <s v="Autumn"/>
    <s v="Card"/>
    <n v="3"/>
    <x v="21"/>
    <n v="8"/>
    <n v="213.24050632911391"/>
    <n v="44.780506329113905"/>
    <x v="4"/>
    <n v="1"/>
  </r>
  <r>
    <n v="2287"/>
    <n v="39"/>
    <s v="Male"/>
    <s v="Electronics"/>
    <s v="Headphones"/>
    <n v="1717.63"/>
    <s v="Autumn"/>
    <s v="Card"/>
    <n v="4.3"/>
    <x v="0"/>
    <n v="4"/>
    <n v="2094.6707317073169"/>
    <n v="377.04073170731681"/>
    <x v="1"/>
    <n v="1"/>
  </r>
  <r>
    <n v="2288"/>
    <n v="58"/>
    <s v="Female"/>
    <s v="Accessories"/>
    <s v="Wallet"/>
    <n v="74.28"/>
    <s v="Winter"/>
    <s v="Cash on Delivery"/>
    <n v="5"/>
    <x v="0"/>
    <n v="4"/>
    <n v="90.58536585365853"/>
    <n v="16.305365853658529"/>
    <x v="0"/>
    <n v="1"/>
  </r>
  <r>
    <n v="2289"/>
    <n v="70"/>
    <s v="Female"/>
    <s v="Groceries"/>
    <s v="Beverages"/>
    <n v="52.34"/>
    <s v="Winter"/>
    <s v="Card"/>
    <n v="3.8"/>
    <x v="0"/>
    <n v="4"/>
    <n v="63.829268292682926"/>
    <n v="11.489268292682922"/>
    <x v="2"/>
    <n v="1"/>
  </r>
  <r>
    <n v="2290"/>
    <n v="62"/>
    <s v="Male"/>
    <s v="Mens Clothing"/>
    <s v="Shirt"/>
    <n v="174.7"/>
    <s v="Winter"/>
    <s v="Card"/>
    <n v="4.2"/>
    <x v="7"/>
    <n v="5"/>
    <n v="194.11111111111109"/>
    <n v="19.411111111111097"/>
    <x v="0"/>
    <n v="1"/>
  </r>
  <r>
    <n v="2291"/>
    <n v="45"/>
    <s v="Male"/>
    <s v="Sports"/>
    <s v="Football"/>
    <n v="169.77"/>
    <s v="Autumn"/>
    <s v="Card"/>
    <n v="4.5999999999999996"/>
    <x v="4"/>
    <n v="7"/>
    <n v="197.40697674418607"/>
    <n v="27.636976744186057"/>
    <x v="1"/>
    <n v="1"/>
  </r>
  <r>
    <n v="2292"/>
    <n v="60"/>
    <s v="Male"/>
    <s v="Footwear"/>
    <s v="Sandals"/>
    <n v="70.959999999999994"/>
    <s v="Spring"/>
    <s v="Card"/>
    <n v="3.6"/>
    <x v="3"/>
    <n v="5"/>
    <n v="88.699999999999989"/>
    <n v="17.739999999999995"/>
    <x v="0"/>
    <n v="1"/>
  </r>
  <r>
    <n v="2293"/>
    <n v="68"/>
    <s v="Male"/>
    <s v="Sports"/>
    <s v="Football"/>
    <n v="177.66"/>
    <s v="Summer"/>
    <s v="Card"/>
    <n v="4.7"/>
    <x v="10"/>
    <n v="6"/>
    <n v="227.76923076923075"/>
    <n v="50.109230769230749"/>
    <x v="2"/>
    <n v="1"/>
  </r>
  <r>
    <n v="2294"/>
    <n v="58"/>
    <s v="Female"/>
    <s v="Accessories"/>
    <s v="Handbag"/>
    <n v="114.19"/>
    <s v="Spring"/>
    <s v="Card"/>
    <n v="1.8"/>
    <x v="7"/>
    <n v="5"/>
    <n v="126.87777777777777"/>
    <n v="12.687777777777768"/>
    <x v="0"/>
    <n v="1"/>
  </r>
  <r>
    <n v="2295"/>
    <n v="66"/>
    <s v="Male"/>
    <s v="Sports"/>
    <s v="Yoga Mat"/>
    <n v="242.46"/>
    <s v="Spring"/>
    <s v="Card"/>
    <n v="3.9"/>
    <x v="8"/>
    <n v="6"/>
    <n v="275.52272727272725"/>
    <n v="33.062727272727244"/>
    <x v="2"/>
    <n v="1"/>
  </r>
  <r>
    <n v="2296"/>
    <n v="51"/>
    <s v="Female"/>
    <s v="Accessories"/>
    <s v="Wallet"/>
    <n v="140.91999999999999"/>
    <s v="Spring"/>
    <s v="Card"/>
    <n v="2.7"/>
    <x v="24"/>
    <n v="9"/>
    <n v="195.7222222222222"/>
    <n v="54.802222222222213"/>
    <x v="4"/>
    <n v="1"/>
  </r>
  <r>
    <n v="2297"/>
    <n v="55"/>
    <s v="Female"/>
    <s v="Footwear"/>
    <s v="Sneakers"/>
    <n v="81.99"/>
    <s v="Summer"/>
    <s v="Cash on Delivery"/>
    <n v="4.7"/>
    <x v="0"/>
    <n v="9"/>
    <n v="99.987804878048763"/>
    <n v="17.997804878048768"/>
    <x v="4"/>
    <n v="1"/>
  </r>
  <r>
    <n v="2298"/>
    <n v="50"/>
    <s v="Male"/>
    <s v="Footwear"/>
    <s v="Sandals"/>
    <n v="72.37"/>
    <s v="Autumn"/>
    <s v="Card"/>
    <n v="4.2"/>
    <x v="8"/>
    <n v="6"/>
    <n v="82.238636363636374"/>
    <n v="9.8686363636363694"/>
    <x v="4"/>
    <n v="1"/>
  </r>
  <r>
    <n v="2299"/>
    <n v="36"/>
    <s v="Female"/>
    <s v="Footwear"/>
    <s v="Sandals"/>
    <n v="174.35"/>
    <s v="Autumn"/>
    <s v="Card"/>
    <n v="4.2"/>
    <x v="6"/>
    <n v="3"/>
    <n v="207.55952380952382"/>
    <n v="33.20952380952383"/>
    <x v="1"/>
    <n v="1"/>
  </r>
  <r>
    <n v="2300"/>
    <n v="31"/>
    <s v="Male"/>
    <s v="Mens Clothing"/>
    <s v="Jeans"/>
    <n v="78.33"/>
    <s v="Summer"/>
    <s v="Cash on Delivery"/>
    <n v="3.5"/>
    <x v="0"/>
    <n v="9"/>
    <n v="95.524390243902431"/>
    <n v="17.194390243902433"/>
    <x v="5"/>
    <n v="1"/>
  </r>
  <r>
    <n v="2301"/>
    <n v="44"/>
    <s v="Female"/>
    <s v="Beauty"/>
    <s v="Perfume"/>
    <n v="39.78"/>
    <s v="Summer"/>
    <s v="Cash on Delivery"/>
    <n v="3.2"/>
    <x v="4"/>
    <n v="2"/>
    <n v="46.255813953488371"/>
    <n v="6.4758139534883696"/>
    <x v="1"/>
    <n v="1"/>
  </r>
  <r>
    <n v="2302"/>
    <n v="48"/>
    <s v="Male"/>
    <s v="Mens Clothing"/>
    <s v="Shirt"/>
    <n v="185.38"/>
    <s v="Winter"/>
    <s v="Card"/>
    <n v="4"/>
    <x v="21"/>
    <n v="8"/>
    <n v="234.65822784810126"/>
    <n v="49.278227848101267"/>
    <x v="4"/>
    <n v="1"/>
  </r>
  <r>
    <n v="2303"/>
    <n v="56"/>
    <s v="Male"/>
    <s v="Electronics"/>
    <s v="Laptop"/>
    <n v="1705.8"/>
    <s v="Winter"/>
    <s v="Card"/>
    <n v="4.4000000000000004"/>
    <x v="8"/>
    <n v="6"/>
    <n v="1938.4090909090908"/>
    <n v="232.60909090909081"/>
    <x v="0"/>
    <n v="1"/>
  </r>
  <r>
    <n v="2304"/>
    <n v="64"/>
    <s v="Female"/>
    <s v="Home"/>
    <s v="Curtains"/>
    <n v="169.94"/>
    <s v="Winter"/>
    <s v="Card"/>
    <n v="4.5"/>
    <x v="2"/>
    <n v="3"/>
    <n v="190.9438202247191"/>
    <n v="21.003820224719107"/>
    <x v="0"/>
    <n v="1"/>
  </r>
  <r>
    <n v="2305"/>
    <n v="61"/>
    <s v="Female"/>
    <s v="Footwear"/>
    <s v="Formal Shoes"/>
    <n v="50"/>
    <s v="Summer"/>
    <s v="Cash on Delivery"/>
    <n v="3.8"/>
    <x v="19"/>
    <n v="5"/>
    <n v="58.82352941176471"/>
    <n v="8.8235294117647101"/>
    <x v="0"/>
    <n v="1"/>
  </r>
  <r>
    <n v="2306"/>
    <n v="27"/>
    <s v="Female"/>
    <s v="Womens Clothing"/>
    <s v="Jeans"/>
    <n v="60.07"/>
    <s v="Autumn"/>
    <s v="Cash on Delivery"/>
    <n v="4.2"/>
    <x v="1"/>
    <n v="4"/>
    <n v="69.045977011494259"/>
    <n v="8.9759770114942583"/>
    <x v="5"/>
    <n v="1"/>
  </r>
  <r>
    <n v="2307"/>
    <n v="27"/>
    <s v="Female"/>
    <s v="Accessories"/>
    <s v="Sunglasses"/>
    <n v="20.49"/>
    <s v="Spring"/>
    <s v="Card"/>
    <n v="4.7"/>
    <x v="12"/>
    <n v="7"/>
    <n v="25.296296296296294"/>
    <n v="4.8062962962962956"/>
    <x v="5"/>
    <n v="1"/>
  </r>
  <r>
    <n v="2308"/>
    <n v="50"/>
    <s v="Female"/>
    <s v="Accessories"/>
    <s v="Wallet"/>
    <n v="140.16"/>
    <s v="Summer"/>
    <s v="Card"/>
    <n v="4.5"/>
    <x v="13"/>
    <n v="2"/>
    <n v="154.02197802197801"/>
    <n v="13.861978021978018"/>
    <x v="4"/>
    <n v="1"/>
  </r>
  <r>
    <n v="2309"/>
    <n v="21"/>
    <s v="Female"/>
    <s v="Beauty"/>
    <s v="Makeup Set"/>
    <n v="108.17"/>
    <s v="Autumn"/>
    <s v="Card"/>
    <n v="4.5"/>
    <x v="8"/>
    <n v="6"/>
    <n v="122.92045454545455"/>
    <n v="14.750454545454545"/>
    <x v="3"/>
    <n v="1"/>
  </r>
  <r>
    <n v="2310"/>
    <n v="65"/>
    <s v="Male"/>
    <s v="Sports"/>
    <s v="Football"/>
    <n v="153.65"/>
    <s v="Autumn"/>
    <s v="Card"/>
    <n v="2.9"/>
    <x v="22"/>
    <n v="9"/>
    <n v="199.54545454545456"/>
    <n v="45.895454545454555"/>
    <x v="0"/>
    <n v="1"/>
  </r>
  <r>
    <n v="2311"/>
    <n v="68"/>
    <s v="Male"/>
    <s v="Footwear"/>
    <s v="Sneakers"/>
    <n v="224.62"/>
    <s v="Summer"/>
    <s v="Card"/>
    <n v="3.9"/>
    <x v="17"/>
    <n v="2"/>
    <n v="233.97916666666669"/>
    <n v="9.3591666666666811"/>
    <x v="2"/>
    <n v="1"/>
  </r>
  <r>
    <n v="2312"/>
    <n v="45"/>
    <s v="Male"/>
    <s v="Sports"/>
    <s v="Football"/>
    <n v="111.02"/>
    <s v="Winter"/>
    <s v="Card"/>
    <n v="3.4"/>
    <x v="7"/>
    <n v="5"/>
    <n v="123.35555555555555"/>
    <n v="12.335555555555558"/>
    <x v="1"/>
    <n v="1"/>
  </r>
  <r>
    <n v="2313"/>
    <n v="34"/>
    <s v="Male"/>
    <s v="Mens Clothing"/>
    <s v="T-Shirt"/>
    <n v="149.08000000000001"/>
    <s v="Summer"/>
    <s v="Card"/>
    <n v="3.8"/>
    <x v="3"/>
    <n v="5"/>
    <n v="186.35"/>
    <n v="37.269999999999982"/>
    <x v="5"/>
    <n v="1"/>
  </r>
  <r>
    <n v="2314"/>
    <n v="25"/>
    <s v="Male"/>
    <s v="Groceries"/>
    <s v="Snacks"/>
    <n v="13.2"/>
    <s v="Autumn"/>
    <s v="Card"/>
    <n v="3.9"/>
    <x v="11"/>
    <n v="8"/>
    <n v="17.837837837837839"/>
    <n v="4.6378378378378393"/>
    <x v="3"/>
    <n v="1"/>
  </r>
  <r>
    <n v="2315"/>
    <n v="37"/>
    <s v="Male"/>
    <s v="Home"/>
    <s v="Lamp"/>
    <n v="64.239999999999995"/>
    <s v="Summer"/>
    <s v="Card"/>
    <n v="3.6"/>
    <x v="17"/>
    <n v="2"/>
    <n v="66.916666666666657"/>
    <n v="2.6766666666666623"/>
    <x v="1"/>
    <n v="1"/>
  </r>
  <r>
    <n v="2316"/>
    <n v="41"/>
    <s v="Male"/>
    <s v="Sports"/>
    <s v="Yoga Mat"/>
    <n v="124.84"/>
    <s v="Autumn"/>
    <s v="Card"/>
    <n v="3.9"/>
    <x v="10"/>
    <n v="6"/>
    <n v="160.05128205128204"/>
    <n v="35.211282051282041"/>
    <x v="1"/>
    <n v="1"/>
  </r>
  <r>
    <n v="2317"/>
    <n v="68"/>
    <s v="Male"/>
    <s v="Footwear"/>
    <s v="Sandals"/>
    <n v="102.27"/>
    <s v="Summer"/>
    <s v="Card"/>
    <n v="3.9"/>
    <x v="8"/>
    <n v="6"/>
    <n v="116.21590909090908"/>
    <n v="13.945909090909083"/>
    <x v="2"/>
    <n v="1"/>
  </r>
  <r>
    <n v="2318"/>
    <n v="46"/>
    <s v="Female"/>
    <s v="Home"/>
    <s v="Curtains"/>
    <n v="186.17"/>
    <s v="Spring"/>
    <s v="Card"/>
    <n v="3.7"/>
    <x v="10"/>
    <n v="6"/>
    <n v="238.67948717948715"/>
    <n v="52.509487179487166"/>
    <x v="4"/>
    <n v="1"/>
  </r>
  <r>
    <n v="2319"/>
    <n v="39"/>
    <s v="Female"/>
    <s v="Womens Clothing"/>
    <s v="Top"/>
    <n v="143.51"/>
    <s v="Summer"/>
    <s v="Card"/>
    <n v="3.7"/>
    <x v="10"/>
    <n v="6"/>
    <n v="183.98717948717947"/>
    <n v="40.477179487179484"/>
    <x v="1"/>
    <n v="1"/>
  </r>
  <r>
    <n v="2320"/>
    <n v="53"/>
    <s v="Male"/>
    <s v="Footwear"/>
    <s v="Sneakers"/>
    <n v="97.72"/>
    <s v="Autumn"/>
    <s v="Card"/>
    <n v="3.3"/>
    <x v="18"/>
    <n v="7"/>
    <n v="128.57894736842104"/>
    <n v="30.858947368421042"/>
    <x v="4"/>
    <n v="1"/>
  </r>
  <r>
    <n v="2321"/>
    <n v="47"/>
    <s v="Female"/>
    <s v="Sports"/>
    <s v="Football"/>
    <n v="212.99"/>
    <s v="Autumn"/>
    <s v="Card"/>
    <n v="4.0999999999999996"/>
    <x v="19"/>
    <n v="5"/>
    <n v="250.57647058823531"/>
    <n v="37.586470588235301"/>
    <x v="4"/>
    <n v="1"/>
  </r>
  <r>
    <n v="2322"/>
    <n v="70"/>
    <s v="Female"/>
    <s v="Accessories"/>
    <s v="Sunglasses"/>
    <n v="149.53"/>
    <s v="Summer"/>
    <s v="Card"/>
    <n v="3.8"/>
    <x v="5"/>
    <n v="4"/>
    <n v="162.53260869565216"/>
    <n v="13.002608695652157"/>
    <x v="2"/>
    <n v="1"/>
  </r>
  <r>
    <n v="2323"/>
    <n v="27"/>
    <s v="Male"/>
    <s v="Footwear"/>
    <s v="Sneakers"/>
    <n v="104.13"/>
    <s v="Winter"/>
    <s v="Card"/>
    <n v="3"/>
    <x v="12"/>
    <n v="7"/>
    <n v="128.55555555555554"/>
    <n v="24.425555555555547"/>
    <x v="5"/>
    <n v="1"/>
  </r>
  <r>
    <n v="2324"/>
    <n v="66"/>
    <s v="Male"/>
    <s v="Footwear"/>
    <s v="Sneakers"/>
    <n v="86.86"/>
    <s v="Spring"/>
    <s v="Cash on Delivery"/>
    <n v="2.6"/>
    <x v="8"/>
    <n v="6"/>
    <n v="98.704545454545453"/>
    <n v="11.844545454545454"/>
    <x v="2"/>
    <n v="1"/>
  </r>
  <r>
    <n v="2325"/>
    <n v="50"/>
    <s v="Male"/>
    <s v="Footwear"/>
    <s v="Sneakers"/>
    <n v="155.91999999999999"/>
    <s v="Winter"/>
    <s v="Card"/>
    <n v="2.6"/>
    <x v="16"/>
    <n v="3"/>
    <n v="165.87234042553192"/>
    <n v="9.9523404255319292"/>
    <x v="4"/>
    <n v="1"/>
  </r>
  <r>
    <n v="2326"/>
    <n v="46"/>
    <s v="Female"/>
    <s v="Beauty"/>
    <s v="Skincare Kit"/>
    <n v="42.37"/>
    <s v="Summer"/>
    <s v="Card"/>
    <n v="3.3"/>
    <x v="2"/>
    <n v="3"/>
    <n v="47.606741573033702"/>
    <n v="5.2367415730337044"/>
    <x v="4"/>
    <n v="1"/>
  </r>
  <r>
    <n v="2327"/>
    <n v="34"/>
    <s v="Male"/>
    <s v="Mens Clothing"/>
    <s v="T-Shirt"/>
    <n v="55.77"/>
    <s v="Autumn"/>
    <s v="Card"/>
    <n v="2.4"/>
    <x v="7"/>
    <n v="5"/>
    <n v="61.966666666666669"/>
    <n v="6.1966666666666654"/>
    <x v="5"/>
    <n v="1"/>
  </r>
  <r>
    <n v="2328"/>
    <n v="35"/>
    <s v="Female"/>
    <s v="Footwear"/>
    <s v="Sandals"/>
    <n v="202.39"/>
    <s v="Winter"/>
    <s v="Card"/>
    <n v="2.5"/>
    <x v="2"/>
    <n v="3"/>
    <n v="227.40449438202245"/>
    <n v="25.014494382022463"/>
    <x v="5"/>
    <n v="1"/>
  </r>
  <r>
    <n v="2329"/>
    <n v="30"/>
    <s v="Female"/>
    <s v="Beauty"/>
    <s v="Makeup Set"/>
    <n v="146.26"/>
    <s v="Winter"/>
    <s v="Card"/>
    <n v="3.9"/>
    <x v="23"/>
    <n v="1"/>
    <n v="157.26881720430109"/>
    <n v="11.008817204301096"/>
    <x v="5"/>
    <n v="1"/>
  </r>
  <r>
    <n v="2330"/>
    <n v="64"/>
    <s v="Male"/>
    <s v="Electronics"/>
    <s v="Headphones"/>
    <n v="1531.63"/>
    <s v="Spring"/>
    <s v="Card"/>
    <n v="4.0999999999999996"/>
    <x v="24"/>
    <n v="9"/>
    <n v="2127.2638888888891"/>
    <n v="595.63388888888903"/>
    <x v="0"/>
    <n v="1"/>
  </r>
  <r>
    <n v="2331"/>
    <n v="42"/>
    <s v="Male"/>
    <s v="Footwear"/>
    <s v="Sandals"/>
    <n v="53.4"/>
    <s v="Summer"/>
    <s v="Cash on Delivery"/>
    <n v="4.4000000000000004"/>
    <x v="6"/>
    <n v="3"/>
    <n v="63.571428571428569"/>
    <n v="10.171428571428571"/>
    <x v="1"/>
    <n v="1"/>
  </r>
  <r>
    <n v="2332"/>
    <n v="70"/>
    <s v="Male"/>
    <s v="Home"/>
    <s v="Curtains"/>
    <n v="255.78"/>
    <s v="Autumn"/>
    <s v="Card"/>
    <n v="2.9"/>
    <x v="3"/>
    <n v="5"/>
    <n v="319.72499999999997"/>
    <n v="63.944999999999965"/>
    <x v="2"/>
    <n v="1"/>
  </r>
  <r>
    <n v="2333"/>
    <n v="48"/>
    <s v="Female"/>
    <s v="Womens Clothing"/>
    <s v="Skirt"/>
    <n v="171.19"/>
    <s v="Winter"/>
    <s v="Card"/>
    <n v="3.8"/>
    <x v="4"/>
    <n v="7"/>
    <n v="199.05813953488371"/>
    <n v="27.86813953488371"/>
    <x v="4"/>
    <n v="1"/>
  </r>
  <r>
    <n v="2334"/>
    <n v="43"/>
    <s v="Female"/>
    <s v="Accessories"/>
    <s v="Handbag"/>
    <n v="38.450000000000003"/>
    <s v="Winter"/>
    <s v="Card"/>
    <n v="4.2"/>
    <x v="12"/>
    <n v="7"/>
    <n v="47.46913580246914"/>
    <n v="9.0191358024691368"/>
    <x v="1"/>
    <n v="1"/>
  </r>
  <r>
    <n v="2335"/>
    <n v="68"/>
    <s v="Male"/>
    <s v="Footwear"/>
    <s v="Formal Shoes"/>
    <n v="117.49"/>
    <s v="Autumn"/>
    <s v="Card"/>
    <n v="4.3"/>
    <x v="12"/>
    <n v="7"/>
    <n v="145.04938271604937"/>
    <n v="27.55938271604937"/>
    <x v="2"/>
    <n v="1"/>
  </r>
  <r>
    <n v="2336"/>
    <n v="64"/>
    <s v="Male"/>
    <s v="Groceries"/>
    <s v="Cooking Oil"/>
    <n v="8.3699999999999992"/>
    <s v="Summer"/>
    <s v="Cash on Delivery"/>
    <n v="4.4000000000000004"/>
    <x v="10"/>
    <n v="11"/>
    <n v="10.73076923076923"/>
    <n v="2.3607692307692307"/>
    <x v="0"/>
    <n v="1"/>
  </r>
  <r>
    <n v="2337"/>
    <n v="45"/>
    <s v="Male"/>
    <s v="Mens Clothing"/>
    <s v="Shirt"/>
    <n v="157.65"/>
    <s v="Winter"/>
    <s v="Card"/>
    <n v="2.7"/>
    <x v="19"/>
    <n v="5"/>
    <n v="185.47058823529412"/>
    <n v="27.82058823529411"/>
    <x v="1"/>
    <n v="1"/>
  </r>
  <r>
    <n v="2338"/>
    <n v="37"/>
    <s v="Female"/>
    <s v="Accessories"/>
    <s v="Sunglasses"/>
    <n v="172.44"/>
    <s v="Summer"/>
    <s v="Card"/>
    <n v="3.9"/>
    <x v="0"/>
    <n v="9"/>
    <n v="210.29268292682926"/>
    <n v="37.85268292682926"/>
    <x v="1"/>
    <n v="1"/>
  </r>
  <r>
    <n v="2339"/>
    <n v="55"/>
    <s v="Female"/>
    <s v="Accessories"/>
    <s v="Wallet"/>
    <n v="109.99"/>
    <s v="Summer"/>
    <s v="Card"/>
    <n v="3.8"/>
    <x v="16"/>
    <n v="3"/>
    <n v="117.01063829787235"/>
    <n v="7.0206382978723525"/>
    <x v="4"/>
    <n v="1"/>
  </r>
  <r>
    <n v="2340"/>
    <n v="26"/>
    <s v="Male"/>
    <s v="Footwear"/>
    <s v="Sandals"/>
    <n v="123.73"/>
    <s v="Spring"/>
    <s v="Card"/>
    <n v="3.3"/>
    <x v="22"/>
    <n v="9"/>
    <n v="160.6883116883117"/>
    <n v="36.958311688311696"/>
    <x v="5"/>
    <n v="1"/>
  </r>
  <r>
    <n v="2341"/>
    <n v="66"/>
    <s v="Female"/>
    <s v="Beauty"/>
    <s v="Skincare Kit"/>
    <n v="102.25"/>
    <s v="Spring"/>
    <s v="Card"/>
    <n v="3.4"/>
    <x v="6"/>
    <n v="3"/>
    <n v="121.72619047619048"/>
    <n v="19.476190476190482"/>
    <x v="2"/>
    <n v="1"/>
  </r>
  <r>
    <n v="2342"/>
    <n v="49"/>
    <s v="Female"/>
    <s v="Womens Clothing"/>
    <s v="Dress"/>
    <n v="46.77"/>
    <s v="Summer"/>
    <s v="Cash on Delivery"/>
    <n v="4.4000000000000004"/>
    <x v="4"/>
    <n v="2"/>
    <n v="54.383720930232563"/>
    <n v="7.6137209302325601"/>
    <x v="4"/>
    <n v="1"/>
  </r>
  <r>
    <n v="2343"/>
    <n v="52"/>
    <s v="Male"/>
    <s v="Footwear"/>
    <s v="Sandals"/>
    <n v="107.99"/>
    <s v="Winter"/>
    <s v="Card"/>
    <n v="3.7"/>
    <x v="4"/>
    <n v="7"/>
    <n v="125.56976744186046"/>
    <n v="17.579767441860469"/>
    <x v="4"/>
    <n v="1"/>
  </r>
  <r>
    <n v="2344"/>
    <n v="57"/>
    <s v="Female"/>
    <s v="Sports"/>
    <s v="Yoga Mat"/>
    <n v="133.57"/>
    <s v="Autumn"/>
    <s v="Card"/>
    <n v="3.8"/>
    <x v="18"/>
    <n v="7"/>
    <n v="175.75"/>
    <n v="42.180000000000007"/>
    <x v="0"/>
    <n v="1"/>
  </r>
  <r>
    <n v="2345"/>
    <n v="66"/>
    <s v="Male"/>
    <s v="Mens Clothing"/>
    <s v="T-Shirt"/>
    <n v="95.73"/>
    <s v="Winter"/>
    <s v="Cash on Delivery"/>
    <n v="2.7"/>
    <x v="12"/>
    <n v="7"/>
    <n v="118.18518518518518"/>
    <n v="22.455185185185172"/>
    <x v="2"/>
    <n v="1"/>
  </r>
  <r>
    <n v="2346"/>
    <n v="55"/>
    <s v="Male"/>
    <s v="Footwear"/>
    <s v="Sandals"/>
    <n v="97.58"/>
    <s v="Spring"/>
    <s v="Card"/>
    <n v="3.5"/>
    <x v="6"/>
    <n v="3"/>
    <n v="116.16666666666667"/>
    <n v="18.586666666666673"/>
    <x v="4"/>
    <n v="1"/>
  </r>
  <r>
    <n v="2347"/>
    <n v="34"/>
    <s v="Female"/>
    <s v="Footwear"/>
    <s v="Sandals"/>
    <n v="46.66"/>
    <s v="Autumn"/>
    <s v="Card"/>
    <n v="4.0999999999999996"/>
    <x v="19"/>
    <n v="5"/>
    <n v="54.89411764705882"/>
    <n v="8.2341176470588238"/>
    <x v="5"/>
    <n v="1"/>
  </r>
  <r>
    <n v="2348"/>
    <n v="57"/>
    <s v="Female"/>
    <s v="Womens Clothing"/>
    <s v="Skirt"/>
    <n v="120.4"/>
    <s v="Spring"/>
    <s v="Card"/>
    <n v="3.5"/>
    <x v="0"/>
    <n v="4"/>
    <n v="146.82926829268291"/>
    <n v="26.429268292682906"/>
    <x v="0"/>
    <n v="1"/>
  </r>
  <r>
    <n v="2349"/>
    <n v="25"/>
    <s v="Female"/>
    <s v="Groceries"/>
    <s v="Beverages"/>
    <n v="32.25"/>
    <s v="Winter"/>
    <s v="Cash on Delivery"/>
    <n v="3.5"/>
    <x v="19"/>
    <n v="5"/>
    <n v="37.941176470588239"/>
    <n v="5.6911764705882391"/>
    <x v="3"/>
    <n v="1"/>
  </r>
  <r>
    <n v="2350"/>
    <n v="56"/>
    <s v="Female"/>
    <s v="Beauty"/>
    <s v="Makeup Set"/>
    <n v="140.52000000000001"/>
    <s v="Autumn"/>
    <s v="Card"/>
    <n v="3.7"/>
    <x v="16"/>
    <n v="3"/>
    <n v="149.48936170212767"/>
    <n v="8.9693617021276566"/>
    <x v="0"/>
    <n v="1"/>
  </r>
  <r>
    <n v="2351"/>
    <n v="63"/>
    <s v="Male"/>
    <s v="Mens Clothing"/>
    <s v="T-Shirt"/>
    <n v="56.51"/>
    <s v="Spring"/>
    <s v="Card"/>
    <n v="3.4"/>
    <x v="1"/>
    <n v="4"/>
    <n v="64.954022988505741"/>
    <n v="8.4440229885057434"/>
    <x v="0"/>
    <n v="1"/>
  </r>
  <r>
    <n v="2352"/>
    <n v="41"/>
    <s v="Male"/>
    <s v="Electronics"/>
    <s v="Smart Watch"/>
    <n v="1053.68"/>
    <s v="Summer"/>
    <s v="Card"/>
    <n v="3.5"/>
    <x v="16"/>
    <n v="3"/>
    <n v="1120.936170212766"/>
    <n v="67.256170212765937"/>
    <x v="1"/>
    <n v="1"/>
  </r>
  <r>
    <n v="2353"/>
    <n v="57"/>
    <s v="Male"/>
    <s v="Mens Clothing"/>
    <s v="Shirt"/>
    <n v="147.72999999999999"/>
    <s v="Winter"/>
    <s v="Card"/>
    <n v="3.6"/>
    <x v="19"/>
    <n v="5"/>
    <n v="173.79999999999998"/>
    <n v="26.069999999999993"/>
    <x v="0"/>
    <n v="1"/>
  </r>
  <r>
    <n v="2354"/>
    <n v="29"/>
    <s v="Female"/>
    <s v="Home"/>
    <s v="Curtains"/>
    <n v="58.79"/>
    <s v="Autumn"/>
    <s v="Cash on Delivery"/>
    <n v="2.4"/>
    <x v="0"/>
    <n v="9"/>
    <n v="71.695121951219505"/>
    <n v="12.905121951219506"/>
    <x v="5"/>
    <n v="1"/>
  </r>
  <r>
    <n v="2355"/>
    <n v="52"/>
    <s v="Female"/>
    <s v="Groceries"/>
    <s v="Rice Pack"/>
    <n v="17.37"/>
    <s v="Winter"/>
    <s v="Cash on Delivery"/>
    <n v="4.3"/>
    <x v="14"/>
    <n v="6"/>
    <n v="20.927710843373497"/>
    <n v="3.5577108433734956"/>
    <x v="4"/>
    <n v="1"/>
  </r>
  <r>
    <n v="2356"/>
    <n v="59"/>
    <s v="Female"/>
    <s v="Accessories"/>
    <s v="Wallet"/>
    <n v="153.74"/>
    <s v="Winter"/>
    <s v="Card"/>
    <n v="4"/>
    <x v="19"/>
    <n v="5"/>
    <n v="180.87058823529412"/>
    <n v="27.130588235294113"/>
    <x v="0"/>
    <n v="1"/>
  </r>
  <r>
    <n v="2357"/>
    <n v="70"/>
    <s v="Male"/>
    <s v="Groceries"/>
    <s v="Cooking Oil"/>
    <n v="22.29"/>
    <s v="Winter"/>
    <s v="Cash on Delivery"/>
    <n v="4.2"/>
    <x v="8"/>
    <n v="6"/>
    <n v="25.329545454545453"/>
    <n v="3.0395454545454541"/>
    <x v="2"/>
    <n v="1"/>
  </r>
  <r>
    <n v="2358"/>
    <n v="50"/>
    <s v="Female"/>
    <s v="Beauty"/>
    <s v="Makeup Set"/>
    <n v="29.51"/>
    <s v="Spring"/>
    <s v="Cash on Delivery"/>
    <n v="4.2"/>
    <x v="30"/>
    <n v="12"/>
    <n v="44.712121212121218"/>
    <n v="15.202121212121217"/>
    <x v="4"/>
    <n v="1"/>
  </r>
  <r>
    <n v="2359"/>
    <n v="24"/>
    <s v="Male"/>
    <s v="Sports"/>
    <s v="Yoga Mat"/>
    <n v="232.38"/>
    <s v="Spring"/>
    <s v="Card"/>
    <n v="4.7"/>
    <x v="10"/>
    <n v="6"/>
    <n v="297.92307692307691"/>
    <n v="65.54307692307691"/>
    <x v="3"/>
    <n v="1"/>
  </r>
  <r>
    <n v="2360"/>
    <n v="45"/>
    <s v="Female"/>
    <s v="Sports"/>
    <s v="Yoga Mat"/>
    <n v="107.39"/>
    <s v="Spring"/>
    <s v="Card"/>
    <n v="4.0999999999999996"/>
    <x v="8"/>
    <n v="6"/>
    <n v="122.03409090909091"/>
    <n v="14.644090909090906"/>
    <x v="1"/>
    <n v="1"/>
  </r>
  <r>
    <n v="2361"/>
    <n v="59"/>
    <s v="Female"/>
    <s v="Accessories"/>
    <s v="Handbag"/>
    <n v="97.16"/>
    <s v="Winter"/>
    <s v="Cash on Delivery"/>
    <n v="2.9"/>
    <x v="14"/>
    <n v="6"/>
    <n v="117.06024096385542"/>
    <n v="19.900240963855424"/>
    <x v="0"/>
    <n v="1"/>
  </r>
  <r>
    <n v="2362"/>
    <n v="46"/>
    <s v="Male"/>
    <s v="Sports"/>
    <s v="Dumbbells"/>
    <n v="173.47"/>
    <s v="Spring"/>
    <s v="Card"/>
    <n v="4"/>
    <x v="18"/>
    <n v="7"/>
    <n v="228.25"/>
    <n v="54.78"/>
    <x v="4"/>
    <n v="1"/>
  </r>
  <r>
    <n v="2363"/>
    <n v="42"/>
    <s v="Female"/>
    <s v="Footwear"/>
    <s v="Formal Shoes"/>
    <n v="119.21"/>
    <s v="Summer"/>
    <s v="Card"/>
    <n v="2.7"/>
    <x v="16"/>
    <n v="3"/>
    <n v="126.81914893617021"/>
    <n v="7.6091489361702145"/>
    <x v="1"/>
    <n v="1"/>
  </r>
  <r>
    <n v="2364"/>
    <n v="56"/>
    <s v="Male"/>
    <s v="Sports"/>
    <s v="Yoga Mat"/>
    <n v="39.86"/>
    <s v="Winter"/>
    <s v="Card"/>
    <n v="2.9"/>
    <x v="17"/>
    <n v="2"/>
    <n v="41.520833333333336"/>
    <n v="1.6608333333333363"/>
    <x v="0"/>
    <n v="1"/>
  </r>
  <r>
    <n v="2365"/>
    <n v="22"/>
    <s v="Male"/>
    <s v="Electronics"/>
    <s v="Smart Watch"/>
    <n v="504.91"/>
    <s v="Summer"/>
    <s v="Card"/>
    <n v="3.8"/>
    <x v="19"/>
    <n v="5"/>
    <n v="594.01176470588234"/>
    <n v="89.101764705882317"/>
    <x v="3"/>
    <n v="1"/>
  </r>
  <r>
    <n v="2366"/>
    <n v="45"/>
    <s v="Male"/>
    <s v="Footwear"/>
    <s v="Sneakers"/>
    <n v="96.52"/>
    <s v="Spring"/>
    <s v="Cash on Delivery"/>
    <n v="3.3"/>
    <x v="2"/>
    <n v="3"/>
    <n v="108.44943820224718"/>
    <n v="11.929438202247184"/>
    <x v="1"/>
    <n v="1"/>
  </r>
  <r>
    <n v="2367"/>
    <n v="34"/>
    <s v="Male"/>
    <s v="Footwear"/>
    <s v="Formal Shoes"/>
    <n v="109.16"/>
    <s v="Spring"/>
    <s v="Card"/>
    <n v="3.7"/>
    <x v="1"/>
    <n v="4"/>
    <n v="125.47126436781609"/>
    <n v="16.311264367816094"/>
    <x v="5"/>
    <n v="1"/>
  </r>
  <r>
    <n v="2368"/>
    <n v="69"/>
    <s v="Female"/>
    <s v="Accessories"/>
    <s v="Wallet"/>
    <n v="145.25"/>
    <s v="Winter"/>
    <s v="Card"/>
    <n v="4.7"/>
    <x v="2"/>
    <n v="3"/>
    <n v="163.20224719101122"/>
    <n v="17.952247191011224"/>
    <x v="2"/>
    <n v="1"/>
  </r>
  <r>
    <n v="2369"/>
    <n v="57"/>
    <s v="Female"/>
    <s v="Womens Clothing"/>
    <s v="Top"/>
    <n v="193.36"/>
    <s v="Summer"/>
    <s v="Card"/>
    <n v="3.8"/>
    <x v="3"/>
    <n v="5"/>
    <n v="241.70000000000002"/>
    <n v="48.34"/>
    <x v="0"/>
    <n v="1"/>
  </r>
  <r>
    <n v="2370"/>
    <n v="36"/>
    <s v="Male"/>
    <s v="Footwear"/>
    <s v="Sandals"/>
    <n v="116.93"/>
    <s v="Autumn"/>
    <s v="Card"/>
    <n v="4.8"/>
    <x v="20"/>
    <n v="11"/>
    <n v="171.95588235294119"/>
    <n v="55.025882352941181"/>
    <x v="1"/>
    <n v="1"/>
  </r>
  <r>
    <n v="2371"/>
    <n v="53"/>
    <s v="Female"/>
    <s v="Accessories"/>
    <s v="Sunglasses"/>
    <n v="152.31"/>
    <s v="Winter"/>
    <s v="Card"/>
    <n v="4.7"/>
    <x v="0"/>
    <n v="4"/>
    <n v="185.74390243902437"/>
    <n v="33.433902439024365"/>
    <x v="4"/>
    <n v="1"/>
  </r>
  <r>
    <n v="2372"/>
    <n v="27"/>
    <s v="Male"/>
    <s v="Sports"/>
    <s v="Yoga Mat"/>
    <n v="52.75"/>
    <s v="Spring"/>
    <s v="Card"/>
    <n v="3.8"/>
    <x v="12"/>
    <n v="7"/>
    <n v="65.123456790123456"/>
    <n v="12.373456790123456"/>
    <x v="5"/>
    <n v="1"/>
  </r>
  <r>
    <n v="2373"/>
    <n v="49"/>
    <s v="Female"/>
    <s v="Beauty"/>
    <s v="Skincare Kit"/>
    <n v="141.08000000000001"/>
    <s v="Summer"/>
    <s v="Card"/>
    <n v="4.5"/>
    <x v="22"/>
    <n v="9"/>
    <n v="183.22077922077924"/>
    <n v="42.140779220779223"/>
    <x v="4"/>
    <n v="1"/>
  </r>
  <r>
    <n v="2374"/>
    <n v="45"/>
    <s v="Female"/>
    <s v="Groceries"/>
    <s v="Snacks"/>
    <n v="79"/>
    <s v="Spring"/>
    <s v="Cash on Delivery"/>
    <n v="3.1"/>
    <x v="2"/>
    <n v="3"/>
    <n v="88.764044943820224"/>
    <n v="9.7640449438202239"/>
    <x v="1"/>
    <n v="1"/>
  </r>
  <r>
    <n v="2375"/>
    <n v="58"/>
    <s v="Female"/>
    <s v="Home"/>
    <s v="Curtains"/>
    <n v="53.86"/>
    <s v="Spring"/>
    <s v="Card"/>
    <n v="4"/>
    <x v="5"/>
    <n v="4"/>
    <n v="58.543478260869563"/>
    <n v="4.6834782608695633"/>
    <x v="0"/>
    <n v="1"/>
  </r>
  <r>
    <n v="2376"/>
    <n v="57"/>
    <s v="Male"/>
    <s v="Sports"/>
    <s v="Dumbbells"/>
    <n v="143.78"/>
    <s v="Summer"/>
    <s v="Card"/>
    <n v="3.1"/>
    <x v="5"/>
    <n v="4"/>
    <n v="156.28260869565216"/>
    <n v="12.502608695652157"/>
    <x v="0"/>
    <n v="1"/>
  </r>
  <r>
    <n v="2377"/>
    <n v="50"/>
    <s v="Female"/>
    <s v="Footwear"/>
    <s v="Sandals"/>
    <n v="225.05"/>
    <s v="Summer"/>
    <s v="Card"/>
    <n v="3.8"/>
    <x v="2"/>
    <n v="3"/>
    <n v="252.86516853932585"/>
    <n v="27.815168539325839"/>
    <x v="4"/>
    <n v="1"/>
  </r>
  <r>
    <n v="2378"/>
    <n v="26"/>
    <s v="Male"/>
    <s v="Sports"/>
    <s v="Dumbbells"/>
    <n v="180.74"/>
    <s v="Spring"/>
    <s v="Card"/>
    <n v="4.2"/>
    <x v="20"/>
    <n v="11"/>
    <n v="265.79411764705884"/>
    <n v="85.054117647058831"/>
    <x v="5"/>
    <n v="1"/>
  </r>
  <r>
    <n v="2379"/>
    <n v="31"/>
    <s v="Male"/>
    <s v="Sports"/>
    <s v="Football"/>
    <n v="197.61"/>
    <s v="Autumn"/>
    <s v="Card"/>
    <n v="3.5"/>
    <x v="8"/>
    <n v="6"/>
    <n v="224.55681818181819"/>
    <n v="26.946818181818173"/>
    <x v="5"/>
    <n v="1"/>
  </r>
  <r>
    <n v="2380"/>
    <n v="59"/>
    <s v="Female"/>
    <s v="Womens Clothing"/>
    <s v="Top"/>
    <n v="192.86"/>
    <s v="Spring"/>
    <s v="Card"/>
    <n v="4.2"/>
    <x v="0"/>
    <n v="4"/>
    <n v="235.19512195121951"/>
    <n v="42.335121951219492"/>
    <x v="0"/>
    <n v="1"/>
  </r>
  <r>
    <n v="2381"/>
    <n v="36"/>
    <s v="Female"/>
    <s v="Womens Clothing"/>
    <s v="Dress"/>
    <n v="71.03"/>
    <s v="Summer"/>
    <s v="Card"/>
    <n v="4.8"/>
    <x v="10"/>
    <n v="6"/>
    <n v="91.064102564102569"/>
    <n v="20.034102564102568"/>
    <x v="1"/>
    <n v="1"/>
  </r>
  <r>
    <n v="2382"/>
    <n v="37"/>
    <s v="Female"/>
    <s v="Beauty"/>
    <s v="Perfume"/>
    <n v="90.69"/>
    <s v="Autumn"/>
    <s v="Card"/>
    <n v="4.3"/>
    <x v="7"/>
    <n v="0"/>
    <n v="100.76666666666667"/>
    <n v="10.076666666666668"/>
    <x v="1"/>
    <n v="1"/>
  </r>
  <r>
    <n v="2383"/>
    <n v="60"/>
    <s v="Female"/>
    <s v="Beauty"/>
    <s v="Skincare Kit"/>
    <n v="75.290000000000006"/>
    <s v="Spring"/>
    <s v="Card"/>
    <n v="5"/>
    <x v="3"/>
    <n v="5"/>
    <n v="94.112499999999997"/>
    <n v="18.822499999999991"/>
    <x v="0"/>
    <n v="1"/>
  </r>
  <r>
    <n v="2384"/>
    <n v="27"/>
    <s v="Male"/>
    <s v="Mens Clothing"/>
    <s v="Jacket"/>
    <n v="62.41"/>
    <s v="Spring"/>
    <s v="Cash on Delivery"/>
    <n v="2.9"/>
    <x v="1"/>
    <n v="4"/>
    <n v="71.735632183908038"/>
    <n v="9.3256321839080414"/>
    <x v="5"/>
    <n v="1"/>
  </r>
  <r>
    <n v="2385"/>
    <n v="65"/>
    <s v="Male"/>
    <s v="Mens Clothing"/>
    <s v="Jacket"/>
    <n v="169.17"/>
    <s v="Autumn"/>
    <s v="Card"/>
    <n v="3.8"/>
    <x v="7"/>
    <n v="5"/>
    <n v="187.96666666666664"/>
    <n v="18.796666666666653"/>
    <x v="0"/>
    <n v="1"/>
  </r>
  <r>
    <n v="2386"/>
    <n v="39"/>
    <s v="Male"/>
    <s v="Electronics"/>
    <s v="Mobile Phone"/>
    <n v="2886.67"/>
    <s v="Summer"/>
    <s v="Card"/>
    <n v="3.6"/>
    <x v="12"/>
    <n v="7"/>
    <n v="3563.7901234567898"/>
    <n v="677.12012345678977"/>
    <x v="1"/>
    <n v="1"/>
  </r>
  <r>
    <n v="2387"/>
    <n v="60"/>
    <s v="Male"/>
    <s v="Footwear"/>
    <s v="Sneakers"/>
    <n v="144.37"/>
    <s v="Winter"/>
    <s v="Card"/>
    <n v="4.4000000000000004"/>
    <x v="0"/>
    <n v="4"/>
    <n v="176.0609756097561"/>
    <n v="31.690975609756094"/>
    <x v="0"/>
    <n v="1"/>
  </r>
  <r>
    <n v="2388"/>
    <n v="56"/>
    <s v="Male"/>
    <s v="Groceries"/>
    <s v="Cooking Oil"/>
    <n v="23.35"/>
    <s v="Winter"/>
    <s v="Card"/>
    <n v="4.9000000000000004"/>
    <x v="14"/>
    <n v="6"/>
    <n v="28.132530120481931"/>
    <n v="4.7825301204819297"/>
    <x v="0"/>
    <n v="1"/>
  </r>
  <r>
    <n v="2389"/>
    <n v="32"/>
    <s v="Male"/>
    <s v="Mens Clothing"/>
    <s v="Jeans"/>
    <n v="191.09"/>
    <s v="Summer"/>
    <s v="Card"/>
    <n v="4.2"/>
    <x v="4"/>
    <n v="7"/>
    <n v="222.19767441860466"/>
    <n v="31.10767441860466"/>
    <x v="5"/>
    <n v="1"/>
  </r>
  <r>
    <n v="2390"/>
    <n v="47"/>
    <s v="Female"/>
    <s v="Footwear"/>
    <s v="Formal Shoes"/>
    <n v="69.52"/>
    <s v="Summer"/>
    <s v="Cash on Delivery"/>
    <n v="3.2"/>
    <x v="3"/>
    <n v="5"/>
    <n v="86.899999999999991"/>
    <n v="17.379999999999995"/>
    <x v="4"/>
    <n v="1"/>
  </r>
  <r>
    <n v="2391"/>
    <n v="55"/>
    <s v="Male"/>
    <s v="Mens Clothing"/>
    <s v="Jeans"/>
    <n v="119.06"/>
    <s v="Autumn"/>
    <s v="Card"/>
    <n v="3.6"/>
    <x v="5"/>
    <n v="4"/>
    <n v="129.41304347826087"/>
    <n v="10.353043478260872"/>
    <x v="4"/>
    <n v="1"/>
  </r>
  <r>
    <n v="2392"/>
    <n v="52"/>
    <s v="Female"/>
    <s v="Beauty"/>
    <s v="Makeup Set"/>
    <n v="64.56"/>
    <s v="Winter"/>
    <s v="Card"/>
    <n v="3.2"/>
    <x v="8"/>
    <n v="6"/>
    <n v="73.36363636363636"/>
    <n v="8.8036363636363575"/>
    <x v="4"/>
    <n v="1"/>
  </r>
  <r>
    <n v="2393"/>
    <n v="59"/>
    <s v="Female"/>
    <s v="Footwear"/>
    <s v="Sneakers"/>
    <n v="90.14"/>
    <s v="Spring"/>
    <s v="Cash on Delivery"/>
    <n v="3.9"/>
    <x v="2"/>
    <n v="3"/>
    <n v="101.28089887640449"/>
    <n v="11.140898876404492"/>
    <x v="0"/>
    <n v="1"/>
  </r>
  <r>
    <n v="2394"/>
    <n v="32"/>
    <s v="Male"/>
    <s v="Electronics"/>
    <s v="Headphones"/>
    <n v="1690.64"/>
    <s v="Spring"/>
    <s v="Card"/>
    <n v="4.5999999999999996"/>
    <x v="0"/>
    <n v="4"/>
    <n v="2061.7560975609754"/>
    <n v="371.11609756097528"/>
    <x v="5"/>
    <n v="1"/>
  </r>
  <r>
    <n v="2395"/>
    <n v="60"/>
    <s v="Female"/>
    <s v="Footwear"/>
    <s v="Sandals"/>
    <n v="136.97"/>
    <s v="Summer"/>
    <s v="Card"/>
    <n v="4.5"/>
    <x v="2"/>
    <n v="3"/>
    <n v="153.89887640449439"/>
    <n v="16.928876404494389"/>
    <x v="0"/>
    <n v="1"/>
  </r>
  <r>
    <n v="2396"/>
    <n v="66"/>
    <s v="Male"/>
    <s v="Home"/>
    <s v="Lamp"/>
    <n v="116.48"/>
    <s v="Spring"/>
    <s v="Card"/>
    <n v="5"/>
    <x v="18"/>
    <n v="12"/>
    <n v="153.26315789473685"/>
    <n v="36.783157894736846"/>
    <x v="2"/>
    <n v="1"/>
  </r>
  <r>
    <n v="2397"/>
    <n v="22"/>
    <s v="Male"/>
    <s v="Electronics"/>
    <s v="Mobile Phone"/>
    <n v="503.66"/>
    <s v="Winter"/>
    <s v="Card"/>
    <n v="2.8"/>
    <x v="4"/>
    <n v="7"/>
    <n v="585.65116279069775"/>
    <n v="81.991162790697729"/>
    <x v="3"/>
    <n v="1"/>
  </r>
  <r>
    <n v="2398"/>
    <n v="21"/>
    <s v="Female"/>
    <s v="Footwear"/>
    <s v="Sneakers"/>
    <n v="176.14"/>
    <s v="Autumn"/>
    <s v="Card"/>
    <n v="3.6"/>
    <x v="11"/>
    <n v="8"/>
    <n v="238.027027027027"/>
    <n v="61.887027027027017"/>
    <x v="3"/>
    <n v="1"/>
  </r>
  <r>
    <n v="2399"/>
    <n v="61"/>
    <s v="Female"/>
    <s v="Footwear"/>
    <s v="Formal Shoes"/>
    <n v="202.84"/>
    <s v="Spring"/>
    <s v="Card"/>
    <n v="3.2"/>
    <x v="7"/>
    <n v="5"/>
    <n v="225.37777777777777"/>
    <n v="22.537777777777762"/>
    <x v="0"/>
    <n v="1"/>
  </r>
  <r>
    <n v="2400"/>
    <n v="45"/>
    <s v="Male"/>
    <s v="Footwear"/>
    <s v="Sandals"/>
    <n v="95.24"/>
    <s v="Winter"/>
    <s v="Cash on Delivery"/>
    <n v="4.5999999999999996"/>
    <x v="2"/>
    <n v="3"/>
    <n v="107.01123595505618"/>
    <n v="11.771235955056184"/>
    <x v="1"/>
    <n v="1"/>
  </r>
  <r>
    <n v="2401"/>
    <n v="59"/>
    <s v="Female"/>
    <s v="Womens Clothing"/>
    <s v="Top"/>
    <n v="188.01"/>
    <s v="Winter"/>
    <s v="Card"/>
    <n v="2.8"/>
    <x v="8"/>
    <n v="6"/>
    <n v="213.64772727272725"/>
    <n v="25.637727272727261"/>
    <x v="0"/>
    <n v="1"/>
  </r>
  <r>
    <n v="2402"/>
    <n v="50"/>
    <s v="Male"/>
    <s v="Groceries"/>
    <s v="Beverages"/>
    <n v="11.64"/>
    <s v="Summer"/>
    <s v="Cash on Delivery"/>
    <n v="2.8"/>
    <x v="15"/>
    <n v="1"/>
    <n v="11.877551020408164"/>
    <n v="0.23755102040816389"/>
    <x v="4"/>
    <n v="1"/>
  </r>
  <r>
    <n v="2403"/>
    <n v="61"/>
    <s v="Male"/>
    <s v="Groceries"/>
    <s v="Beverages"/>
    <n v="49.05"/>
    <s v="Summer"/>
    <s v="Card"/>
    <n v="2.7"/>
    <x v="10"/>
    <n v="6"/>
    <n v="62.88461538461538"/>
    <n v="13.834615384615383"/>
    <x v="0"/>
    <n v="1"/>
  </r>
  <r>
    <n v="2404"/>
    <n v="36"/>
    <s v="Female"/>
    <s v="Sports"/>
    <s v="Yoga Mat"/>
    <n v="51.28"/>
    <s v="Spring"/>
    <s v="Card"/>
    <n v="4.5"/>
    <x v="10"/>
    <n v="6"/>
    <n v="65.743589743589737"/>
    <n v="14.463589743589736"/>
    <x v="1"/>
    <n v="1"/>
  </r>
  <r>
    <n v="2405"/>
    <n v="45"/>
    <s v="Male"/>
    <s v="Footwear"/>
    <s v="Sneakers"/>
    <n v="53.31"/>
    <s v="Summer"/>
    <s v="Cash on Delivery"/>
    <n v="3.8"/>
    <x v="3"/>
    <n v="5"/>
    <n v="66.637500000000003"/>
    <n v="13.327500000000001"/>
    <x v="1"/>
    <n v="1"/>
  </r>
  <r>
    <n v="2406"/>
    <n v="23"/>
    <s v="Male"/>
    <s v="Footwear"/>
    <s v="Sandals"/>
    <n v="70.92"/>
    <s v="Summer"/>
    <s v="Card"/>
    <n v="2.8"/>
    <x v="18"/>
    <n v="7"/>
    <n v="93.315789473684205"/>
    <n v="22.395789473684204"/>
    <x v="3"/>
    <n v="1"/>
  </r>
  <r>
    <n v="2407"/>
    <n v="66"/>
    <s v="Female"/>
    <s v="Home"/>
    <s v="Lamp"/>
    <n v="245.8"/>
    <s v="Winter"/>
    <s v="Card"/>
    <n v="3.1"/>
    <x v="4"/>
    <n v="7"/>
    <n v="285.81395348837214"/>
    <n v="40.013953488372124"/>
    <x v="2"/>
    <n v="1"/>
  </r>
  <r>
    <n v="2408"/>
    <n v="62"/>
    <s v="Male"/>
    <s v="Footwear"/>
    <s v="Sandals"/>
    <n v="111.93"/>
    <s v="Summer"/>
    <s v="Card"/>
    <n v="2.2999999999999998"/>
    <x v="7"/>
    <n v="5"/>
    <n v="124.36666666666667"/>
    <n v="12.436666666666667"/>
    <x v="0"/>
    <n v="1"/>
  </r>
  <r>
    <n v="2409"/>
    <n v="33"/>
    <s v="Male"/>
    <s v="Mens Clothing"/>
    <s v="T-Shirt"/>
    <n v="81.37"/>
    <s v="Summer"/>
    <s v="Cash on Delivery"/>
    <n v="4.2"/>
    <x v="0"/>
    <n v="4"/>
    <n v="99.231707317073173"/>
    <n v="17.861707317073169"/>
    <x v="5"/>
    <n v="1"/>
  </r>
  <r>
    <n v="2410"/>
    <n v="64"/>
    <s v="Female"/>
    <s v="Beauty"/>
    <s v="Makeup Set"/>
    <n v="49.12"/>
    <s v="Autumn"/>
    <s v="Cash on Delivery"/>
    <n v="3.6"/>
    <x v="12"/>
    <n v="7"/>
    <n v="60.641975308641968"/>
    <n v="11.52197530864197"/>
    <x v="0"/>
    <n v="1"/>
  </r>
  <r>
    <n v="2411"/>
    <n v="34"/>
    <s v="Female"/>
    <s v="Accessories"/>
    <s v="Handbag"/>
    <n v="23.82"/>
    <s v="Winter"/>
    <s v="Card"/>
    <n v="4.5999999999999996"/>
    <x v="18"/>
    <n v="7"/>
    <n v="31.342105263157894"/>
    <n v="7.5221052631578935"/>
    <x v="5"/>
    <n v="1"/>
  </r>
  <r>
    <n v="2412"/>
    <n v="41"/>
    <s v="Male"/>
    <s v="Home"/>
    <s v="Curtains"/>
    <n v="295.39"/>
    <s v="Autumn"/>
    <s v="Card"/>
    <n v="3.8"/>
    <x v="16"/>
    <n v="3"/>
    <n v="314.24468085106383"/>
    <n v="18.854680851063847"/>
    <x v="1"/>
    <n v="1"/>
  </r>
  <r>
    <n v="2413"/>
    <n v="62"/>
    <s v="Female"/>
    <s v="Womens Clothing"/>
    <s v="Dress"/>
    <n v="191.31"/>
    <s v="Winter"/>
    <s v="Card"/>
    <n v="3.6"/>
    <x v="8"/>
    <n v="6"/>
    <n v="217.39772727272728"/>
    <n v="26.087727272727278"/>
    <x v="0"/>
    <n v="1"/>
  </r>
  <r>
    <n v="2414"/>
    <n v="63"/>
    <s v="Female"/>
    <s v="Footwear"/>
    <s v="Sandals"/>
    <n v="75.31"/>
    <s v="Autumn"/>
    <s v="Cash on Delivery"/>
    <n v="4"/>
    <x v="10"/>
    <n v="11"/>
    <n v="96.551282051282044"/>
    <n v="21.241282051282042"/>
    <x v="0"/>
    <n v="1"/>
  </r>
  <r>
    <n v="2415"/>
    <n v="65"/>
    <s v="Male"/>
    <s v="Mens Clothing"/>
    <s v="T-Shirt"/>
    <n v="191.04"/>
    <s v="Autumn"/>
    <s v="Card"/>
    <n v="4.2"/>
    <x v="6"/>
    <n v="3"/>
    <n v="227.42857142857142"/>
    <n v="36.388571428571424"/>
    <x v="0"/>
    <n v="1"/>
  </r>
  <r>
    <n v="2416"/>
    <n v="44"/>
    <s v="Female"/>
    <s v="Beauty"/>
    <s v="Makeup Set"/>
    <n v="68.39"/>
    <s v="Summer"/>
    <s v="Cash on Delivery"/>
    <n v="3.2"/>
    <x v="19"/>
    <n v="5"/>
    <n v="80.458823529411774"/>
    <n v="12.068823529411773"/>
    <x v="1"/>
    <n v="1"/>
  </r>
  <r>
    <n v="2417"/>
    <n v="53"/>
    <s v="Male"/>
    <s v="Footwear"/>
    <s v="Sneakers"/>
    <n v="192.28"/>
    <s v="Spring"/>
    <s v="Card"/>
    <n v="3.7"/>
    <x v="4"/>
    <n v="7"/>
    <n v="223.58139534883722"/>
    <n v="31.301395348837218"/>
    <x v="4"/>
    <n v="1"/>
  </r>
  <r>
    <n v="2418"/>
    <n v="40"/>
    <s v="Male"/>
    <s v="Footwear"/>
    <s v="Formal Shoes"/>
    <n v="236.78"/>
    <s v="Spring"/>
    <s v="Card"/>
    <n v="4.0999999999999996"/>
    <x v="10"/>
    <n v="6"/>
    <n v="303.56410256410254"/>
    <n v="66.78410256410254"/>
    <x v="1"/>
    <n v="1"/>
  </r>
  <r>
    <n v="2419"/>
    <n v="31"/>
    <s v="Female"/>
    <s v="Groceries"/>
    <s v="Beverages"/>
    <n v="52.19"/>
    <s v="Winter"/>
    <s v="Cash on Delivery"/>
    <n v="5"/>
    <x v="15"/>
    <n v="1"/>
    <n v="53.255102040816325"/>
    <n v="1.0651020408163276"/>
    <x v="5"/>
    <n v="1"/>
  </r>
  <r>
    <n v="2420"/>
    <n v="46"/>
    <s v="Female"/>
    <s v="Beauty"/>
    <s v="Skincare Kit"/>
    <n v="63.26"/>
    <s v="Autumn"/>
    <s v="Cash on Delivery"/>
    <n v="4.2"/>
    <x v="10"/>
    <n v="6"/>
    <n v="81.102564102564102"/>
    <n v="17.842564102564104"/>
    <x v="4"/>
    <n v="1"/>
  </r>
  <r>
    <n v="2421"/>
    <n v="43"/>
    <s v="Female"/>
    <s v="Beauty"/>
    <s v="Perfume"/>
    <n v="57.97"/>
    <s v="Summer"/>
    <s v="Cash on Delivery"/>
    <n v="4.8"/>
    <x v="3"/>
    <n v="5"/>
    <n v="72.462499999999991"/>
    <n v="14.492499999999993"/>
    <x v="1"/>
    <n v="1"/>
  </r>
  <r>
    <n v="2422"/>
    <n v="58"/>
    <s v="Male"/>
    <s v="Electronics"/>
    <s v="Mobile Phone"/>
    <n v="2430.6"/>
    <s v="Autumn"/>
    <s v="Card"/>
    <n v="3.1"/>
    <x v="16"/>
    <n v="3"/>
    <n v="2585.744680851064"/>
    <n v="155.14468085106409"/>
    <x v="0"/>
    <n v="1"/>
  </r>
  <r>
    <n v="2423"/>
    <n v="63"/>
    <s v="Male"/>
    <s v="Home"/>
    <s v="Kitchen Set"/>
    <n v="50.59"/>
    <s v="Spring"/>
    <s v="Cash on Delivery"/>
    <n v="3.2"/>
    <x v="16"/>
    <n v="3"/>
    <n v="53.819148936170222"/>
    <n v="3.229148936170219"/>
    <x v="0"/>
    <n v="1"/>
  </r>
  <r>
    <n v="2424"/>
    <n v="31"/>
    <s v="Male"/>
    <s v="Electronics"/>
    <s v="Mobile Phone"/>
    <n v="2025.94"/>
    <s v="Summer"/>
    <s v="Card"/>
    <n v="3.8"/>
    <x v="0"/>
    <n v="9"/>
    <n v="2470.6585365853657"/>
    <n v="444.71853658536565"/>
    <x v="5"/>
    <n v="1"/>
  </r>
  <r>
    <n v="2425"/>
    <n v="29"/>
    <s v="Male"/>
    <s v="Sports"/>
    <s v="Yoga Mat"/>
    <n v="217.27"/>
    <s v="Spring"/>
    <s v="Card"/>
    <n v="4.5"/>
    <x v="0"/>
    <n v="4"/>
    <n v="264.96341463414632"/>
    <n v="47.693414634146308"/>
    <x v="5"/>
    <n v="1"/>
  </r>
  <r>
    <n v="2426"/>
    <n v="61"/>
    <s v="Female"/>
    <s v="Beauty"/>
    <s v="Skincare Kit"/>
    <n v="81.17"/>
    <s v="Spring"/>
    <s v="Cash on Delivery"/>
    <n v="3.7"/>
    <x v="0"/>
    <n v="4"/>
    <n v="98.987804878048777"/>
    <n v="17.817804878048776"/>
    <x v="0"/>
    <n v="1"/>
  </r>
  <r>
    <n v="2427"/>
    <n v="22"/>
    <s v="Female"/>
    <s v="Sports"/>
    <s v="Yoga Mat"/>
    <n v="88.1"/>
    <s v="Spring"/>
    <s v="Cash on Delivery"/>
    <n v="3.3"/>
    <x v="27"/>
    <n v="10"/>
    <n v="117.46666666666665"/>
    <n v="29.36666666666666"/>
    <x v="3"/>
    <n v="1"/>
  </r>
  <r>
    <n v="2428"/>
    <n v="45"/>
    <s v="Female"/>
    <s v="Womens Clothing"/>
    <s v="Jeans"/>
    <n v="174.75"/>
    <s v="Autumn"/>
    <s v="Card"/>
    <n v="3.5"/>
    <x v="4"/>
    <n v="2"/>
    <n v="203.19767441860466"/>
    <n v="28.447674418604663"/>
    <x v="1"/>
    <n v="1"/>
  </r>
  <r>
    <n v="2429"/>
    <n v="39"/>
    <s v="Male"/>
    <s v="Groceries"/>
    <s v="Rice Pack"/>
    <n v="56.99"/>
    <s v="Autumn"/>
    <s v="Cash on Delivery"/>
    <n v="3.3"/>
    <x v="27"/>
    <n v="10"/>
    <n v="75.986666666666665"/>
    <n v="18.996666666666663"/>
    <x v="1"/>
    <n v="1"/>
  </r>
  <r>
    <n v="2430"/>
    <n v="20"/>
    <s v="Female"/>
    <s v="Womens Clothing"/>
    <s v="Top"/>
    <n v="95.46"/>
    <s v="Autumn"/>
    <s v="Cash on Delivery"/>
    <n v="4.5"/>
    <x v="22"/>
    <n v="9"/>
    <n v="123.97402597402596"/>
    <n v="28.514025974025969"/>
    <x v="3"/>
    <n v="1"/>
  </r>
  <r>
    <n v="2431"/>
    <n v="22"/>
    <s v="Male"/>
    <s v="Sports"/>
    <s v="Dumbbells"/>
    <n v="108.86"/>
    <s v="Spring"/>
    <s v="Card"/>
    <n v="3.6"/>
    <x v="19"/>
    <n v="5"/>
    <n v="128.07058823529411"/>
    <n v="19.210588235294111"/>
    <x v="3"/>
    <n v="1"/>
  </r>
  <r>
    <n v="2432"/>
    <n v="54"/>
    <s v="Female"/>
    <s v="Womens Clothing"/>
    <s v="Skirt"/>
    <n v="166.88"/>
    <s v="Spring"/>
    <s v="Card"/>
    <n v="3.5"/>
    <x v="0"/>
    <n v="4"/>
    <n v="203.51219512195121"/>
    <n v="36.632195121951213"/>
    <x v="4"/>
    <n v="1"/>
  </r>
  <r>
    <n v="2433"/>
    <n v="52"/>
    <s v="Male"/>
    <s v="Electronics"/>
    <s v="Mobile Phone"/>
    <n v="523.38"/>
    <s v="Summer"/>
    <s v="Card"/>
    <n v="3.9"/>
    <x v="0"/>
    <n v="4"/>
    <n v="638.26829268292681"/>
    <n v="114.88829268292682"/>
    <x v="4"/>
    <n v="1"/>
  </r>
  <r>
    <n v="2434"/>
    <n v="25"/>
    <s v="Male"/>
    <s v="Mens Clothing"/>
    <s v="T-Shirt"/>
    <n v="109.68"/>
    <s v="Winter"/>
    <s v="Card"/>
    <n v="2.8"/>
    <x v="1"/>
    <n v="4"/>
    <n v="126.06896551724138"/>
    <n v="16.388965517241374"/>
    <x v="3"/>
    <n v="1"/>
  </r>
  <r>
    <n v="2435"/>
    <n v="67"/>
    <s v="Male"/>
    <s v="Home"/>
    <s v="Lamp"/>
    <n v="222.65"/>
    <s v="Autumn"/>
    <s v="Card"/>
    <n v="3"/>
    <x v="13"/>
    <n v="2"/>
    <n v="244.67032967032966"/>
    <n v="22.020329670329659"/>
    <x v="2"/>
    <n v="1"/>
  </r>
  <r>
    <n v="2436"/>
    <n v="59"/>
    <s v="Male"/>
    <s v="Footwear"/>
    <s v="Sandals"/>
    <n v="141.41"/>
    <s v="Spring"/>
    <s v="Card"/>
    <n v="3.3"/>
    <x v="8"/>
    <n v="6"/>
    <n v="160.69318181818181"/>
    <n v="19.283181818181816"/>
    <x v="0"/>
    <n v="1"/>
  </r>
  <r>
    <n v="2437"/>
    <n v="59"/>
    <s v="Male"/>
    <s v="Sports"/>
    <s v="Yoga Mat"/>
    <n v="165.82"/>
    <s v="Winter"/>
    <s v="Card"/>
    <n v="3.8"/>
    <x v="14"/>
    <n v="6"/>
    <n v="199.7831325301205"/>
    <n v="33.963132530120504"/>
    <x v="0"/>
    <n v="1"/>
  </r>
  <r>
    <n v="2438"/>
    <n v="66"/>
    <s v="Female"/>
    <s v="Womens Clothing"/>
    <s v="Skirt"/>
    <n v="52.02"/>
    <s v="Autumn"/>
    <s v="Cash on Delivery"/>
    <n v="3.9"/>
    <x v="3"/>
    <n v="5"/>
    <n v="65.025000000000006"/>
    <n v="13.005000000000003"/>
    <x v="2"/>
    <n v="1"/>
  </r>
  <r>
    <n v="2439"/>
    <n v="45"/>
    <s v="Female"/>
    <s v="Beauty"/>
    <s v="Perfume"/>
    <n v="130.55000000000001"/>
    <s v="Autumn"/>
    <s v="Card"/>
    <n v="4.8"/>
    <x v="5"/>
    <n v="4"/>
    <n v="141.9021739130435"/>
    <n v="11.352173913043487"/>
    <x v="1"/>
    <n v="1"/>
  </r>
  <r>
    <n v="2440"/>
    <n v="36"/>
    <s v="Male"/>
    <s v="Mens Clothing"/>
    <s v="Jacket"/>
    <n v="108.9"/>
    <s v="Summer"/>
    <s v="Card"/>
    <n v="3"/>
    <x v="6"/>
    <n v="8"/>
    <n v="129.64285714285717"/>
    <n v="20.742857142857162"/>
    <x v="1"/>
    <n v="1"/>
  </r>
  <r>
    <n v="2441"/>
    <n v="48"/>
    <s v="Female"/>
    <s v="Beauty"/>
    <s v="Skincare Kit"/>
    <n v="88.67"/>
    <s v="Winter"/>
    <s v="Card"/>
    <n v="4.2"/>
    <x v="3"/>
    <n v="5"/>
    <n v="110.83749999999999"/>
    <n v="22.16749999999999"/>
    <x v="4"/>
    <n v="1"/>
  </r>
  <r>
    <n v="2442"/>
    <n v="26"/>
    <s v="Male"/>
    <s v="Sports"/>
    <s v="Dumbbells"/>
    <n v="231.99"/>
    <s v="Winter"/>
    <s v="Card"/>
    <n v="3"/>
    <x v="3"/>
    <n v="5"/>
    <n v="289.98750000000001"/>
    <n v="57.997500000000002"/>
    <x v="5"/>
    <n v="1"/>
  </r>
  <r>
    <n v="2443"/>
    <n v="34"/>
    <s v="Male"/>
    <s v="Electronics"/>
    <s v="Headphones"/>
    <n v="585.57000000000005"/>
    <s v="Summer"/>
    <s v="Card"/>
    <n v="4.5999999999999996"/>
    <x v="11"/>
    <n v="8"/>
    <n v="791.31081081081084"/>
    <n v="205.74081081081079"/>
    <x v="5"/>
    <n v="1"/>
  </r>
  <r>
    <n v="2444"/>
    <n v="63"/>
    <s v="Female"/>
    <s v="Beauty"/>
    <s v="Perfume"/>
    <n v="33.49"/>
    <s v="Summer"/>
    <s v="Cash on Delivery"/>
    <n v="3.6"/>
    <x v="21"/>
    <n v="8"/>
    <n v="42.392405063291143"/>
    <n v="8.9024050632911411"/>
    <x v="0"/>
    <n v="1"/>
  </r>
  <r>
    <n v="2445"/>
    <n v="68"/>
    <s v="Male"/>
    <s v="Footwear"/>
    <s v="Sandals"/>
    <n v="145.49"/>
    <s v="Summer"/>
    <s v="Card"/>
    <n v="3.9"/>
    <x v="7"/>
    <n v="5"/>
    <n v="161.65555555555557"/>
    <n v="16.165555555555557"/>
    <x v="2"/>
    <n v="1"/>
  </r>
  <r>
    <n v="2446"/>
    <n v="65"/>
    <s v="Female"/>
    <s v="Home"/>
    <s v="Curtains"/>
    <n v="39.99"/>
    <s v="Autumn"/>
    <s v="Cash on Delivery"/>
    <n v="2.8"/>
    <x v="14"/>
    <n v="6"/>
    <n v="48.180722891566269"/>
    <n v="8.1907228915662671"/>
    <x v="0"/>
    <n v="1"/>
  </r>
  <r>
    <n v="2447"/>
    <n v="39"/>
    <s v="Male"/>
    <s v="Electronics"/>
    <s v="Laptop"/>
    <n v="1959.09"/>
    <s v="Winter"/>
    <s v="Card"/>
    <n v="4.2"/>
    <x v="8"/>
    <n v="1"/>
    <n v="2226.238636363636"/>
    <n v="267.14863636363611"/>
    <x v="1"/>
    <n v="1"/>
  </r>
  <r>
    <n v="2448"/>
    <n v="66"/>
    <s v="Female"/>
    <s v="Sports"/>
    <s v="Football"/>
    <n v="109.15"/>
    <s v="Winter"/>
    <s v="Card"/>
    <n v="2.8"/>
    <x v="0"/>
    <n v="4"/>
    <n v="133.10975609756096"/>
    <n v="23.959756097560955"/>
    <x v="2"/>
    <n v="1"/>
  </r>
  <r>
    <n v="2449"/>
    <n v="31"/>
    <s v="Male"/>
    <s v="Sports"/>
    <s v="Yoga Mat"/>
    <n v="247.77"/>
    <s v="Spring"/>
    <s v="Card"/>
    <n v="2.8"/>
    <x v="7"/>
    <n v="5"/>
    <n v="275.3"/>
    <n v="27.53"/>
    <x v="5"/>
    <n v="1"/>
  </r>
  <r>
    <n v="2450"/>
    <n v="29"/>
    <s v="Female"/>
    <s v="Footwear"/>
    <s v="Formal Shoes"/>
    <n v="175.99"/>
    <s v="Spring"/>
    <s v="Card"/>
    <n v="5"/>
    <x v="18"/>
    <n v="7"/>
    <n v="231.56578947368422"/>
    <n v="55.57578947368421"/>
    <x v="5"/>
    <n v="1"/>
  </r>
  <r>
    <n v="2451"/>
    <n v="33"/>
    <s v="Female"/>
    <s v="Beauty"/>
    <s v="Makeup Set"/>
    <n v="20.03"/>
    <s v="Summer"/>
    <s v="Card"/>
    <n v="3.6"/>
    <x v="3"/>
    <n v="5"/>
    <n v="25.037500000000001"/>
    <n v="5.0075000000000003"/>
    <x v="5"/>
    <n v="1"/>
  </r>
  <r>
    <n v="2452"/>
    <n v="23"/>
    <s v="Female"/>
    <s v="Womens Clothing"/>
    <s v="Skirt"/>
    <n v="194.96"/>
    <s v="Spring"/>
    <s v="Card"/>
    <n v="2.9"/>
    <x v="4"/>
    <n v="7"/>
    <n v="226.69767441860466"/>
    <n v="31.737674418604655"/>
    <x v="3"/>
    <n v="1"/>
  </r>
  <r>
    <n v="2453"/>
    <n v="47"/>
    <s v="Female"/>
    <s v="Beauty"/>
    <s v="Makeup Set"/>
    <n v="132.65"/>
    <s v="Winter"/>
    <s v="Card"/>
    <n v="3.9"/>
    <x v="12"/>
    <n v="7"/>
    <n v="163.76543209876542"/>
    <n v="31.11543209876541"/>
    <x v="4"/>
    <n v="1"/>
  </r>
  <r>
    <n v="2454"/>
    <n v="32"/>
    <s v="Female"/>
    <s v="Sports"/>
    <s v="Yoga Mat"/>
    <n v="119.74"/>
    <s v="Spring"/>
    <s v="Card"/>
    <n v="3.3"/>
    <x v="10"/>
    <n v="11"/>
    <n v="153.5128205128205"/>
    <n v="33.772820512820502"/>
    <x v="5"/>
    <n v="1"/>
  </r>
  <r>
    <n v="2455"/>
    <n v="49"/>
    <s v="Female"/>
    <s v="Sports"/>
    <s v="Football"/>
    <n v="105.64"/>
    <s v="Spring"/>
    <s v="Card"/>
    <n v="3.3"/>
    <x v="18"/>
    <n v="7"/>
    <n v="139"/>
    <n v="33.36"/>
    <x v="4"/>
    <n v="1"/>
  </r>
  <r>
    <n v="2456"/>
    <n v="37"/>
    <s v="Male"/>
    <s v="Footwear"/>
    <s v="Formal Shoes"/>
    <n v="232.32"/>
    <s v="Summer"/>
    <s v="Card"/>
    <n v="3.8"/>
    <x v="6"/>
    <n v="3"/>
    <n v="276.57142857142856"/>
    <n v="44.251428571428562"/>
    <x v="1"/>
    <n v="1"/>
  </r>
  <r>
    <n v="2457"/>
    <n v="41"/>
    <s v="Male"/>
    <s v="Sports"/>
    <s v="Football"/>
    <n v="142.71"/>
    <s v="Winter"/>
    <s v="Card"/>
    <n v="4.2"/>
    <x v="3"/>
    <n v="5"/>
    <n v="178.38749999999999"/>
    <n v="35.677499999999981"/>
    <x v="1"/>
    <n v="1"/>
  </r>
  <r>
    <n v="2458"/>
    <n v="37"/>
    <s v="Male"/>
    <s v="Sports"/>
    <s v="Dumbbells"/>
    <n v="163.30000000000001"/>
    <s v="Autumn"/>
    <s v="Card"/>
    <n v="3.6"/>
    <x v="8"/>
    <n v="6"/>
    <n v="185.56818181818184"/>
    <n v="22.26818181818183"/>
    <x v="1"/>
    <n v="1"/>
  </r>
  <r>
    <n v="2459"/>
    <n v="55"/>
    <s v="Male"/>
    <s v="Electronics"/>
    <s v="Laptop"/>
    <n v="2997.94"/>
    <s v="Autumn"/>
    <s v="Card"/>
    <n v="4.2"/>
    <x v="4"/>
    <n v="2"/>
    <n v="3485.9767441860467"/>
    <n v="488.03674418604669"/>
    <x v="4"/>
    <n v="1"/>
  </r>
  <r>
    <n v="2460"/>
    <n v="42"/>
    <s v="Male"/>
    <s v="Electronics"/>
    <s v="Smart Watch"/>
    <n v="1412.92"/>
    <s v="Autumn"/>
    <s v="Card"/>
    <n v="3.9"/>
    <x v="12"/>
    <n v="7"/>
    <n v="1744.3456790123457"/>
    <n v="331.42567901234565"/>
    <x v="1"/>
    <n v="1"/>
  </r>
  <r>
    <n v="2461"/>
    <n v="60"/>
    <s v="Female"/>
    <s v="Footwear"/>
    <s v="Sandals"/>
    <n v="104.02"/>
    <s v="Winter"/>
    <s v="Card"/>
    <n v="5"/>
    <x v="5"/>
    <n v="4"/>
    <n v="113.06521739130434"/>
    <n v="9.0452173913043481"/>
    <x v="0"/>
    <n v="1"/>
  </r>
  <r>
    <n v="2462"/>
    <n v="62"/>
    <s v="Female"/>
    <s v="Beauty"/>
    <s v="Makeup Set"/>
    <n v="20.71"/>
    <s v="Autumn"/>
    <s v="Card"/>
    <n v="3.8"/>
    <x v="3"/>
    <n v="5"/>
    <n v="25.887499999999999"/>
    <n v="5.1774999999999984"/>
    <x v="0"/>
    <n v="1"/>
  </r>
  <r>
    <n v="2463"/>
    <n v="56"/>
    <s v="Female"/>
    <s v="Womens Clothing"/>
    <s v="Dress"/>
    <n v="83.87"/>
    <s v="Spring"/>
    <s v="Card"/>
    <n v="3.9"/>
    <x v="14"/>
    <n v="6"/>
    <n v="101.04819277108435"/>
    <n v="17.178192771084341"/>
    <x v="0"/>
    <n v="1"/>
  </r>
  <r>
    <n v="2464"/>
    <n v="67"/>
    <s v="Male"/>
    <s v="Mens Clothing"/>
    <s v="T-Shirt"/>
    <n v="43.13"/>
    <s v="Winter"/>
    <s v="Cash on Delivery"/>
    <n v="3"/>
    <x v="13"/>
    <n v="2"/>
    <n v="47.395604395604394"/>
    <n v="4.2656043956043916"/>
    <x v="2"/>
    <n v="1"/>
  </r>
  <r>
    <n v="2465"/>
    <n v="59"/>
    <s v="Male"/>
    <s v="Sports"/>
    <s v="Football"/>
    <n v="73.739999999999995"/>
    <s v="Summer"/>
    <s v="Card"/>
    <n v="3.8"/>
    <x v="19"/>
    <n v="5"/>
    <n v="86.752941176470586"/>
    <n v="13.012941176470591"/>
    <x v="0"/>
    <n v="1"/>
  </r>
  <r>
    <n v="2466"/>
    <n v="32"/>
    <s v="Male"/>
    <s v="Sports"/>
    <s v="Football"/>
    <n v="144.04"/>
    <s v="Summer"/>
    <s v="Card"/>
    <n v="3.8"/>
    <x v="1"/>
    <n v="4"/>
    <n v="165.56321839080459"/>
    <n v="21.523218390804601"/>
    <x v="5"/>
    <n v="1"/>
  </r>
  <r>
    <n v="2467"/>
    <n v="24"/>
    <s v="Female"/>
    <s v="Beauty"/>
    <s v="Makeup Set"/>
    <n v="82.17"/>
    <s v="Winter"/>
    <s v="Card"/>
    <n v="3.4"/>
    <x v="19"/>
    <n v="5"/>
    <n v="96.670588235294119"/>
    <n v="14.500588235294117"/>
    <x v="3"/>
    <n v="1"/>
  </r>
  <r>
    <n v="2468"/>
    <n v="31"/>
    <s v="Female"/>
    <s v="Womens Clothing"/>
    <s v="Skirt"/>
    <n v="128.18"/>
    <s v="Autumn"/>
    <s v="Card"/>
    <n v="4"/>
    <x v="14"/>
    <n v="6"/>
    <n v="154.43373493975906"/>
    <n v="26.253734939759056"/>
    <x v="5"/>
    <n v="1"/>
  </r>
  <r>
    <n v="2469"/>
    <n v="67"/>
    <s v="Female"/>
    <s v="Womens Clothing"/>
    <s v="Top"/>
    <n v="74.73"/>
    <s v="Autumn"/>
    <s v="Cash on Delivery"/>
    <n v="3.7"/>
    <x v="3"/>
    <n v="5"/>
    <n v="93.412499999999994"/>
    <n v="18.68249999999999"/>
    <x v="2"/>
    <n v="1"/>
  </r>
  <r>
    <n v="2470"/>
    <n v="41"/>
    <s v="Female"/>
    <s v="Home"/>
    <s v="Curtains"/>
    <n v="159.58000000000001"/>
    <s v="Spring"/>
    <s v="Card"/>
    <n v="4.4000000000000004"/>
    <x v="5"/>
    <n v="4"/>
    <n v="173.45652173913044"/>
    <n v="13.876521739130425"/>
    <x v="1"/>
    <n v="1"/>
  </r>
  <r>
    <n v="2471"/>
    <n v="58"/>
    <s v="Female"/>
    <s v="Womens Clothing"/>
    <s v="Skirt"/>
    <n v="142.94999999999999"/>
    <s v="Winter"/>
    <s v="Card"/>
    <n v="4.8"/>
    <x v="19"/>
    <n v="5"/>
    <n v="168.17647058823528"/>
    <n v="25.226470588235287"/>
    <x v="0"/>
    <n v="1"/>
  </r>
  <r>
    <n v="2472"/>
    <n v="22"/>
    <s v="Female"/>
    <s v="Beauty"/>
    <s v="Perfume"/>
    <n v="56.67"/>
    <s v="Summer"/>
    <s v="Cash on Delivery"/>
    <n v="4.3"/>
    <x v="19"/>
    <n v="5"/>
    <n v="66.670588235294119"/>
    <n v="10.000588235294117"/>
    <x v="3"/>
    <n v="1"/>
  </r>
  <r>
    <n v="2473"/>
    <n v="56"/>
    <s v="Female"/>
    <s v="Accessories"/>
    <s v="Wallet"/>
    <n v="60.82"/>
    <s v="Spring"/>
    <s v="Cash on Delivery"/>
    <n v="3.5"/>
    <x v="5"/>
    <n v="4"/>
    <n v="66.108695652173907"/>
    <n v="5.2886956521739066"/>
    <x v="0"/>
    <n v="1"/>
  </r>
  <r>
    <n v="2474"/>
    <n v="64"/>
    <s v="Female"/>
    <s v="Footwear"/>
    <s v="Sneakers"/>
    <n v="249.17"/>
    <s v="Spring"/>
    <s v="Card"/>
    <n v="4.8"/>
    <x v="5"/>
    <n v="4"/>
    <n v="270.83695652173913"/>
    <n v="21.666956521739138"/>
    <x v="0"/>
    <n v="1"/>
  </r>
  <r>
    <n v="2475"/>
    <n v="58"/>
    <s v="Female"/>
    <s v="Womens Clothing"/>
    <s v="Dress"/>
    <n v="105.75"/>
    <s v="Autumn"/>
    <s v="Card"/>
    <n v="4.5"/>
    <x v="12"/>
    <n v="7"/>
    <n v="130.55555555555554"/>
    <n v="24.805555555555543"/>
    <x v="0"/>
    <n v="1"/>
  </r>
  <r>
    <n v="2476"/>
    <n v="57"/>
    <s v="Male"/>
    <s v="Sports"/>
    <s v="Dumbbells"/>
    <n v="89.44"/>
    <s v="Autumn"/>
    <s v="Cash on Delivery"/>
    <n v="4.9000000000000004"/>
    <x v="7"/>
    <n v="5"/>
    <n v="99.377777777777766"/>
    <n v="9.9377777777777681"/>
    <x v="0"/>
    <n v="1"/>
  </r>
  <r>
    <n v="2477"/>
    <n v="37"/>
    <s v="Male"/>
    <s v="Sports"/>
    <s v="Football"/>
    <n v="182.81"/>
    <s v="Summer"/>
    <s v="Card"/>
    <n v="3.2"/>
    <x v="6"/>
    <n v="3"/>
    <n v="217.63095238095238"/>
    <n v="34.820952380952377"/>
    <x v="1"/>
    <n v="1"/>
  </r>
  <r>
    <n v="2478"/>
    <n v="30"/>
    <s v="Male"/>
    <s v="Sports"/>
    <s v="Football"/>
    <n v="49.64"/>
    <s v="Spring"/>
    <s v="Cash on Delivery"/>
    <n v="4.0999999999999996"/>
    <x v="13"/>
    <n v="2"/>
    <n v="54.549450549450547"/>
    <n v="4.9094505494505469"/>
    <x v="5"/>
    <n v="1"/>
  </r>
  <r>
    <n v="2479"/>
    <n v="56"/>
    <s v="Male"/>
    <s v="Sports"/>
    <s v="Yoga Mat"/>
    <n v="118.27"/>
    <s v="Autumn"/>
    <s v="Card"/>
    <n v="4"/>
    <x v="12"/>
    <n v="7"/>
    <n v="146.01234567901233"/>
    <n v="27.742345679012331"/>
    <x v="0"/>
    <n v="1"/>
  </r>
  <r>
    <n v="2480"/>
    <n v="41"/>
    <s v="Female"/>
    <s v="Accessories"/>
    <s v="Wallet"/>
    <n v="155.41"/>
    <s v="Winter"/>
    <s v="Card"/>
    <n v="5"/>
    <x v="10"/>
    <n v="6"/>
    <n v="199.24358974358972"/>
    <n v="43.833589743589727"/>
    <x v="1"/>
    <n v="1"/>
  </r>
  <r>
    <n v="2481"/>
    <n v="47"/>
    <s v="Male"/>
    <s v="Footwear"/>
    <s v="Sandals"/>
    <n v="162.15"/>
    <s v="Autumn"/>
    <s v="Card"/>
    <n v="4.9000000000000004"/>
    <x v="10"/>
    <n v="6"/>
    <n v="207.88461538461539"/>
    <n v="45.734615384615381"/>
    <x v="4"/>
    <n v="1"/>
  </r>
  <r>
    <n v="2482"/>
    <n v="62"/>
    <s v="Male"/>
    <s v="Mens Clothing"/>
    <s v="Shirt"/>
    <n v="122.41"/>
    <s v="Spring"/>
    <s v="Card"/>
    <n v="3"/>
    <x v="14"/>
    <n v="6"/>
    <n v="147.48192771084337"/>
    <n v="25.071927710843369"/>
    <x v="0"/>
    <n v="1"/>
  </r>
  <r>
    <n v="2483"/>
    <n v="42"/>
    <s v="Male"/>
    <s v="Footwear"/>
    <s v="Sandals"/>
    <n v="166.76"/>
    <s v="Spring"/>
    <s v="Card"/>
    <n v="3.4"/>
    <x v="0"/>
    <n v="9"/>
    <n v="203.36585365853657"/>
    <n v="36.605853658536574"/>
    <x v="1"/>
    <n v="1"/>
  </r>
  <r>
    <n v="2484"/>
    <n v="55"/>
    <s v="Male"/>
    <s v="Sports"/>
    <s v="Football"/>
    <n v="91.77"/>
    <s v="Autumn"/>
    <s v="Cash on Delivery"/>
    <n v="3.8"/>
    <x v="3"/>
    <n v="5"/>
    <n v="114.71249999999999"/>
    <n v="22.942499999999995"/>
    <x v="4"/>
    <n v="1"/>
  </r>
  <r>
    <n v="2485"/>
    <n v="70"/>
    <s v="Female"/>
    <s v="Womens Clothing"/>
    <s v="Top"/>
    <n v="112.59"/>
    <s v="Spring"/>
    <s v="Card"/>
    <n v="4.7"/>
    <x v="0"/>
    <n v="4"/>
    <n v="137.30487804878049"/>
    <n v="24.714878048780491"/>
    <x v="2"/>
    <n v="1"/>
  </r>
  <r>
    <n v="2486"/>
    <n v="30"/>
    <s v="Female"/>
    <s v="Womens Clothing"/>
    <s v="Top"/>
    <n v="77.540000000000006"/>
    <s v="Summer"/>
    <s v="Cash on Delivery"/>
    <n v="3.8"/>
    <x v="0"/>
    <n v="4"/>
    <n v="94.560975609756099"/>
    <n v="17.020975609756093"/>
    <x v="5"/>
    <n v="1"/>
  </r>
  <r>
    <n v="2487"/>
    <n v="58"/>
    <s v="Female"/>
    <s v="Accessories"/>
    <s v="Sunglasses"/>
    <n v="125.61"/>
    <s v="Autumn"/>
    <s v="Card"/>
    <n v="3.3"/>
    <x v="8"/>
    <n v="6"/>
    <n v="142.73863636363637"/>
    <n v="17.128636363636375"/>
    <x v="0"/>
    <n v="1"/>
  </r>
  <r>
    <n v="2488"/>
    <n v="66"/>
    <s v="Female"/>
    <s v="Accessories"/>
    <s v="Handbag"/>
    <n v="175.38"/>
    <s v="Autumn"/>
    <s v="Card"/>
    <n v="4.0999999999999996"/>
    <x v="8"/>
    <n v="6"/>
    <n v="199.29545454545453"/>
    <n v="23.915454545454537"/>
    <x v="2"/>
    <n v="1"/>
  </r>
  <r>
    <n v="2489"/>
    <n v="45"/>
    <s v="Female"/>
    <s v="Footwear"/>
    <s v="Sandals"/>
    <n v="199.34"/>
    <s v="Summer"/>
    <s v="Card"/>
    <n v="5"/>
    <x v="6"/>
    <n v="3"/>
    <n v="237.30952380952382"/>
    <n v="37.969523809523821"/>
    <x v="1"/>
    <n v="1"/>
  </r>
  <r>
    <n v="2490"/>
    <n v="57"/>
    <s v="Male"/>
    <s v="Footwear"/>
    <s v="Sneakers"/>
    <n v="102.02"/>
    <s v="Winter"/>
    <s v="Card"/>
    <n v="4"/>
    <x v="12"/>
    <n v="7"/>
    <n v="125.95061728395061"/>
    <n v="23.93061728395061"/>
    <x v="0"/>
    <n v="1"/>
  </r>
  <r>
    <n v="2491"/>
    <n v="27"/>
    <s v="Male"/>
    <s v="Electronics"/>
    <s v="Smart Watch"/>
    <n v="736.82"/>
    <s v="Autumn"/>
    <s v="Card"/>
    <n v="4.4000000000000004"/>
    <x v="7"/>
    <n v="5"/>
    <n v="818.68888888888887"/>
    <n v="81.868888888888819"/>
    <x v="5"/>
    <n v="1"/>
  </r>
  <r>
    <n v="2492"/>
    <n v="61"/>
    <s v="Male"/>
    <s v="Mens Clothing"/>
    <s v="Shirt"/>
    <n v="67.64"/>
    <s v="Summer"/>
    <s v="Cash on Delivery"/>
    <n v="3.6"/>
    <x v="0"/>
    <n v="4"/>
    <n v="82.487804878048777"/>
    <n v="14.847804878048777"/>
    <x v="0"/>
    <n v="1"/>
  </r>
  <r>
    <n v="2493"/>
    <n v="61"/>
    <s v="Male"/>
    <s v="Mens Clothing"/>
    <s v="Shirt"/>
    <n v="97.18"/>
    <s v="Summer"/>
    <s v="Card"/>
    <n v="3.9"/>
    <x v="12"/>
    <n v="7"/>
    <n v="119.9753086419753"/>
    <n v="22.795308641975296"/>
    <x v="0"/>
    <n v="1"/>
  </r>
  <r>
    <n v="2494"/>
    <n v="36"/>
    <s v="Female"/>
    <s v="Womens Clothing"/>
    <s v="Top"/>
    <n v="96.2"/>
    <s v="Winter"/>
    <s v="Cash on Delivery"/>
    <n v="5"/>
    <x v="16"/>
    <n v="3"/>
    <n v="102.3404255319149"/>
    <n v="6.1404255319149001"/>
    <x v="1"/>
    <n v="1"/>
  </r>
  <r>
    <n v="2495"/>
    <n v="30"/>
    <s v="Male"/>
    <s v="Footwear"/>
    <s v="Formal Shoes"/>
    <n v="178.66"/>
    <s v="Winter"/>
    <s v="Card"/>
    <n v="3.1"/>
    <x v="6"/>
    <n v="3"/>
    <n v="212.6904761904762"/>
    <n v="34.030476190476207"/>
    <x v="5"/>
    <n v="1"/>
  </r>
  <r>
    <n v="2496"/>
    <n v="58"/>
    <s v="Male"/>
    <s v="Mens Clothing"/>
    <s v="Shirt"/>
    <n v="59.56"/>
    <s v="Autumn"/>
    <s v="Card"/>
    <n v="4.5"/>
    <x v="18"/>
    <n v="7"/>
    <n v="78.368421052631575"/>
    <n v="18.808421052631573"/>
    <x v="0"/>
    <n v="1"/>
  </r>
  <r>
    <n v="2497"/>
    <n v="44"/>
    <s v="Male"/>
    <s v="Sports"/>
    <s v="Football"/>
    <n v="211.96"/>
    <s v="Spring"/>
    <s v="Card"/>
    <n v="2.7"/>
    <x v="18"/>
    <n v="7"/>
    <n v="278.89473684210526"/>
    <n v="66.934736842105252"/>
    <x v="1"/>
    <n v="1"/>
  </r>
  <r>
    <n v="2498"/>
    <n v="28"/>
    <s v="Male"/>
    <s v="Footwear"/>
    <s v="Formal Shoes"/>
    <n v="54.72"/>
    <s v="Winter"/>
    <s v="Cash on Delivery"/>
    <n v="3"/>
    <x v="5"/>
    <n v="4"/>
    <n v="59.478260869565212"/>
    <n v="4.7582608695652127"/>
    <x v="5"/>
    <n v="1"/>
  </r>
  <r>
    <n v="2499"/>
    <n v="50"/>
    <s v="Female"/>
    <s v="Womens Clothing"/>
    <s v="Jeans"/>
    <n v="166.8"/>
    <s v="Autumn"/>
    <s v="Card"/>
    <n v="4.8"/>
    <x v="19"/>
    <n v="5"/>
    <n v="196.23529411764707"/>
    <n v="29.435294117647061"/>
    <x v="4"/>
    <n v="1"/>
  </r>
  <r>
    <n v="2500"/>
    <n v="36"/>
    <s v="Female"/>
    <s v="Sports"/>
    <s v="Football"/>
    <n v="180.09"/>
    <s v="Winter"/>
    <s v="Card"/>
    <n v="4.9000000000000004"/>
    <x v="12"/>
    <n v="7"/>
    <n v="222.33333333333331"/>
    <n v="42.243333333333311"/>
    <x v="1"/>
    <n v="1"/>
  </r>
  <r>
    <n v="2501"/>
    <n v="55"/>
    <s v="Female"/>
    <s v="Sports"/>
    <s v="Football"/>
    <n v="73.290000000000006"/>
    <s v="Winter"/>
    <s v="Card"/>
    <n v="4.5999999999999996"/>
    <x v="12"/>
    <n v="7"/>
    <n v="90.481481481481481"/>
    <n v="17.191481481481475"/>
    <x v="4"/>
    <n v="1"/>
  </r>
  <r>
    <n v="2502"/>
    <n v="49"/>
    <s v="Male"/>
    <s v="Sports"/>
    <s v="Football"/>
    <n v="240.58"/>
    <s v="Spring"/>
    <s v="Card"/>
    <n v="4.2"/>
    <x v="18"/>
    <n v="7"/>
    <n v="316.5526315789474"/>
    <n v="75.972631578947386"/>
    <x v="4"/>
    <n v="1"/>
  </r>
  <r>
    <n v="2503"/>
    <n v="58"/>
    <s v="Female"/>
    <s v="Home"/>
    <s v="Kitchen Set"/>
    <n v="80.55"/>
    <s v="Spring"/>
    <s v="Card"/>
    <n v="4.8"/>
    <x v="1"/>
    <n v="4"/>
    <n v="92.586206896551715"/>
    <n v="12.036206896551718"/>
    <x v="0"/>
    <n v="1"/>
  </r>
  <r>
    <n v="2504"/>
    <n v="57"/>
    <s v="Male"/>
    <s v="Electronics"/>
    <s v="Smart Watch"/>
    <n v="1635.17"/>
    <s v="Summer"/>
    <s v="Card"/>
    <n v="4.0999999999999996"/>
    <x v="13"/>
    <n v="2"/>
    <n v="1796.8901098901099"/>
    <n v="161.72010989010982"/>
    <x v="0"/>
    <n v="1"/>
  </r>
  <r>
    <n v="2505"/>
    <n v="25"/>
    <s v="Male"/>
    <s v="Footwear"/>
    <s v="Formal Shoes"/>
    <n v="226.76"/>
    <s v="Winter"/>
    <s v="Card"/>
    <n v="4.2"/>
    <x v="21"/>
    <n v="8"/>
    <n v="287.03797468354429"/>
    <n v="60.277974683544301"/>
    <x v="3"/>
    <n v="1"/>
  </r>
  <r>
    <n v="2506"/>
    <n v="42"/>
    <s v="Male"/>
    <s v="Sports"/>
    <s v="Football"/>
    <n v="132.34"/>
    <s v="Spring"/>
    <s v="Card"/>
    <n v="4.5"/>
    <x v="3"/>
    <n v="5"/>
    <n v="165.42499999999998"/>
    <n v="33.08499999999998"/>
    <x v="1"/>
    <n v="1"/>
  </r>
  <r>
    <n v="2507"/>
    <n v="42"/>
    <s v="Female"/>
    <s v="Accessories"/>
    <s v="Wallet"/>
    <n v="151.58000000000001"/>
    <s v="Spring"/>
    <s v="Card"/>
    <n v="4.0999999999999996"/>
    <x v="15"/>
    <n v="1"/>
    <n v="154.67346938775512"/>
    <n v="3.0934693877551069"/>
    <x v="1"/>
    <n v="1"/>
  </r>
  <r>
    <n v="2508"/>
    <n v="35"/>
    <s v="Male"/>
    <s v="Groceries"/>
    <s v="Cooking Oil"/>
    <n v="6.79"/>
    <s v="Autumn"/>
    <s v="Cash on Delivery"/>
    <n v="3.4"/>
    <x v="6"/>
    <n v="8"/>
    <n v="8.0833333333333339"/>
    <n v="1.2933333333333339"/>
    <x v="5"/>
    <n v="1"/>
  </r>
  <r>
    <n v="2509"/>
    <n v="53"/>
    <s v="Female"/>
    <s v="Footwear"/>
    <s v="Sandals"/>
    <n v="177.6"/>
    <s v="Autumn"/>
    <s v="Card"/>
    <n v="5"/>
    <x v="11"/>
    <n v="8"/>
    <n v="240"/>
    <n v="62.400000000000006"/>
    <x v="4"/>
    <n v="1"/>
  </r>
  <r>
    <n v="2510"/>
    <n v="49"/>
    <s v="Male"/>
    <s v="Electronics"/>
    <s v="Smart Watch"/>
    <n v="1297.0899999999999"/>
    <s v="Spring"/>
    <s v="Card"/>
    <n v="4.8"/>
    <x v="3"/>
    <n v="5"/>
    <n v="1621.3624999999997"/>
    <n v="324.27249999999981"/>
    <x v="4"/>
    <n v="1"/>
  </r>
  <r>
    <n v="2511"/>
    <n v="28"/>
    <s v="Female"/>
    <s v="Accessories"/>
    <s v="Sunglasses"/>
    <n v="76.02"/>
    <s v="Autumn"/>
    <s v="Card"/>
    <n v="4"/>
    <x v="10"/>
    <n v="6"/>
    <n v="97.461538461538453"/>
    <n v="21.441538461538457"/>
    <x v="5"/>
    <n v="1"/>
  </r>
  <r>
    <n v="2512"/>
    <n v="37"/>
    <s v="Female"/>
    <s v="Footwear"/>
    <s v="Formal Shoes"/>
    <n v="158.57"/>
    <s v="Spring"/>
    <s v="Card"/>
    <n v="3.3"/>
    <x v="16"/>
    <n v="3"/>
    <n v="168.69148936170214"/>
    <n v="10.121489361702146"/>
    <x v="1"/>
    <n v="1"/>
  </r>
  <r>
    <n v="2513"/>
    <n v="27"/>
    <s v="Female"/>
    <s v="Womens Clothing"/>
    <s v="Skirt"/>
    <n v="88.33"/>
    <s v="Winter"/>
    <s v="Card"/>
    <n v="3.8"/>
    <x v="7"/>
    <n v="5"/>
    <n v="98.144444444444446"/>
    <n v="9.8144444444444474"/>
    <x v="5"/>
    <n v="1"/>
  </r>
  <r>
    <n v="2514"/>
    <n v="54"/>
    <s v="Male"/>
    <s v="Mens Clothing"/>
    <s v="Shirt"/>
    <n v="181.51"/>
    <s v="Autumn"/>
    <s v="Card"/>
    <n v="4.8"/>
    <x v="1"/>
    <n v="4"/>
    <n v="208.63218390804596"/>
    <n v="27.122183908045969"/>
    <x v="4"/>
    <n v="1"/>
  </r>
  <r>
    <n v="2515"/>
    <n v="27"/>
    <s v="Male"/>
    <s v="Mens Clothing"/>
    <s v="Shirt"/>
    <n v="48.86"/>
    <s v="Winter"/>
    <s v="Cash on Delivery"/>
    <n v="4.8"/>
    <x v="5"/>
    <n v="4"/>
    <n v="53.108695652173907"/>
    <n v="4.2486956521739074"/>
    <x v="5"/>
    <n v="1"/>
  </r>
  <r>
    <n v="2516"/>
    <n v="55"/>
    <s v="Female"/>
    <s v="Accessories"/>
    <s v="Handbag"/>
    <n v="124.2"/>
    <s v="Spring"/>
    <s v="Card"/>
    <n v="3.6"/>
    <x v="8"/>
    <n v="6"/>
    <n v="141.13636363636363"/>
    <n v="16.936363636363623"/>
    <x v="4"/>
    <n v="1"/>
  </r>
  <r>
    <n v="2517"/>
    <n v="37"/>
    <s v="Female"/>
    <s v="Beauty"/>
    <s v="Skincare Kit"/>
    <n v="130.83000000000001"/>
    <s v="Spring"/>
    <s v="Card"/>
    <n v="5"/>
    <x v="0"/>
    <n v="4"/>
    <n v="159.54878048780489"/>
    <n v="28.718780487804878"/>
    <x v="1"/>
    <n v="1"/>
  </r>
  <r>
    <n v="2518"/>
    <n v="21"/>
    <s v="Male"/>
    <s v="Mens Clothing"/>
    <s v="Shirt"/>
    <n v="46.83"/>
    <s v="Spring"/>
    <s v="Card"/>
    <n v="5"/>
    <x v="6"/>
    <n v="3"/>
    <n v="55.75"/>
    <n v="8.9200000000000017"/>
    <x v="3"/>
    <n v="1"/>
  </r>
  <r>
    <n v="2519"/>
    <n v="47"/>
    <s v="Male"/>
    <s v="Footwear"/>
    <s v="Formal Shoes"/>
    <n v="43.11"/>
    <s v="Spring"/>
    <s v="Card"/>
    <n v="3.6"/>
    <x v="6"/>
    <n v="8"/>
    <n v="51.321428571428569"/>
    <n v="8.21142857142857"/>
    <x v="4"/>
    <n v="1"/>
  </r>
  <r>
    <n v="2520"/>
    <n v="55"/>
    <s v="Female"/>
    <s v="Beauty"/>
    <s v="Makeup Set"/>
    <n v="131.37"/>
    <s v="Autumn"/>
    <s v="Card"/>
    <n v="3.4"/>
    <x v="4"/>
    <n v="2"/>
    <n v="152.75581395348837"/>
    <n v="21.385813953488366"/>
    <x v="4"/>
    <n v="1"/>
  </r>
  <r>
    <n v="2521"/>
    <n v="35"/>
    <s v="Female"/>
    <s v="Footwear"/>
    <s v="Formal Shoes"/>
    <n v="216.78"/>
    <s v="Autumn"/>
    <s v="Card"/>
    <n v="3.7"/>
    <x v="7"/>
    <n v="5"/>
    <n v="240.86666666666667"/>
    <n v="24.086666666666673"/>
    <x v="5"/>
    <n v="1"/>
  </r>
  <r>
    <n v="2522"/>
    <n v="45"/>
    <s v="Female"/>
    <s v="Groceries"/>
    <s v="Snacks"/>
    <n v="21.14"/>
    <s v="Winter"/>
    <s v="Card"/>
    <n v="3.7"/>
    <x v="10"/>
    <n v="6"/>
    <n v="27.102564102564102"/>
    <n v="5.9625641025641016"/>
    <x v="1"/>
    <n v="1"/>
  </r>
  <r>
    <n v="2523"/>
    <n v="69"/>
    <s v="Female"/>
    <s v="Footwear"/>
    <s v="Formal Shoes"/>
    <n v="237.37"/>
    <s v="Autumn"/>
    <s v="Card"/>
    <n v="3.1"/>
    <x v="6"/>
    <n v="3"/>
    <n v="282.58333333333337"/>
    <n v="45.213333333333367"/>
    <x v="2"/>
    <n v="1"/>
  </r>
  <r>
    <n v="2524"/>
    <n v="35"/>
    <s v="Female"/>
    <s v="Footwear"/>
    <s v="Sandals"/>
    <n v="112.58"/>
    <s v="Winter"/>
    <s v="Card"/>
    <n v="4"/>
    <x v="5"/>
    <n v="4"/>
    <n v="122.3695652173913"/>
    <n v="9.7895652173912993"/>
    <x v="5"/>
    <n v="1"/>
  </r>
  <r>
    <n v="2525"/>
    <n v="47"/>
    <s v="Male"/>
    <s v="Groceries"/>
    <s v="Rice Pack"/>
    <n v="38.119999999999997"/>
    <s v="Autumn"/>
    <s v="Cash on Delivery"/>
    <n v="3.7"/>
    <x v="5"/>
    <n v="4"/>
    <n v="41.434782608695649"/>
    <n v="3.3147826086956513"/>
    <x v="4"/>
    <n v="1"/>
  </r>
  <r>
    <n v="2526"/>
    <n v="40"/>
    <s v="Female"/>
    <s v="Beauty"/>
    <s v="Perfume"/>
    <n v="79.73"/>
    <s v="Autumn"/>
    <s v="Card"/>
    <n v="3.5"/>
    <x v="8"/>
    <n v="1"/>
    <n v="90.602272727272734"/>
    <n v="10.87227272727273"/>
    <x v="1"/>
    <n v="1"/>
  </r>
  <r>
    <n v="2527"/>
    <n v="40"/>
    <s v="Female"/>
    <s v="Groceries"/>
    <s v="Snacks"/>
    <n v="23.39"/>
    <s v="Winter"/>
    <s v="Cash on Delivery"/>
    <n v="3.7"/>
    <x v="0"/>
    <n v="4"/>
    <n v="28.524390243902438"/>
    <n v="5.1343902439024376"/>
    <x v="1"/>
    <n v="1"/>
  </r>
  <r>
    <n v="2528"/>
    <n v="49"/>
    <s v="Female"/>
    <s v="Sports"/>
    <s v="Football"/>
    <n v="155.91999999999999"/>
    <s v="Summer"/>
    <s v="Card"/>
    <n v="4.0999999999999996"/>
    <x v="5"/>
    <n v="4"/>
    <n v="169.47826086956519"/>
    <n v="13.558260869565203"/>
    <x v="4"/>
    <n v="1"/>
  </r>
  <r>
    <n v="2529"/>
    <n v="25"/>
    <s v="Male"/>
    <s v="Electronics"/>
    <s v="Headphones"/>
    <n v="1144.23"/>
    <s v="Summer"/>
    <s v="Card"/>
    <n v="3.4"/>
    <x v="15"/>
    <n v="1"/>
    <n v="1167.5816326530612"/>
    <n v="23.351632653061188"/>
    <x v="3"/>
    <n v="1"/>
  </r>
  <r>
    <n v="2530"/>
    <n v="35"/>
    <s v="Male"/>
    <s v="Mens Clothing"/>
    <s v="T-Shirt"/>
    <n v="180.47"/>
    <s v="Winter"/>
    <s v="Card"/>
    <n v="4"/>
    <x v="8"/>
    <n v="6"/>
    <n v="205.07954545454544"/>
    <n v="24.60954545454544"/>
    <x v="5"/>
    <n v="1"/>
  </r>
  <r>
    <n v="2531"/>
    <n v="67"/>
    <s v="Female"/>
    <s v="Home"/>
    <s v="Lamp"/>
    <n v="127.66"/>
    <s v="Summer"/>
    <s v="Card"/>
    <n v="4.3"/>
    <x v="19"/>
    <n v="5"/>
    <n v="150.18823529411765"/>
    <n v="22.52823529411765"/>
    <x v="2"/>
    <n v="1"/>
  </r>
  <r>
    <n v="2532"/>
    <n v="58"/>
    <s v="Female"/>
    <s v="Groceries"/>
    <s v="Cooking Oil"/>
    <n v="24.67"/>
    <s v="Spring"/>
    <s v="Card"/>
    <n v="5"/>
    <x v="5"/>
    <n v="4"/>
    <n v="26.815217391304348"/>
    <n v="2.145217391304346"/>
    <x v="0"/>
    <n v="1"/>
  </r>
  <r>
    <n v="2533"/>
    <n v="57"/>
    <s v="Male"/>
    <s v="Home"/>
    <s v="Curtains"/>
    <n v="146.46"/>
    <s v="Spring"/>
    <s v="Card"/>
    <n v="4.4000000000000004"/>
    <x v="16"/>
    <n v="3"/>
    <n v="155.80851063829789"/>
    <n v="9.3485106382978813"/>
    <x v="0"/>
    <n v="1"/>
  </r>
  <r>
    <n v="2534"/>
    <n v="44"/>
    <s v="Female"/>
    <s v="Womens Clothing"/>
    <s v="Skirt"/>
    <n v="88.66"/>
    <s v="Spring"/>
    <s v="Cash on Delivery"/>
    <n v="3.1"/>
    <x v="19"/>
    <n v="5"/>
    <n v="104.30588235294117"/>
    <n v="15.645882352941172"/>
    <x v="1"/>
    <n v="1"/>
  </r>
  <r>
    <n v="2535"/>
    <n v="22"/>
    <s v="Male"/>
    <s v="Sports"/>
    <s v="Dumbbells"/>
    <n v="174.54"/>
    <s v="Winter"/>
    <s v="Card"/>
    <n v="3.3"/>
    <x v="0"/>
    <n v="9"/>
    <n v="212.85365853658533"/>
    <n v="38.313658536585336"/>
    <x v="3"/>
    <n v="1"/>
  </r>
  <r>
    <n v="2536"/>
    <n v="26"/>
    <s v="Male"/>
    <s v="Electronics"/>
    <s v="Laptop"/>
    <n v="689.29"/>
    <s v="Autumn"/>
    <s v="Card"/>
    <n v="3.7"/>
    <x v="17"/>
    <n v="2"/>
    <n v="718.01041666666663"/>
    <n v="28.720416666666665"/>
    <x v="5"/>
    <n v="1"/>
  </r>
  <r>
    <n v="2537"/>
    <n v="48"/>
    <s v="Female"/>
    <s v="Womens Clothing"/>
    <s v="Top"/>
    <n v="102.81"/>
    <s v="Summer"/>
    <s v="Card"/>
    <n v="2.8"/>
    <x v="1"/>
    <n v="4"/>
    <n v="118.17241379310344"/>
    <n v="15.362413793103443"/>
    <x v="4"/>
    <n v="1"/>
  </r>
  <r>
    <n v="2538"/>
    <n v="53"/>
    <s v="Female"/>
    <s v="Womens Clothing"/>
    <s v="Skirt"/>
    <n v="98.94"/>
    <s v="Autumn"/>
    <s v="Card"/>
    <n v="4.8"/>
    <x v="19"/>
    <n v="5"/>
    <n v="116.4"/>
    <n v="17.460000000000008"/>
    <x v="4"/>
    <n v="1"/>
  </r>
  <r>
    <n v="2539"/>
    <n v="63"/>
    <s v="Male"/>
    <s v="Mens Clothing"/>
    <s v="T-Shirt"/>
    <n v="111.55"/>
    <s v="Winter"/>
    <s v="Card"/>
    <n v="3.4"/>
    <x v="8"/>
    <n v="6"/>
    <n v="126.76136363636363"/>
    <n v="15.211363636363629"/>
    <x v="0"/>
    <n v="1"/>
  </r>
  <r>
    <n v="2540"/>
    <n v="56"/>
    <s v="Female"/>
    <s v="Footwear"/>
    <s v="Formal Shoes"/>
    <n v="97.22"/>
    <s v="Autumn"/>
    <s v="Card"/>
    <n v="2.8"/>
    <x v="17"/>
    <n v="2"/>
    <n v="101.27083333333334"/>
    <n v="4.0508333333333439"/>
    <x v="0"/>
    <n v="1"/>
  </r>
  <r>
    <n v="2541"/>
    <n v="61"/>
    <s v="Female"/>
    <s v="Sports"/>
    <s v="Yoga Mat"/>
    <n v="25.02"/>
    <s v="Spring"/>
    <s v="Cash on Delivery"/>
    <n v="4.2"/>
    <x v="6"/>
    <n v="3"/>
    <n v="29.785714285714285"/>
    <n v="4.7657142857142851"/>
    <x v="0"/>
    <n v="1"/>
  </r>
  <r>
    <n v="2542"/>
    <n v="36"/>
    <s v="Female"/>
    <s v="Footwear"/>
    <s v="Sneakers"/>
    <n v="96.04"/>
    <s v="Autumn"/>
    <s v="Cash on Delivery"/>
    <n v="2.8"/>
    <x v="3"/>
    <n v="5"/>
    <n v="120.05"/>
    <n v="24.009999999999991"/>
    <x v="1"/>
    <n v="1"/>
  </r>
  <r>
    <n v="2543"/>
    <n v="25"/>
    <s v="Male"/>
    <s v="Footwear"/>
    <s v="Sandals"/>
    <n v="77.540000000000006"/>
    <s v="Summer"/>
    <s v="Card"/>
    <n v="4"/>
    <x v="19"/>
    <n v="5"/>
    <n v="91.223529411764716"/>
    <n v="13.683529411764709"/>
    <x v="3"/>
    <n v="1"/>
  </r>
  <r>
    <n v="2544"/>
    <n v="23"/>
    <s v="Female"/>
    <s v="Footwear"/>
    <s v="Sandals"/>
    <n v="128.30000000000001"/>
    <s v="Autumn"/>
    <s v="Card"/>
    <n v="2.7"/>
    <x v="7"/>
    <n v="5"/>
    <n v="142.55555555555557"/>
    <n v="14.25555555555556"/>
    <x v="3"/>
    <n v="1"/>
  </r>
  <r>
    <n v="2545"/>
    <n v="64"/>
    <s v="Female"/>
    <s v="Footwear"/>
    <s v="Sneakers"/>
    <n v="123.62"/>
    <s v="Winter"/>
    <s v="Card"/>
    <n v="4.2"/>
    <x v="7"/>
    <n v="5"/>
    <n v="137.35555555555555"/>
    <n v="13.73555555555555"/>
    <x v="0"/>
    <n v="1"/>
  </r>
  <r>
    <n v="2546"/>
    <n v="54"/>
    <s v="Male"/>
    <s v="Sports"/>
    <s v="Yoga Mat"/>
    <n v="113.57"/>
    <s v="Autumn"/>
    <s v="Card"/>
    <n v="3"/>
    <x v="19"/>
    <n v="5"/>
    <n v="133.61176470588234"/>
    <n v="20.041764705882343"/>
    <x v="4"/>
    <n v="1"/>
  </r>
  <r>
    <n v="2547"/>
    <n v="22"/>
    <s v="Female"/>
    <s v="Accessories"/>
    <s v="Sunglasses"/>
    <n v="76.34"/>
    <s v="Summer"/>
    <s v="Cash on Delivery"/>
    <n v="3.9"/>
    <x v="14"/>
    <n v="6"/>
    <n v="91.975903614457835"/>
    <n v="15.635903614457831"/>
    <x v="3"/>
    <n v="1"/>
  </r>
  <r>
    <n v="2548"/>
    <n v="61"/>
    <s v="Male"/>
    <s v="Mens Clothing"/>
    <s v="T-Shirt"/>
    <n v="128.18"/>
    <s v="Spring"/>
    <s v="Card"/>
    <n v="3.6"/>
    <x v="6"/>
    <n v="3"/>
    <n v="152.5952380952381"/>
    <n v="24.415238095238095"/>
    <x v="0"/>
    <n v="1"/>
  </r>
  <r>
    <n v="2549"/>
    <n v="26"/>
    <s v="Male"/>
    <s v="Sports"/>
    <s v="Football"/>
    <n v="98.3"/>
    <s v="Autumn"/>
    <s v="Card"/>
    <n v="3.9"/>
    <x v="6"/>
    <n v="3"/>
    <n v="117.02380952380952"/>
    <n v="18.723809523809521"/>
    <x v="5"/>
    <n v="1"/>
  </r>
  <r>
    <n v="2550"/>
    <n v="42"/>
    <s v="Female"/>
    <s v="Beauty"/>
    <s v="Skincare Kit"/>
    <n v="74.72"/>
    <s v="Spring"/>
    <s v="Card"/>
    <n v="4.3"/>
    <x v="27"/>
    <n v="10"/>
    <n v="99.626666666666665"/>
    <n v="24.906666666666666"/>
    <x v="1"/>
    <n v="1"/>
  </r>
  <r>
    <n v="2551"/>
    <n v="56"/>
    <s v="Female"/>
    <s v="Womens Clothing"/>
    <s v="Top"/>
    <n v="104.87"/>
    <s v="Autumn"/>
    <s v="Card"/>
    <n v="4.4000000000000004"/>
    <x v="10"/>
    <n v="11"/>
    <n v="134.44871794871796"/>
    <n v="29.578717948717951"/>
    <x v="0"/>
    <n v="1"/>
  </r>
  <r>
    <n v="2552"/>
    <n v="54"/>
    <s v="Female"/>
    <s v="Accessories"/>
    <s v="Wallet"/>
    <n v="54.62"/>
    <s v="Summer"/>
    <s v="Cash on Delivery"/>
    <n v="3.7"/>
    <x v="5"/>
    <n v="4"/>
    <n v="59.369565217391298"/>
    <n v="4.7495652173913001"/>
    <x v="4"/>
    <n v="1"/>
  </r>
  <r>
    <n v="2553"/>
    <n v="50"/>
    <s v="Female"/>
    <s v="Accessories"/>
    <s v="Wallet"/>
    <n v="161.18"/>
    <s v="Summer"/>
    <s v="Card"/>
    <n v="3.9"/>
    <x v="10"/>
    <n v="6"/>
    <n v="206.64102564102564"/>
    <n v="45.461025641025628"/>
    <x v="4"/>
    <n v="1"/>
  </r>
  <r>
    <n v="2554"/>
    <n v="52"/>
    <s v="Female"/>
    <s v="Groceries"/>
    <s v="Cooking Oil"/>
    <n v="36.75"/>
    <s v="Autumn"/>
    <s v="Card"/>
    <n v="4"/>
    <x v="5"/>
    <n v="4"/>
    <n v="39.945652173913039"/>
    <n v="3.1956521739130395"/>
    <x v="4"/>
    <n v="1"/>
  </r>
  <r>
    <n v="2555"/>
    <n v="41"/>
    <s v="Female"/>
    <s v="Accessories"/>
    <s v="Sunglasses"/>
    <n v="101.23"/>
    <s v="Spring"/>
    <s v="Card"/>
    <n v="2.8"/>
    <x v="19"/>
    <n v="5"/>
    <n v="119.09411764705884"/>
    <n v="17.864117647058833"/>
    <x v="1"/>
    <n v="1"/>
  </r>
  <r>
    <n v="2556"/>
    <n v="63"/>
    <s v="Female"/>
    <s v="Groceries"/>
    <s v="Beverages"/>
    <n v="69.8"/>
    <s v="Autumn"/>
    <s v="Cash on Delivery"/>
    <n v="5"/>
    <x v="7"/>
    <n v="5"/>
    <n v="77.555555555555557"/>
    <n v="7.75555555555556"/>
    <x v="0"/>
    <n v="1"/>
  </r>
  <r>
    <n v="2557"/>
    <n v="57"/>
    <s v="Female"/>
    <s v="Groceries"/>
    <s v="Beverages"/>
    <n v="56.76"/>
    <s v="Summer"/>
    <s v="Card"/>
    <n v="3.9"/>
    <x v="10"/>
    <n v="6"/>
    <n v="72.769230769230759"/>
    <n v="16.009230769230761"/>
    <x v="0"/>
    <n v="1"/>
  </r>
  <r>
    <n v="2558"/>
    <n v="44"/>
    <s v="Female"/>
    <s v="Sports"/>
    <s v="Dumbbells"/>
    <n v="192.76"/>
    <s v="Autumn"/>
    <s v="Card"/>
    <n v="3.5"/>
    <x v="19"/>
    <n v="5"/>
    <n v="226.7764705882353"/>
    <n v="34.016470588235308"/>
    <x v="1"/>
    <n v="1"/>
  </r>
  <r>
    <n v="2559"/>
    <n v="47"/>
    <s v="Male"/>
    <s v="Sports"/>
    <s v="Dumbbells"/>
    <n v="133.84"/>
    <s v="Summer"/>
    <s v="Card"/>
    <n v="5"/>
    <x v="4"/>
    <n v="7"/>
    <n v="155.62790697674419"/>
    <n v="21.787906976744182"/>
    <x v="4"/>
    <n v="1"/>
  </r>
  <r>
    <n v="2560"/>
    <n v="66"/>
    <s v="Female"/>
    <s v="Accessories"/>
    <s v="Sunglasses"/>
    <n v="48.53"/>
    <s v="Summer"/>
    <s v="Card"/>
    <n v="2.9"/>
    <x v="2"/>
    <n v="3"/>
    <n v="54.528089887640448"/>
    <n v="5.9980898876404467"/>
    <x v="2"/>
    <n v="1"/>
  </r>
  <r>
    <n v="2561"/>
    <n v="65"/>
    <s v="Female"/>
    <s v="Home"/>
    <s v="Kitchen Set"/>
    <n v="157.49"/>
    <s v="Spring"/>
    <s v="Card"/>
    <n v="3.8"/>
    <x v="14"/>
    <n v="6"/>
    <n v="189.74698795180726"/>
    <n v="32.256987951807247"/>
    <x v="0"/>
    <n v="1"/>
  </r>
  <r>
    <n v="2562"/>
    <n v="69"/>
    <s v="Male"/>
    <s v="Footwear"/>
    <s v="Formal Shoes"/>
    <n v="157.19999999999999"/>
    <s v="Winter"/>
    <s v="Card"/>
    <n v="4.4000000000000004"/>
    <x v="2"/>
    <n v="3"/>
    <n v="176.62921348314606"/>
    <n v="19.429213483146071"/>
    <x v="2"/>
    <n v="1"/>
  </r>
  <r>
    <n v="2563"/>
    <n v="45"/>
    <s v="Female"/>
    <s v="Beauty"/>
    <s v="Skincare Kit"/>
    <n v="59.66"/>
    <s v="Autumn"/>
    <s v="Card"/>
    <n v="3.8"/>
    <x v="2"/>
    <n v="3"/>
    <n v="67.033707865168537"/>
    <n v="7.3737078651685408"/>
    <x v="1"/>
    <n v="1"/>
  </r>
  <r>
    <n v="2564"/>
    <n v="37"/>
    <s v="Female"/>
    <s v="Womens Clothing"/>
    <s v="Jeans"/>
    <n v="181.19"/>
    <s v="Summer"/>
    <s v="Card"/>
    <n v="4.3"/>
    <x v="10"/>
    <n v="6"/>
    <n v="232.2948717948718"/>
    <n v="51.104871794871798"/>
    <x v="1"/>
    <n v="1"/>
  </r>
  <r>
    <n v="2565"/>
    <n v="47"/>
    <s v="Female"/>
    <s v="Womens Clothing"/>
    <s v="Dress"/>
    <n v="123.24"/>
    <s v="Spring"/>
    <s v="Card"/>
    <n v="3.6"/>
    <x v="7"/>
    <n v="5"/>
    <n v="136.93333333333334"/>
    <n v="13.693333333333342"/>
    <x v="4"/>
    <n v="1"/>
  </r>
  <r>
    <n v="2566"/>
    <n v="33"/>
    <s v="Female"/>
    <s v="Womens Clothing"/>
    <s v="Dress"/>
    <n v="53.56"/>
    <s v="Spring"/>
    <s v="Card"/>
    <n v="3.1"/>
    <x v="7"/>
    <n v="5"/>
    <n v="59.511111111111113"/>
    <n v="5.9511111111111106"/>
    <x v="5"/>
    <n v="1"/>
  </r>
  <r>
    <n v="2567"/>
    <n v="44"/>
    <s v="Female"/>
    <s v="Accessories"/>
    <s v="Handbag"/>
    <n v="153.44999999999999"/>
    <s v="Spring"/>
    <s v="Card"/>
    <n v="4.0999999999999996"/>
    <x v="1"/>
    <n v="4"/>
    <n v="176.37931034482759"/>
    <n v="22.929310344827599"/>
    <x v="1"/>
    <n v="1"/>
  </r>
  <r>
    <n v="2568"/>
    <n v="30"/>
    <s v="Female"/>
    <s v="Footwear"/>
    <s v="Sneakers"/>
    <n v="136.93"/>
    <s v="Summer"/>
    <s v="Card"/>
    <n v="5"/>
    <x v="13"/>
    <n v="2"/>
    <n v="150.47252747252747"/>
    <n v="13.542527472527468"/>
    <x v="5"/>
    <n v="1"/>
  </r>
  <r>
    <n v="2569"/>
    <n v="70"/>
    <s v="Male"/>
    <s v="Mens Clothing"/>
    <s v="Jeans"/>
    <n v="198.86"/>
    <s v="Spring"/>
    <s v="Card"/>
    <n v="4.0999999999999996"/>
    <x v="5"/>
    <n v="4"/>
    <n v="216.15217391304347"/>
    <n v="17.292173913043456"/>
    <x v="2"/>
    <n v="1"/>
  </r>
  <r>
    <n v="2570"/>
    <n v="44"/>
    <s v="Male"/>
    <s v="Sports"/>
    <s v="Yoga Mat"/>
    <n v="154.32"/>
    <s v="Winter"/>
    <s v="Card"/>
    <n v="4.5999999999999996"/>
    <x v="7"/>
    <n v="5"/>
    <n v="171.46666666666667"/>
    <n v="17.146666666666675"/>
    <x v="1"/>
    <n v="1"/>
  </r>
  <r>
    <n v="2571"/>
    <n v="69"/>
    <s v="Male"/>
    <s v="Mens Clothing"/>
    <s v="Jacket"/>
    <n v="176.88"/>
    <s v="Spring"/>
    <s v="Card"/>
    <n v="4.3"/>
    <x v="13"/>
    <n v="2"/>
    <n v="194.37362637362637"/>
    <n v="17.49362637362637"/>
    <x v="2"/>
    <n v="1"/>
  </r>
  <r>
    <n v="2572"/>
    <n v="48"/>
    <s v="Female"/>
    <s v="Sports"/>
    <s v="Yoga Mat"/>
    <n v="91.06"/>
    <s v="Summer"/>
    <s v="Card"/>
    <n v="4.2"/>
    <x v="2"/>
    <n v="3"/>
    <n v="102.31460674157303"/>
    <n v="11.254606741573028"/>
    <x v="4"/>
    <n v="1"/>
  </r>
  <r>
    <n v="2573"/>
    <n v="33"/>
    <s v="Female"/>
    <s v="Footwear"/>
    <s v="Sandals"/>
    <n v="76.06"/>
    <s v="Autumn"/>
    <s v="Card"/>
    <n v="4"/>
    <x v="19"/>
    <n v="5"/>
    <n v="89.482352941176472"/>
    <n v="13.42235294117647"/>
    <x v="5"/>
    <n v="1"/>
  </r>
  <r>
    <n v="2574"/>
    <n v="52"/>
    <s v="Female"/>
    <s v="Accessories"/>
    <s v="Wallet"/>
    <n v="65.97"/>
    <s v="Spring"/>
    <s v="Card"/>
    <n v="2.9"/>
    <x v="16"/>
    <n v="3"/>
    <n v="70.180851063829792"/>
    <n v="4.2108510638297929"/>
    <x v="4"/>
    <n v="1"/>
  </r>
  <r>
    <n v="2575"/>
    <n v="65"/>
    <s v="Male"/>
    <s v="Mens Clothing"/>
    <s v="Jeans"/>
    <n v="119.34"/>
    <s v="Winter"/>
    <s v="Card"/>
    <n v="4.0999999999999996"/>
    <x v="5"/>
    <n v="4"/>
    <n v="129.71739130434781"/>
    <n v="10.37739130434781"/>
    <x v="0"/>
    <n v="1"/>
  </r>
  <r>
    <n v="2576"/>
    <n v="70"/>
    <s v="Female"/>
    <s v="Womens Clothing"/>
    <s v="Jeans"/>
    <n v="140.91"/>
    <s v="Spring"/>
    <s v="Card"/>
    <n v="3.1"/>
    <x v="7"/>
    <n v="5"/>
    <n v="156.56666666666666"/>
    <n v="15.656666666666666"/>
    <x v="2"/>
    <n v="1"/>
  </r>
  <r>
    <n v="2577"/>
    <n v="29"/>
    <s v="Male"/>
    <s v="Groceries"/>
    <s v="Snacks"/>
    <n v="51.55"/>
    <s v="Autumn"/>
    <s v="Card"/>
    <n v="4.2"/>
    <x v="23"/>
    <n v="1"/>
    <n v="55.43010752688172"/>
    <n v="3.8801075268817229"/>
    <x v="5"/>
    <n v="1"/>
  </r>
  <r>
    <n v="2578"/>
    <n v="47"/>
    <s v="Male"/>
    <s v="Footwear"/>
    <s v="Sandals"/>
    <n v="45.39"/>
    <s v="Autumn"/>
    <s v="Card"/>
    <n v="4.0999999999999996"/>
    <x v="12"/>
    <n v="7"/>
    <n v="56.037037037037031"/>
    <n v="10.64703703703703"/>
    <x v="4"/>
    <n v="1"/>
  </r>
  <r>
    <n v="2579"/>
    <n v="69"/>
    <s v="Female"/>
    <s v="Sports"/>
    <s v="Football"/>
    <n v="116.25"/>
    <s v="Winter"/>
    <s v="Card"/>
    <n v="4.5999999999999996"/>
    <x v="18"/>
    <n v="7"/>
    <n v="152.96052631578948"/>
    <n v="36.71052631578948"/>
    <x v="2"/>
    <n v="1"/>
  </r>
  <r>
    <n v="2580"/>
    <n v="43"/>
    <s v="Female"/>
    <s v="Groceries"/>
    <s v="Rice Pack"/>
    <n v="65.16"/>
    <s v="Winter"/>
    <s v="Cash on Delivery"/>
    <n v="4.7"/>
    <x v="0"/>
    <n v="4"/>
    <n v="79.463414634146332"/>
    <n v="14.303414634146336"/>
    <x v="1"/>
    <n v="1"/>
  </r>
  <r>
    <n v="2581"/>
    <n v="33"/>
    <s v="Female"/>
    <s v="Womens Clothing"/>
    <s v="Top"/>
    <n v="123.96"/>
    <s v="Spring"/>
    <s v="Card"/>
    <n v="3.1"/>
    <x v="19"/>
    <n v="5"/>
    <n v="145.83529411764707"/>
    <n v="21.875294117647073"/>
    <x v="5"/>
    <n v="1"/>
  </r>
  <r>
    <n v="2582"/>
    <n v="66"/>
    <s v="Male"/>
    <s v="Footwear"/>
    <s v="Sandals"/>
    <n v="58.45"/>
    <s v="Winter"/>
    <s v="Card"/>
    <n v="3.5"/>
    <x v="3"/>
    <n v="5"/>
    <n v="73.0625"/>
    <n v="14.612499999999997"/>
    <x v="2"/>
    <n v="1"/>
  </r>
  <r>
    <n v="2583"/>
    <n v="59"/>
    <s v="Female"/>
    <s v="Footwear"/>
    <s v="Formal Shoes"/>
    <n v="183.81"/>
    <s v="Spring"/>
    <s v="Card"/>
    <n v="4.0999999999999996"/>
    <x v="10"/>
    <n v="6"/>
    <n v="235.65384615384616"/>
    <n v="51.843846153846158"/>
    <x v="0"/>
    <n v="1"/>
  </r>
  <r>
    <n v="2584"/>
    <n v="30"/>
    <s v="Female"/>
    <s v="Beauty"/>
    <s v="Skincare Kit"/>
    <n v="129.88999999999999"/>
    <s v="Summer"/>
    <s v="Card"/>
    <n v="4.2"/>
    <x v="14"/>
    <n v="6"/>
    <n v="156.49397590361446"/>
    <n v="26.603975903614469"/>
    <x v="5"/>
    <n v="1"/>
  </r>
  <r>
    <n v="2585"/>
    <n v="47"/>
    <s v="Male"/>
    <s v="Mens Clothing"/>
    <s v="Jacket"/>
    <n v="97.5"/>
    <s v="Spring"/>
    <s v="Cash on Delivery"/>
    <n v="4.7"/>
    <x v="8"/>
    <n v="6"/>
    <n v="110.79545454545455"/>
    <n v="13.295454545454547"/>
    <x v="4"/>
    <n v="1"/>
  </r>
  <r>
    <n v="2586"/>
    <n v="68"/>
    <s v="Male"/>
    <s v="Sports"/>
    <s v="Dumbbells"/>
    <n v="123.53"/>
    <s v="Spring"/>
    <s v="Card"/>
    <n v="4.4000000000000004"/>
    <x v="4"/>
    <n v="2"/>
    <n v="143.63953488372093"/>
    <n v="20.109534883720926"/>
    <x v="2"/>
    <n v="1"/>
  </r>
  <r>
    <n v="2587"/>
    <n v="53"/>
    <s v="Male"/>
    <s v="Sports"/>
    <s v="Yoga Mat"/>
    <n v="152.44999999999999"/>
    <s v="Spring"/>
    <s v="Card"/>
    <n v="3"/>
    <x v="12"/>
    <n v="7"/>
    <n v="188.20987654320984"/>
    <n v="35.759876543209856"/>
    <x v="4"/>
    <n v="1"/>
  </r>
  <r>
    <n v="2588"/>
    <n v="30"/>
    <s v="Female"/>
    <s v="Womens Clothing"/>
    <s v="Top"/>
    <n v="148.18"/>
    <s v="Winter"/>
    <s v="Card"/>
    <n v="4.7"/>
    <x v="18"/>
    <n v="7"/>
    <n v="194.97368421052633"/>
    <n v="46.793684210526322"/>
    <x v="5"/>
    <n v="1"/>
  </r>
  <r>
    <n v="2589"/>
    <n v="52"/>
    <s v="Female"/>
    <s v="Groceries"/>
    <s v="Beverages"/>
    <n v="69.489999999999995"/>
    <s v="Spring"/>
    <s v="Cash on Delivery"/>
    <n v="3.9"/>
    <x v="8"/>
    <n v="6"/>
    <n v="78.965909090909079"/>
    <n v="9.4759090909090844"/>
    <x v="4"/>
    <n v="1"/>
  </r>
  <r>
    <n v="2590"/>
    <n v="28"/>
    <s v="Female"/>
    <s v="Footwear"/>
    <s v="Sandals"/>
    <n v="221.51"/>
    <s v="Spring"/>
    <s v="Card"/>
    <n v="3"/>
    <x v="5"/>
    <n v="4"/>
    <n v="240.77173913043475"/>
    <n v="19.261739130434762"/>
    <x v="5"/>
    <n v="1"/>
  </r>
  <r>
    <n v="2591"/>
    <n v="40"/>
    <s v="Female"/>
    <s v="Sports"/>
    <s v="Yoga Mat"/>
    <n v="129.22"/>
    <s v="Autumn"/>
    <s v="Card"/>
    <n v="4.3"/>
    <x v="8"/>
    <n v="6"/>
    <n v="146.84090909090909"/>
    <n v="17.620909090909095"/>
    <x v="1"/>
    <n v="1"/>
  </r>
  <r>
    <n v="2592"/>
    <n v="46"/>
    <s v="Male"/>
    <s v="Sports"/>
    <s v="Dumbbells"/>
    <n v="67.89"/>
    <s v="Summer"/>
    <s v="Card"/>
    <n v="3.3"/>
    <x v="5"/>
    <n v="4"/>
    <n v="73.793478260869563"/>
    <n v="5.9034782608695622"/>
    <x v="4"/>
    <n v="1"/>
  </r>
  <r>
    <n v="2593"/>
    <n v="26"/>
    <s v="Male"/>
    <s v="Groceries"/>
    <s v="Rice Pack"/>
    <n v="31.17"/>
    <s v="Autumn"/>
    <s v="Cash on Delivery"/>
    <n v="3.4"/>
    <x v="2"/>
    <n v="3"/>
    <n v="35.022471910112358"/>
    <n v="3.8524719101123566"/>
    <x v="5"/>
    <n v="1"/>
  </r>
  <r>
    <n v="2594"/>
    <n v="54"/>
    <s v="Female"/>
    <s v="Accessories"/>
    <s v="Sunglasses"/>
    <n v="90.54"/>
    <s v="Summer"/>
    <s v="Cash on Delivery"/>
    <n v="3.4"/>
    <x v="0"/>
    <n v="4"/>
    <n v="110.41463414634146"/>
    <n v="19.87463414634145"/>
    <x v="4"/>
    <n v="1"/>
  </r>
  <r>
    <n v="2595"/>
    <n v="34"/>
    <s v="Male"/>
    <s v="Mens Clothing"/>
    <s v="Shirt"/>
    <n v="62.19"/>
    <s v="Winter"/>
    <s v="Cash on Delivery"/>
    <n v="4.0999999999999996"/>
    <x v="0"/>
    <n v="4"/>
    <n v="75.841463414634134"/>
    <n v="13.651463414634136"/>
    <x v="5"/>
    <n v="1"/>
  </r>
  <r>
    <n v="2596"/>
    <n v="53"/>
    <s v="Female"/>
    <s v="Footwear"/>
    <s v="Sneakers"/>
    <n v="160.62"/>
    <s v="Summer"/>
    <s v="Card"/>
    <n v="3.4"/>
    <x v="21"/>
    <n v="8"/>
    <n v="203.31645569620252"/>
    <n v="42.69645569620252"/>
    <x v="4"/>
    <n v="1"/>
  </r>
  <r>
    <n v="2597"/>
    <n v="53"/>
    <s v="Male"/>
    <s v="Electronics"/>
    <s v="Laptop"/>
    <n v="2661.25"/>
    <s v="Spring"/>
    <s v="Card"/>
    <n v="4.5"/>
    <x v="18"/>
    <n v="7"/>
    <n v="3501.6447368421054"/>
    <n v="840.39473684210543"/>
    <x v="4"/>
    <n v="1"/>
  </r>
  <r>
    <n v="2598"/>
    <n v="60"/>
    <s v="Female"/>
    <s v="Womens Clothing"/>
    <s v="Top"/>
    <n v="57.4"/>
    <s v="Winter"/>
    <s v="Cash on Delivery"/>
    <n v="3.3"/>
    <x v="14"/>
    <n v="6"/>
    <n v="69.156626506024097"/>
    <n v="11.756626506024098"/>
    <x v="0"/>
    <n v="1"/>
  </r>
  <r>
    <n v="2599"/>
    <n v="24"/>
    <s v="Male"/>
    <s v="Mens Clothing"/>
    <s v="Jacket"/>
    <n v="38.57"/>
    <s v="Summer"/>
    <s v="Card"/>
    <n v="3.5"/>
    <x v="16"/>
    <n v="3"/>
    <n v="41.031914893617021"/>
    <n v="2.4619148936170205"/>
    <x v="3"/>
    <n v="1"/>
  </r>
  <r>
    <n v="2600"/>
    <n v="29"/>
    <s v="Female"/>
    <s v="Footwear"/>
    <s v="Sandals"/>
    <n v="57.06"/>
    <s v="Autumn"/>
    <s v="Card"/>
    <n v="4.0999999999999996"/>
    <x v="8"/>
    <n v="6"/>
    <n v="64.840909090909093"/>
    <n v="7.7809090909090912"/>
    <x v="5"/>
    <n v="1"/>
  </r>
  <r>
    <n v="2601"/>
    <n v="64"/>
    <s v="Male"/>
    <s v="Groceries"/>
    <s v="Rice Pack"/>
    <n v="49.9"/>
    <s v="Summer"/>
    <s v="Card"/>
    <n v="4.2"/>
    <x v="4"/>
    <n v="7"/>
    <n v="58.02325581395349"/>
    <n v="8.1232558139534916"/>
    <x v="0"/>
    <n v="1"/>
  </r>
  <r>
    <n v="2602"/>
    <n v="48"/>
    <s v="Female"/>
    <s v="Accessories"/>
    <s v="Handbag"/>
    <n v="142.62"/>
    <s v="Autumn"/>
    <s v="Card"/>
    <n v="3.6"/>
    <x v="0"/>
    <n v="9"/>
    <n v="173.92682926829266"/>
    <n v="31.30682926829266"/>
    <x v="4"/>
    <n v="1"/>
  </r>
  <r>
    <n v="2603"/>
    <n v="55"/>
    <s v="Male"/>
    <s v="Mens Clothing"/>
    <s v="Jeans"/>
    <n v="90.45"/>
    <s v="Spring"/>
    <s v="Cash on Delivery"/>
    <n v="3.3"/>
    <x v="5"/>
    <n v="4"/>
    <n v="98.315217391304344"/>
    <n v="7.8652173913043413"/>
    <x v="4"/>
    <n v="1"/>
  </r>
  <r>
    <n v="2604"/>
    <n v="59"/>
    <s v="Male"/>
    <s v="Sports"/>
    <s v="Yoga Mat"/>
    <n v="207.97"/>
    <s v="Spring"/>
    <s v="Card"/>
    <n v="4.5"/>
    <x v="1"/>
    <n v="4"/>
    <n v="239.04597701149424"/>
    <n v="31.075977011494246"/>
    <x v="0"/>
    <n v="1"/>
  </r>
  <r>
    <n v="2605"/>
    <n v="29"/>
    <s v="Male"/>
    <s v="Sports"/>
    <s v="Dumbbells"/>
    <n v="78.87"/>
    <s v="Summer"/>
    <s v="Cash on Delivery"/>
    <n v="3.9"/>
    <x v="14"/>
    <n v="6"/>
    <n v="95.02409638554218"/>
    <n v="16.154096385542175"/>
    <x v="5"/>
    <n v="1"/>
  </r>
  <r>
    <n v="2606"/>
    <n v="47"/>
    <s v="Male"/>
    <s v="Mens Clothing"/>
    <s v="T-Shirt"/>
    <n v="160.26"/>
    <s v="Summer"/>
    <s v="Card"/>
    <n v="3.7"/>
    <x v="3"/>
    <n v="5"/>
    <n v="200.32499999999999"/>
    <n v="40.064999999999998"/>
    <x v="4"/>
    <n v="1"/>
  </r>
  <r>
    <n v="2607"/>
    <n v="27"/>
    <s v="Male"/>
    <s v="Sports"/>
    <s v="Football"/>
    <n v="227.6"/>
    <s v="Winter"/>
    <s v="Card"/>
    <n v="4.9000000000000004"/>
    <x v="4"/>
    <n v="2"/>
    <n v="264.6511627906977"/>
    <n v="37.051162790697703"/>
    <x v="5"/>
    <n v="1"/>
  </r>
  <r>
    <n v="2608"/>
    <n v="37"/>
    <s v="Female"/>
    <s v="Footwear"/>
    <s v="Sandals"/>
    <n v="62.2"/>
    <s v="Summer"/>
    <s v="Cash on Delivery"/>
    <n v="4"/>
    <x v="0"/>
    <n v="9"/>
    <n v="75.853658536585357"/>
    <n v="13.653658536585354"/>
    <x v="1"/>
    <n v="1"/>
  </r>
  <r>
    <n v="2609"/>
    <n v="30"/>
    <s v="Male"/>
    <s v="Mens Clothing"/>
    <s v="Shirt"/>
    <n v="111.07"/>
    <s v="Spring"/>
    <s v="Card"/>
    <n v="3.9"/>
    <x v="22"/>
    <n v="9"/>
    <n v="144.24675324675323"/>
    <n v="33.176753246753236"/>
    <x v="5"/>
    <n v="1"/>
  </r>
  <r>
    <n v="2610"/>
    <n v="44"/>
    <s v="Male"/>
    <s v="Home"/>
    <s v="Lamp"/>
    <n v="136.96"/>
    <s v="Summer"/>
    <s v="Card"/>
    <n v="2.5"/>
    <x v="12"/>
    <n v="7"/>
    <n v="169.08641975308643"/>
    <n v="32.126419753086424"/>
    <x v="1"/>
    <n v="1"/>
  </r>
  <r>
    <n v="2611"/>
    <n v="28"/>
    <s v="Female"/>
    <s v="Sports"/>
    <s v="Dumbbells"/>
    <n v="99.34"/>
    <s v="Winter"/>
    <s v="Cash on Delivery"/>
    <n v="4.0999999999999996"/>
    <x v="19"/>
    <n v="5"/>
    <n v="116.87058823529412"/>
    <n v="17.530588235294118"/>
    <x v="5"/>
    <n v="1"/>
  </r>
  <r>
    <n v="2612"/>
    <n v="58"/>
    <s v="Female"/>
    <s v="Beauty"/>
    <s v="Skincare Kit"/>
    <n v="59.64"/>
    <s v="Spring"/>
    <s v="Cash on Delivery"/>
    <n v="3.1"/>
    <x v="19"/>
    <n v="5"/>
    <n v="70.164705882352948"/>
    <n v="10.524705882352947"/>
    <x v="0"/>
    <n v="1"/>
  </r>
  <r>
    <n v="2613"/>
    <n v="67"/>
    <s v="Female"/>
    <s v="Womens Clothing"/>
    <s v="Dress"/>
    <n v="44.95"/>
    <s v="Winter"/>
    <s v="Card"/>
    <n v="2.8"/>
    <x v="8"/>
    <n v="6"/>
    <n v="51.07954545454546"/>
    <n v="6.1295454545454575"/>
    <x v="2"/>
    <n v="1"/>
  </r>
  <r>
    <n v="2614"/>
    <n v="58"/>
    <s v="Male"/>
    <s v="Electronics"/>
    <s v="Mobile Phone"/>
    <n v="926.5"/>
    <s v="Summer"/>
    <s v="Card"/>
    <n v="4.3"/>
    <x v="16"/>
    <n v="3"/>
    <n v="985.63829787234044"/>
    <n v="59.138297872340445"/>
    <x v="0"/>
    <n v="1"/>
  </r>
  <r>
    <n v="2615"/>
    <n v="45"/>
    <s v="Female"/>
    <s v="Groceries"/>
    <s v="Beverages"/>
    <n v="59.98"/>
    <s v="Summer"/>
    <s v="Card"/>
    <n v="4"/>
    <x v="16"/>
    <n v="3"/>
    <n v="63.808510638297875"/>
    <n v="3.8285106382978782"/>
    <x v="1"/>
    <n v="1"/>
  </r>
  <r>
    <n v="2616"/>
    <n v="26"/>
    <s v="Male"/>
    <s v="Sports"/>
    <s v="Yoga Mat"/>
    <n v="188.94"/>
    <s v="Winter"/>
    <s v="Card"/>
    <n v="4.3"/>
    <x v="0"/>
    <n v="4"/>
    <n v="230.41463414634146"/>
    <n v="41.474634146341458"/>
    <x v="5"/>
    <n v="1"/>
  </r>
  <r>
    <n v="2617"/>
    <n v="56"/>
    <s v="Female"/>
    <s v="Footwear"/>
    <s v="Sneakers"/>
    <n v="177.97"/>
    <s v="Spring"/>
    <s v="Card"/>
    <n v="4"/>
    <x v="3"/>
    <n v="10"/>
    <n v="222.46249999999998"/>
    <n v="44.492499999999978"/>
    <x v="0"/>
    <n v="1"/>
  </r>
  <r>
    <n v="2618"/>
    <n v="50"/>
    <s v="Female"/>
    <s v="Accessories"/>
    <s v="Wallet"/>
    <n v="128.68"/>
    <s v="Spring"/>
    <s v="Card"/>
    <n v="3.7"/>
    <x v="2"/>
    <n v="3"/>
    <n v="144.58426966292134"/>
    <n v="15.904269662921337"/>
    <x v="4"/>
    <n v="1"/>
  </r>
  <r>
    <n v="2619"/>
    <n v="48"/>
    <s v="Male"/>
    <s v="Sports"/>
    <s v="Football"/>
    <n v="137.66999999999999"/>
    <s v="Spring"/>
    <s v="Card"/>
    <n v="3.7"/>
    <x v="17"/>
    <n v="2"/>
    <n v="143.40625"/>
    <n v="5.7362500000000125"/>
    <x v="4"/>
    <n v="1"/>
  </r>
  <r>
    <n v="2620"/>
    <n v="28"/>
    <s v="Male"/>
    <s v="Mens Clothing"/>
    <s v="Jeans"/>
    <n v="138.24"/>
    <s v="Autumn"/>
    <s v="Card"/>
    <n v="3.1"/>
    <x v="2"/>
    <n v="3"/>
    <n v="155.32584269662922"/>
    <n v="17.085842696629214"/>
    <x v="5"/>
    <n v="1"/>
  </r>
  <r>
    <n v="2621"/>
    <n v="60"/>
    <s v="Male"/>
    <s v="Sports"/>
    <s v="Yoga Mat"/>
    <n v="26.82"/>
    <s v="Winter"/>
    <s v="Card"/>
    <n v="4.5"/>
    <x v="2"/>
    <n v="3"/>
    <n v="30.134831460674157"/>
    <n v="3.3148314606741565"/>
    <x v="0"/>
    <n v="1"/>
  </r>
  <r>
    <n v="2622"/>
    <n v="64"/>
    <s v="Female"/>
    <s v="Womens Clothing"/>
    <s v="Skirt"/>
    <n v="83.11"/>
    <s v="Spring"/>
    <s v="Cash on Delivery"/>
    <n v="2.9"/>
    <x v="2"/>
    <n v="3"/>
    <n v="93.382022471910105"/>
    <n v="10.272022471910105"/>
    <x v="0"/>
    <n v="1"/>
  </r>
  <r>
    <n v="2623"/>
    <n v="47"/>
    <s v="Male"/>
    <s v="Sports"/>
    <s v="Yoga Mat"/>
    <n v="126.93"/>
    <s v="Summer"/>
    <s v="Card"/>
    <n v="3.6"/>
    <x v="3"/>
    <n v="10"/>
    <n v="158.66249999999999"/>
    <n v="31.732499999999987"/>
    <x v="4"/>
    <n v="1"/>
  </r>
  <r>
    <n v="2624"/>
    <n v="28"/>
    <s v="Male"/>
    <s v="Home"/>
    <s v="Kitchen Set"/>
    <n v="241.39"/>
    <s v="Spring"/>
    <s v="Card"/>
    <n v="3.2"/>
    <x v="14"/>
    <n v="6"/>
    <n v="290.8313253012048"/>
    <n v="49.441325301204813"/>
    <x v="5"/>
    <n v="1"/>
  </r>
  <r>
    <n v="2625"/>
    <n v="48"/>
    <s v="Female"/>
    <s v="Beauty"/>
    <s v="Skincare Kit"/>
    <n v="128.09"/>
    <s v="Winter"/>
    <s v="Card"/>
    <n v="4.2"/>
    <x v="4"/>
    <n v="7"/>
    <n v="148.94186046511629"/>
    <n v="20.851860465116289"/>
    <x v="4"/>
    <n v="1"/>
  </r>
  <r>
    <n v="2626"/>
    <n v="29"/>
    <s v="Male"/>
    <s v="Footwear"/>
    <s v="Formal Shoes"/>
    <n v="184.29"/>
    <s v="Spring"/>
    <s v="Card"/>
    <n v="2.8"/>
    <x v="18"/>
    <n v="7"/>
    <n v="242.48684210526315"/>
    <n v="58.196842105263158"/>
    <x v="5"/>
    <n v="1"/>
  </r>
  <r>
    <n v="2627"/>
    <n v="60"/>
    <s v="Female"/>
    <s v="Beauty"/>
    <s v="Skincare Kit"/>
    <n v="144.08000000000001"/>
    <s v="Autumn"/>
    <s v="Card"/>
    <n v="2.5"/>
    <x v="16"/>
    <n v="3"/>
    <n v="153.27659574468086"/>
    <n v="9.1965957446808488"/>
    <x v="0"/>
    <n v="1"/>
  </r>
  <r>
    <n v="2628"/>
    <n v="48"/>
    <s v="Female"/>
    <s v="Womens Clothing"/>
    <s v="Skirt"/>
    <n v="74.56"/>
    <s v="Autumn"/>
    <s v="Cash on Delivery"/>
    <n v="3.3"/>
    <x v="5"/>
    <n v="4"/>
    <n v="81.043478260869563"/>
    <n v="6.4834782608695605"/>
    <x v="4"/>
    <n v="1"/>
  </r>
  <r>
    <n v="2629"/>
    <n v="66"/>
    <s v="Male"/>
    <s v="Footwear"/>
    <s v="Formal Shoes"/>
    <n v="127.67"/>
    <s v="Autumn"/>
    <s v="Card"/>
    <n v="3.4"/>
    <x v="29"/>
    <n v="0"/>
    <n v="127.67"/>
    <n v="0"/>
    <x v="2"/>
    <n v="1"/>
  </r>
  <r>
    <n v="2630"/>
    <n v="49"/>
    <s v="Female"/>
    <s v="Footwear"/>
    <s v="Formal Shoes"/>
    <n v="73.3"/>
    <s v="Summer"/>
    <s v="Cash on Delivery"/>
    <n v="3.3"/>
    <x v="5"/>
    <n v="4"/>
    <n v="79.673913043478251"/>
    <n v="6.3739130434782538"/>
    <x v="4"/>
    <n v="1"/>
  </r>
  <r>
    <n v="2631"/>
    <n v="25"/>
    <s v="Male"/>
    <s v="Sports"/>
    <s v="Football"/>
    <n v="106.6"/>
    <s v="Autumn"/>
    <s v="Card"/>
    <n v="3.8"/>
    <x v="14"/>
    <n v="6"/>
    <n v="128.43373493975903"/>
    <n v="21.83373493975904"/>
    <x v="3"/>
    <n v="1"/>
  </r>
  <r>
    <n v="2632"/>
    <n v="52"/>
    <s v="Male"/>
    <s v="Electronics"/>
    <s v="Mobile Phone"/>
    <n v="1302.45"/>
    <s v="Autumn"/>
    <s v="Card"/>
    <n v="4.5"/>
    <x v="0"/>
    <n v="9"/>
    <n v="1588.3536585365853"/>
    <n v="285.90365853658523"/>
    <x v="4"/>
    <n v="1"/>
  </r>
  <r>
    <n v="2633"/>
    <n v="65"/>
    <s v="Male"/>
    <s v="Home"/>
    <s v="Kitchen Set"/>
    <n v="275.33999999999997"/>
    <s v="Autumn"/>
    <s v="Card"/>
    <n v="3"/>
    <x v="4"/>
    <n v="7"/>
    <n v="320.16279069767438"/>
    <n v="44.822790697674407"/>
    <x v="0"/>
    <n v="1"/>
  </r>
  <r>
    <n v="2634"/>
    <n v="62"/>
    <s v="Female"/>
    <s v="Womens Clothing"/>
    <s v="Jeans"/>
    <n v="167.27"/>
    <s v="Summer"/>
    <s v="Card"/>
    <n v="3.3"/>
    <x v="0"/>
    <n v="4"/>
    <n v="203.98780487804879"/>
    <n v="36.717804878048781"/>
    <x v="0"/>
    <n v="1"/>
  </r>
  <r>
    <n v="2635"/>
    <n v="70"/>
    <s v="Male"/>
    <s v="Mens Clothing"/>
    <s v="Shirt"/>
    <n v="191.8"/>
    <s v="Autumn"/>
    <s v="Card"/>
    <n v="2.4"/>
    <x v="1"/>
    <n v="4"/>
    <n v="220.45977011494253"/>
    <n v="28.659770114942518"/>
    <x v="2"/>
    <n v="1"/>
  </r>
  <r>
    <n v="2636"/>
    <n v="64"/>
    <s v="Male"/>
    <s v="Footwear"/>
    <s v="Sneakers"/>
    <n v="62.44"/>
    <s v="Autumn"/>
    <s v="Card"/>
    <n v="5"/>
    <x v="6"/>
    <n v="8"/>
    <n v="74.333333333333329"/>
    <n v="11.893333333333331"/>
    <x v="0"/>
    <n v="1"/>
  </r>
  <r>
    <n v="2637"/>
    <n v="22"/>
    <s v="Female"/>
    <s v="Footwear"/>
    <s v="Sneakers"/>
    <n v="146.36000000000001"/>
    <s v="Summer"/>
    <s v="Card"/>
    <n v="4.5999999999999996"/>
    <x v="7"/>
    <n v="5"/>
    <n v="162.62222222222223"/>
    <n v="16.262222222222221"/>
    <x v="3"/>
    <n v="1"/>
  </r>
  <r>
    <n v="2638"/>
    <n v="61"/>
    <s v="Male"/>
    <s v="Sports"/>
    <s v="Yoga Mat"/>
    <n v="237.45"/>
    <s v="Summer"/>
    <s v="Card"/>
    <n v="5"/>
    <x v="18"/>
    <n v="7"/>
    <n v="312.43421052631578"/>
    <n v="74.984210526315792"/>
    <x v="0"/>
    <n v="1"/>
  </r>
  <r>
    <n v="2639"/>
    <n v="63"/>
    <s v="Female"/>
    <s v="Beauty"/>
    <s v="Perfume"/>
    <n v="85.28"/>
    <s v="Summer"/>
    <s v="Card"/>
    <n v="4.9000000000000004"/>
    <x v="3"/>
    <n v="10"/>
    <n v="106.6"/>
    <n v="21.319999999999993"/>
    <x v="0"/>
    <n v="1"/>
  </r>
  <r>
    <n v="2640"/>
    <n v="45"/>
    <s v="Male"/>
    <s v="Electronics"/>
    <s v="Laptop"/>
    <n v="1766.89"/>
    <s v="Autumn"/>
    <s v="Card"/>
    <n v="4.5"/>
    <x v="3"/>
    <n v="5"/>
    <n v="2208.6125000000002"/>
    <n v="441.72250000000008"/>
    <x v="1"/>
    <n v="1"/>
  </r>
  <r>
    <n v="2641"/>
    <n v="26"/>
    <s v="Female"/>
    <s v="Womens Clothing"/>
    <s v="Skirt"/>
    <n v="56.74"/>
    <s v="Summer"/>
    <s v="Cash on Delivery"/>
    <n v="3.8"/>
    <x v="12"/>
    <n v="7"/>
    <n v="70.049382716049379"/>
    <n v="13.309382716049377"/>
    <x v="5"/>
    <n v="1"/>
  </r>
  <r>
    <n v="2642"/>
    <n v="48"/>
    <s v="Female"/>
    <s v="Beauty"/>
    <s v="Makeup Set"/>
    <n v="39.32"/>
    <s v="Winter"/>
    <s v="Cash on Delivery"/>
    <n v="4.2"/>
    <x v="1"/>
    <n v="4"/>
    <n v="45.195402298850574"/>
    <n v="5.8754022988505739"/>
    <x v="4"/>
    <n v="1"/>
  </r>
  <r>
    <n v="2643"/>
    <n v="64"/>
    <s v="Female"/>
    <s v="Accessories"/>
    <s v="Handbag"/>
    <n v="98.93"/>
    <s v="Spring"/>
    <s v="Cash on Delivery"/>
    <n v="3.9"/>
    <x v="6"/>
    <n v="3"/>
    <n v="117.77380952380953"/>
    <n v="18.843809523809526"/>
    <x v="0"/>
    <n v="1"/>
  </r>
  <r>
    <n v="2644"/>
    <n v="61"/>
    <s v="Male"/>
    <s v="Groceries"/>
    <s v="Cooking Oil"/>
    <n v="57.47"/>
    <s v="Summer"/>
    <s v="Cash on Delivery"/>
    <n v="3.4"/>
    <x v="0"/>
    <n v="4"/>
    <n v="70.08536585365853"/>
    <n v="12.615365853658531"/>
    <x v="0"/>
    <n v="1"/>
  </r>
  <r>
    <n v="2645"/>
    <n v="36"/>
    <s v="Female"/>
    <s v="Groceries"/>
    <s v="Rice Pack"/>
    <n v="57.01"/>
    <s v="Autumn"/>
    <s v="Card"/>
    <n v="3.9"/>
    <x v="16"/>
    <n v="3"/>
    <n v="60.648936170212764"/>
    <n v="3.6389361702127658"/>
    <x v="1"/>
    <n v="1"/>
  </r>
  <r>
    <n v="2646"/>
    <n v="64"/>
    <s v="Male"/>
    <s v="Mens Clothing"/>
    <s v="T-Shirt"/>
    <n v="150.52000000000001"/>
    <s v="Winter"/>
    <s v="Card"/>
    <n v="4.3"/>
    <x v="0"/>
    <n v="4"/>
    <n v="183.5609756097561"/>
    <n v="33.040975609756089"/>
    <x v="0"/>
    <n v="1"/>
  </r>
  <r>
    <n v="2647"/>
    <n v="50"/>
    <s v="Female"/>
    <s v="Beauty"/>
    <s v="Perfume"/>
    <n v="58.55"/>
    <s v="Spring"/>
    <s v="Card"/>
    <n v="3.4"/>
    <x v="12"/>
    <n v="7"/>
    <n v="72.283950617283949"/>
    <n v="13.733950617283952"/>
    <x v="4"/>
    <n v="1"/>
  </r>
  <r>
    <n v="2648"/>
    <n v="64"/>
    <s v="Female"/>
    <s v="Womens Clothing"/>
    <s v="Skirt"/>
    <n v="32.29"/>
    <s v="Winter"/>
    <s v="Cash on Delivery"/>
    <n v="4.2"/>
    <x v="8"/>
    <n v="6"/>
    <n v="36.69318181818182"/>
    <n v="4.403181818181821"/>
    <x v="0"/>
    <n v="1"/>
  </r>
  <r>
    <n v="2649"/>
    <n v="65"/>
    <s v="Male"/>
    <s v="Electronics"/>
    <s v="Mobile Phone"/>
    <n v="1042.54"/>
    <s v="Autumn"/>
    <s v="Card"/>
    <n v="3.7"/>
    <x v="8"/>
    <n v="6"/>
    <n v="1184.7045454545455"/>
    <n v="142.16454545454553"/>
    <x v="0"/>
    <n v="1"/>
  </r>
  <r>
    <n v="2650"/>
    <n v="69"/>
    <s v="Female"/>
    <s v="Groceries"/>
    <s v="Beverages"/>
    <n v="26.45"/>
    <s v="Summer"/>
    <s v="Cash on Delivery"/>
    <n v="4.5"/>
    <x v="3"/>
    <n v="5"/>
    <n v="33.0625"/>
    <n v="6.6125000000000007"/>
    <x v="2"/>
    <n v="1"/>
  </r>
  <r>
    <n v="2651"/>
    <n v="32"/>
    <s v="Female"/>
    <s v="Footwear"/>
    <s v="Sandals"/>
    <n v="90.64"/>
    <s v="Summer"/>
    <s v="Cash on Delivery"/>
    <n v="3.7"/>
    <x v="14"/>
    <n v="6"/>
    <n v="109.20481927710844"/>
    <n v="18.564819277108441"/>
    <x v="5"/>
    <n v="1"/>
  </r>
  <r>
    <n v="2652"/>
    <n v="33"/>
    <s v="Male"/>
    <s v="Footwear"/>
    <s v="Formal Shoes"/>
    <n v="44.23"/>
    <s v="Spring"/>
    <s v="Cash on Delivery"/>
    <n v="2.4"/>
    <x v="5"/>
    <n v="4"/>
    <n v="48.076086956521735"/>
    <n v="3.8460869565217379"/>
    <x v="5"/>
    <n v="1"/>
  </r>
  <r>
    <n v="2653"/>
    <n v="58"/>
    <s v="Male"/>
    <s v="Footwear"/>
    <s v="Formal Shoes"/>
    <n v="54.47"/>
    <s v="Autumn"/>
    <s v="Card"/>
    <n v="3.1"/>
    <x v="8"/>
    <n v="6"/>
    <n v="61.897727272727273"/>
    <n v="7.4277272727272745"/>
    <x v="0"/>
    <n v="1"/>
  </r>
  <r>
    <n v="2654"/>
    <n v="51"/>
    <s v="Female"/>
    <s v="Accessories"/>
    <s v="Wallet"/>
    <n v="121.74"/>
    <s v="Winter"/>
    <s v="Card"/>
    <n v="4.5999999999999996"/>
    <x v="17"/>
    <n v="2"/>
    <n v="126.8125"/>
    <n v="5.0725000000000051"/>
    <x v="4"/>
    <n v="1"/>
  </r>
  <r>
    <n v="2655"/>
    <n v="69"/>
    <s v="Female"/>
    <s v="Home"/>
    <s v="Kitchen Set"/>
    <n v="51.27"/>
    <s v="Summer"/>
    <s v="Card"/>
    <n v="3.9"/>
    <x v="6"/>
    <n v="3"/>
    <n v="61.035714285714292"/>
    <n v="9.7657142857142887"/>
    <x v="2"/>
    <n v="1"/>
  </r>
  <r>
    <n v="2656"/>
    <n v="39"/>
    <s v="Male"/>
    <s v="Home"/>
    <s v="Lamp"/>
    <n v="188.31"/>
    <s v="Autumn"/>
    <s v="Card"/>
    <n v="2.8"/>
    <x v="5"/>
    <n v="4"/>
    <n v="204.68478260869566"/>
    <n v="16.374782608695654"/>
    <x v="1"/>
    <n v="1"/>
  </r>
  <r>
    <n v="2657"/>
    <n v="63"/>
    <s v="Female"/>
    <s v="Footwear"/>
    <s v="Sandals"/>
    <n v="230.43"/>
    <s v="Winter"/>
    <s v="Card"/>
    <n v="3.8"/>
    <x v="5"/>
    <n v="4"/>
    <n v="250.46739130434781"/>
    <n v="20.037391304347807"/>
    <x v="0"/>
    <n v="1"/>
  </r>
  <r>
    <n v="2658"/>
    <n v="56"/>
    <s v="Male"/>
    <s v="Mens Clothing"/>
    <s v="T-Shirt"/>
    <n v="47.11"/>
    <s v="Spring"/>
    <s v="Cash on Delivery"/>
    <n v="4.4000000000000004"/>
    <x v="5"/>
    <n v="4"/>
    <n v="51.20652173913043"/>
    <n v="4.0965217391304307"/>
    <x v="0"/>
    <n v="1"/>
  </r>
  <r>
    <n v="2659"/>
    <n v="70"/>
    <s v="Female"/>
    <s v="Womens Clothing"/>
    <s v="Jeans"/>
    <n v="30.45"/>
    <s v="Winter"/>
    <s v="Card"/>
    <n v="3.8"/>
    <x v="8"/>
    <n v="6"/>
    <n v="34.602272727272727"/>
    <n v="4.1522727272727273"/>
    <x v="2"/>
    <n v="1"/>
  </r>
  <r>
    <n v="2660"/>
    <n v="50"/>
    <s v="Female"/>
    <s v="Beauty"/>
    <s v="Skincare Kit"/>
    <n v="54.62"/>
    <s v="Spring"/>
    <s v="Cash on Delivery"/>
    <n v="4.0999999999999996"/>
    <x v="6"/>
    <n v="3"/>
    <n v="65.023809523809518"/>
    <n v="10.403809523809521"/>
    <x v="4"/>
    <n v="1"/>
  </r>
  <r>
    <n v="2661"/>
    <n v="45"/>
    <s v="Male"/>
    <s v="Groceries"/>
    <s v="Cooking Oil"/>
    <n v="5.85"/>
    <s v="Winter"/>
    <s v="Card"/>
    <n v="4.5"/>
    <x v="1"/>
    <n v="4"/>
    <n v="6.7241379310344822"/>
    <n v="0.87413793103448256"/>
    <x v="1"/>
    <n v="1"/>
  </r>
  <r>
    <n v="2662"/>
    <n v="55"/>
    <s v="Male"/>
    <s v="Sports"/>
    <s v="Dumbbells"/>
    <n v="175.82"/>
    <s v="Summer"/>
    <s v="Card"/>
    <n v="4.5999999999999996"/>
    <x v="23"/>
    <n v="1"/>
    <n v="189.05376344086022"/>
    <n v="13.23376344086023"/>
    <x v="4"/>
    <n v="1"/>
  </r>
  <r>
    <n v="2663"/>
    <n v="26"/>
    <s v="Male"/>
    <s v="Sports"/>
    <s v="Dumbbells"/>
    <n v="34.479999999999997"/>
    <s v="Autumn"/>
    <s v="Cash on Delivery"/>
    <n v="4"/>
    <x v="14"/>
    <n v="6"/>
    <n v="41.542168674698793"/>
    <n v="7.0621686746987962"/>
    <x v="5"/>
    <n v="1"/>
  </r>
  <r>
    <n v="2664"/>
    <n v="69"/>
    <s v="Male"/>
    <s v="Electronics"/>
    <s v="Mobile Phone"/>
    <n v="2410.79"/>
    <s v="Winter"/>
    <s v="Card"/>
    <n v="4.3"/>
    <x v="6"/>
    <n v="8"/>
    <n v="2869.9880952380954"/>
    <n v="459.19809523809545"/>
    <x v="2"/>
    <n v="1"/>
  </r>
  <r>
    <n v="2665"/>
    <n v="64"/>
    <s v="Male"/>
    <s v="Sports"/>
    <s v="Football"/>
    <n v="232.53"/>
    <s v="Autumn"/>
    <s v="Card"/>
    <n v="4.3"/>
    <x v="12"/>
    <n v="7"/>
    <n v="287.07407407407408"/>
    <n v="54.544074074074075"/>
    <x v="0"/>
    <n v="1"/>
  </r>
  <r>
    <n v="2666"/>
    <n v="31"/>
    <s v="Male"/>
    <s v="Footwear"/>
    <s v="Sandals"/>
    <n v="112.63"/>
    <s v="Autumn"/>
    <s v="Card"/>
    <n v="2.7"/>
    <x v="5"/>
    <n v="4"/>
    <n v="122.42391304347825"/>
    <n v="9.7939130434782555"/>
    <x v="5"/>
    <n v="1"/>
  </r>
  <r>
    <n v="2667"/>
    <n v="60"/>
    <s v="Female"/>
    <s v="Accessories"/>
    <s v="Handbag"/>
    <n v="138.91"/>
    <s v="Autumn"/>
    <s v="Card"/>
    <n v="4.4000000000000004"/>
    <x v="1"/>
    <n v="4"/>
    <n v="159.66666666666666"/>
    <n v="20.756666666666661"/>
    <x v="0"/>
    <n v="1"/>
  </r>
  <r>
    <n v="2668"/>
    <n v="26"/>
    <s v="Male"/>
    <s v="Footwear"/>
    <s v="Sandals"/>
    <n v="221.47"/>
    <s v="Autumn"/>
    <s v="Card"/>
    <n v="3.1"/>
    <x v="8"/>
    <n v="6"/>
    <n v="251.67045454545453"/>
    <n v="30.200454545454534"/>
    <x v="5"/>
    <n v="1"/>
  </r>
  <r>
    <n v="2669"/>
    <n v="21"/>
    <s v="Female"/>
    <s v="Womens Clothing"/>
    <s v="Jeans"/>
    <n v="52.43"/>
    <s v="Autumn"/>
    <s v="Cash on Delivery"/>
    <n v="3.6"/>
    <x v="27"/>
    <n v="10"/>
    <n v="69.906666666666666"/>
    <n v="17.476666666666667"/>
    <x v="3"/>
    <n v="1"/>
  </r>
  <r>
    <n v="2670"/>
    <n v="37"/>
    <s v="Male"/>
    <s v="Sports"/>
    <s v="Dumbbells"/>
    <n v="172.83"/>
    <s v="Spring"/>
    <s v="Card"/>
    <n v="3.1"/>
    <x v="10"/>
    <n v="6"/>
    <n v="221.57692307692309"/>
    <n v="48.746923076923082"/>
    <x v="1"/>
    <n v="1"/>
  </r>
  <r>
    <n v="2671"/>
    <n v="35"/>
    <s v="Female"/>
    <s v="Home"/>
    <s v="Curtains"/>
    <n v="217.67"/>
    <s v="Winter"/>
    <s v="Card"/>
    <n v="3.5"/>
    <x v="7"/>
    <n v="5"/>
    <n v="241.85555555555553"/>
    <n v="24.185555555555538"/>
    <x v="5"/>
    <n v="1"/>
  </r>
  <r>
    <n v="2672"/>
    <n v="29"/>
    <s v="Male"/>
    <s v="Footwear"/>
    <s v="Sneakers"/>
    <n v="217.41"/>
    <s v="Autumn"/>
    <s v="Card"/>
    <n v="4.3"/>
    <x v="4"/>
    <n v="7"/>
    <n v="252.80232558139534"/>
    <n v="35.39232558139534"/>
    <x v="5"/>
    <n v="1"/>
  </r>
  <r>
    <n v="2673"/>
    <n v="41"/>
    <s v="Male"/>
    <s v="Footwear"/>
    <s v="Sneakers"/>
    <n v="171.5"/>
    <s v="Winter"/>
    <s v="Card"/>
    <n v="3.3"/>
    <x v="12"/>
    <n v="7"/>
    <n v="211.72839506172838"/>
    <n v="40.228395061728378"/>
    <x v="1"/>
    <n v="1"/>
  </r>
  <r>
    <n v="2674"/>
    <n v="35"/>
    <s v="Male"/>
    <s v="Electronics"/>
    <s v="Laptop"/>
    <n v="2366.84"/>
    <s v="Winter"/>
    <s v="Card"/>
    <n v="3.6"/>
    <x v="11"/>
    <n v="8"/>
    <n v="3198.4324324324325"/>
    <n v="831.59243243243236"/>
    <x v="5"/>
    <n v="1"/>
  </r>
  <r>
    <n v="2675"/>
    <n v="70"/>
    <s v="Female"/>
    <s v="Accessories"/>
    <s v="Wallet"/>
    <n v="169.45"/>
    <s v="Spring"/>
    <s v="Card"/>
    <n v="3.1"/>
    <x v="19"/>
    <n v="5"/>
    <n v="199.35294117647058"/>
    <n v="29.902941176470591"/>
    <x v="2"/>
    <n v="1"/>
  </r>
  <r>
    <n v="2676"/>
    <n v="50"/>
    <s v="Female"/>
    <s v="Accessories"/>
    <s v="Handbag"/>
    <n v="51.73"/>
    <s v="Autumn"/>
    <s v="Cash on Delivery"/>
    <n v="3.4"/>
    <x v="7"/>
    <n v="5"/>
    <n v="57.477777777777774"/>
    <n v="5.7477777777777774"/>
    <x v="4"/>
    <n v="1"/>
  </r>
  <r>
    <n v="2677"/>
    <n v="43"/>
    <s v="Female"/>
    <s v="Footwear"/>
    <s v="Formal Shoes"/>
    <n v="111.39"/>
    <s v="Autumn"/>
    <s v="Card"/>
    <n v="2.8"/>
    <x v="16"/>
    <n v="3"/>
    <n v="118.50000000000001"/>
    <n v="7.1100000000000136"/>
    <x v="1"/>
    <n v="1"/>
  </r>
  <r>
    <n v="2678"/>
    <n v="40"/>
    <s v="Female"/>
    <s v="Footwear"/>
    <s v="Sneakers"/>
    <n v="184.33"/>
    <s v="Summer"/>
    <s v="Card"/>
    <n v="4.3"/>
    <x v="11"/>
    <n v="8"/>
    <n v="249.09459459459461"/>
    <n v="64.764594594594598"/>
    <x v="1"/>
    <n v="1"/>
  </r>
  <r>
    <n v="2679"/>
    <n v="32"/>
    <s v="Female"/>
    <s v="Womens Clothing"/>
    <s v="Dress"/>
    <n v="110.27"/>
    <s v="Winter"/>
    <s v="Card"/>
    <n v="4.4000000000000004"/>
    <x v="0"/>
    <n v="4"/>
    <n v="134.47560975609755"/>
    <n v="24.205609756097559"/>
    <x v="5"/>
    <n v="1"/>
  </r>
  <r>
    <n v="2680"/>
    <n v="61"/>
    <s v="Female"/>
    <s v="Womens Clothing"/>
    <s v="Top"/>
    <n v="79.69"/>
    <s v="Autumn"/>
    <s v="Cash on Delivery"/>
    <n v="3.3"/>
    <x v="0"/>
    <n v="4"/>
    <n v="97.182926829268283"/>
    <n v="17.492926829268285"/>
    <x v="0"/>
    <n v="1"/>
  </r>
  <r>
    <n v="2681"/>
    <n v="54"/>
    <s v="Female"/>
    <s v="Beauty"/>
    <s v="Perfume"/>
    <n v="125.21"/>
    <s v="Autumn"/>
    <s v="Card"/>
    <n v="4.0999999999999996"/>
    <x v="5"/>
    <n v="4"/>
    <n v="136.0978260869565"/>
    <n v="10.887826086956508"/>
    <x v="4"/>
    <n v="1"/>
  </r>
  <r>
    <n v="2682"/>
    <n v="66"/>
    <s v="Male"/>
    <s v="Groceries"/>
    <s v="Beverages"/>
    <n v="5.08"/>
    <s v="Winter"/>
    <s v="Cash on Delivery"/>
    <n v="4.9000000000000004"/>
    <x v="14"/>
    <n v="6"/>
    <n v="6.120481927710844"/>
    <n v="1.0404819277108439"/>
    <x v="2"/>
    <n v="1"/>
  </r>
  <r>
    <n v="2683"/>
    <n v="69"/>
    <s v="Female"/>
    <s v="Footwear"/>
    <s v="Sneakers"/>
    <n v="228.38"/>
    <s v="Autumn"/>
    <s v="Card"/>
    <n v="4"/>
    <x v="4"/>
    <n v="7"/>
    <n v="265.55813953488371"/>
    <n v="37.178139534883712"/>
    <x v="2"/>
    <n v="1"/>
  </r>
  <r>
    <n v="2684"/>
    <n v="27"/>
    <s v="Male"/>
    <s v="Footwear"/>
    <s v="Sandals"/>
    <n v="146.57"/>
    <s v="Winter"/>
    <s v="Card"/>
    <n v="3.2"/>
    <x v="19"/>
    <n v="5"/>
    <n v="172.43529411764706"/>
    <n v="25.865294117647068"/>
    <x v="5"/>
    <n v="1"/>
  </r>
  <r>
    <n v="2685"/>
    <n v="64"/>
    <s v="Female"/>
    <s v="Footwear"/>
    <s v="Sandals"/>
    <n v="90.12"/>
    <s v="Winter"/>
    <s v="Card"/>
    <n v="5"/>
    <x v="1"/>
    <n v="4"/>
    <n v="103.58620689655173"/>
    <n v="13.466206896551725"/>
    <x v="0"/>
    <n v="1"/>
  </r>
  <r>
    <n v="2686"/>
    <n v="46"/>
    <s v="Male"/>
    <s v="Sports"/>
    <s v="Dumbbells"/>
    <n v="180.39"/>
    <s v="Winter"/>
    <s v="Card"/>
    <n v="5"/>
    <x v="2"/>
    <n v="3"/>
    <n v="202.68539325842696"/>
    <n v="22.295393258426969"/>
    <x v="4"/>
    <n v="1"/>
  </r>
  <r>
    <n v="2687"/>
    <n v="21"/>
    <s v="Female"/>
    <s v="Footwear"/>
    <s v="Sandals"/>
    <n v="234.56"/>
    <s v="Summer"/>
    <s v="Card"/>
    <n v="4.0999999999999996"/>
    <x v="19"/>
    <n v="5"/>
    <n v="275.95294117647057"/>
    <n v="41.392941176470572"/>
    <x v="3"/>
    <n v="1"/>
  </r>
  <r>
    <n v="2688"/>
    <n v="31"/>
    <s v="Male"/>
    <s v="Mens Clothing"/>
    <s v="Jeans"/>
    <n v="172.58"/>
    <s v="Autumn"/>
    <s v="Card"/>
    <n v="2.4"/>
    <x v="0"/>
    <n v="4"/>
    <n v="210.46341463414635"/>
    <n v="37.883414634146334"/>
    <x v="5"/>
    <n v="1"/>
  </r>
  <r>
    <n v="2689"/>
    <n v="69"/>
    <s v="Female"/>
    <s v="Footwear"/>
    <s v="Formal Shoes"/>
    <n v="90.11"/>
    <s v="Autumn"/>
    <s v="Cash on Delivery"/>
    <n v="3.3"/>
    <x v="19"/>
    <n v="5"/>
    <n v="106.01176470588236"/>
    <n v="15.901764705882357"/>
    <x v="2"/>
    <n v="1"/>
  </r>
  <r>
    <n v="2690"/>
    <n v="55"/>
    <s v="Female"/>
    <s v="Womens Clothing"/>
    <s v="Skirt"/>
    <n v="159.87"/>
    <s v="Winter"/>
    <s v="Card"/>
    <n v="3.6"/>
    <x v="5"/>
    <n v="4"/>
    <n v="173.77173913043478"/>
    <n v="13.901739130434777"/>
    <x v="4"/>
    <n v="1"/>
  </r>
  <r>
    <n v="2691"/>
    <n v="50"/>
    <s v="Female"/>
    <s v="Footwear"/>
    <s v="Sandals"/>
    <n v="95.51"/>
    <s v="Spring"/>
    <s v="Card"/>
    <n v="5"/>
    <x v="3"/>
    <n v="5"/>
    <n v="119.3875"/>
    <n v="23.877499999999998"/>
    <x v="4"/>
    <n v="1"/>
  </r>
  <r>
    <n v="2692"/>
    <n v="68"/>
    <s v="Male"/>
    <s v="Sports"/>
    <s v="Dumbbells"/>
    <n v="84.67"/>
    <s v="Autumn"/>
    <s v="Card"/>
    <n v="3"/>
    <x v="1"/>
    <n v="4"/>
    <n v="97.321839080459768"/>
    <n v="12.651839080459766"/>
    <x v="2"/>
    <n v="1"/>
  </r>
  <r>
    <n v="2693"/>
    <n v="64"/>
    <s v="Male"/>
    <s v="Sports"/>
    <s v="Dumbbells"/>
    <n v="25.56"/>
    <s v="Winter"/>
    <s v="Cash on Delivery"/>
    <n v="3.2"/>
    <x v="2"/>
    <n v="3"/>
    <n v="28.719101123595504"/>
    <n v="3.1591011235955051"/>
    <x v="0"/>
    <n v="1"/>
  </r>
  <r>
    <n v="2694"/>
    <n v="63"/>
    <s v="Female"/>
    <s v="Beauty"/>
    <s v="Perfume"/>
    <n v="49.07"/>
    <s v="Autumn"/>
    <s v="Card"/>
    <n v="4.5999999999999996"/>
    <x v="16"/>
    <n v="3"/>
    <n v="52.202127659574472"/>
    <n v="3.132127659574472"/>
    <x v="0"/>
    <n v="1"/>
  </r>
  <r>
    <n v="2695"/>
    <n v="32"/>
    <s v="Male"/>
    <s v="Mens Clothing"/>
    <s v="Shirt"/>
    <n v="73.680000000000007"/>
    <s v="Spring"/>
    <s v="Cash on Delivery"/>
    <n v="4.5"/>
    <x v="10"/>
    <n v="6"/>
    <n v="94.461538461538467"/>
    <n v="20.78153846153846"/>
    <x v="5"/>
    <n v="1"/>
  </r>
  <r>
    <n v="2696"/>
    <n v="36"/>
    <s v="Male"/>
    <s v="Sports"/>
    <s v="Dumbbells"/>
    <n v="116.83"/>
    <s v="Autumn"/>
    <s v="Card"/>
    <n v="4"/>
    <x v="4"/>
    <n v="7"/>
    <n v="135.84883720930233"/>
    <n v="19.018837209302333"/>
    <x v="1"/>
    <n v="1"/>
  </r>
  <r>
    <n v="2697"/>
    <n v="49"/>
    <s v="Male"/>
    <s v="Electronics"/>
    <s v="Mobile Phone"/>
    <n v="1896.33"/>
    <s v="Autumn"/>
    <s v="Card"/>
    <n v="3.7"/>
    <x v="4"/>
    <n v="7"/>
    <n v="2205.0348837209303"/>
    <n v="308.70488372093041"/>
    <x v="4"/>
    <n v="1"/>
  </r>
  <r>
    <n v="2698"/>
    <n v="48"/>
    <s v="Female"/>
    <s v="Beauty"/>
    <s v="Skincare Kit"/>
    <n v="27.41"/>
    <s v="Spring"/>
    <s v="Card"/>
    <n v="5"/>
    <x v="4"/>
    <n v="2"/>
    <n v="31.872093023255815"/>
    <n v="4.4620930232558145"/>
    <x v="4"/>
    <n v="1"/>
  </r>
  <r>
    <n v="2699"/>
    <n v="57"/>
    <s v="Male"/>
    <s v="Mens Clothing"/>
    <s v="Jeans"/>
    <n v="160.88"/>
    <s v="Summer"/>
    <s v="Card"/>
    <n v="2.9"/>
    <x v="3"/>
    <n v="5"/>
    <n v="201.1"/>
    <n v="40.22"/>
    <x v="0"/>
    <n v="1"/>
  </r>
  <r>
    <n v="2700"/>
    <n v="47"/>
    <s v="Female"/>
    <s v="Beauty"/>
    <s v="Skincare Kit"/>
    <n v="133.68"/>
    <s v="Summer"/>
    <s v="Card"/>
    <n v="4.9000000000000004"/>
    <x v="8"/>
    <n v="1"/>
    <n v="151.90909090909091"/>
    <n v="18.2290909090909"/>
    <x v="4"/>
    <n v="1"/>
  </r>
  <r>
    <n v="2701"/>
    <n v="64"/>
    <s v="Male"/>
    <s v="Electronics"/>
    <s v="Laptop"/>
    <n v="2526.33"/>
    <s v="Spring"/>
    <s v="Card"/>
    <n v="4.7"/>
    <x v="2"/>
    <n v="3"/>
    <n v="2838.5730337078649"/>
    <n v="312.24303370786492"/>
    <x v="0"/>
    <n v="1"/>
  </r>
  <r>
    <n v="2702"/>
    <n v="43"/>
    <s v="Female"/>
    <s v="Beauty"/>
    <s v="Perfume"/>
    <n v="52.38"/>
    <s v="Spring"/>
    <s v="Cash on Delivery"/>
    <n v="4.5"/>
    <x v="1"/>
    <n v="4"/>
    <n v="60.206896551724142"/>
    <n v="7.8268965517241398"/>
    <x v="1"/>
    <n v="1"/>
  </r>
  <r>
    <n v="2703"/>
    <n v="46"/>
    <s v="Male"/>
    <s v="Footwear"/>
    <s v="Sandals"/>
    <n v="172.43"/>
    <s v="Autumn"/>
    <s v="Card"/>
    <n v="3.7"/>
    <x v="24"/>
    <n v="9"/>
    <n v="239.48611111111114"/>
    <n v="67.056111111111136"/>
    <x v="4"/>
    <n v="1"/>
  </r>
  <r>
    <n v="2704"/>
    <n v="31"/>
    <s v="Female"/>
    <s v="Beauty"/>
    <s v="Perfume"/>
    <n v="22.43"/>
    <s v="Spring"/>
    <s v="Cash on Delivery"/>
    <n v="5"/>
    <x v="3"/>
    <n v="5"/>
    <n v="28.037499999999998"/>
    <n v="5.6074999999999982"/>
    <x v="5"/>
    <n v="1"/>
  </r>
  <r>
    <n v="2705"/>
    <n v="57"/>
    <s v="Female"/>
    <s v="Beauty"/>
    <s v="Makeup Set"/>
    <n v="134.93"/>
    <s v="Spring"/>
    <s v="Card"/>
    <n v="4.5"/>
    <x v="6"/>
    <n v="3"/>
    <n v="160.63095238095241"/>
    <n v="25.700952380952401"/>
    <x v="0"/>
    <n v="1"/>
  </r>
  <r>
    <n v="2706"/>
    <n v="28"/>
    <s v="Female"/>
    <s v="Beauty"/>
    <s v="Perfume"/>
    <n v="29.51"/>
    <s v="Summer"/>
    <s v="Card"/>
    <n v="4.4000000000000004"/>
    <x v="6"/>
    <n v="8"/>
    <n v="35.130952380952387"/>
    <n v="5.6209523809523851"/>
    <x v="5"/>
    <n v="1"/>
  </r>
  <r>
    <n v="2707"/>
    <n v="21"/>
    <s v="Male"/>
    <s v="Mens Clothing"/>
    <s v="Shirt"/>
    <n v="58.68"/>
    <s v="Autumn"/>
    <s v="Card"/>
    <n v="3.6"/>
    <x v="3"/>
    <n v="5"/>
    <n v="73.349999999999994"/>
    <n v="14.669999999999995"/>
    <x v="3"/>
    <n v="1"/>
  </r>
  <r>
    <n v="2708"/>
    <n v="31"/>
    <s v="Male"/>
    <s v="Electronics"/>
    <s v="Laptop"/>
    <n v="2023.48"/>
    <s v="Autumn"/>
    <s v="Card"/>
    <n v="2.6"/>
    <x v="13"/>
    <n v="2"/>
    <n v="2223.6043956043954"/>
    <n v="200.12439560439543"/>
    <x v="5"/>
    <n v="1"/>
  </r>
  <r>
    <n v="2709"/>
    <n v="57"/>
    <s v="Female"/>
    <s v="Beauty"/>
    <s v="Skincare Kit"/>
    <n v="66.39"/>
    <s v="Summer"/>
    <s v="Cash on Delivery"/>
    <n v="3.1"/>
    <x v="5"/>
    <n v="4"/>
    <n v="72.16304347826086"/>
    <n v="5.7730434782608597"/>
    <x v="0"/>
    <n v="1"/>
  </r>
  <r>
    <n v="2710"/>
    <n v="59"/>
    <s v="Male"/>
    <s v="Mens Clothing"/>
    <s v="Jacket"/>
    <n v="141.61000000000001"/>
    <s v="Summer"/>
    <s v="Card"/>
    <n v="4.0999999999999996"/>
    <x v="5"/>
    <n v="4"/>
    <n v="153.92391304347828"/>
    <n v="12.313913043478266"/>
    <x v="0"/>
    <n v="1"/>
  </r>
  <r>
    <n v="2711"/>
    <n v="21"/>
    <s v="Male"/>
    <s v="Electronics"/>
    <s v="Laptop"/>
    <n v="2109.6799999999998"/>
    <s v="Winter"/>
    <s v="Card"/>
    <n v="3.2"/>
    <x v="8"/>
    <n v="6"/>
    <n v="2397.363636363636"/>
    <n v="287.6836363636362"/>
    <x v="3"/>
    <n v="1"/>
  </r>
  <r>
    <n v="2712"/>
    <n v="25"/>
    <s v="Female"/>
    <s v="Groceries"/>
    <s v="Snacks"/>
    <n v="41.72"/>
    <s v="Autumn"/>
    <s v="Cash on Delivery"/>
    <n v="5"/>
    <x v="15"/>
    <n v="1"/>
    <n v="42.571428571428569"/>
    <n v="0.85142857142857054"/>
    <x v="3"/>
    <n v="1"/>
  </r>
  <r>
    <n v="2713"/>
    <n v="41"/>
    <s v="Female"/>
    <s v="Beauty"/>
    <s v="Perfume"/>
    <n v="139.88"/>
    <s v="Spring"/>
    <s v="Card"/>
    <n v="4.3"/>
    <x v="16"/>
    <n v="3"/>
    <n v="148.80851063829789"/>
    <n v="8.9285106382978938"/>
    <x v="1"/>
    <n v="1"/>
  </r>
  <r>
    <n v="2714"/>
    <n v="46"/>
    <s v="Female"/>
    <s v="Accessories"/>
    <s v="Sunglasses"/>
    <n v="39.06"/>
    <s v="Winter"/>
    <s v="Cash on Delivery"/>
    <n v="3.2"/>
    <x v="8"/>
    <n v="6"/>
    <n v="44.38636363636364"/>
    <n v="5.326363636363638"/>
    <x v="4"/>
    <n v="1"/>
  </r>
  <r>
    <n v="2715"/>
    <n v="40"/>
    <s v="Female"/>
    <s v="Beauty"/>
    <s v="Makeup Set"/>
    <n v="104.69"/>
    <s v="Winter"/>
    <s v="Card"/>
    <n v="2.2000000000000002"/>
    <x v="14"/>
    <n v="6"/>
    <n v="126.13253012048193"/>
    <n v="21.442530120481933"/>
    <x v="1"/>
    <n v="1"/>
  </r>
  <r>
    <n v="2716"/>
    <n v="47"/>
    <s v="Male"/>
    <s v="Mens Clothing"/>
    <s v="Jacket"/>
    <n v="119.05"/>
    <s v="Winter"/>
    <s v="Card"/>
    <n v="2.5"/>
    <x v="13"/>
    <n v="2"/>
    <n v="130.82417582417582"/>
    <n v="11.774175824175828"/>
    <x v="4"/>
    <n v="1"/>
  </r>
  <r>
    <n v="2717"/>
    <n v="53"/>
    <s v="Female"/>
    <s v="Accessories"/>
    <s v="Sunglasses"/>
    <n v="158.47"/>
    <s v="Summer"/>
    <s v="Card"/>
    <n v="4.4000000000000004"/>
    <x v="10"/>
    <n v="6"/>
    <n v="203.16666666666666"/>
    <n v="44.696666666666658"/>
    <x v="4"/>
    <n v="1"/>
  </r>
  <r>
    <n v="2718"/>
    <n v="34"/>
    <s v="Male"/>
    <s v="Mens Clothing"/>
    <s v="Jeans"/>
    <n v="111.49"/>
    <s v="Spring"/>
    <s v="Card"/>
    <n v="4.5"/>
    <x v="0"/>
    <n v="4"/>
    <n v="135.96341463414632"/>
    <n v="24.473414634146323"/>
    <x v="5"/>
    <n v="1"/>
  </r>
  <r>
    <n v="2719"/>
    <n v="34"/>
    <s v="Female"/>
    <s v="Footwear"/>
    <s v="Sneakers"/>
    <n v="171.91"/>
    <s v="Spring"/>
    <s v="Card"/>
    <n v="3.3"/>
    <x v="3"/>
    <n v="5"/>
    <n v="214.88749999999999"/>
    <n v="42.977499999999992"/>
    <x v="5"/>
    <n v="1"/>
  </r>
  <r>
    <n v="2720"/>
    <n v="61"/>
    <s v="Female"/>
    <s v="Womens Clothing"/>
    <s v="Jeans"/>
    <n v="199.45"/>
    <s v="Spring"/>
    <s v="Card"/>
    <n v="3.2"/>
    <x v="18"/>
    <n v="7"/>
    <n v="262.43421052631578"/>
    <n v="62.984210526315792"/>
    <x v="0"/>
    <n v="1"/>
  </r>
  <r>
    <n v="2721"/>
    <n v="29"/>
    <s v="Male"/>
    <s v="Footwear"/>
    <s v="Sneakers"/>
    <n v="201.67"/>
    <s v="Summer"/>
    <s v="Card"/>
    <n v="4.0999999999999996"/>
    <x v="2"/>
    <n v="3"/>
    <n v="226.59550561797752"/>
    <n v="24.925505617977535"/>
    <x v="5"/>
    <n v="1"/>
  </r>
  <r>
    <n v="2722"/>
    <n v="33"/>
    <s v="Male"/>
    <s v="Groceries"/>
    <s v="Beverages"/>
    <n v="30.08"/>
    <s v="Spring"/>
    <s v="Card"/>
    <n v="4.2"/>
    <x v="7"/>
    <n v="5"/>
    <n v="33.422222222222217"/>
    <n v="3.3422222222222189"/>
    <x v="5"/>
    <n v="1"/>
  </r>
  <r>
    <n v="2723"/>
    <n v="70"/>
    <s v="Female"/>
    <s v="Footwear"/>
    <s v="Sandals"/>
    <n v="173.77"/>
    <s v="Spring"/>
    <s v="Card"/>
    <n v="4"/>
    <x v="8"/>
    <n v="6"/>
    <n v="197.46590909090909"/>
    <n v="23.695909090909083"/>
    <x v="2"/>
    <n v="1"/>
  </r>
  <r>
    <n v="2724"/>
    <n v="51"/>
    <s v="Male"/>
    <s v="Sports"/>
    <s v="Dumbbells"/>
    <n v="26.65"/>
    <s v="Winter"/>
    <s v="Card"/>
    <n v="3.5"/>
    <x v="8"/>
    <n v="6"/>
    <n v="30.284090909090907"/>
    <n v="3.6340909090909079"/>
    <x v="4"/>
    <n v="1"/>
  </r>
  <r>
    <n v="2725"/>
    <n v="57"/>
    <s v="Male"/>
    <s v="Electronics"/>
    <s v="Mobile Phone"/>
    <n v="800.36"/>
    <s v="Autumn"/>
    <s v="Card"/>
    <n v="4"/>
    <x v="10"/>
    <n v="6"/>
    <n v="1026.102564102564"/>
    <n v="225.74256410256396"/>
    <x v="0"/>
    <n v="1"/>
  </r>
  <r>
    <n v="2726"/>
    <n v="45"/>
    <s v="Male"/>
    <s v="Mens Clothing"/>
    <s v="Shirt"/>
    <n v="94.82"/>
    <s v="Spring"/>
    <s v="Card"/>
    <n v="4.4000000000000004"/>
    <x v="12"/>
    <n v="7"/>
    <n v="117.06172839506171"/>
    <n v="22.241728395061713"/>
    <x v="1"/>
    <n v="1"/>
  </r>
  <r>
    <n v="2727"/>
    <n v="67"/>
    <s v="Female"/>
    <s v="Home"/>
    <s v="Lamp"/>
    <n v="248.77"/>
    <s v="Summer"/>
    <s v="Card"/>
    <n v="3.9"/>
    <x v="5"/>
    <n v="4"/>
    <n v="270.4021739130435"/>
    <n v="21.632173913043488"/>
    <x v="2"/>
    <n v="1"/>
  </r>
  <r>
    <n v="2728"/>
    <n v="45"/>
    <s v="Female"/>
    <s v="Accessories"/>
    <s v="Sunglasses"/>
    <n v="30.71"/>
    <s v="Winter"/>
    <s v="Cash on Delivery"/>
    <n v="3.5"/>
    <x v="8"/>
    <n v="1"/>
    <n v="34.897727272727273"/>
    <n v="4.1877272727272725"/>
    <x v="1"/>
    <n v="1"/>
  </r>
  <r>
    <n v="2729"/>
    <n v="60"/>
    <s v="Male"/>
    <s v="Sports"/>
    <s v="Dumbbells"/>
    <n v="165.51"/>
    <s v="Winter"/>
    <s v="Card"/>
    <n v="2.6"/>
    <x v="5"/>
    <n v="4"/>
    <n v="179.90217391304347"/>
    <n v="14.392173913043479"/>
    <x v="0"/>
    <n v="1"/>
  </r>
  <r>
    <n v="2730"/>
    <n v="70"/>
    <s v="Female"/>
    <s v="Womens Clothing"/>
    <s v="Dress"/>
    <n v="68.489999999999995"/>
    <s v="Autumn"/>
    <s v="Cash on Delivery"/>
    <n v="4.7"/>
    <x v="4"/>
    <n v="2"/>
    <n v="79.639534883720927"/>
    <n v="11.149534883720932"/>
    <x v="2"/>
    <n v="1"/>
  </r>
  <r>
    <n v="2731"/>
    <n v="21"/>
    <s v="Male"/>
    <s v="Electronics"/>
    <s v="Laptop"/>
    <n v="2061.36"/>
    <s v="Spring"/>
    <s v="Card"/>
    <n v="4"/>
    <x v="3"/>
    <n v="5"/>
    <n v="2576.6999999999998"/>
    <n v="515.33999999999969"/>
    <x v="3"/>
    <n v="1"/>
  </r>
  <r>
    <n v="2732"/>
    <n v="42"/>
    <s v="Female"/>
    <s v="Footwear"/>
    <s v="Sandals"/>
    <n v="45.4"/>
    <s v="Winter"/>
    <s v="Card"/>
    <n v="3.5"/>
    <x v="12"/>
    <n v="7"/>
    <n v="56.049382716049379"/>
    <n v="10.649382716049381"/>
    <x v="1"/>
    <n v="1"/>
  </r>
  <r>
    <n v="2733"/>
    <n v="26"/>
    <s v="Female"/>
    <s v="Womens Clothing"/>
    <s v="Skirt"/>
    <n v="66.62"/>
    <s v="Autumn"/>
    <s v="Cash on Delivery"/>
    <n v="3.5"/>
    <x v="15"/>
    <n v="1"/>
    <n v="67.979591836734699"/>
    <n v="1.359591836734694"/>
    <x v="5"/>
    <n v="1"/>
  </r>
  <r>
    <n v="2734"/>
    <n v="69"/>
    <s v="Female"/>
    <s v="Footwear"/>
    <s v="Sandals"/>
    <n v="43.11"/>
    <s v="Autumn"/>
    <s v="Cash on Delivery"/>
    <n v="3.4"/>
    <x v="15"/>
    <n v="1"/>
    <n v="43.989795918367349"/>
    <n v="0.87979591836734983"/>
    <x v="2"/>
    <n v="1"/>
  </r>
  <r>
    <n v="2735"/>
    <n v="49"/>
    <s v="Male"/>
    <s v="Electronics"/>
    <s v="Mobile Phone"/>
    <n v="519.78"/>
    <s v="Spring"/>
    <s v="Card"/>
    <n v="3.7"/>
    <x v="10"/>
    <n v="6"/>
    <n v="666.38461538461536"/>
    <n v="146.60461538461539"/>
    <x v="4"/>
    <n v="1"/>
  </r>
  <r>
    <n v="2736"/>
    <n v="28"/>
    <s v="Female"/>
    <s v="Womens Clothing"/>
    <s v="Jeans"/>
    <n v="167.8"/>
    <s v="Spring"/>
    <s v="Card"/>
    <n v="3.8"/>
    <x v="12"/>
    <n v="7"/>
    <n v="207.16049382716051"/>
    <n v="39.360493827160496"/>
    <x v="5"/>
    <n v="1"/>
  </r>
  <r>
    <n v="2737"/>
    <n v="59"/>
    <s v="Male"/>
    <s v="Home"/>
    <s v="Curtains"/>
    <n v="57.56"/>
    <s v="Autumn"/>
    <s v="Card"/>
    <n v="4.7"/>
    <x v="14"/>
    <n v="6"/>
    <n v="69.349397590361448"/>
    <n v="11.789397590361446"/>
    <x v="0"/>
    <n v="1"/>
  </r>
  <r>
    <n v="2738"/>
    <n v="41"/>
    <s v="Female"/>
    <s v="Home"/>
    <s v="Kitchen Set"/>
    <n v="82.73"/>
    <s v="Summer"/>
    <s v="Cash on Delivery"/>
    <n v="3.9"/>
    <x v="11"/>
    <n v="8"/>
    <n v="111.79729729729731"/>
    <n v="29.067297297297301"/>
    <x v="1"/>
    <n v="1"/>
  </r>
  <r>
    <n v="2739"/>
    <n v="30"/>
    <s v="Male"/>
    <s v="Electronics"/>
    <s v="Mobile Phone"/>
    <n v="578.64"/>
    <s v="Winter"/>
    <s v="Card"/>
    <n v="3.2"/>
    <x v="21"/>
    <n v="8"/>
    <n v="732.45569620253161"/>
    <n v="153.81569620253163"/>
    <x v="5"/>
    <n v="1"/>
  </r>
  <r>
    <n v="2740"/>
    <n v="69"/>
    <s v="Male"/>
    <s v="Groceries"/>
    <s v="Snacks"/>
    <n v="65.16"/>
    <s v="Autumn"/>
    <s v="Card"/>
    <n v="4.2"/>
    <x v="2"/>
    <n v="3"/>
    <n v="73.213483146067418"/>
    <n v="8.0534831460674212"/>
    <x v="2"/>
    <n v="1"/>
  </r>
  <r>
    <n v="2741"/>
    <n v="62"/>
    <s v="Female"/>
    <s v="Womens Clothing"/>
    <s v="Jeans"/>
    <n v="101.41"/>
    <s v="Spring"/>
    <s v="Card"/>
    <n v="3.9"/>
    <x v="5"/>
    <n v="4"/>
    <n v="110.2282608695652"/>
    <n v="8.8182608695652078"/>
    <x v="0"/>
    <n v="1"/>
  </r>
  <r>
    <n v="2742"/>
    <n v="33"/>
    <s v="Female"/>
    <s v="Beauty"/>
    <s v="Perfume"/>
    <n v="110.21"/>
    <s v="Winter"/>
    <s v="Card"/>
    <n v="4.0999999999999996"/>
    <x v="4"/>
    <n v="2"/>
    <n v="128.15116279069767"/>
    <n v="17.941162790697675"/>
    <x v="5"/>
    <n v="1"/>
  </r>
  <r>
    <n v="2743"/>
    <n v="22"/>
    <s v="Male"/>
    <s v="Sports"/>
    <s v="Dumbbells"/>
    <n v="63.38"/>
    <s v="Autumn"/>
    <s v="Cash on Delivery"/>
    <n v="3"/>
    <x v="24"/>
    <n v="9"/>
    <n v="88.027777777777786"/>
    <n v="24.647777777777783"/>
    <x v="3"/>
    <n v="1"/>
  </r>
  <r>
    <n v="2744"/>
    <n v="56"/>
    <s v="Male"/>
    <s v="Mens Clothing"/>
    <s v="Jacket"/>
    <n v="144.24"/>
    <s v="Autumn"/>
    <s v="Card"/>
    <n v="3.8"/>
    <x v="24"/>
    <n v="9"/>
    <n v="200.33333333333334"/>
    <n v="56.093333333333334"/>
    <x v="0"/>
    <n v="1"/>
  </r>
  <r>
    <n v="2745"/>
    <n v="37"/>
    <s v="Male"/>
    <s v="Footwear"/>
    <s v="Sandals"/>
    <n v="235.76"/>
    <s v="Winter"/>
    <s v="Card"/>
    <n v="4.5"/>
    <x v="24"/>
    <n v="9"/>
    <n v="327.44444444444446"/>
    <n v="91.684444444444466"/>
    <x v="1"/>
    <n v="1"/>
  </r>
  <r>
    <n v="2746"/>
    <n v="41"/>
    <s v="Female"/>
    <s v="Accessories"/>
    <s v="Wallet"/>
    <n v="53.22"/>
    <s v="Winter"/>
    <s v="Cash on Delivery"/>
    <n v="2.7"/>
    <x v="1"/>
    <n v="4"/>
    <n v="61.172413793103445"/>
    <n v="7.952413793103446"/>
    <x v="1"/>
    <n v="1"/>
  </r>
  <r>
    <n v="2747"/>
    <n v="66"/>
    <s v="Male"/>
    <s v="Sports"/>
    <s v="Yoga Mat"/>
    <n v="50.31"/>
    <s v="Spring"/>
    <s v="Cash on Delivery"/>
    <n v="2.6"/>
    <x v="0"/>
    <n v="4"/>
    <n v="61.353658536585364"/>
    <n v="11.043658536585362"/>
    <x v="2"/>
    <n v="1"/>
  </r>
  <r>
    <n v="2748"/>
    <n v="22"/>
    <s v="Male"/>
    <s v="Electronics"/>
    <s v="Smart Watch"/>
    <n v="1764.17"/>
    <s v="Winter"/>
    <s v="Card"/>
    <n v="4.0999999999999996"/>
    <x v="6"/>
    <n v="8"/>
    <n v="2100.2023809523812"/>
    <n v="336.03238095238112"/>
    <x v="3"/>
    <n v="1"/>
  </r>
  <r>
    <n v="2749"/>
    <n v="50"/>
    <s v="Female"/>
    <s v="Beauty"/>
    <s v="Skincare Kit"/>
    <n v="78.25"/>
    <s v="Winter"/>
    <s v="Cash on Delivery"/>
    <n v="4.8"/>
    <x v="0"/>
    <n v="4"/>
    <n v="95.426829268292678"/>
    <n v="17.176829268292678"/>
    <x v="4"/>
    <n v="1"/>
  </r>
  <r>
    <n v="2750"/>
    <n v="67"/>
    <s v="Male"/>
    <s v="Groceries"/>
    <s v="Snacks"/>
    <n v="18.2"/>
    <s v="Spring"/>
    <s v="Card"/>
    <n v="3"/>
    <x v="4"/>
    <n v="7"/>
    <n v="21.162790697674417"/>
    <n v="2.9627906976744178"/>
    <x v="2"/>
    <n v="1"/>
  </r>
  <r>
    <n v="2751"/>
    <n v="35"/>
    <s v="Male"/>
    <s v="Home"/>
    <s v="Curtains"/>
    <n v="244.27"/>
    <s v="Spring"/>
    <s v="Card"/>
    <n v="4.5999999999999996"/>
    <x v="8"/>
    <n v="1"/>
    <n v="277.57954545454544"/>
    <n v="33.309545454545429"/>
    <x v="5"/>
    <n v="1"/>
  </r>
  <r>
    <n v="2752"/>
    <n v="36"/>
    <s v="Male"/>
    <s v="Home"/>
    <s v="Kitchen Set"/>
    <n v="112.07"/>
    <s v="Summer"/>
    <s v="Card"/>
    <n v="3.8"/>
    <x v="4"/>
    <n v="7"/>
    <n v="130.31395348837208"/>
    <n v="18.243953488372085"/>
    <x v="1"/>
    <n v="1"/>
  </r>
  <r>
    <n v="2753"/>
    <n v="22"/>
    <s v="Male"/>
    <s v="Mens Clothing"/>
    <s v="Jacket"/>
    <n v="116.68"/>
    <s v="Summer"/>
    <s v="Card"/>
    <n v="5"/>
    <x v="19"/>
    <n v="5"/>
    <n v="137.27058823529413"/>
    <n v="20.590588235294121"/>
    <x v="3"/>
    <n v="1"/>
  </r>
  <r>
    <n v="2754"/>
    <n v="30"/>
    <s v="Female"/>
    <s v="Groceries"/>
    <s v="Snacks"/>
    <n v="28.54"/>
    <s v="Spring"/>
    <s v="Card"/>
    <n v="3.5"/>
    <x v="8"/>
    <n v="6"/>
    <n v="32.43181818181818"/>
    <n v="3.8918181818181807"/>
    <x v="5"/>
    <n v="1"/>
  </r>
  <r>
    <n v="2755"/>
    <n v="54"/>
    <s v="Male"/>
    <s v="Electronics"/>
    <s v="Headphones"/>
    <n v="1263.5899999999999"/>
    <s v="Winter"/>
    <s v="Card"/>
    <n v="3.3"/>
    <x v="5"/>
    <n v="4"/>
    <n v="1373.4673913043478"/>
    <n v="109.87739130434784"/>
    <x v="4"/>
    <n v="1"/>
  </r>
  <r>
    <n v="2756"/>
    <n v="35"/>
    <s v="Male"/>
    <s v="Sports"/>
    <s v="Football"/>
    <n v="137.06"/>
    <s v="Winter"/>
    <s v="Card"/>
    <n v="3.6"/>
    <x v="6"/>
    <n v="8"/>
    <n v="163.16666666666669"/>
    <n v="26.106666666666683"/>
    <x v="5"/>
    <n v="1"/>
  </r>
  <r>
    <n v="2757"/>
    <n v="21"/>
    <s v="Male"/>
    <s v="Groceries"/>
    <s v="Cooking Oil"/>
    <n v="49.98"/>
    <s v="Spring"/>
    <s v="Card"/>
    <n v="3.2"/>
    <x v="1"/>
    <n v="4"/>
    <n v="57.448275862068961"/>
    <n v="7.468275862068964"/>
    <x v="3"/>
    <n v="1"/>
  </r>
  <r>
    <n v="2758"/>
    <n v="50"/>
    <s v="Female"/>
    <s v="Footwear"/>
    <s v="Sneakers"/>
    <n v="99.11"/>
    <s v="Summer"/>
    <s v="Cash on Delivery"/>
    <n v="4.3"/>
    <x v="13"/>
    <n v="2"/>
    <n v="108.91208791208791"/>
    <n v="9.802087912087913"/>
    <x v="4"/>
    <n v="1"/>
  </r>
  <r>
    <n v="2759"/>
    <n v="30"/>
    <s v="Male"/>
    <s v="Electronics"/>
    <s v="Mobile Phone"/>
    <n v="1683.57"/>
    <s v="Winter"/>
    <s v="Card"/>
    <n v="3.5"/>
    <x v="2"/>
    <n v="3"/>
    <n v="1891.6516853932583"/>
    <n v="208.08168539325834"/>
    <x v="5"/>
    <n v="1"/>
  </r>
  <r>
    <n v="2760"/>
    <n v="48"/>
    <s v="Female"/>
    <s v="Groceries"/>
    <s v="Rice Pack"/>
    <n v="77.239999999999995"/>
    <s v="Summer"/>
    <s v="Card"/>
    <n v="4.7"/>
    <x v="24"/>
    <n v="9"/>
    <n v="107.27777777777777"/>
    <n v="30.037777777777777"/>
    <x v="4"/>
    <n v="1"/>
  </r>
  <r>
    <n v="2761"/>
    <n v="38"/>
    <s v="Female"/>
    <s v="Groceries"/>
    <s v="Cooking Oil"/>
    <n v="15.14"/>
    <s v="Spring"/>
    <s v="Card"/>
    <n v="3.2"/>
    <x v="0"/>
    <n v="4"/>
    <n v="18.463414634146339"/>
    <n v="3.3234146341463386"/>
    <x v="1"/>
    <n v="1"/>
  </r>
  <r>
    <n v="2762"/>
    <n v="62"/>
    <s v="Male"/>
    <s v="Footwear"/>
    <s v="Sandals"/>
    <n v="43.56"/>
    <s v="Winter"/>
    <s v="Cash on Delivery"/>
    <n v="2.6"/>
    <x v="18"/>
    <n v="7"/>
    <n v="57.315789473684212"/>
    <n v="13.75578947368421"/>
    <x v="0"/>
    <n v="1"/>
  </r>
  <r>
    <n v="2763"/>
    <n v="30"/>
    <s v="Female"/>
    <s v="Beauty"/>
    <s v="Perfume"/>
    <n v="51"/>
    <s v="Summer"/>
    <s v="Cash on Delivery"/>
    <n v="4.5"/>
    <x v="5"/>
    <n v="4"/>
    <n v="55.434782608695649"/>
    <n v="4.4347826086956488"/>
    <x v="5"/>
    <n v="1"/>
  </r>
  <r>
    <n v="2764"/>
    <n v="24"/>
    <s v="Female"/>
    <s v="Sports"/>
    <s v="Dumbbells"/>
    <n v="232.42"/>
    <s v="Summer"/>
    <s v="Card"/>
    <n v="2.7"/>
    <x v="13"/>
    <n v="2"/>
    <n v="255.40659340659337"/>
    <n v="22.986593406593386"/>
    <x v="3"/>
    <n v="1"/>
  </r>
  <r>
    <n v="2765"/>
    <n v="56"/>
    <s v="Female"/>
    <s v="Beauty"/>
    <s v="Skincare Kit"/>
    <n v="78.209999999999994"/>
    <s v="Spring"/>
    <s v="Cash on Delivery"/>
    <n v="5"/>
    <x v="10"/>
    <n v="6"/>
    <n v="100.26923076923076"/>
    <n v="22.059230769230766"/>
    <x v="0"/>
    <n v="1"/>
  </r>
  <r>
    <n v="2766"/>
    <n v="70"/>
    <s v="Female"/>
    <s v="Groceries"/>
    <s v="Beverages"/>
    <n v="26.36"/>
    <s v="Spring"/>
    <s v="Cash on Delivery"/>
    <n v="4.4000000000000004"/>
    <x v="7"/>
    <n v="5"/>
    <n v="29.288888888888888"/>
    <n v="2.9288888888888884"/>
    <x v="2"/>
    <n v="1"/>
  </r>
  <r>
    <n v="2767"/>
    <n v="22"/>
    <s v="Male"/>
    <s v="Mens Clothing"/>
    <s v="Jacket"/>
    <n v="59.51"/>
    <s v="Winter"/>
    <s v="Card"/>
    <n v="3.3"/>
    <x v="6"/>
    <n v="3"/>
    <n v="70.845238095238102"/>
    <n v="11.335238095238104"/>
    <x v="3"/>
    <n v="1"/>
  </r>
  <r>
    <n v="2768"/>
    <n v="36"/>
    <s v="Female"/>
    <s v="Womens Clothing"/>
    <s v="Jeans"/>
    <n v="150.91999999999999"/>
    <s v="Summer"/>
    <s v="Card"/>
    <n v="4.0999999999999996"/>
    <x v="19"/>
    <n v="5"/>
    <n v="177.55294117647057"/>
    <n v="26.632941176470581"/>
    <x v="1"/>
    <n v="1"/>
  </r>
  <r>
    <n v="2769"/>
    <n v="47"/>
    <s v="Female"/>
    <s v="Womens Clothing"/>
    <s v="Top"/>
    <n v="148.25"/>
    <s v="Spring"/>
    <s v="Card"/>
    <n v="4"/>
    <x v="6"/>
    <n v="3"/>
    <n v="176.48809523809524"/>
    <n v="28.238095238095241"/>
    <x v="4"/>
    <n v="1"/>
  </r>
  <r>
    <n v="2770"/>
    <n v="57"/>
    <s v="Male"/>
    <s v="Footwear"/>
    <s v="Formal Shoes"/>
    <n v="196.03"/>
    <s v="Winter"/>
    <s v="Card"/>
    <n v="4.3"/>
    <x v="16"/>
    <n v="3"/>
    <n v="208.54255319148936"/>
    <n v="12.51255319148936"/>
    <x v="0"/>
    <n v="1"/>
  </r>
  <r>
    <n v="2771"/>
    <n v="46"/>
    <s v="Male"/>
    <s v="Electronics"/>
    <s v="Laptop"/>
    <n v="853.51"/>
    <s v="Spring"/>
    <s v="Card"/>
    <n v="2.7"/>
    <x v="2"/>
    <n v="3"/>
    <n v="959"/>
    <n v="105.49000000000001"/>
    <x v="4"/>
    <n v="1"/>
  </r>
  <r>
    <n v="2772"/>
    <n v="62"/>
    <s v="Male"/>
    <s v="Electronics"/>
    <s v="Headphones"/>
    <n v="1899.51"/>
    <s v="Autumn"/>
    <s v="Card"/>
    <n v="4.2"/>
    <x v="18"/>
    <n v="7"/>
    <n v="2499.3552631578946"/>
    <n v="599.84526315789458"/>
    <x v="0"/>
    <n v="1"/>
  </r>
  <r>
    <n v="2773"/>
    <n v="20"/>
    <s v="Male"/>
    <s v="Mens Clothing"/>
    <s v="T-Shirt"/>
    <n v="89.5"/>
    <s v="Autumn"/>
    <s v="Card"/>
    <n v="4.3"/>
    <x v="24"/>
    <n v="9"/>
    <n v="124.30555555555556"/>
    <n v="34.805555555555557"/>
    <x v="3"/>
    <n v="1"/>
  </r>
  <r>
    <n v="2774"/>
    <n v="61"/>
    <s v="Male"/>
    <s v="Sports"/>
    <s v="Dumbbells"/>
    <n v="30.95"/>
    <s v="Winter"/>
    <s v="Card"/>
    <n v="3.5"/>
    <x v="14"/>
    <n v="6"/>
    <n v="37.289156626506028"/>
    <n v="6.3391566265060284"/>
    <x v="0"/>
    <n v="1"/>
  </r>
  <r>
    <n v="2775"/>
    <n v="48"/>
    <s v="Male"/>
    <s v="Home"/>
    <s v="Kitchen Set"/>
    <n v="297.56"/>
    <s v="Winter"/>
    <s v="Card"/>
    <n v="5"/>
    <x v="0"/>
    <n v="4"/>
    <n v="362.8780487804878"/>
    <n v="65.3180487804878"/>
    <x v="4"/>
    <n v="1"/>
  </r>
  <r>
    <n v="2776"/>
    <n v="52"/>
    <s v="Male"/>
    <s v="Mens Clothing"/>
    <s v="Jeans"/>
    <n v="169.71"/>
    <s v="Winter"/>
    <s v="Card"/>
    <n v="4.3"/>
    <x v="12"/>
    <n v="7"/>
    <n v="209.5185185185185"/>
    <n v="39.808518518518497"/>
    <x v="4"/>
    <n v="1"/>
  </r>
  <r>
    <n v="2777"/>
    <n v="60"/>
    <s v="Female"/>
    <s v="Womens Clothing"/>
    <s v="Skirt"/>
    <n v="97.73"/>
    <s v="Winter"/>
    <s v="Card"/>
    <n v="4"/>
    <x v="12"/>
    <n v="7"/>
    <n v="120.65432098765432"/>
    <n v="22.924320987654312"/>
    <x v="0"/>
    <n v="1"/>
  </r>
  <r>
    <n v="2778"/>
    <n v="23"/>
    <s v="Male"/>
    <s v="Home"/>
    <s v="Lamp"/>
    <n v="92.52"/>
    <s v="Autumn"/>
    <s v="Card"/>
    <n v="3.3"/>
    <x v="5"/>
    <n v="4"/>
    <n v="100.56521739130434"/>
    <n v="8.0452173913043481"/>
    <x v="3"/>
    <n v="1"/>
  </r>
  <r>
    <n v="2779"/>
    <n v="43"/>
    <s v="Male"/>
    <s v="Sports"/>
    <s v="Dumbbells"/>
    <n v="217.59"/>
    <s v="Summer"/>
    <s v="Card"/>
    <n v="4.0999999999999996"/>
    <x v="7"/>
    <n v="5"/>
    <n v="241.76666666666665"/>
    <n v="24.176666666666648"/>
    <x v="1"/>
    <n v="1"/>
  </r>
  <r>
    <n v="2780"/>
    <n v="27"/>
    <s v="Male"/>
    <s v="Footwear"/>
    <s v="Sandals"/>
    <n v="144.94999999999999"/>
    <s v="Summer"/>
    <s v="Card"/>
    <n v="4.5999999999999996"/>
    <x v="1"/>
    <n v="4"/>
    <n v="166.60919540229884"/>
    <n v="21.659195402298849"/>
    <x v="5"/>
    <n v="1"/>
  </r>
  <r>
    <n v="2781"/>
    <n v="37"/>
    <s v="Female"/>
    <s v="Womens Clothing"/>
    <s v="Skirt"/>
    <n v="95.24"/>
    <s v="Winter"/>
    <s v="Cash on Delivery"/>
    <n v="4.0999999999999996"/>
    <x v="14"/>
    <n v="6"/>
    <n v="114.74698795180723"/>
    <n v="19.506987951807233"/>
    <x v="1"/>
    <n v="1"/>
  </r>
  <r>
    <n v="2782"/>
    <n v="20"/>
    <s v="Female"/>
    <s v="Home"/>
    <s v="Curtains"/>
    <n v="291.95"/>
    <s v="Summer"/>
    <s v="Card"/>
    <n v="2.8"/>
    <x v="3"/>
    <n v="5"/>
    <n v="364.93749999999994"/>
    <n v="72.987499999999955"/>
    <x v="3"/>
    <n v="1"/>
  </r>
  <r>
    <n v="2783"/>
    <n v="44"/>
    <s v="Male"/>
    <s v="Mens Clothing"/>
    <s v="T-Shirt"/>
    <n v="154.18"/>
    <s v="Summer"/>
    <s v="Card"/>
    <n v="4.5"/>
    <x v="6"/>
    <n v="8"/>
    <n v="183.54761904761907"/>
    <n v="29.367619047619058"/>
    <x v="1"/>
    <n v="1"/>
  </r>
  <r>
    <n v="2784"/>
    <n v="20"/>
    <s v="Female"/>
    <s v="Beauty"/>
    <s v="Makeup Set"/>
    <n v="51.67"/>
    <s v="Spring"/>
    <s v="Cash on Delivery"/>
    <n v="3.5"/>
    <x v="8"/>
    <n v="6"/>
    <n v="58.715909090909093"/>
    <n v="7.0459090909090918"/>
    <x v="3"/>
    <n v="1"/>
  </r>
  <r>
    <n v="2785"/>
    <n v="43"/>
    <s v="Female"/>
    <s v="Beauty"/>
    <s v="Skincare Kit"/>
    <n v="137.75"/>
    <s v="Spring"/>
    <s v="Card"/>
    <n v="4.0999999999999996"/>
    <x v="3"/>
    <n v="5"/>
    <n v="172.1875"/>
    <n v="34.4375"/>
    <x v="1"/>
    <n v="1"/>
  </r>
  <r>
    <n v="2786"/>
    <n v="46"/>
    <s v="Female"/>
    <s v="Footwear"/>
    <s v="Sneakers"/>
    <n v="106.59"/>
    <s v="Winter"/>
    <s v="Card"/>
    <n v="4.9000000000000004"/>
    <x v="11"/>
    <n v="8"/>
    <n v="144.04054054054055"/>
    <n v="37.450540540540544"/>
    <x v="4"/>
    <n v="1"/>
  </r>
  <r>
    <n v="2787"/>
    <n v="30"/>
    <s v="Female"/>
    <s v="Accessories"/>
    <s v="Wallet"/>
    <n v="119.64"/>
    <s v="Spring"/>
    <s v="Card"/>
    <n v="3.8"/>
    <x v="1"/>
    <n v="4"/>
    <n v="137.51724137931035"/>
    <n v="17.877241379310348"/>
    <x v="5"/>
    <n v="1"/>
  </r>
  <r>
    <n v="2788"/>
    <n v="22"/>
    <s v="Female"/>
    <s v="Beauty"/>
    <s v="Makeup Set"/>
    <n v="90.97"/>
    <s v="Spring"/>
    <s v="Card"/>
    <n v="4"/>
    <x v="4"/>
    <n v="2"/>
    <n v="105.77906976744185"/>
    <n v="14.809069767441855"/>
    <x v="3"/>
    <n v="1"/>
  </r>
  <r>
    <n v="2789"/>
    <n v="57"/>
    <s v="Female"/>
    <s v="Home"/>
    <s v="Curtains"/>
    <n v="106.31"/>
    <s v="Spring"/>
    <s v="Card"/>
    <n v="2.4"/>
    <x v="19"/>
    <n v="5"/>
    <n v="125.07058823529412"/>
    <n v="18.760588235294122"/>
    <x v="0"/>
    <n v="1"/>
  </r>
  <r>
    <n v="2790"/>
    <n v="50"/>
    <s v="Male"/>
    <s v="Footwear"/>
    <s v="Sandals"/>
    <n v="116.45"/>
    <s v="Summer"/>
    <s v="Card"/>
    <n v="3.7"/>
    <x v="0"/>
    <n v="9"/>
    <n v="142.01219512195121"/>
    <n v="25.562195121951206"/>
    <x v="4"/>
    <n v="1"/>
  </r>
  <r>
    <n v="2791"/>
    <n v="61"/>
    <s v="Male"/>
    <s v="Footwear"/>
    <s v="Sandals"/>
    <n v="166.25"/>
    <s v="Winter"/>
    <s v="Card"/>
    <n v="4.3"/>
    <x v="5"/>
    <n v="4"/>
    <n v="180.70652173913044"/>
    <n v="14.456521739130437"/>
    <x v="0"/>
    <n v="1"/>
  </r>
  <r>
    <n v="2792"/>
    <n v="38"/>
    <s v="Male"/>
    <s v="Footwear"/>
    <s v="Formal Shoes"/>
    <n v="204.4"/>
    <s v="Spring"/>
    <s v="Card"/>
    <n v="4.7"/>
    <x v="16"/>
    <n v="3"/>
    <n v="217.44680851063831"/>
    <n v="13.0468085106383"/>
    <x v="1"/>
    <n v="1"/>
  </r>
  <r>
    <n v="2793"/>
    <n v="37"/>
    <s v="Male"/>
    <s v="Sports"/>
    <s v="Dumbbells"/>
    <n v="239.14"/>
    <s v="Winter"/>
    <s v="Card"/>
    <n v="2.2000000000000002"/>
    <x v="19"/>
    <n v="5"/>
    <n v="281.34117647058821"/>
    <n v="42.201176470588223"/>
    <x v="1"/>
    <n v="1"/>
  </r>
  <r>
    <n v="2794"/>
    <n v="37"/>
    <s v="Male"/>
    <s v="Footwear"/>
    <s v="Sandals"/>
    <n v="174.28"/>
    <s v="Spring"/>
    <s v="Card"/>
    <n v="3.2"/>
    <x v="19"/>
    <n v="5"/>
    <n v="205.03529411764706"/>
    <n v="30.755294117647054"/>
    <x v="1"/>
    <n v="1"/>
  </r>
  <r>
    <n v="2795"/>
    <n v="30"/>
    <s v="Male"/>
    <s v="Footwear"/>
    <s v="Formal Shoes"/>
    <n v="54.8"/>
    <s v="Summer"/>
    <s v="Cash on Delivery"/>
    <n v="3.6"/>
    <x v="10"/>
    <n v="6"/>
    <n v="70.256410256410248"/>
    <n v="15.456410256410251"/>
    <x v="5"/>
    <n v="1"/>
  </r>
  <r>
    <n v="2796"/>
    <n v="32"/>
    <s v="Female"/>
    <s v="Sports"/>
    <s v="Dumbbells"/>
    <n v="65.040000000000006"/>
    <s v="Summer"/>
    <s v="Cash on Delivery"/>
    <n v="4.9000000000000004"/>
    <x v="19"/>
    <n v="5"/>
    <n v="76.517647058823542"/>
    <n v="11.477647058823536"/>
    <x v="5"/>
    <n v="1"/>
  </r>
  <r>
    <n v="2797"/>
    <n v="29"/>
    <s v="Male"/>
    <s v="Sports"/>
    <s v="Yoga Mat"/>
    <n v="121.15"/>
    <s v="Spring"/>
    <s v="Card"/>
    <n v="3.4"/>
    <x v="17"/>
    <n v="2"/>
    <n v="126.19791666666667"/>
    <n v="5.0479166666666657"/>
    <x v="5"/>
    <n v="1"/>
  </r>
  <r>
    <n v="2798"/>
    <n v="37"/>
    <s v="Female"/>
    <s v="Beauty"/>
    <s v="Perfume"/>
    <n v="111.74"/>
    <s v="Spring"/>
    <s v="Card"/>
    <n v="4.5999999999999996"/>
    <x v="2"/>
    <n v="3"/>
    <n v="125.55056179775281"/>
    <n v="13.810561797752811"/>
    <x v="1"/>
    <n v="1"/>
  </r>
  <r>
    <n v="2799"/>
    <n v="38"/>
    <s v="Female"/>
    <s v="Beauty"/>
    <s v="Makeup Set"/>
    <n v="142.9"/>
    <s v="Autumn"/>
    <s v="Card"/>
    <n v="3.8"/>
    <x v="23"/>
    <n v="1"/>
    <n v="153.65591397849465"/>
    <n v="10.755913978494647"/>
    <x v="1"/>
    <n v="1"/>
  </r>
  <r>
    <n v="2800"/>
    <n v="61"/>
    <s v="Male"/>
    <s v="Sports"/>
    <s v="Dumbbells"/>
    <n v="85.18"/>
    <s v="Winter"/>
    <s v="Cash on Delivery"/>
    <n v="2.7"/>
    <x v="17"/>
    <n v="2"/>
    <n v="88.729166666666671"/>
    <n v="3.5491666666666646"/>
    <x v="0"/>
    <n v="1"/>
  </r>
  <r>
    <n v="2801"/>
    <n v="25"/>
    <s v="Female"/>
    <s v="Accessories"/>
    <s v="Wallet"/>
    <n v="137.33000000000001"/>
    <s v="Summer"/>
    <s v="Card"/>
    <n v="4.7"/>
    <x v="3"/>
    <n v="10"/>
    <n v="171.66249999999999"/>
    <n v="34.332499999999982"/>
    <x v="3"/>
    <n v="1"/>
  </r>
  <r>
    <n v="2802"/>
    <n v="60"/>
    <s v="Male"/>
    <s v="Footwear"/>
    <s v="Sandals"/>
    <n v="82.73"/>
    <s v="Spring"/>
    <s v="Cash on Delivery"/>
    <n v="3.6"/>
    <x v="5"/>
    <n v="4"/>
    <n v="89.923913043478265"/>
    <n v="7.1939130434782612"/>
    <x v="0"/>
    <n v="1"/>
  </r>
  <r>
    <n v="2803"/>
    <n v="25"/>
    <s v="Male"/>
    <s v="Mens Clothing"/>
    <s v="Jacket"/>
    <n v="186.21"/>
    <s v="Autumn"/>
    <s v="Card"/>
    <n v="3.8"/>
    <x v="13"/>
    <n v="2"/>
    <n v="204.62637362637363"/>
    <n v="18.416373626373627"/>
    <x v="3"/>
    <n v="1"/>
  </r>
  <r>
    <n v="2804"/>
    <n v="23"/>
    <s v="Female"/>
    <s v="Footwear"/>
    <s v="Formal Shoes"/>
    <n v="211.98"/>
    <s v="Autumn"/>
    <s v="Card"/>
    <n v="3.8"/>
    <x v="19"/>
    <n v="5"/>
    <n v="249.38823529411764"/>
    <n v="37.408235294117645"/>
    <x v="3"/>
    <n v="1"/>
  </r>
  <r>
    <n v="2805"/>
    <n v="48"/>
    <s v="Female"/>
    <s v="Beauty"/>
    <s v="Perfume"/>
    <n v="36.46"/>
    <s v="Winter"/>
    <s v="Card"/>
    <n v="4.5999999999999996"/>
    <x v="0"/>
    <n v="4"/>
    <n v="44.463414634146339"/>
    <n v="8.0034146341463384"/>
    <x v="4"/>
    <n v="1"/>
  </r>
  <r>
    <n v="2806"/>
    <n v="41"/>
    <s v="Female"/>
    <s v="Beauty"/>
    <s v="Makeup Set"/>
    <n v="120.18"/>
    <s v="Spring"/>
    <s v="Card"/>
    <n v="4"/>
    <x v="4"/>
    <n v="7"/>
    <n v="139.74418604651163"/>
    <n v="19.564186046511622"/>
    <x v="1"/>
    <n v="1"/>
  </r>
  <r>
    <n v="2807"/>
    <n v="44"/>
    <s v="Male"/>
    <s v="Mens Clothing"/>
    <s v="Jeans"/>
    <n v="133.57"/>
    <s v="Spring"/>
    <s v="Card"/>
    <n v="4.0999999999999996"/>
    <x v="18"/>
    <n v="7"/>
    <n v="175.75"/>
    <n v="42.180000000000007"/>
    <x v="1"/>
    <n v="1"/>
  </r>
  <r>
    <n v="2808"/>
    <n v="22"/>
    <s v="Male"/>
    <s v="Footwear"/>
    <s v="Sandals"/>
    <n v="156.66"/>
    <s v="Winter"/>
    <s v="Card"/>
    <n v="4"/>
    <x v="1"/>
    <n v="4"/>
    <n v="180.06896551724137"/>
    <n v="23.40896551724137"/>
    <x v="3"/>
    <n v="1"/>
  </r>
  <r>
    <n v="2809"/>
    <n v="28"/>
    <s v="Female"/>
    <s v="Accessories"/>
    <s v="Handbag"/>
    <n v="28.16"/>
    <s v="Winter"/>
    <s v="Cash on Delivery"/>
    <n v="4.4000000000000004"/>
    <x v="10"/>
    <n v="6"/>
    <n v="36.102564102564102"/>
    <n v="7.9425641025641021"/>
    <x v="5"/>
    <n v="1"/>
  </r>
  <r>
    <n v="2810"/>
    <n v="27"/>
    <s v="Male"/>
    <s v="Mens Clothing"/>
    <s v="Shirt"/>
    <n v="143.88999999999999"/>
    <s v="Summer"/>
    <s v="Card"/>
    <n v="3.9"/>
    <x v="12"/>
    <n v="7"/>
    <n v="177.64197530864195"/>
    <n v="33.75197530864196"/>
    <x v="5"/>
    <n v="1"/>
  </r>
  <r>
    <n v="2811"/>
    <n v="55"/>
    <s v="Male"/>
    <s v="Footwear"/>
    <s v="Sandals"/>
    <n v="70.59"/>
    <s v="Autumn"/>
    <s v="Card"/>
    <n v="4.4000000000000004"/>
    <x v="6"/>
    <n v="3"/>
    <n v="84.035714285714292"/>
    <n v="13.445714285714288"/>
    <x v="4"/>
    <n v="1"/>
  </r>
  <r>
    <n v="2812"/>
    <n v="52"/>
    <s v="Female"/>
    <s v="Sports"/>
    <s v="Football"/>
    <n v="172.51"/>
    <s v="Spring"/>
    <s v="Card"/>
    <n v="3.3"/>
    <x v="8"/>
    <n v="6"/>
    <n v="196.03409090909091"/>
    <n v="23.524090909090916"/>
    <x v="4"/>
    <n v="1"/>
  </r>
  <r>
    <n v="2813"/>
    <n v="49"/>
    <s v="Female"/>
    <s v="Beauty"/>
    <s v="Makeup Set"/>
    <n v="67.349999999999994"/>
    <s v="Winter"/>
    <s v="Cash on Delivery"/>
    <n v="4.0999999999999996"/>
    <x v="17"/>
    <n v="2"/>
    <n v="70.15625"/>
    <n v="2.8062500000000057"/>
    <x v="4"/>
    <n v="1"/>
  </r>
  <r>
    <n v="2814"/>
    <n v="40"/>
    <s v="Male"/>
    <s v="Groceries"/>
    <s v="Snacks"/>
    <n v="21.13"/>
    <s v="Summer"/>
    <s v="Cash on Delivery"/>
    <n v="3"/>
    <x v="16"/>
    <n v="3"/>
    <n v="22.478723404255319"/>
    <n v="1.3487234042553204"/>
    <x v="1"/>
    <n v="1"/>
  </r>
  <r>
    <n v="2815"/>
    <n v="39"/>
    <s v="Female"/>
    <s v="Beauty"/>
    <s v="Perfume"/>
    <n v="63.42"/>
    <s v="Autumn"/>
    <s v="Card"/>
    <n v="3.7"/>
    <x v="1"/>
    <n v="4"/>
    <n v="72.896551724137936"/>
    <n v="9.4765517241379342"/>
    <x v="1"/>
    <n v="1"/>
  </r>
  <r>
    <n v="2816"/>
    <n v="32"/>
    <s v="Female"/>
    <s v="Womens Clothing"/>
    <s v="Dress"/>
    <n v="39.659999999999997"/>
    <s v="Winter"/>
    <s v="Card"/>
    <n v="3.5"/>
    <x v="19"/>
    <n v="5"/>
    <n v="46.658823529411762"/>
    <n v="6.9988235294117658"/>
    <x v="5"/>
    <n v="1"/>
  </r>
  <r>
    <n v="2817"/>
    <n v="63"/>
    <s v="Female"/>
    <s v="Womens Clothing"/>
    <s v="Skirt"/>
    <n v="81.34"/>
    <s v="Summer"/>
    <s v="Card"/>
    <n v="5"/>
    <x v="18"/>
    <n v="7"/>
    <n v="107.02631578947368"/>
    <n v="25.686315789473682"/>
    <x v="0"/>
    <n v="1"/>
  </r>
  <r>
    <n v="2818"/>
    <n v="43"/>
    <s v="Male"/>
    <s v="Groceries"/>
    <s v="Cooking Oil"/>
    <n v="41.52"/>
    <s v="Spring"/>
    <s v="Card"/>
    <n v="4"/>
    <x v="6"/>
    <n v="3"/>
    <n v="49.428571428571431"/>
    <n v="7.9085714285714275"/>
    <x v="1"/>
    <n v="1"/>
  </r>
  <r>
    <n v="2819"/>
    <n v="22"/>
    <s v="Male"/>
    <s v="Mens Clothing"/>
    <s v="Shirt"/>
    <n v="148.99"/>
    <s v="Autumn"/>
    <s v="Card"/>
    <n v="3.8"/>
    <x v="29"/>
    <n v="0"/>
    <n v="148.99"/>
    <n v="0"/>
    <x v="3"/>
    <n v="1"/>
  </r>
  <r>
    <n v="2820"/>
    <n v="39"/>
    <s v="Male"/>
    <s v="Sports"/>
    <s v="Yoga Mat"/>
    <n v="72.52"/>
    <s v="Autumn"/>
    <s v="Card"/>
    <n v="4.0999999999999996"/>
    <x v="20"/>
    <n v="11"/>
    <n v="106.64705882352942"/>
    <n v="34.127058823529424"/>
    <x v="1"/>
    <n v="1"/>
  </r>
  <r>
    <n v="2821"/>
    <n v="50"/>
    <s v="Male"/>
    <s v="Sports"/>
    <s v="Yoga Mat"/>
    <n v="51.45"/>
    <s v="Summer"/>
    <s v="Card"/>
    <n v="4.8"/>
    <x v="21"/>
    <n v="8"/>
    <n v="65.12658227848101"/>
    <n v="13.676582278481007"/>
    <x v="4"/>
    <n v="1"/>
  </r>
  <r>
    <n v="2822"/>
    <n v="62"/>
    <s v="Female"/>
    <s v="Home"/>
    <s v="Curtains"/>
    <n v="267.63"/>
    <s v="Summer"/>
    <s v="Card"/>
    <n v="4"/>
    <x v="19"/>
    <n v="5"/>
    <n v="314.85882352941178"/>
    <n v="47.228823529411784"/>
    <x v="0"/>
    <n v="1"/>
  </r>
  <r>
    <n v="2823"/>
    <n v="34"/>
    <s v="Male"/>
    <s v="Mens Clothing"/>
    <s v="T-Shirt"/>
    <n v="173.49"/>
    <s v="Summer"/>
    <s v="Card"/>
    <n v="3.6"/>
    <x v="6"/>
    <n v="8"/>
    <n v="206.53571428571431"/>
    <n v="33.045714285714297"/>
    <x v="5"/>
    <n v="1"/>
  </r>
  <r>
    <n v="2824"/>
    <n v="58"/>
    <s v="Male"/>
    <s v="Groceries"/>
    <s v="Snacks"/>
    <n v="27.45"/>
    <s v="Autumn"/>
    <s v="Card"/>
    <n v="3.3"/>
    <x v="0"/>
    <n v="4"/>
    <n v="33.475609756097555"/>
    <n v="6.0256097560975554"/>
    <x v="0"/>
    <n v="1"/>
  </r>
  <r>
    <n v="2825"/>
    <n v="36"/>
    <s v="Female"/>
    <s v="Accessories"/>
    <s v="Sunglasses"/>
    <n v="112.43"/>
    <s v="Summer"/>
    <s v="Card"/>
    <n v="4.5"/>
    <x v="4"/>
    <n v="2"/>
    <n v="130.73255813953489"/>
    <n v="18.302558139534881"/>
    <x v="1"/>
    <n v="1"/>
  </r>
  <r>
    <n v="2826"/>
    <n v="30"/>
    <s v="Male"/>
    <s v="Sports"/>
    <s v="Football"/>
    <n v="78.09"/>
    <s v="Winter"/>
    <s v="Card"/>
    <n v="4.7"/>
    <x v="19"/>
    <n v="5"/>
    <n v="91.870588235294122"/>
    <n v="13.780588235294118"/>
    <x v="5"/>
    <n v="1"/>
  </r>
  <r>
    <n v="2827"/>
    <n v="42"/>
    <s v="Female"/>
    <s v="Footwear"/>
    <s v="Formal Shoes"/>
    <n v="169.66"/>
    <s v="Spring"/>
    <s v="Card"/>
    <n v="3.8"/>
    <x v="2"/>
    <n v="3"/>
    <n v="190.62921348314606"/>
    <n v="20.969213483146063"/>
    <x v="1"/>
    <n v="1"/>
  </r>
  <r>
    <n v="2828"/>
    <n v="50"/>
    <s v="Male"/>
    <s v="Mens Clothing"/>
    <s v="Jacket"/>
    <n v="163.03"/>
    <s v="Spring"/>
    <s v="Card"/>
    <n v="4.5999999999999996"/>
    <x v="4"/>
    <n v="2"/>
    <n v="189.56976744186048"/>
    <n v="26.539767441860477"/>
    <x v="4"/>
    <n v="1"/>
  </r>
  <r>
    <n v="2829"/>
    <n v="63"/>
    <s v="Female"/>
    <s v="Sports"/>
    <s v="Football"/>
    <n v="194.67"/>
    <s v="Winter"/>
    <s v="Card"/>
    <n v="3.8"/>
    <x v="19"/>
    <n v="5"/>
    <n v="229.02352941176468"/>
    <n v="34.353529411764697"/>
    <x v="0"/>
    <n v="1"/>
  </r>
  <r>
    <n v="2830"/>
    <n v="50"/>
    <s v="Female"/>
    <s v="Sports"/>
    <s v="Football"/>
    <n v="82.53"/>
    <s v="Spring"/>
    <s v="Card"/>
    <n v="3.7"/>
    <x v="6"/>
    <n v="3"/>
    <n v="98.25"/>
    <n v="15.719999999999999"/>
    <x v="4"/>
    <n v="1"/>
  </r>
  <r>
    <n v="2831"/>
    <n v="49"/>
    <s v="Female"/>
    <s v="Womens Clothing"/>
    <s v="Top"/>
    <n v="146.27000000000001"/>
    <s v="Winter"/>
    <s v="Card"/>
    <n v="2.9"/>
    <x v="7"/>
    <n v="5"/>
    <n v="162.52222222222224"/>
    <n v="16.25222222222223"/>
    <x v="4"/>
    <n v="1"/>
  </r>
  <r>
    <n v="2832"/>
    <n v="27"/>
    <s v="Female"/>
    <s v="Sports"/>
    <s v="Dumbbells"/>
    <n v="175.05"/>
    <s v="Spring"/>
    <s v="Card"/>
    <n v="2.7"/>
    <x v="0"/>
    <n v="9"/>
    <n v="213.47560975609755"/>
    <n v="38.425609756097543"/>
    <x v="5"/>
    <n v="1"/>
  </r>
  <r>
    <n v="2833"/>
    <n v="21"/>
    <s v="Female"/>
    <s v="Womens Clothing"/>
    <s v="Dress"/>
    <n v="170.15"/>
    <s v="Spring"/>
    <s v="Card"/>
    <n v="3.3"/>
    <x v="4"/>
    <n v="7"/>
    <n v="197.84883720930233"/>
    <n v="27.698837209302326"/>
    <x v="3"/>
    <n v="1"/>
  </r>
  <r>
    <n v="2834"/>
    <n v="42"/>
    <s v="Female"/>
    <s v="Home"/>
    <s v="Lamp"/>
    <n v="91.56"/>
    <s v="Summer"/>
    <s v="Cash on Delivery"/>
    <n v="5"/>
    <x v="19"/>
    <n v="5"/>
    <n v="107.71764705882353"/>
    <n v="16.157647058823528"/>
    <x v="1"/>
    <n v="1"/>
  </r>
  <r>
    <n v="2835"/>
    <n v="54"/>
    <s v="Male"/>
    <s v="Sports"/>
    <s v="Yoga Mat"/>
    <n v="188.44"/>
    <s v="Spring"/>
    <s v="Card"/>
    <n v="4.8"/>
    <x v="18"/>
    <n v="7"/>
    <n v="247.94736842105263"/>
    <n v="59.507368421052632"/>
    <x v="4"/>
    <n v="1"/>
  </r>
  <r>
    <n v="2836"/>
    <n v="47"/>
    <s v="Male"/>
    <s v="Electronics"/>
    <s v="Laptop"/>
    <n v="585.1"/>
    <s v="Autumn"/>
    <s v="Card"/>
    <n v="3.6"/>
    <x v="4"/>
    <n v="2"/>
    <n v="680.34883720930236"/>
    <n v="95.248837209302337"/>
    <x v="4"/>
    <n v="1"/>
  </r>
  <r>
    <n v="2837"/>
    <n v="62"/>
    <s v="Male"/>
    <s v="Groceries"/>
    <s v="Rice Pack"/>
    <n v="72.41"/>
    <s v="Summer"/>
    <s v="Cash on Delivery"/>
    <n v="2.8"/>
    <x v="4"/>
    <n v="7"/>
    <n v="84.197674418604649"/>
    <n v="11.787674418604652"/>
    <x v="0"/>
    <n v="1"/>
  </r>
  <r>
    <n v="2838"/>
    <n v="55"/>
    <s v="Female"/>
    <s v="Womens Clothing"/>
    <s v="Top"/>
    <n v="148.16"/>
    <s v="Autumn"/>
    <s v="Card"/>
    <n v="3.8"/>
    <x v="4"/>
    <n v="7"/>
    <n v="172.27906976744185"/>
    <n v="24.119069767441857"/>
    <x v="4"/>
    <n v="1"/>
  </r>
  <r>
    <n v="2839"/>
    <n v="65"/>
    <s v="Male"/>
    <s v="Mens Clothing"/>
    <s v="T-Shirt"/>
    <n v="30.58"/>
    <s v="Winter"/>
    <s v="Cash on Delivery"/>
    <n v="2.5"/>
    <x v="2"/>
    <n v="3"/>
    <n v="34.359550561797754"/>
    <n v="3.7795505617977554"/>
    <x v="0"/>
    <n v="1"/>
  </r>
  <r>
    <n v="2840"/>
    <n v="23"/>
    <s v="Female"/>
    <s v="Accessories"/>
    <s v="Sunglasses"/>
    <n v="48.53"/>
    <s v="Winter"/>
    <s v="Cash on Delivery"/>
    <n v="3.1"/>
    <x v="7"/>
    <n v="5"/>
    <n v="53.922222222222224"/>
    <n v="5.3922222222222231"/>
    <x v="3"/>
    <n v="1"/>
  </r>
  <r>
    <n v="2841"/>
    <n v="49"/>
    <s v="Female"/>
    <s v="Womens Clothing"/>
    <s v="Skirt"/>
    <n v="72.069999999999993"/>
    <s v="Spring"/>
    <s v="Cash on Delivery"/>
    <n v="2.7"/>
    <x v="16"/>
    <n v="3"/>
    <n v="76.670212765957444"/>
    <n v="4.6002127659574512"/>
    <x v="4"/>
    <n v="1"/>
  </r>
  <r>
    <n v="2842"/>
    <n v="64"/>
    <s v="Female"/>
    <s v="Footwear"/>
    <s v="Formal Shoes"/>
    <n v="173.87"/>
    <s v="Winter"/>
    <s v="Card"/>
    <n v="3.1"/>
    <x v="19"/>
    <n v="5"/>
    <n v="204.5529411764706"/>
    <n v="30.682941176470592"/>
    <x v="0"/>
    <n v="1"/>
  </r>
  <r>
    <n v="2843"/>
    <n v="20"/>
    <s v="Female"/>
    <s v="Womens Clothing"/>
    <s v="Top"/>
    <n v="167.76"/>
    <s v="Spring"/>
    <s v="Card"/>
    <n v="4.2"/>
    <x v="3"/>
    <n v="5"/>
    <n v="209.7"/>
    <n v="41.94"/>
    <x v="3"/>
    <n v="1"/>
  </r>
  <r>
    <n v="2844"/>
    <n v="28"/>
    <s v="Male"/>
    <s v="Electronics"/>
    <s v="Smart Watch"/>
    <n v="581.89"/>
    <s v="Summer"/>
    <s v="Card"/>
    <n v="3"/>
    <x v="7"/>
    <n v="5"/>
    <n v="646.54444444444437"/>
    <n v="64.65444444444438"/>
    <x v="5"/>
    <n v="1"/>
  </r>
  <r>
    <n v="2845"/>
    <n v="66"/>
    <s v="Female"/>
    <s v="Footwear"/>
    <s v="Sandals"/>
    <n v="100.1"/>
    <s v="Autumn"/>
    <s v="Card"/>
    <n v="3.6"/>
    <x v="2"/>
    <n v="3"/>
    <n v="112.47191011235954"/>
    <n v="12.371910112359544"/>
    <x v="2"/>
    <n v="1"/>
  </r>
  <r>
    <n v="2846"/>
    <n v="57"/>
    <s v="Female"/>
    <s v="Beauty"/>
    <s v="Makeup Set"/>
    <n v="28.82"/>
    <s v="Winter"/>
    <s v="Cash on Delivery"/>
    <n v="3.3"/>
    <x v="6"/>
    <n v="3"/>
    <n v="34.30952380952381"/>
    <n v="5.4895238095238099"/>
    <x v="0"/>
    <n v="1"/>
  </r>
  <r>
    <n v="2847"/>
    <n v="48"/>
    <s v="Male"/>
    <s v="Mens Clothing"/>
    <s v="T-Shirt"/>
    <n v="150.38"/>
    <s v="Winter"/>
    <s v="Card"/>
    <n v="3.7"/>
    <x v="18"/>
    <n v="7"/>
    <n v="197.86842105263156"/>
    <n v="47.488421052631566"/>
    <x v="4"/>
    <n v="1"/>
  </r>
  <r>
    <n v="2848"/>
    <n v="39"/>
    <s v="Female"/>
    <s v="Womens Clothing"/>
    <s v="Jeans"/>
    <n v="193.29"/>
    <s v="Spring"/>
    <s v="Card"/>
    <n v="2.9"/>
    <x v="19"/>
    <n v="5"/>
    <n v="227.4"/>
    <n v="34.110000000000014"/>
    <x v="1"/>
    <n v="1"/>
  </r>
  <r>
    <n v="2849"/>
    <n v="58"/>
    <s v="Male"/>
    <s v="Footwear"/>
    <s v="Sneakers"/>
    <n v="80.52"/>
    <s v="Summer"/>
    <s v="Cash on Delivery"/>
    <n v="3.7"/>
    <x v="19"/>
    <n v="5"/>
    <n v="94.729411764705887"/>
    <n v="14.209411764705891"/>
    <x v="0"/>
    <n v="1"/>
  </r>
  <r>
    <n v="2850"/>
    <n v="64"/>
    <s v="Female"/>
    <s v="Groceries"/>
    <s v="Beverages"/>
    <n v="19.96"/>
    <s v="Autumn"/>
    <s v="Cash on Delivery"/>
    <n v="3"/>
    <x v="16"/>
    <n v="3"/>
    <n v="21.234042553191493"/>
    <n v="1.2740425531914923"/>
    <x v="0"/>
    <n v="1"/>
  </r>
  <r>
    <n v="2851"/>
    <n v="38"/>
    <s v="Female"/>
    <s v="Beauty"/>
    <s v="Skincare Kit"/>
    <n v="81.760000000000005"/>
    <s v="Summer"/>
    <s v="Cash on Delivery"/>
    <n v="4.0999999999999996"/>
    <x v="5"/>
    <n v="4"/>
    <n v="88.869565217391312"/>
    <n v="7.1095652173913066"/>
    <x v="1"/>
    <n v="1"/>
  </r>
  <r>
    <n v="2852"/>
    <n v="47"/>
    <s v="Male"/>
    <s v="Groceries"/>
    <s v="Rice Pack"/>
    <n v="19.760000000000002"/>
    <s v="Summer"/>
    <s v="Cash on Delivery"/>
    <n v="3.8"/>
    <x v="13"/>
    <n v="2"/>
    <n v="21.714285714285715"/>
    <n v="1.9542857142857137"/>
    <x v="4"/>
    <n v="1"/>
  </r>
  <r>
    <n v="2853"/>
    <n v="49"/>
    <s v="Female"/>
    <s v="Womens Clothing"/>
    <s v="Dress"/>
    <n v="73.31"/>
    <s v="Spring"/>
    <s v="Cash on Delivery"/>
    <n v="3.5"/>
    <x v="3"/>
    <n v="5"/>
    <n v="91.637500000000003"/>
    <n v="18.327500000000001"/>
    <x v="4"/>
    <n v="1"/>
  </r>
  <r>
    <n v="2854"/>
    <n v="30"/>
    <s v="Male"/>
    <s v="Sports"/>
    <s v="Yoga Mat"/>
    <n v="95.37"/>
    <s v="Summer"/>
    <s v="Cash on Delivery"/>
    <n v="4.2"/>
    <x v="14"/>
    <n v="6"/>
    <n v="114.90361445783134"/>
    <n v="19.533614457831334"/>
    <x v="5"/>
    <n v="1"/>
  </r>
  <r>
    <n v="2855"/>
    <n v="24"/>
    <s v="Female"/>
    <s v="Accessories"/>
    <s v="Handbag"/>
    <n v="105.91"/>
    <s v="Autumn"/>
    <s v="Card"/>
    <n v="3.9"/>
    <x v="12"/>
    <n v="7"/>
    <n v="130.75308641975306"/>
    <n v="24.843086419753064"/>
    <x v="3"/>
    <n v="1"/>
  </r>
  <r>
    <n v="2856"/>
    <n v="68"/>
    <s v="Male"/>
    <s v="Mens Clothing"/>
    <s v="Shirt"/>
    <n v="82.8"/>
    <s v="Winter"/>
    <s v="Card"/>
    <n v="3.6"/>
    <x v="5"/>
    <n v="4"/>
    <n v="90"/>
    <n v="7.2000000000000028"/>
    <x v="2"/>
    <n v="1"/>
  </r>
  <r>
    <n v="2857"/>
    <n v="68"/>
    <s v="Male"/>
    <s v="Home"/>
    <s v="Curtains"/>
    <n v="260.13"/>
    <s v="Summer"/>
    <s v="Card"/>
    <n v="4"/>
    <x v="18"/>
    <n v="7"/>
    <n v="342.2763157894737"/>
    <n v="82.146315789473704"/>
    <x v="2"/>
    <n v="1"/>
  </r>
  <r>
    <n v="2858"/>
    <n v="55"/>
    <s v="Female"/>
    <s v="Footwear"/>
    <s v="Sneakers"/>
    <n v="196.79"/>
    <s v="Summer"/>
    <s v="Card"/>
    <n v="3.7"/>
    <x v="7"/>
    <n v="5"/>
    <n v="218.65555555555554"/>
    <n v="21.865555555555545"/>
    <x v="4"/>
    <n v="1"/>
  </r>
  <r>
    <n v="2859"/>
    <n v="47"/>
    <s v="Female"/>
    <s v="Beauty"/>
    <s v="Perfume"/>
    <n v="137.02000000000001"/>
    <s v="Summer"/>
    <s v="Card"/>
    <n v="3.7"/>
    <x v="4"/>
    <n v="7"/>
    <n v="159.32558139534885"/>
    <n v="22.305581395348838"/>
    <x v="4"/>
    <n v="1"/>
  </r>
  <r>
    <n v="2860"/>
    <n v="31"/>
    <s v="Male"/>
    <s v="Groceries"/>
    <s v="Rice Pack"/>
    <n v="61.33"/>
    <s v="Spring"/>
    <s v="Card"/>
    <n v="3.6"/>
    <x v="6"/>
    <n v="3"/>
    <n v="73.011904761904759"/>
    <n v="11.681904761904761"/>
    <x v="5"/>
    <n v="1"/>
  </r>
  <r>
    <n v="2861"/>
    <n v="38"/>
    <s v="Male"/>
    <s v="Sports"/>
    <s v="Football"/>
    <n v="152.38999999999999"/>
    <s v="Winter"/>
    <s v="Card"/>
    <n v="5"/>
    <x v="0"/>
    <n v="9"/>
    <n v="185.84146341463412"/>
    <n v="33.451463414634134"/>
    <x v="1"/>
    <n v="1"/>
  </r>
  <r>
    <n v="2862"/>
    <n v="50"/>
    <s v="Female"/>
    <s v="Womens Clothing"/>
    <s v="Dress"/>
    <n v="35.770000000000003"/>
    <s v="Autumn"/>
    <s v="Cash on Delivery"/>
    <n v="3.8"/>
    <x v="7"/>
    <n v="5"/>
    <n v="39.744444444444447"/>
    <n v="3.974444444444444"/>
    <x v="4"/>
    <n v="1"/>
  </r>
  <r>
    <n v="2863"/>
    <n v="33"/>
    <s v="Female"/>
    <s v="Groceries"/>
    <s v="Beverages"/>
    <n v="46.73"/>
    <s v="Summer"/>
    <s v="Card"/>
    <n v="3.5"/>
    <x v="2"/>
    <n v="3"/>
    <n v="52.505617977528082"/>
    <n v="5.7756179775280856"/>
    <x v="5"/>
    <n v="1"/>
  </r>
  <r>
    <n v="2864"/>
    <n v="35"/>
    <s v="Male"/>
    <s v="Mens Clothing"/>
    <s v="Shirt"/>
    <n v="129.83000000000001"/>
    <s v="Spring"/>
    <s v="Card"/>
    <n v="4"/>
    <x v="21"/>
    <n v="8"/>
    <n v="164.34177215189874"/>
    <n v="34.511772151898725"/>
    <x v="5"/>
    <n v="1"/>
  </r>
  <r>
    <n v="2865"/>
    <n v="47"/>
    <s v="Male"/>
    <s v="Sports"/>
    <s v="Yoga Mat"/>
    <n v="223.95"/>
    <s v="Winter"/>
    <s v="Card"/>
    <n v="4.8"/>
    <x v="18"/>
    <n v="7"/>
    <n v="294.6710526315789"/>
    <n v="70.721052631578914"/>
    <x v="4"/>
    <n v="1"/>
  </r>
  <r>
    <n v="2866"/>
    <n v="28"/>
    <s v="Female"/>
    <s v="Beauty"/>
    <s v="Skincare Kit"/>
    <n v="30.28"/>
    <s v="Spring"/>
    <s v="Cash on Delivery"/>
    <n v="5"/>
    <x v="14"/>
    <n v="6"/>
    <n v="36.481927710843379"/>
    <n v="6.2019277108433783"/>
    <x v="5"/>
    <n v="1"/>
  </r>
  <r>
    <n v="2867"/>
    <n v="55"/>
    <s v="Male"/>
    <s v="Sports"/>
    <s v="Dumbbells"/>
    <n v="228.55"/>
    <s v="Summer"/>
    <s v="Card"/>
    <n v="4.9000000000000004"/>
    <x v="24"/>
    <n v="9"/>
    <n v="317.4305555555556"/>
    <n v="88.880555555555588"/>
    <x v="4"/>
    <n v="1"/>
  </r>
  <r>
    <n v="2868"/>
    <n v="57"/>
    <s v="Male"/>
    <s v="Sports"/>
    <s v="Dumbbells"/>
    <n v="195.53"/>
    <s v="Winter"/>
    <s v="Card"/>
    <n v="3.4"/>
    <x v="7"/>
    <n v="5"/>
    <n v="217.25555555555556"/>
    <n v="21.725555555555559"/>
    <x v="0"/>
    <n v="1"/>
  </r>
  <r>
    <n v="2869"/>
    <n v="59"/>
    <s v="Male"/>
    <s v="Footwear"/>
    <s v="Formal Shoes"/>
    <n v="131.44"/>
    <s v="Autumn"/>
    <s v="Card"/>
    <n v="3.2"/>
    <x v="19"/>
    <n v="5"/>
    <n v="154.63529411764705"/>
    <n v="23.195294117647052"/>
    <x v="0"/>
    <n v="1"/>
  </r>
  <r>
    <n v="2870"/>
    <n v="27"/>
    <s v="Male"/>
    <s v="Sports"/>
    <s v="Yoga Mat"/>
    <n v="118.81"/>
    <s v="Autumn"/>
    <s v="Card"/>
    <n v="2.2000000000000002"/>
    <x v="5"/>
    <n v="4"/>
    <n v="129.14130434782609"/>
    <n v="10.331304347826091"/>
    <x v="5"/>
    <n v="1"/>
  </r>
  <r>
    <n v="2871"/>
    <n v="62"/>
    <s v="Female"/>
    <s v="Womens Clothing"/>
    <s v="Top"/>
    <n v="117.38"/>
    <s v="Winter"/>
    <s v="Card"/>
    <n v="4.5"/>
    <x v="7"/>
    <n v="5"/>
    <n v="130.42222222222222"/>
    <n v="13.042222222222222"/>
    <x v="0"/>
    <n v="1"/>
  </r>
  <r>
    <n v="2872"/>
    <n v="58"/>
    <s v="Female"/>
    <s v="Footwear"/>
    <s v="Formal Shoes"/>
    <n v="143.71"/>
    <s v="Winter"/>
    <s v="Card"/>
    <n v="2.8"/>
    <x v="4"/>
    <n v="2"/>
    <n v="167.1046511627907"/>
    <n v="23.394651162790694"/>
    <x v="0"/>
    <n v="1"/>
  </r>
  <r>
    <n v="2873"/>
    <n v="21"/>
    <s v="Male"/>
    <s v="Sports"/>
    <s v="Football"/>
    <n v="85.22"/>
    <s v="Spring"/>
    <s v="Cash on Delivery"/>
    <n v="4.5999999999999996"/>
    <x v="24"/>
    <n v="9"/>
    <n v="118.36111111111111"/>
    <n v="33.141111111111115"/>
    <x v="3"/>
    <n v="1"/>
  </r>
  <r>
    <n v="2874"/>
    <n v="48"/>
    <s v="Female"/>
    <s v="Womens Clothing"/>
    <s v="Dress"/>
    <n v="135.59"/>
    <s v="Spring"/>
    <s v="Card"/>
    <n v="4.2"/>
    <x v="21"/>
    <n v="8"/>
    <n v="171.63291139240505"/>
    <n v="36.042911392405045"/>
    <x v="4"/>
    <n v="1"/>
  </r>
  <r>
    <n v="2875"/>
    <n v="33"/>
    <s v="Female"/>
    <s v="Sports"/>
    <s v="Dumbbells"/>
    <n v="249.24"/>
    <s v="Winter"/>
    <s v="Card"/>
    <n v="4.3"/>
    <x v="16"/>
    <n v="3"/>
    <n v="265.14893617021278"/>
    <n v="15.908936170212769"/>
    <x v="5"/>
    <n v="1"/>
  </r>
  <r>
    <n v="2876"/>
    <n v="41"/>
    <s v="Male"/>
    <s v="Mens Clothing"/>
    <s v="T-Shirt"/>
    <n v="127.61"/>
    <s v="Summer"/>
    <s v="Card"/>
    <n v="4"/>
    <x v="4"/>
    <n v="2"/>
    <n v="148.38372093023256"/>
    <n v="20.773720930232557"/>
    <x v="1"/>
    <n v="1"/>
  </r>
  <r>
    <n v="2877"/>
    <n v="68"/>
    <s v="Male"/>
    <s v="Electronics"/>
    <s v="Mobile Phone"/>
    <n v="2121.4"/>
    <s v="Spring"/>
    <s v="Card"/>
    <n v="3.6"/>
    <x v="17"/>
    <n v="2"/>
    <n v="2209.791666666667"/>
    <n v="88.391666666666879"/>
    <x v="2"/>
    <n v="1"/>
  </r>
  <r>
    <n v="2878"/>
    <n v="64"/>
    <s v="Male"/>
    <s v="Mens Clothing"/>
    <s v="Jeans"/>
    <n v="129.65"/>
    <s v="Summer"/>
    <s v="Card"/>
    <n v="3.5"/>
    <x v="6"/>
    <n v="3"/>
    <n v="154.3452380952381"/>
    <n v="24.695238095238096"/>
    <x v="0"/>
    <n v="1"/>
  </r>
  <r>
    <n v="2879"/>
    <n v="54"/>
    <s v="Male"/>
    <s v="Footwear"/>
    <s v="Formal Shoes"/>
    <n v="67.94"/>
    <s v="Autumn"/>
    <s v="Cash on Delivery"/>
    <n v="3.7"/>
    <x v="0"/>
    <n v="9"/>
    <n v="82.853658536585357"/>
    <n v="14.913658536585359"/>
    <x v="4"/>
    <n v="1"/>
  </r>
  <r>
    <n v="2880"/>
    <n v="55"/>
    <s v="Male"/>
    <s v="Sports"/>
    <s v="Football"/>
    <n v="236.33"/>
    <s v="Summer"/>
    <s v="Card"/>
    <n v="2.6"/>
    <x v="1"/>
    <n v="4"/>
    <n v="271.64367816091954"/>
    <n v="35.313678160919522"/>
    <x v="4"/>
    <n v="1"/>
  </r>
  <r>
    <n v="2881"/>
    <n v="49"/>
    <s v="Male"/>
    <s v="Electronics"/>
    <s v="Headphones"/>
    <n v="2447.8000000000002"/>
    <s v="Autumn"/>
    <s v="Card"/>
    <n v="2.8"/>
    <x v="1"/>
    <n v="4"/>
    <n v="2813.5632183908046"/>
    <n v="365.76321839080447"/>
    <x v="4"/>
    <n v="1"/>
  </r>
  <r>
    <n v="2882"/>
    <n v="26"/>
    <s v="Male"/>
    <s v="Electronics"/>
    <s v="Mobile Phone"/>
    <n v="1922.9"/>
    <s v="Autumn"/>
    <s v="Card"/>
    <n v="2.9"/>
    <x v="5"/>
    <n v="4"/>
    <n v="2090.108695652174"/>
    <n v="167.2086956521739"/>
    <x v="5"/>
    <n v="1"/>
  </r>
  <r>
    <n v="2883"/>
    <n v="54"/>
    <s v="Male"/>
    <s v="Electronics"/>
    <s v="Smart Watch"/>
    <n v="1252.53"/>
    <s v="Summer"/>
    <s v="Card"/>
    <n v="3.9"/>
    <x v="15"/>
    <n v="1"/>
    <n v="1278.091836734694"/>
    <n v="25.561836734693998"/>
    <x v="4"/>
    <n v="1"/>
  </r>
  <r>
    <n v="2884"/>
    <n v="40"/>
    <s v="Female"/>
    <s v="Womens Clothing"/>
    <s v="Dress"/>
    <n v="144.26"/>
    <s v="Summer"/>
    <s v="Card"/>
    <n v="3.9"/>
    <x v="7"/>
    <n v="5"/>
    <n v="160.28888888888886"/>
    <n v="16.028888888888872"/>
    <x v="1"/>
    <n v="1"/>
  </r>
  <r>
    <n v="2885"/>
    <n v="42"/>
    <s v="Male"/>
    <s v="Footwear"/>
    <s v="Sneakers"/>
    <n v="227.07"/>
    <s v="Autumn"/>
    <s v="Card"/>
    <n v="2.8"/>
    <x v="1"/>
    <n v="4"/>
    <n v="261"/>
    <n v="33.930000000000007"/>
    <x v="1"/>
    <n v="1"/>
  </r>
  <r>
    <n v="2886"/>
    <n v="20"/>
    <s v="Female"/>
    <s v="Accessories"/>
    <s v="Sunglasses"/>
    <n v="104.38"/>
    <s v="Summer"/>
    <s v="Card"/>
    <n v="5"/>
    <x v="21"/>
    <n v="8"/>
    <n v="132.12658227848101"/>
    <n v="27.746582278481014"/>
    <x v="3"/>
    <n v="1"/>
  </r>
  <r>
    <n v="2887"/>
    <n v="51"/>
    <s v="Male"/>
    <s v="Mens Clothing"/>
    <s v="Shirt"/>
    <n v="168.21"/>
    <s v="Spring"/>
    <s v="Card"/>
    <n v="3.3"/>
    <x v="1"/>
    <n v="4"/>
    <n v="193.34482758620692"/>
    <n v="25.13482758620691"/>
    <x v="4"/>
    <n v="1"/>
  </r>
  <r>
    <n v="2888"/>
    <n v="37"/>
    <s v="Female"/>
    <s v="Beauty"/>
    <s v="Perfume"/>
    <n v="95.35"/>
    <s v="Autumn"/>
    <s v="Card"/>
    <n v="4.4000000000000004"/>
    <x v="8"/>
    <n v="6"/>
    <n v="108.35227272727272"/>
    <n v="13.002272727272725"/>
    <x v="1"/>
    <n v="1"/>
  </r>
  <r>
    <n v="2889"/>
    <n v="45"/>
    <s v="Female"/>
    <s v="Womens Clothing"/>
    <s v="Top"/>
    <n v="30.38"/>
    <s v="Spring"/>
    <s v="Cash on Delivery"/>
    <n v="4.2"/>
    <x v="25"/>
    <n v="10"/>
    <n v="43.4"/>
    <n v="13.02"/>
    <x v="1"/>
    <n v="1"/>
  </r>
  <r>
    <n v="2890"/>
    <n v="57"/>
    <s v="Male"/>
    <s v="Sports"/>
    <s v="Yoga Mat"/>
    <n v="197.01"/>
    <s v="Autumn"/>
    <s v="Card"/>
    <n v="3.8"/>
    <x v="2"/>
    <n v="3"/>
    <n v="221.35955056179773"/>
    <n v="24.349550561797741"/>
    <x v="0"/>
    <n v="1"/>
  </r>
  <r>
    <n v="2891"/>
    <n v="33"/>
    <s v="Female"/>
    <s v="Accessories"/>
    <s v="Sunglasses"/>
    <n v="136.04"/>
    <s v="Spring"/>
    <s v="Card"/>
    <n v="3.6"/>
    <x v="8"/>
    <n v="1"/>
    <n v="154.59090909090909"/>
    <n v="18.550909090909101"/>
    <x v="5"/>
    <n v="1"/>
  </r>
  <r>
    <n v="2892"/>
    <n v="41"/>
    <s v="Female"/>
    <s v="Beauty"/>
    <s v="Skincare Kit"/>
    <n v="110.69"/>
    <s v="Summer"/>
    <s v="Card"/>
    <n v="3.6"/>
    <x v="1"/>
    <n v="4"/>
    <n v="127.22988505747126"/>
    <n v="16.539885057471267"/>
    <x v="1"/>
    <n v="1"/>
  </r>
  <r>
    <n v="2893"/>
    <n v="21"/>
    <s v="Female"/>
    <s v="Accessories"/>
    <s v="Sunglasses"/>
    <n v="49.93"/>
    <s v="Autumn"/>
    <s v="Cash on Delivery"/>
    <n v="4.3"/>
    <x v="4"/>
    <n v="2"/>
    <n v="58.058139534883722"/>
    <n v="8.1281395348837222"/>
    <x v="3"/>
    <n v="1"/>
  </r>
  <r>
    <n v="2894"/>
    <n v="49"/>
    <s v="Female"/>
    <s v="Accessories"/>
    <s v="Handbag"/>
    <n v="143.66999999999999"/>
    <s v="Winter"/>
    <s v="Card"/>
    <n v="3.2"/>
    <x v="16"/>
    <n v="3"/>
    <n v="152.84042553191489"/>
    <n v="9.1704255319149013"/>
    <x v="4"/>
    <n v="1"/>
  </r>
  <r>
    <n v="2895"/>
    <n v="65"/>
    <s v="Male"/>
    <s v="Home"/>
    <s v="Curtains"/>
    <n v="107.46"/>
    <s v="Summer"/>
    <s v="Card"/>
    <n v="3.7"/>
    <x v="7"/>
    <n v="5"/>
    <n v="119.39999999999999"/>
    <n v="11.939999999999998"/>
    <x v="0"/>
    <n v="1"/>
  </r>
  <r>
    <n v="2896"/>
    <n v="55"/>
    <s v="Male"/>
    <s v="Sports"/>
    <s v="Yoga Mat"/>
    <n v="206.53"/>
    <s v="Autumn"/>
    <s v="Card"/>
    <n v="4.8"/>
    <x v="6"/>
    <n v="3"/>
    <n v="245.86904761904762"/>
    <n v="39.339047619047619"/>
    <x v="4"/>
    <n v="1"/>
  </r>
  <r>
    <n v="2897"/>
    <n v="59"/>
    <s v="Male"/>
    <s v="Electronics"/>
    <s v="Smart Watch"/>
    <n v="1202.92"/>
    <s v="Winter"/>
    <s v="Card"/>
    <n v="3.1"/>
    <x v="0"/>
    <n v="4"/>
    <n v="1466.9756097560976"/>
    <n v="264.05560975609751"/>
    <x v="0"/>
    <n v="1"/>
  </r>
  <r>
    <n v="2898"/>
    <n v="56"/>
    <s v="Female"/>
    <s v="Beauty"/>
    <s v="Perfume"/>
    <n v="137.71"/>
    <s v="Winter"/>
    <s v="Card"/>
    <n v="3.7"/>
    <x v="23"/>
    <n v="1"/>
    <n v="148.07526881720432"/>
    <n v="10.36526881720431"/>
    <x v="0"/>
    <n v="1"/>
  </r>
  <r>
    <n v="2899"/>
    <n v="40"/>
    <s v="Female"/>
    <s v="Footwear"/>
    <s v="Formal Shoes"/>
    <n v="208.5"/>
    <s v="Summer"/>
    <s v="Card"/>
    <n v="4.3"/>
    <x v="25"/>
    <n v="10"/>
    <n v="297.85714285714289"/>
    <n v="89.35714285714289"/>
    <x v="1"/>
    <n v="1"/>
  </r>
  <r>
    <n v="2900"/>
    <n v="48"/>
    <s v="Male"/>
    <s v="Mens Clothing"/>
    <s v="Jacket"/>
    <n v="188.32"/>
    <s v="Autumn"/>
    <s v="Card"/>
    <n v="4.0999999999999996"/>
    <x v="18"/>
    <n v="12"/>
    <n v="247.78947368421052"/>
    <n v="59.469473684210527"/>
    <x v="4"/>
    <n v="1"/>
  </r>
  <r>
    <n v="2901"/>
    <n v="30"/>
    <s v="Male"/>
    <s v="Home"/>
    <s v="Kitchen Set"/>
    <n v="38.31"/>
    <s v="Summer"/>
    <s v="Card"/>
    <n v="3.2"/>
    <x v="4"/>
    <n v="7"/>
    <n v="44.54651162790698"/>
    <n v="6.2365116279069781"/>
    <x v="5"/>
    <n v="1"/>
  </r>
  <r>
    <n v="2902"/>
    <n v="41"/>
    <s v="Female"/>
    <s v="Groceries"/>
    <s v="Cooking Oil"/>
    <n v="58.38"/>
    <s v="Summer"/>
    <s v="Cash on Delivery"/>
    <n v="2.2999999999999998"/>
    <x v="7"/>
    <n v="5"/>
    <n v="64.866666666666674"/>
    <n v="6.4866666666666717"/>
    <x v="1"/>
    <n v="1"/>
  </r>
  <r>
    <n v="2903"/>
    <n v="58"/>
    <s v="Male"/>
    <s v="Electronics"/>
    <s v="Headphones"/>
    <n v="824.07"/>
    <s v="Spring"/>
    <s v="Card"/>
    <n v="3.8"/>
    <x v="7"/>
    <n v="5"/>
    <n v="915.63333333333333"/>
    <n v="91.563333333333276"/>
    <x v="0"/>
    <n v="1"/>
  </r>
  <r>
    <n v="2904"/>
    <n v="47"/>
    <s v="Female"/>
    <s v="Home"/>
    <s v="Curtains"/>
    <n v="123.62"/>
    <s v="Autumn"/>
    <s v="Card"/>
    <n v="3"/>
    <x v="16"/>
    <n v="3"/>
    <n v="131.51063829787236"/>
    <n v="7.890638297872357"/>
    <x v="4"/>
    <n v="1"/>
  </r>
  <r>
    <n v="2905"/>
    <n v="61"/>
    <s v="Male"/>
    <s v="Electronics"/>
    <s v="Headphones"/>
    <n v="1368.88"/>
    <s v="Winter"/>
    <s v="Card"/>
    <n v="2.8"/>
    <x v="17"/>
    <n v="2"/>
    <n v="1425.9166666666667"/>
    <n v="57.036666666666633"/>
    <x v="0"/>
    <n v="1"/>
  </r>
  <r>
    <n v="2906"/>
    <n v="50"/>
    <s v="Male"/>
    <s v="Groceries"/>
    <s v="Cooking Oil"/>
    <n v="58.24"/>
    <s v="Spring"/>
    <s v="Card"/>
    <n v="3.1"/>
    <x v="6"/>
    <n v="3"/>
    <n v="69.333333333333343"/>
    <n v="11.093333333333341"/>
    <x v="4"/>
    <n v="1"/>
  </r>
  <r>
    <n v="2907"/>
    <n v="69"/>
    <s v="Male"/>
    <s v="Sports"/>
    <s v="Dumbbells"/>
    <n v="168.81"/>
    <s v="Spring"/>
    <s v="Card"/>
    <n v="3.2"/>
    <x v="31"/>
    <n v="13"/>
    <n v="263.765625"/>
    <n v="94.955624999999998"/>
    <x v="2"/>
    <n v="1"/>
  </r>
  <r>
    <n v="2908"/>
    <n v="48"/>
    <s v="Female"/>
    <s v="Womens Clothing"/>
    <s v="Jeans"/>
    <n v="146.69"/>
    <s v="Winter"/>
    <s v="Card"/>
    <n v="3.5"/>
    <x v="3"/>
    <n v="5"/>
    <n v="183.36249999999998"/>
    <n v="36.672499999999985"/>
    <x v="4"/>
    <n v="1"/>
  </r>
  <r>
    <n v="2909"/>
    <n v="40"/>
    <s v="Male"/>
    <s v="Home"/>
    <s v="Lamp"/>
    <n v="155.94999999999999"/>
    <s v="Winter"/>
    <s v="Card"/>
    <n v="3.3"/>
    <x v="6"/>
    <n v="3"/>
    <n v="185.6547619047619"/>
    <n v="29.704761904761909"/>
    <x v="1"/>
    <n v="1"/>
  </r>
  <r>
    <n v="2910"/>
    <n v="29"/>
    <s v="Female"/>
    <s v="Home"/>
    <s v="Lamp"/>
    <n v="243.83"/>
    <s v="Spring"/>
    <s v="Card"/>
    <n v="4.5"/>
    <x v="8"/>
    <n v="6"/>
    <n v="277.07954545454544"/>
    <n v="33.249545454545427"/>
    <x v="5"/>
    <n v="1"/>
  </r>
  <r>
    <n v="2911"/>
    <n v="67"/>
    <s v="Male"/>
    <s v="Electronics"/>
    <s v="Headphones"/>
    <n v="1908.28"/>
    <s v="Spring"/>
    <s v="Card"/>
    <n v="4"/>
    <x v="18"/>
    <n v="7"/>
    <n v="2510.894736842105"/>
    <n v="602.614736842105"/>
    <x v="2"/>
    <n v="1"/>
  </r>
  <r>
    <n v="2912"/>
    <n v="70"/>
    <s v="Male"/>
    <s v="Footwear"/>
    <s v="Sandals"/>
    <n v="73.739999999999995"/>
    <s v="Summer"/>
    <s v="Card"/>
    <n v="3.4"/>
    <x v="3"/>
    <n v="5"/>
    <n v="92.174999999999983"/>
    <n v="18.434999999999988"/>
    <x v="2"/>
    <n v="1"/>
  </r>
  <r>
    <n v="2913"/>
    <n v="38"/>
    <s v="Female"/>
    <s v="Womens Clothing"/>
    <s v="Skirt"/>
    <n v="74.12"/>
    <s v="Summer"/>
    <s v="Cash on Delivery"/>
    <n v="4.3"/>
    <x v="0"/>
    <n v="4"/>
    <n v="90.390243902439025"/>
    <n v="16.27024390243902"/>
    <x v="1"/>
    <n v="1"/>
  </r>
  <r>
    <n v="2914"/>
    <n v="23"/>
    <s v="Female"/>
    <s v="Womens Clothing"/>
    <s v="Top"/>
    <n v="44.28"/>
    <s v="Summer"/>
    <s v="Cash on Delivery"/>
    <n v="4.9000000000000004"/>
    <x v="19"/>
    <n v="5"/>
    <n v="52.094117647058823"/>
    <n v="7.8141176470588221"/>
    <x v="3"/>
    <n v="1"/>
  </r>
  <r>
    <n v="2915"/>
    <n v="47"/>
    <s v="Male"/>
    <s v="Footwear"/>
    <s v="Formal Shoes"/>
    <n v="174.96"/>
    <s v="Autumn"/>
    <s v="Card"/>
    <n v="5"/>
    <x v="13"/>
    <n v="2"/>
    <n v="192.26373626373626"/>
    <n v="17.303736263736255"/>
    <x v="4"/>
    <n v="1"/>
  </r>
  <r>
    <n v="2916"/>
    <n v="42"/>
    <s v="Female"/>
    <s v="Accessories"/>
    <s v="Sunglasses"/>
    <n v="137.86000000000001"/>
    <s v="Summer"/>
    <s v="Card"/>
    <n v="5"/>
    <x v="8"/>
    <n v="1"/>
    <n v="156.65909090909093"/>
    <n v="18.799090909090921"/>
    <x v="1"/>
    <n v="1"/>
  </r>
  <r>
    <n v="2917"/>
    <n v="69"/>
    <s v="Male"/>
    <s v="Mens Clothing"/>
    <s v="T-Shirt"/>
    <n v="172.24"/>
    <s v="Autumn"/>
    <s v="Card"/>
    <n v="4.3"/>
    <x v="0"/>
    <n v="9"/>
    <n v="210.04878048780486"/>
    <n v="37.808780487804853"/>
    <x v="2"/>
    <n v="1"/>
  </r>
  <r>
    <n v="2918"/>
    <n v="59"/>
    <s v="Female"/>
    <s v="Accessories"/>
    <s v="Wallet"/>
    <n v="99.13"/>
    <s v="Winter"/>
    <s v="Card"/>
    <n v="3.5"/>
    <x v="0"/>
    <n v="4"/>
    <n v="120.89024390243901"/>
    <n v="21.760243902439015"/>
    <x v="0"/>
    <n v="1"/>
  </r>
  <r>
    <n v="2919"/>
    <n v="67"/>
    <s v="Female"/>
    <s v="Womens Clothing"/>
    <s v="Skirt"/>
    <n v="149.36000000000001"/>
    <s v="Autumn"/>
    <s v="Card"/>
    <n v="3.8"/>
    <x v="3"/>
    <n v="10"/>
    <n v="186.70000000000002"/>
    <n v="37.340000000000003"/>
    <x v="2"/>
    <n v="1"/>
  </r>
  <r>
    <n v="2920"/>
    <n v="47"/>
    <s v="Female"/>
    <s v="Footwear"/>
    <s v="Formal Shoes"/>
    <n v="58.36"/>
    <s v="Autumn"/>
    <s v="Cash on Delivery"/>
    <n v="3.1"/>
    <x v="6"/>
    <n v="3"/>
    <n v="69.476190476190482"/>
    <n v="11.116190476190482"/>
    <x v="4"/>
    <n v="1"/>
  </r>
  <r>
    <n v="2921"/>
    <n v="40"/>
    <s v="Male"/>
    <s v="Sports"/>
    <s v="Yoga Mat"/>
    <n v="108.91"/>
    <s v="Spring"/>
    <s v="Card"/>
    <n v="3.6"/>
    <x v="8"/>
    <n v="6"/>
    <n v="123.76136363636363"/>
    <n v="14.851363636363629"/>
    <x v="1"/>
    <n v="1"/>
  </r>
  <r>
    <n v="2922"/>
    <n v="42"/>
    <s v="Male"/>
    <s v="Sports"/>
    <s v="Dumbbells"/>
    <n v="74.2"/>
    <s v="Spring"/>
    <s v="Card"/>
    <n v="2.7"/>
    <x v="5"/>
    <n v="4"/>
    <n v="80.652173913043484"/>
    <n v="6.452173913043481"/>
    <x v="1"/>
    <n v="1"/>
  </r>
  <r>
    <n v="2923"/>
    <n v="63"/>
    <s v="Female"/>
    <s v="Groceries"/>
    <s v="Snacks"/>
    <n v="35.58"/>
    <s v="Autumn"/>
    <s v="Card"/>
    <n v="2.9"/>
    <x v="12"/>
    <n v="7"/>
    <n v="43.925925925925924"/>
    <n v="8.3459259259259255"/>
    <x v="0"/>
    <n v="1"/>
  </r>
  <r>
    <n v="2924"/>
    <n v="45"/>
    <s v="Male"/>
    <s v="Sports"/>
    <s v="Dumbbells"/>
    <n v="56.1"/>
    <s v="Winter"/>
    <s v="Card"/>
    <n v="3.4"/>
    <x v="19"/>
    <n v="5"/>
    <n v="66"/>
    <n v="9.8999999999999986"/>
    <x v="1"/>
    <n v="1"/>
  </r>
  <r>
    <n v="2925"/>
    <n v="51"/>
    <s v="Male"/>
    <s v="Footwear"/>
    <s v="Formal Shoes"/>
    <n v="67.650000000000006"/>
    <s v="Winter"/>
    <s v="Card"/>
    <n v="4.3"/>
    <x v="1"/>
    <n v="4"/>
    <n v="77.758620689655174"/>
    <n v="10.108620689655169"/>
    <x v="4"/>
    <n v="1"/>
  </r>
  <r>
    <n v="2926"/>
    <n v="66"/>
    <s v="Male"/>
    <s v="Electronics"/>
    <s v="Mobile Phone"/>
    <n v="2242.8000000000002"/>
    <s v="Spring"/>
    <s v="Card"/>
    <n v="4.4000000000000004"/>
    <x v="8"/>
    <n v="1"/>
    <n v="2548.636363636364"/>
    <n v="305.83636363636379"/>
    <x v="2"/>
    <n v="1"/>
  </r>
  <r>
    <n v="2927"/>
    <n v="25"/>
    <s v="Male"/>
    <s v="Mens Clothing"/>
    <s v="Jeans"/>
    <n v="135.66999999999999"/>
    <s v="Spring"/>
    <s v="Card"/>
    <n v="4.5"/>
    <x v="5"/>
    <n v="4"/>
    <n v="147.46739130434781"/>
    <n v="11.797391304347826"/>
    <x v="3"/>
    <n v="1"/>
  </r>
  <r>
    <n v="2928"/>
    <n v="55"/>
    <s v="Male"/>
    <s v="Sports"/>
    <s v="Football"/>
    <n v="96.63"/>
    <s v="Winter"/>
    <s v="Card"/>
    <n v="3.9"/>
    <x v="16"/>
    <n v="3"/>
    <n v="102.79787234042553"/>
    <n v="6.1678723404255322"/>
    <x v="4"/>
    <n v="1"/>
  </r>
  <r>
    <n v="2929"/>
    <n v="41"/>
    <s v="Female"/>
    <s v="Beauty"/>
    <s v="Perfume"/>
    <n v="34.42"/>
    <s v="Spring"/>
    <s v="Cash on Delivery"/>
    <n v="4.3"/>
    <x v="11"/>
    <n v="8"/>
    <n v="46.513513513513516"/>
    <n v="12.093513513513514"/>
    <x v="1"/>
    <n v="1"/>
  </r>
  <r>
    <n v="2930"/>
    <n v="64"/>
    <s v="Female"/>
    <s v="Accessories"/>
    <s v="Wallet"/>
    <n v="108.39"/>
    <s v="Winter"/>
    <s v="Card"/>
    <n v="3.3"/>
    <x v="7"/>
    <n v="5"/>
    <n v="120.43333333333334"/>
    <n v="12.043333333333337"/>
    <x v="0"/>
    <n v="1"/>
  </r>
  <r>
    <n v="2931"/>
    <n v="67"/>
    <s v="Male"/>
    <s v="Footwear"/>
    <s v="Sandals"/>
    <n v="96.2"/>
    <s v="Spring"/>
    <s v="Card"/>
    <n v="3.1"/>
    <x v="26"/>
    <n v="0"/>
    <n v="101.26315789473685"/>
    <n v="5.0631578947368467"/>
    <x v="2"/>
    <n v="1"/>
  </r>
  <r>
    <n v="2932"/>
    <n v="23"/>
    <s v="Female"/>
    <s v="Beauty"/>
    <s v="Skincare Kit"/>
    <n v="50.94"/>
    <s v="Autumn"/>
    <s v="Cash on Delivery"/>
    <n v="1.9"/>
    <x v="4"/>
    <n v="2"/>
    <n v="59.232558139534881"/>
    <n v="8.2925581395348829"/>
    <x v="3"/>
    <n v="1"/>
  </r>
  <r>
    <n v="2933"/>
    <n v="49"/>
    <s v="Male"/>
    <s v="Footwear"/>
    <s v="Sneakers"/>
    <n v="122.8"/>
    <s v="Spring"/>
    <s v="Card"/>
    <n v="2.8"/>
    <x v="21"/>
    <n v="8"/>
    <n v="155.44303797468353"/>
    <n v="32.643037974683537"/>
    <x v="4"/>
    <n v="1"/>
  </r>
  <r>
    <n v="2934"/>
    <n v="53"/>
    <s v="Male"/>
    <s v="Mens Clothing"/>
    <s v="Jacket"/>
    <n v="198.47"/>
    <s v="Spring"/>
    <s v="Card"/>
    <n v="3.4"/>
    <x v="13"/>
    <n v="2"/>
    <n v="218.09890109890108"/>
    <n v="19.628901098901082"/>
    <x v="4"/>
    <n v="1"/>
  </r>
  <r>
    <n v="2935"/>
    <n v="58"/>
    <s v="Male"/>
    <s v="Electronics"/>
    <s v="Headphones"/>
    <n v="1495.44"/>
    <s v="Autumn"/>
    <s v="Card"/>
    <n v="3.8"/>
    <x v="16"/>
    <n v="3"/>
    <n v="1590.8936170212767"/>
    <n v="95.453617021276614"/>
    <x v="0"/>
    <n v="1"/>
  </r>
  <r>
    <n v="2936"/>
    <n v="37"/>
    <s v="Female"/>
    <s v="Beauty"/>
    <s v="Perfume"/>
    <n v="91.16"/>
    <s v="Autumn"/>
    <s v="Cash on Delivery"/>
    <n v="4.5"/>
    <x v="8"/>
    <n v="6"/>
    <n v="103.59090909090909"/>
    <n v="12.430909090909097"/>
    <x v="1"/>
    <n v="1"/>
  </r>
  <r>
    <n v="2937"/>
    <n v="64"/>
    <s v="Male"/>
    <s v="Home"/>
    <s v="Kitchen Set"/>
    <n v="145.24"/>
    <s v="Spring"/>
    <s v="Card"/>
    <n v="3.4"/>
    <x v="12"/>
    <n v="7"/>
    <n v="179.30864197530863"/>
    <n v="34.068641975308623"/>
    <x v="0"/>
    <n v="1"/>
  </r>
  <r>
    <n v="2938"/>
    <n v="21"/>
    <s v="Female"/>
    <s v="Beauty"/>
    <s v="Makeup Set"/>
    <n v="31.76"/>
    <s v="Autumn"/>
    <s v="Cash on Delivery"/>
    <n v="4.0999999999999996"/>
    <x v="12"/>
    <n v="7"/>
    <n v="39.209876543209873"/>
    <n v="7.4498765432098715"/>
    <x v="3"/>
    <n v="1"/>
  </r>
  <r>
    <n v="2939"/>
    <n v="50"/>
    <s v="Male"/>
    <s v="Electronics"/>
    <s v="Mobile Phone"/>
    <n v="1363.84"/>
    <s v="Autumn"/>
    <s v="Card"/>
    <n v="4.2"/>
    <x v="3"/>
    <n v="10"/>
    <n v="1704.7999999999997"/>
    <n v="340.95999999999981"/>
    <x v="4"/>
    <n v="1"/>
  </r>
  <r>
    <n v="2940"/>
    <n v="27"/>
    <s v="Female"/>
    <s v="Womens Clothing"/>
    <s v="Top"/>
    <n v="49.97"/>
    <s v="Autumn"/>
    <s v="Cash on Delivery"/>
    <n v="3.7"/>
    <x v="1"/>
    <n v="4"/>
    <n v="57.4367816091954"/>
    <n v="7.4667816091954009"/>
    <x v="5"/>
    <n v="1"/>
  </r>
  <r>
    <n v="2941"/>
    <n v="22"/>
    <s v="Male"/>
    <s v="Electronics"/>
    <s v="Mobile Phone"/>
    <n v="1428.39"/>
    <s v="Summer"/>
    <s v="Card"/>
    <n v="3.6"/>
    <x v="18"/>
    <n v="7"/>
    <n v="1879.4605263157896"/>
    <n v="451.07052631578949"/>
    <x v="3"/>
    <n v="1"/>
  </r>
  <r>
    <n v="2942"/>
    <n v="63"/>
    <s v="Male"/>
    <s v="Home"/>
    <s v="Curtains"/>
    <n v="208.41"/>
    <s v="Autumn"/>
    <s v="Card"/>
    <n v="4.2"/>
    <x v="25"/>
    <n v="10"/>
    <n v="297.72857142857146"/>
    <n v="89.31857142857146"/>
    <x v="0"/>
    <n v="1"/>
  </r>
  <r>
    <n v="2943"/>
    <n v="28"/>
    <s v="Female"/>
    <s v="Footwear"/>
    <s v="Sneakers"/>
    <n v="220.01"/>
    <s v="Spring"/>
    <s v="Card"/>
    <n v="2.7"/>
    <x v="19"/>
    <n v="5"/>
    <n v="258.83529411764704"/>
    <n v="38.825294117647047"/>
    <x v="5"/>
    <n v="1"/>
  </r>
  <r>
    <n v="2944"/>
    <n v="48"/>
    <s v="Male"/>
    <s v="Electronics"/>
    <s v="Mobile Phone"/>
    <n v="1710.27"/>
    <s v="Winter"/>
    <s v="Card"/>
    <n v="3.9"/>
    <x v="2"/>
    <n v="3"/>
    <n v="1921.6516853932583"/>
    <n v="211.38168539325829"/>
    <x v="4"/>
    <n v="1"/>
  </r>
  <r>
    <n v="2945"/>
    <n v="31"/>
    <s v="Male"/>
    <s v="Sports"/>
    <s v="Yoga Mat"/>
    <n v="234.56"/>
    <s v="Winter"/>
    <s v="Card"/>
    <n v="4.3"/>
    <x v="0"/>
    <n v="4"/>
    <n v="286.04878048780483"/>
    <n v="51.488780487804831"/>
    <x v="5"/>
    <n v="1"/>
  </r>
  <r>
    <n v="2946"/>
    <n v="29"/>
    <s v="Female"/>
    <s v="Footwear"/>
    <s v="Formal Shoes"/>
    <n v="146.87"/>
    <s v="Autumn"/>
    <s v="Card"/>
    <n v="3.4"/>
    <x v="16"/>
    <n v="3"/>
    <n v="156.24468085106383"/>
    <n v="9.3746808510638289"/>
    <x v="5"/>
    <n v="1"/>
  </r>
  <r>
    <n v="2947"/>
    <n v="62"/>
    <s v="Female"/>
    <s v="Accessories"/>
    <s v="Handbag"/>
    <n v="20.66"/>
    <s v="Spring"/>
    <s v="Card"/>
    <n v="4.7"/>
    <x v="7"/>
    <n v="5"/>
    <n v="22.955555555555556"/>
    <n v="2.2955555555555556"/>
    <x v="0"/>
    <n v="1"/>
  </r>
  <r>
    <n v="2948"/>
    <n v="37"/>
    <s v="Female"/>
    <s v="Beauty"/>
    <s v="Perfume"/>
    <n v="97.9"/>
    <s v="Autumn"/>
    <s v="Card"/>
    <n v="4.2"/>
    <x v="4"/>
    <n v="7"/>
    <n v="113.83720930232559"/>
    <n v="15.937209302325584"/>
    <x v="1"/>
    <n v="1"/>
  </r>
  <r>
    <n v="2949"/>
    <n v="51"/>
    <s v="Male"/>
    <s v="Electronics"/>
    <s v="Mobile Phone"/>
    <n v="1172.28"/>
    <s v="Winter"/>
    <s v="Card"/>
    <n v="4.0999999999999996"/>
    <x v="16"/>
    <n v="3"/>
    <n v="1247.1063829787236"/>
    <n v="74.826382978723586"/>
    <x v="4"/>
    <n v="1"/>
  </r>
  <r>
    <n v="2950"/>
    <n v="52"/>
    <s v="Female"/>
    <s v="Accessories"/>
    <s v="Wallet"/>
    <n v="48.23"/>
    <s v="Summer"/>
    <s v="Card"/>
    <n v="3.4"/>
    <x v="17"/>
    <n v="2"/>
    <n v="50.239583333333329"/>
    <n v="2.0095833333333317"/>
    <x v="4"/>
    <n v="1"/>
  </r>
  <r>
    <n v="2951"/>
    <n v="53"/>
    <s v="Female"/>
    <s v="Accessories"/>
    <s v="Wallet"/>
    <n v="60.58"/>
    <s v="Summer"/>
    <s v="Card"/>
    <n v="4.5999999999999996"/>
    <x v="2"/>
    <n v="3"/>
    <n v="68.067415730337075"/>
    <n v="7.4874157303370765"/>
    <x v="4"/>
    <n v="1"/>
  </r>
  <r>
    <n v="2952"/>
    <n v="67"/>
    <s v="Female"/>
    <s v="Womens Clothing"/>
    <s v="Dress"/>
    <n v="153.51"/>
    <s v="Winter"/>
    <s v="Card"/>
    <n v="4"/>
    <x v="5"/>
    <n v="4"/>
    <n v="166.85869565217391"/>
    <n v="13.348695652173916"/>
    <x v="2"/>
    <n v="1"/>
  </r>
  <r>
    <n v="2953"/>
    <n v="70"/>
    <s v="Female"/>
    <s v="Footwear"/>
    <s v="Sneakers"/>
    <n v="116.7"/>
    <s v="Spring"/>
    <s v="Card"/>
    <n v="4.5999999999999996"/>
    <x v="0"/>
    <n v="4"/>
    <n v="142.3170731707317"/>
    <n v="25.6170731707317"/>
    <x v="2"/>
    <n v="1"/>
  </r>
  <r>
    <n v="2954"/>
    <n v="37"/>
    <s v="Male"/>
    <s v="Sports"/>
    <s v="Yoga Mat"/>
    <n v="41.88"/>
    <s v="Summer"/>
    <s v="Cash on Delivery"/>
    <n v="3.6"/>
    <x v="19"/>
    <n v="5"/>
    <n v="49.27058823529412"/>
    <n v="7.3905882352941177"/>
    <x v="1"/>
    <n v="1"/>
  </r>
  <r>
    <n v="2955"/>
    <n v="44"/>
    <s v="Female"/>
    <s v="Groceries"/>
    <s v="Rice Pack"/>
    <n v="43.31"/>
    <s v="Autumn"/>
    <s v="Cash on Delivery"/>
    <n v="3.9"/>
    <x v="3"/>
    <n v="10"/>
    <n v="54.137500000000003"/>
    <n v="10.827500000000001"/>
    <x v="1"/>
    <n v="1"/>
  </r>
  <r>
    <n v="2956"/>
    <n v="57"/>
    <s v="Female"/>
    <s v="Womens Clothing"/>
    <s v="Dress"/>
    <n v="186.86"/>
    <s v="Autumn"/>
    <s v="Card"/>
    <n v="2.9"/>
    <x v="13"/>
    <n v="2"/>
    <n v="205.34065934065936"/>
    <n v="18.480659340659344"/>
    <x v="0"/>
    <n v="1"/>
  </r>
  <r>
    <n v="2957"/>
    <n v="61"/>
    <s v="Male"/>
    <s v="Home"/>
    <s v="Curtains"/>
    <n v="151.26"/>
    <s v="Winter"/>
    <s v="Card"/>
    <n v="4.4000000000000004"/>
    <x v="2"/>
    <n v="3"/>
    <n v="169.95505617977526"/>
    <n v="18.695056179775264"/>
    <x v="0"/>
    <n v="1"/>
  </r>
  <r>
    <n v="2958"/>
    <n v="66"/>
    <s v="Female"/>
    <s v="Beauty"/>
    <s v="Perfume"/>
    <n v="130.44999999999999"/>
    <s v="Autumn"/>
    <s v="Card"/>
    <n v="3.5"/>
    <x v="4"/>
    <n v="7"/>
    <n v="151.68604651162789"/>
    <n v="21.236046511627904"/>
    <x v="2"/>
    <n v="1"/>
  </r>
  <r>
    <n v="2959"/>
    <n v="28"/>
    <s v="Male"/>
    <s v="Mens Clothing"/>
    <s v="Jacket"/>
    <n v="172.56"/>
    <s v="Winter"/>
    <s v="Card"/>
    <n v="4.2"/>
    <x v="3"/>
    <n v="5"/>
    <n v="215.7"/>
    <n v="43.139999999999986"/>
    <x v="5"/>
    <n v="1"/>
  </r>
  <r>
    <n v="2960"/>
    <n v="44"/>
    <s v="Female"/>
    <s v="Groceries"/>
    <s v="Rice Pack"/>
    <n v="65.95"/>
    <s v="Spring"/>
    <s v="Cash on Delivery"/>
    <n v="2.7"/>
    <x v="7"/>
    <n v="5"/>
    <n v="73.277777777777786"/>
    <n v="7.3277777777777828"/>
    <x v="1"/>
    <n v="1"/>
  </r>
  <r>
    <n v="2961"/>
    <n v="61"/>
    <s v="Female"/>
    <s v="Womens Clothing"/>
    <s v="Dress"/>
    <n v="87.4"/>
    <s v="Summer"/>
    <s v="Cash on Delivery"/>
    <n v="3"/>
    <x v="3"/>
    <n v="5"/>
    <n v="109.25"/>
    <n v="21.849999999999994"/>
    <x v="0"/>
    <n v="1"/>
  </r>
  <r>
    <n v="2962"/>
    <n v="38"/>
    <s v="Male"/>
    <s v="Mens Clothing"/>
    <s v="Shirt"/>
    <n v="186.66"/>
    <s v="Summer"/>
    <s v="Card"/>
    <n v="4.5999999999999996"/>
    <x v="6"/>
    <n v="3"/>
    <n v="222.21428571428572"/>
    <n v="35.554285714285726"/>
    <x v="1"/>
    <n v="1"/>
  </r>
  <r>
    <n v="2963"/>
    <n v="40"/>
    <s v="Female"/>
    <s v="Accessories"/>
    <s v="Handbag"/>
    <n v="41.27"/>
    <s v="Winter"/>
    <s v="Card"/>
    <n v="3.4"/>
    <x v="17"/>
    <n v="2"/>
    <n v="42.989583333333336"/>
    <n v="1.7195833333333326"/>
    <x v="1"/>
    <n v="1"/>
  </r>
  <r>
    <n v="2964"/>
    <n v="36"/>
    <s v="Female"/>
    <s v="Beauty"/>
    <s v="Perfume"/>
    <n v="131.26"/>
    <s v="Winter"/>
    <s v="Card"/>
    <n v="2.9"/>
    <x v="6"/>
    <n v="3"/>
    <n v="156.26190476190476"/>
    <n v="25.001904761904768"/>
    <x v="1"/>
    <n v="1"/>
  </r>
  <r>
    <n v="2965"/>
    <n v="68"/>
    <s v="Female"/>
    <s v="Beauty"/>
    <s v="Makeup Set"/>
    <n v="57.54"/>
    <s v="Autumn"/>
    <s v="Card"/>
    <n v="4"/>
    <x v="10"/>
    <n v="6"/>
    <n v="73.769230769230759"/>
    <n v="16.22923076923076"/>
    <x v="2"/>
    <n v="1"/>
  </r>
  <r>
    <n v="2966"/>
    <n v="59"/>
    <s v="Male"/>
    <s v="Sports"/>
    <s v="Dumbbells"/>
    <n v="51.46"/>
    <s v="Summer"/>
    <s v="Card"/>
    <n v="4.4000000000000004"/>
    <x v="2"/>
    <n v="3"/>
    <n v="57.820224719101127"/>
    <n v="6.3602247191011259"/>
    <x v="0"/>
    <n v="1"/>
  </r>
  <r>
    <n v="2967"/>
    <n v="34"/>
    <s v="Male"/>
    <s v="Sports"/>
    <s v="Football"/>
    <n v="73.63"/>
    <s v="Spring"/>
    <s v="Cash on Delivery"/>
    <n v="4.5"/>
    <x v="30"/>
    <n v="12"/>
    <n v="111.56060606060606"/>
    <n v="37.930606060606067"/>
    <x v="5"/>
    <n v="1"/>
  </r>
  <r>
    <n v="2968"/>
    <n v="40"/>
    <s v="Female"/>
    <s v="Footwear"/>
    <s v="Sandals"/>
    <n v="169.28"/>
    <s v="Spring"/>
    <s v="Card"/>
    <n v="4.7"/>
    <x v="2"/>
    <n v="3"/>
    <n v="190.20224719101122"/>
    <n v="20.922247191011223"/>
    <x v="1"/>
    <n v="1"/>
  </r>
  <r>
    <n v="2969"/>
    <n v="67"/>
    <s v="Male"/>
    <s v="Mens Clothing"/>
    <s v="Jeans"/>
    <n v="168.33"/>
    <s v="Autumn"/>
    <s v="Card"/>
    <n v="3.3"/>
    <x v="3"/>
    <n v="5"/>
    <n v="210.41249999999999"/>
    <n v="42.082499999999982"/>
    <x v="2"/>
    <n v="1"/>
  </r>
  <r>
    <n v="2970"/>
    <n v="63"/>
    <s v="Female"/>
    <s v="Accessories"/>
    <s v="Handbag"/>
    <n v="45.25"/>
    <s v="Summer"/>
    <s v="Cash on Delivery"/>
    <n v="4.4000000000000004"/>
    <x v="1"/>
    <n v="4"/>
    <n v="52.011494252873561"/>
    <n v="6.7614942528735611"/>
    <x v="0"/>
    <n v="1"/>
  </r>
  <r>
    <n v="2971"/>
    <n v="39"/>
    <s v="Male"/>
    <s v="Footwear"/>
    <s v="Sneakers"/>
    <n v="213.65"/>
    <s v="Spring"/>
    <s v="Card"/>
    <n v="3.3"/>
    <x v="5"/>
    <n v="4"/>
    <n v="232.22826086956522"/>
    <n v="18.578260869565213"/>
    <x v="1"/>
    <n v="1"/>
  </r>
  <r>
    <n v="2972"/>
    <n v="55"/>
    <s v="Female"/>
    <s v="Accessories"/>
    <s v="Sunglasses"/>
    <n v="33.590000000000003"/>
    <s v="Summer"/>
    <s v="Card"/>
    <n v="3.1"/>
    <x v="3"/>
    <n v="5"/>
    <n v="41.987500000000004"/>
    <n v="8.3975000000000009"/>
    <x v="4"/>
    <n v="1"/>
  </r>
  <r>
    <n v="2973"/>
    <n v="27"/>
    <s v="Male"/>
    <s v="Mens Clothing"/>
    <s v="Jacket"/>
    <n v="163.62"/>
    <s v="Winter"/>
    <s v="Card"/>
    <n v="4.0999999999999996"/>
    <x v="7"/>
    <n v="5"/>
    <n v="181.8"/>
    <n v="18.180000000000007"/>
    <x v="5"/>
    <n v="1"/>
  </r>
  <r>
    <n v="2974"/>
    <n v="49"/>
    <s v="Female"/>
    <s v="Beauty"/>
    <s v="Makeup Set"/>
    <n v="56.06"/>
    <s v="Winter"/>
    <s v="Card"/>
    <n v="2.8"/>
    <x v="0"/>
    <n v="4"/>
    <n v="68.365853658536579"/>
    <n v="12.305853658536577"/>
    <x v="4"/>
    <n v="1"/>
  </r>
  <r>
    <n v="2975"/>
    <n v="54"/>
    <s v="Female"/>
    <s v="Womens Clothing"/>
    <s v="Top"/>
    <n v="131.24"/>
    <s v="Winter"/>
    <s v="Card"/>
    <n v="3.5"/>
    <x v="18"/>
    <n v="7"/>
    <n v="172.68421052631581"/>
    <n v="41.4442105263158"/>
    <x v="4"/>
    <n v="1"/>
  </r>
  <r>
    <n v="2976"/>
    <n v="64"/>
    <s v="Male"/>
    <s v="Sports"/>
    <s v="Yoga Mat"/>
    <n v="118.46"/>
    <s v="Autumn"/>
    <s v="Card"/>
    <n v="2.9"/>
    <x v="1"/>
    <n v="4"/>
    <n v="136.16091954022988"/>
    <n v="17.70091954022989"/>
    <x v="0"/>
    <n v="1"/>
  </r>
  <r>
    <n v="2977"/>
    <n v="24"/>
    <s v="Male"/>
    <s v="Sports"/>
    <s v="Yoga Mat"/>
    <n v="153.78"/>
    <s v="Autumn"/>
    <s v="Card"/>
    <n v="3.5"/>
    <x v="18"/>
    <n v="7"/>
    <n v="202.34210526315789"/>
    <n v="48.562105263157889"/>
    <x v="3"/>
    <n v="1"/>
  </r>
  <r>
    <n v="2978"/>
    <n v="58"/>
    <s v="Male"/>
    <s v="Electronics"/>
    <s v="Headphones"/>
    <n v="2236.23"/>
    <s v="Spring"/>
    <s v="Card"/>
    <n v="3.1"/>
    <x v="10"/>
    <n v="6"/>
    <n v="2866.9615384615386"/>
    <n v="630.73153846153855"/>
    <x v="0"/>
    <n v="1"/>
  </r>
  <r>
    <n v="2979"/>
    <n v="33"/>
    <s v="Female"/>
    <s v="Footwear"/>
    <s v="Sandals"/>
    <n v="64.489999999999995"/>
    <s v="Summer"/>
    <s v="Cash on Delivery"/>
    <n v="4.2"/>
    <x v="15"/>
    <n v="1"/>
    <n v="65.806122448979593"/>
    <n v="1.3161224489795984"/>
    <x v="5"/>
    <n v="1"/>
  </r>
  <r>
    <n v="2980"/>
    <n v="66"/>
    <s v="Female"/>
    <s v="Footwear"/>
    <s v="Sandals"/>
    <n v="228.23"/>
    <s v="Winter"/>
    <s v="Card"/>
    <n v="3.3"/>
    <x v="11"/>
    <n v="8"/>
    <n v="308.41891891891891"/>
    <n v="80.188918918918915"/>
    <x v="2"/>
    <n v="1"/>
  </r>
  <r>
    <n v="2981"/>
    <n v="50"/>
    <s v="Female"/>
    <s v="Accessories"/>
    <s v="Handbag"/>
    <n v="30.91"/>
    <s v="Summer"/>
    <s v="Card"/>
    <n v="3.9"/>
    <x v="11"/>
    <n v="8"/>
    <n v="41.770270270270274"/>
    <n v="10.860270270270274"/>
    <x v="4"/>
    <n v="1"/>
  </r>
  <r>
    <n v="2982"/>
    <n v="39"/>
    <s v="Female"/>
    <s v="Footwear"/>
    <s v="Formal Shoes"/>
    <n v="113.51"/>
    <s v="Spring"/>
    <s v="Card"/>
    <n v="3.4"/>
    <x v="5"/>
    <n v="4"/>
    <n v="123.3804347826087"/>
    <n v="9.8704347826086973"/>
    <x v="1"/>
    <n v="1"/>
  </r>
  <r>
    <n v="2983"/>
    <n v="43"/>
    <s v="Male"/>
    <s v="Mens Clothing"/>
    <s v="Jeans"/>
    <n v="144.69999999999999"/>
    <s v="Winter"/>
    <s v="Card"/>
    <n v="5"/>
    <x v="6"/>
    <n v="3"/>
    <n v="172.26190476190476"/>
    <n v="27.561904761904771"/>
    <x v="1"/>
    <n v="1"/>
  </r>
  <r>
    <n v="2984"/>
    <n v="64"/>
    <s v="Male"/>
    <s v="Footwear"/>
    <s v="Sneakers"/>
    <n v="52.88"/>
    <s v="Winter"/>
    <s v="Card"/>
    <n v="3.1"/>
    <x v="16"/>
    <n v="3"/>
    <n v="56.255319148936174"/>
    <n v="3.3753191489361711"/>
    <x v="0"/>
    <n v="1"/>
  </r>
  <r>
    <n v="2985"/>
    <n v="47"/>
    <s v="Female"/>
    <s v="Footwear"/>
    <s v="Sneakers"/>
    <n v="68.52"/>
    <s v="Autumn"/>
    <s v="Cash on Delivery"/>
    <n v="3.4"/>
    <x v="21"/>
    <n v="8"/>
    <n v="86.73417721518986"/>
    <n v="18.214177215189864"/>
    <x v="4"/>
    <n v="1"/>
  </r>
  <r>
    <n v="2986"/>
    <n v="26"/>
    <s v="Male"/>
    <s v="Groceries"/>
    <s v="Cooking Oil"/>
    <n v="48.19"/>
    <s v="Spring"/>
    <s v="Cash on Delivery"/>
    <n v="3.5"/>
    <x v="8"/>
    <n v="6"/>
    <n v="54.761363636363633"/>
    <n v="6.5713636363636354"/>
    <x v="5"/>
    <n v="1"/>
  </r>
  <r>
    <n v="2987"/>
    <n v="60"/>
    <s v="Male"/>
    <s v="Mens Clothing"/>
    <s v="T-Shirt"/>
    <n v="33.909999999999997"/>
    <s v="Winter"/>
    <s v="Card"/>
    <n v="4.5999999999999996"/>
    <x v="11"/>
    <n v="8"/>
    <n v="45.824324324324323"/>
    <n v="11.914324324324326"/>
    <x v="0"/>
    <n v="1"/>
  </r>
  <r>
    <n v="2988"/>
    <n v="35"/>
    <s v="Female"/>
    <s v="Womens Clothing"/>
    <s v="Jeans"/>
    <n v="59.43"/>
    <s v="Autumn"/>
    <s v="Cash on Delivery"/>
    <n v="2.9"/>
    <x v="7"/>
    <n v="5"/>
    <n v="66.033333333333331"/>
    <n v="6.6033333333333317"/>
    <x v="5"/>
    <n v="1"/>
  </r>
  <r>
    <n v="2989"/>
    <n v="32"/>
    <s v="Female"/>
    <s v="Accessories"/>
    <s v="Sunglasses"/>
    <n v="65.63"/>
    <s v="Winter"/>
    <s v="Card"/>
    <n v="3.7"/>
    <x v="19"/>
    <n v="5"/>
    <n v="77.211764705882345"/>
    <n v="11.58176470588235"/>
    <x v="5"/>
    <n v="1"/>
  </r>
  <r>
    <n v="2990"/>
    <n v="33"/>
    <s v="Female"/>
    <s v="Womens Clothing"/>
    <s v="Dress"/>
    <n v="57.6"/>
    <s v="Winter"/>
    <s v="Card"/>
    <n v="3.6"/>
    <x v="16"/>
    <n v="3"/>
    <n v="61.276595744680854"/>
    <n v="3.6765957446808528"/>
    <x v="5"/>
    <n v="1"/>
  </r>
  <r>
    <n v="2991"/>
    <n v="36"/>
    <s v="Female"/>
    <s v="Accessories"/>
    <s v="Handbag"/>
    <n v="128.58000000000001"/>
    <s v="Autumn"/>
    <s v="Card"/>
    <n v="3.6"/>
    <x v="5"/>
    <n v="4"/>
    <n v="139.7608695652174"/>
    <n v="11.180869565217392"/>
    <x v="1"/>
    <n v="1"/>
  </r>
  <r>
    <n v="2992"/>
    <n v="31"/>
    <s v="Male"/>
    <s v="Footwear"/>
    <s v="Sandals"/>
    <n v="162.09"/>
    <s v="Autumn"/>
    <s v="Card"/>
    <n v="4.0999999999999996"/>
    <x v="8"/>
    <n v="6"/>
    <n v="184.19318181818181"/>
    <n v="22.10318181818181"/>
    <x v="5"/>
    <n v="1"/>
  </r>
  <r>
    <n v="2993"/>
    <n v="38"/>
    <s v="Female"/>
    <s v="Accessories"/>
    <s v="Sunglasses"/>
    <n v="43.25"/>
    <s v="Winter"/>
    <s v="Card"/>
    <n v="5"/>
    <x v="7"/>
    <n v="5"/>
    <n v="48.055555555555557"/>
    <n v="4.8055555555555571"/>
    <x v="1"/>
    <n v="1"/>
  </r>
  <r>
    <n v="2994"/>
    <n v="42"/>
    <s v="Female"/>
    <s v="Womens Clothing"/>
    <s v="Top"/>
    <n v="181.64"/>
    <s v="Autumn"/>
    <s v="Card"/>
    <n v="2.8"/>
    <x v="11"/>
    <n v="8"/>
    <n v="245.45945945945945"/>
    <n v="63.819459459459466"/>
    <x v="1"/>
    <n v="1"/>
  </r>
  <r>
    <n v="2995"/>
    <n v="48"/>
    <s v="Male"/>
    <s v="Electronics"/>
    <s v="Headphones"/>
    <n v="1720.89"/>
    <s v="Spring"/>
    <s v="Card"/>
    <n v="3.5"/>
    <x v="6"/>
    <n v="3"/>
    <n v="2048.6785714285716"/>
    <n v="327.78857142857146"/>
    <x v="4"/>
    <n v="1"/>
  </r>
  <r>
    <n v="2996"/>
    <n v="53"/>
    <s v="Male"/>
    <s v="Sports"/>
    <s v="Football"/>
    <n v="239.85"/>
    <s v="Winter"/>
    <s v="Card"/>
    <n v="4.0999999999999996"/>
    <x v="14"/>
    <n v="6"/>
    <n v="288.97590361445782"/>
    <n v="49.125903614457826"/>
    <x v="4"/>
    <n v="1"/>
  </r>
  <r>
    <n v="2997"/>
    <n v="26"/>
    <s v="Female"/>
    <s v="Beauty"/>
    <s v="Skincare Kit"/>
    <n v="66.38"/>
    <s v="Spring"/>
    <s v="Cash on Delivery"/>
    <n v="3.8"/>
    <x v="7"/>
    <n v="5"/>
    <n v="73.755555555555546"/>
    <n v="7.3755555555555503"/>
    <x v="5"/>
    <n v="1"/>
  </r>
  <r>
    <n v="2998"/>
    <n v="22"/>
    <s v="Female"/>
    <s v="Beauty"/>
    <s v="Skincare Kit"/>
    <n v="47.67"/>
    <s v="Winter"/>
    <s v="Cash on Delivery"/>
    <n v="3"/>
    <x v="19"/>
    <n v="5"/>
    <n v="56.082352941176474"/>
    <n v="8.4123529411764721"/>
    <x v="3"/>
    <n v="1"/>
  </r>
  <r>
    <n v="2999"/>
    <n v="52"/>
    <s v="Male"/>
    <s v="Footwear"/>
    <s v="Formal Shoes"/>
    <n v="156.88"/>
    <s v="Autumn"/>
    <s v="Card"/>
    <n v="3.5"/>
    <x v="19"/>
    <n v="5"/>
    <n v="184.56470588235294"/>
    <n v="27.684705882352944"/>
    <x v="4"/>
    <n v="1"/>
  </r>
  <r>
    <n v="3000"/>
    <n v="37"/>
    <s v="Female"/>
    <s v="Footwear"/>
    <s v="Sneakers"/>
    <n v="176.28"/>
    <s v="Spring"/>
    <s v="Card"/>
    <n v="4.7"/>
    <x v="3"/>
    <n v="5"/>
    <n v="220.35"/>
    <n v="44.069999999999993"/>
    <x v="1"/>
    <n v="1"/>
  </r>
  <r>
    <n v="3001"/>
    <n v="35"/>
    <s v="Female"/>
    <s v="Beauty"/>
    <s v="Skincare Kit"/>
    <n v="46.97"/>
    <s v="Autumn"/>
    <s v="Card"/>
    <n v="4.2"/>
    <x v="8"/>
    <n v="6"/>
    <n v="53.375"/>
    <n v="6.4050000000000011"/>
    <x v="5"/>
    <n v="1"/>
  </r>
  <r>
    <n v="3002"/>
    <n v="69"/>
    <s v="Male"/>
    <s v="Electronics"/>
    <s v="Laptop"/>
    <n v="1404.38"/>
    <s v="Winter"/>
    <s v="Card"/>
    <n v="2.5"/>
    <x v="1"/>
    <n v="4"/>
    <n v="1614.2298850574714"/>
    <n v="209.84988505747128"/>
    <x v="2"/>
    <n v="1"/>
  </r>
  <r>
    <n v="3003"/>
    <n v="59"/>
    <s v="Female"/>
    <s v="Footwear"/>
    <s v="Formal Shoes"/>
    <n v="112.23"/>
    <s v="Spring"/>
    <s v="Card"/>
    <n v="3.6"/>
    <x v="7"/>
    <n v="5"/>
    <n v="124.7"/>
    <n v="12.469999999999999"/>
    <x v="0"/>
    <n v="1"/>
  </r>
  <r>
    <n v="3004"/>
    <n v="44"/>
    <s v="Female"/>
    <s v="Accessories"/>
    <s v="Wallet"/>
    <n v="124.3"/>
    <s v="Spring"/>
    <s v="Card"/>
    <n v="3.7"/>
    <x v="21"/>
    <n v="8"/>
    <n v="157.34177215189871"/>
    <n v="33.041772151898712"/>
    <x v="1"/>
    <n v="1"/>
  </r>
  <r>
    <n v="3005"/>
    <n v="37"/>
    <s v="Male"/>
    <s v="Sports"/>
    <s v="Yoga Mat"/>
    <n v="145.11000000000001"/>
    <s v="Spring"/>
    <s v="Card"/>
    <n v="2.4"/>
    <x v="3"/>
    <n v="5"/>
    <n v="181.38750000000002"/>
    <n v="36.277500000000003"/>
    <x v="1"/>
    <n v="1"/>
  </r>
  <r>
    <n v="3006"/>
    <n v="63"/>
    <s v="Male"/>
    <s v="Footwear"/>
    <s v="Sneakers"/>
    <n v="214.22"/>
    <s v="Autumn"/>
    <s v="Card"/>
    <n v="3.3"/>
    <x v="12"/>
    <n v="7"/>
    <n v="264.46913580246911"/>
    <n v="50.249135802469112"/>
    <x v="0"/>
    <n v="1"/>
  </r>
  <r>
    <n v="3007"/>
    <n v="42"/>
    <s v="Female"/>
    <s v="Beauty"/>
    <s v="Makeup Set"/>
    <n v="24.73"/>
    <s v="Spring"/>
    <s v="Card"/>
    <n v="3.6"/>
    <x v="19"/>
    <n v="5"/>
    <n v="29.094117647058823"/>
    <n v="4.3641176470588228"/>
    <x v="1"/>
    <n v="1"/>
  </r>
  <r>
    <n v="3008"/>
    <n v="38"/>
    <s v="Male"/>
    <s v="Sports"/>
    <s v="Yoga Mat"/>
    <n v="158.99"/>
    <s v="Winter"/>
    <s v="Card"/>
    <n v="3.4"/>
    <x v="1"/>
    <n v="4"/>
    <n v="182.74712643678163"/>
    <n v="23.757126436781618"/>
    <x v="1"/>
    <n v="1"/>
  </r>
  <r>
    <n v="3009"/>
    <n v="46"/>
    <s v="Female"/>
    <s v="Sports"/>
    <s v="Yoga Mat"/>
    <n v="234.34"/>
    <s v="Spring"/>
    <s v="Card"/>
    <n v="3.4"/>
    <x v="16"/>
    <n v="3"/>
    <n v="249.29787234042556"/>
    <n v="14.957872340425553"/>
    <x v="4"/>
    <n v="1"/>
  </r>
  <r>
    <n v="3010"/>
    <n v="42"/>
    <s v="Female"/>
    <s v="Womens Clothing"/>
    <s v="Jeans"/>
    <n v="31.48"/>
    <s v="Winter"/>
    <s v="Cash on Delivery"/>
    <n v="3.1"/>
    <x v="7"/>
    <n v="5"/>
    <n v="34.977777777777774"/>
    <n v="3.4977777777777739"/>
    <x v="1"/>
    <n v="1"/>
  </r>
  <r>
    <n v="3011"/>
    <n v="23"/>
    <s v="Female"/>
    <s v="Womens Clothing"/>
    <s v="Jeans"/>
    <n v="134.30000000000001"/>
    <s v="Autumn"/>
    <s v="Card"/>
    <n v="3.9"/>
    <x v="10"/>
    <n v="6"/>
    <n v="172.17948717948718"/>
    <n v="37.879487179487171"/>
    <x v="3"/>
    <n v="1"/>
  </r>
  <r>
    <n v="3012"/>
    <n v="48"/>
    <s v="Male"/>
    <s v="Mens Clothing"/>
    <s v="Jacket"/>
    <n v="51.38"/>
    <s v="Winter"/>
    <s v="Card"/>
    <n v="5"/>
    <x v="15"/>
    <n v="1"/>
    <n v="52.428571428571431"/>
    <n v="1.048571428571428"/>
    <x v="4"/>
    <n v="1"/>
  </r>
  <r>
    <n v="3013"/>
    <n v="51"/>
    <s v="Male"/>
    <s v="Electronics"/>
    <s v="Laptop"/>
    <n v="2375.0300000000002"/>
    <s v="Winter"/>
    <s v="Card"/>
    <n v="2.5"/>
    <x v="5"/>
    <n v="4"/>
    <n v="2581.554347826087"/>
    <n v="206.5243478260868"/>
    <x v="4"/>
    <n v="1"/>
  </r>
  <r>
    <n v="3014"/>
    <n v="53"/>
    <s v="Male"/>
    <s v="Sports"/>
    <s v="Yoga Mat"/>
    <n v="52.21"/>
    <s v="Autumn"/>
    <s v="Card"/>
    <n v="3.6"/>
    <x v="16"/>
    <n v="3"/>
    <n v="55.542553191489368"/>
    <n v="3.3325531914893674"/>
    <x v="4"/>
    <n v="1"/>
  </r>
  <r>
    <n v="3015"/>
    <n v="38"/>
    <s v="Female"/>
    <s v="Footwear"/>
    <s v="Formal Shoes"/>
    <n v="241.96"/>
    <s v="Summer"/>
    <s v="Card"/>
    <n v="2.6"/>
    <x v="0"/>
    <n v="4"/>
    <n v="295.07317073170731"/>
    <n v="53.113170731707299"/>
    <x v="1"/>
    <n v="1"/>
  </r>
  <r>
    <n v="3016"/>
    <n v="23"/>
    <s v="Female"/>
    <s v="Accessories"/>
    <s v="Wallet"/>
    <n v="64.06"/>
    <s v="Spring"/>
    <s v="Cash on Delivery"/>
    <n v="3.7"/>
    <x v="13"/>
    <n v="2"/>
    <n v="70.395604395604394"/>
    <n v="6.3356043956043919"/>
    <x v="3"/>
    <n v="1"/>
  </r>
  <r>
    <n v="3017"/>
    <n v="25"/>
    <s v="Female"/>
    <s v="Womens Clothing"/>
    <s v="Jeans"/>
    <n v="59.55"/>
    <s v="Spring"/>
    <s v="Card"/>
    <n v="4.0999999999999996"/>
    <x v="10"/>
    <n v="6"/>
    <n v="76.34615384615384"/>
    <n v="16.796153846153842"/>
    <x v="3"/>
    <n v="1"/>
  </r>
  <r>
    <n v="3018"/>
    <n v="63"/>
    <s v="Male"/>
    <s v="Footwear"/>
    <s v="Sandals"/>
    <n v="91.21"/>
    <s v="Winter"/>
    <s v="Card"/>
    <n v="4.0999999999999996"/>
    <x v="20"/>
    <n v="11"/>
    <n v="134.13235294117646"/>
    <n v="42.92235294117647"/>
    <x v="0"/>
    <n v="1"/>
  </r>
  <r>
    <n v="3019"/>
    <n v="63"/>
    <s v="Male"/>
    <s v="Mens Clothing"/>
    <s v="Jacket"/>
    <n v="112.01"/>
    <s v="Autumn"/>
    <s v="Card"/>
    <n v="4"/>
    <x v="5"/>
    <n v="4"/>
    <n v="121.75"/>
    <n v="9.7399999999999949"/>
    <x v="0"/>
    <n v="1"/>
  </r>
  <r>
    <n v="3020"/>
    <n v="47"/>
    <s v="Male"/>
    <s v="Electronics"/>
    <s v="Laptop"/>
    <n v="2830.66"/>
    <s v="Summer"/>
    <s v="Card"/>
    <n v="3.5"/>
    <x v="6"/>
    <n v="3"/>
    <n v="3369.8333333333335"/>
    <n v="539.17333333333363"/>
    <x v="4"/>
    <n v="1"/>
  </r>
  <r>
    <n v="3021"/>
    <n v="67"/>
    <s v="Male"/>
    <s v="Electronics"/>
    <s v="Mobile Phone"/>
    <n v="804.82"/>
    <s v="Winter"/>
    <s v="Card"/>
    <n v="3.8"/>
    <x v="13"/>
    <n v="2"/>
    <n v="884.41758241758248"/>
    <n v="79.59758241758243"/>
    <x v="2"/>
    <n v="1"/>
  </r>
  <r>
    <n v="3022"/>
    <n v="35"/>
    <s v="Male"/>
    <s v="Mens Clothing"/>
    <s v="Jacket"/>
    <n v="62.73"/>
    <s v="Summer"/>
    <s v="Cash on Delivery"/>
    <n v="3.6"/>
    <x v="19"/>
    <n v="5"/>
    <n v="73.8"/>
    <n v="11.07"/>
    <x v="5"/>
    <n v="1"/>
  </r>
  <r>
    <n v="3023"/>
    <n v="43"/>
    <s v="Female"/>
    <s v="Beauty"/>
    <s v="Makeup Set"/>
    <n v="20.09"/>
    <s v="Winter"/>
    <s v="Cash on Delivery"/>
    <n v="2.7"/>
    <x v="3"/>
    <n v="5"/>
    <n v="25.112499999999997"/>
    <n v="5.0224999999999973"/>
    <x v="1"/>
    <n v="1"/>
  </r>
  <r>
    <n v="3024"/>
    <n v="60"/>
    <s v="Female"/>
    <s v="Footwear"/>
    <s v="Sandals"/>
    <n v="52.98"/>
    <s v="Spring"/>
    <s v="Card"/>
    <n v="4.2"/>
    <x v="17"/>
    <n v="2"/>
    <n v="55.1875"/>
    <n v="2.2075000000000031"/>
    <x v="0"/>
    <n v="1"/>
  </r>
  <r>
    <n v="3025"/>
    <n v="56"/>
    <s v="Female"/>
    <s v="Womens Clothing"/>
    <s v="Top"/>
    <n v="80.959999999999994"/>
    <s v="Spring"/>
    <s v="Card"/>
    <n v="3.4"/>
    <x v="8"/>
    <n v="6"/>
    <n v="91.999999999999986"/>
    <n v="11.039999999999992"/>
    <x v="0"/>
    <n v="1"/>
  </r>
  <r>
    <n v="3026"/>
    <n v="46"/>
    <s v="Male"/>
    <s v="Mens Clothing"/>
    <s v="Jacket"/>
    <n v="173.68"/>
    <s v="Spring"/>
    <s v="Card"/>
    <n v="5"/>
    <x v="14"/>
    <n v="6"/>
    <n v="209.2530120481928"/>
    <n v="35.573012048192794"/>
    <x v="4"/>
    <n v="1"/>
  </r>
  <r>
    <n v="3027"/>
    <n v="63"/>
    <s v="Male"/>
    <s v="Mens Clothing"/>
    <s v="Jacket"/>
    <n v="116.37"/>
    <s v="Winter"/>
    <s v="Card"/>
    <n v="3.3"/>
    <x v="11"/>
    <n v="8"/>
    <n v="157.25675675675677"/>
    <n v="40.886756756756768"/>
    <x v="0"/>
    <n v="1"/>
  </r>
  <r>
    <n v="3028"/>
    <n v="44"/>
    <s v="Female"/>
    <s v="Womens Clothing"/>
    <s v="Skirt"/>
    <n v="139.86000000000001"/>
    <s v="Summer"/>
    <s v="Card"/>
    <n v="3.5"/>
    <x v="2"/>
    <n v="3"/>
    <n v="157.14606741573036"/>
    <n v="17.286067415730344"/>
    <x v="1"/>
    <n v="1"/>
  </r>
  <r>
    <n v="3029"/>
    <n v="46"/>
    <s v="Female"/>
    <s v="Accessories"/>
    <s v="Wallet"/>
    <n v="169.04"/>
    <s v="Winter"/>
    <s v="Card"/>
    <n v="3"/>
    <x v="19"/>
    <n v="5"/>
    <n v="198.87058823529412"/>
    <n v="29.83058823529413"/>
    <x v="4"/>
    <n v="1"/>
  </r>
  <r>
    <n v="3030"/>
    <n v="44"/>
    <s v="Male"/>
    <s v="Electronics"/>
    <s v="Smart Watch"/>
    <n v="2810.41"/>
    <s v="Winter"/>
    <s v="Card"/>
    <n v="4.4000000000000004"/>
    <x v="5"/>
    <n v="4"/>
    <n v="3054.7934782608691"/>
    <n v="244.3834782608692"/>
    <x v="1"/>
    <n v="1"/>
  </r>
  <r>
    <n v="3031"/>
    <n v="46"/>
    <s v="Female"/>
    <s v="Womens Clothing"/>
    <s v="Skirt"/>
    <n v="152.01"/>
    <s v="Summer"/>
    <s v="Card"/>
    <n v="2.6"/>
    <x v="2"/>
    <n v="3"/>
    <n v="170.79775280898875"/>
    <n v="18.787752808988756"/>
    <x v="4"/>
    <n v="1"/>
  </r>
  <r>
    <n v="3032"/>
    <n v="50"/>
    <s v="Male"/>
    <s v="Electronics"/>
    <s v="Headphones"/>
    <n v="908.32"/>
    <s v="Autumn"/>
    <s v="Card"/>
    <n v="2.8"/>
    <x v="5"/>
    <n v="4"/>
    <n v="987.304347826087"/>
    <n v="78.984347826086946"/>
    <x v="4"/>
    <n v="1"/>
  </r>
  <r>
    <n v="3033"/>
    <n v="57"/>
    <s v="Female"/>
    <s v="Womens Clothing"/>
    <s v="Skirt"/>
    <n v="194"/>
    <s v="Winter"/>
    <s v="Card"/>
    <n v="2.9"/>
    <x v="15"/>
    <n v="1"/>
    <n v="197.9591836734694"/>
    <n v="3.959183673469397"/>
    <x v="0"/>
    <n v="1"/>
  </r>
  <r>
    <n v="3034"/>
    <n v="28"/>
    <s v="Male"/>
    <s v="Footwear"/>
    <s v="Formal Shoes"/>
    <n v="239.55"/>
    <s v="Spring"/>
    <s v="Card"/>
    <n v="4.5999999999999996"/>
    <x v="3"/>
    <n v="5"/>
    <n v="299.4375"/>
    <n v="59.887499999999989"/>
    <x v="5"/>
    <n v="1"/>
  </r>
  <r>
    <n v="3035"/>
    <n v="38"/>
    <s v="Male"/>
    <s v="Electronics"/>
    <s v="Laptop"/>
    <n v="2591.6999999999998"/>
    <s v="Autumn"/>
    <s v="Card"/>
    <n v="3.3"/>
    <x v="11"/>
    <n v="8"/>
    <n v="3502.2972972972971"/>
    <n v="910.59729729729725"/>
    <x v="1"/>
    <n v="1"/>
  </r>
  <r>
    <n v="3036"/>
    <n v="57"/>
    <s v="Female"/>
    <s v="Womens Clothing"/>
    <s v="Top"/>
    <n v="165.49"/>
    <s v="Summer"/>
    <s v="Card"/>
    <n v="4.7"/>
    <x v="1"/>
    <n v="4"/>
    <n v="190.2183908045977"/>
    <n v="24.728390804597694"/>
    <x v="0"/>
    <n v="1"/>
  </r>
  <r>
    <n v="3037"/>
    <n v="22"/>
    <s v="Male"/>
    <s v="Footwear"/>
    <s v="Sandals"/>
    <n v="41.92"/>
    <s v="Winter"/>
    <s v="Card"/>
    <n v="3.9"/>
    <x v="2"/>
    <n v="3"/>
    <n v="47.101123595505619"/>
    <n v="5.1811235955056176"/>
    <x v="3"/>
    <n v="1"/>
  </r>
  <r>
    <n v="3038"/>
    <n v="29"/>
    <s v="Male"/>
    <s v="Sports"/>
    <s v="Dumbbells"/>
    <n v="236.09"/>
    <s v="Summer"/>
    <s v="Card"/>
    <n v="2.7"/>
    <x v="1"/>
    <n v="4"/>
    <n v="271.36781609195401"/>
    <n v="35.277816091954008"/>
    <x v="5"/>
    <n v="1"/>
  </r>
  <r>
    <n v="3039"/>
    <n v="26"/>
    <s v="Male"/>
    <s v="Electronics"/>
    <s v="Laptop"/>
    <n v="1687.69"/>
    <s v="Summer"/>
    <s v="Card"/>
    <n v="2.4"/>
    <x v="8"/>
    <n v="6"/>
    <n v="1917.8295454545455"/>
    <n v="230.13954545454544"/>
    <x v="5"/>
    <n v="1"/>
  </r>
  <r>
    <n v="3040"/>
    <n v="40"/>
    <s v="Male"/>
    <s v="Mens Clothing"/>
    <s v="T-Shirt"/>
    <n v="144.61000000000001"/>
    <s v="Autumn"/>
    <s v="Card"/>
    <n v="3.6"/>
    <x v="10"/>
    <n v="6"/>
    <n v="185.39743589743591"/>
    <n v="40.787435897435898"/>
    <x v="1"/>
    <n v="1"/>
  </r>
  <r>
    <n v="3041"/>
    <n v="59"/>
    <s v="Male"/>
    <s v="Groceries"/>
    <s v="Beverages"/>
    <n v="60.41"/>
    <s v="Autumn"/>
    <s v="Cash on Delivery"/>
    <n v="3.7"/>
    <x v="1"/>
    <n v="4"/>
    <n v="69.436781609195393"/>
    <n v="9.0267816091953961"/>
    <x v="0"/>
    <n v="1"/>
  </r>
  <r>
    <n v="3042"/>
    <n v="42"/>
    <s v="Female"/>
    <s v="Footwear"/>
    <s v="Sneakers"/>
    <n v="176.41"/>
    <s v="Spring"/>
    <s v="Card"/>
    <n v="4.2"/>
    <x v="6"/>
    <n v="3"/>
    <n v="210.01190476190476"/>
    <n v="33.601904761904763"/>
    <x v="1"/>
    <n v="1"/>
  </r>
  <r>
    <n v="3043"/>
    <n v="66"/>
    <s v="Female"/>
    <s v="Beauty"/>
    <s v="Skincare Kit"/>
    <n v="46.02"/>
    <s v="Spring"/>
    <s v="Card"/>
    <n v="3.2"/>
    <x v="11"/>
    <n v="8"/>
    <n v="62.189189189189193"/>
    <n v="16.16918918918919"/>
    <x v="2"/>
    <n v="1"/>
  </r>
  <r>
    <n v="3044"/>
    <n v="50"/>
    <s v="Male"/>
    <s v="Electronics"/>
    <s v="Laptop"/>
    <n v="1517.4"/>
    <s v="Summer"/>
    <s v="Card"/>
    <n v="3.6"/>
    <x v="0"/>
    <n v="9"/>
    <n v="1850.4878048780488"/>
    <n v="333.0878048780487"/>
    <x v="4"/>
    <n v="1"/>
  </r>
  <r>
    <n v="3045"/>
    <n v="51"/>
    <s v="Female"/>
    <s v="Beauty"/>
    <s v="Skincare Kit"/>
    <n v="86.79"/>
    <s v="Spring"/>
    <s v="Cash on Delivery"/>
    <n v="3.5"/>
    <x v="12"/>
    <n v="7"/>
    <n v="107.14814814814815"/>
    <n v="20.358148148148146"/>
    <x v="4"/>
    <n v="1"/>
  </r>
  <r>
    <n v="3046"/>
    <n v="40"/>
    <s v="Female"/>
    <s v="Womens Clothing"/>
    <s v="Dress"/>
    <n v="41.97"/>
    <s v="Summer"/>
    <s v="Card"/>
    <n v="3.5"/>
    <x v="7"/>
    <n v="5"/>
    <n v="46.633333333333333"/>
    <n v="4.663333333333334"/>
    <x v="1"/>
    <n v="1"/>
  </r>
  <r>
    <n v="3047"/>
    <n v="35"/>
    <s v="Female"/>
    <s v="Beauty"/>
    <s v="Skincare Kit"/>
    <n v="149.18"/>
    <s v="Spring"/>
    <s v="Card"/>
    <n v="4.7"/>
    <x v="24"/>
    <n v="9"/>
    <n v="207.19444444444446"/>
    <n v="58.01444444444445"/>
    <x v="5"/>
    <n v="1"/>
  </r>
  <r>
    <n v="3048"/>
    <n v="30"/>
    <s v="Female"/>
    <s v="Womens Clothing"/>
    <s v="Top"/>
    <n v="142.34"/>
    <s v="Winter"/>
    <s v="Card"/>
    <n v="2.9"/>
    <x v="12"/>
    <n v="7"/>
    <n v="175.72839506172838"/>
    <n v="33.388395061728374"/>
    <x v="5"/>
    <n v="1"/>
  </r>
  <r>
    <n v="3049"/>
    <n v="68"/>
    <s v="Male"/>
    <s v="Sports"/>
    <s v="Dumbbells"/>
    <n v="149.12"/>
    <s v="Autumn"/>
    <s v="Card"/>
    <n v="4.7"/>
    <x v="25"/>
    <n v="10"/>
    <n v="213.02857142857144"/>
    <n v="63.908571428571435"/>
    <x v="2"/>
    <n v="1"/>
  </r>
  <r>
    <n v="3050"/>
    <n v="34"/>
    <s v="Female"/>
    <s v="Footwear"/>
    <s v="Formal Shoes"/>
    <n v="222.74"/>
    <s v="Winter"/>
    <s v="Card"/>
    <n v="4"/>
    <x v="0"/>
    <n v="4"/>
    <n v="271.63414634146341"/>
    <n v="48.894146341463397"/>
    <x v="5"/>
    <n v="1"/>
  </r>
  <r>
    <n v="3051"/>
    <n v="37"/>
    <s v="Female"/>
    <s v="Accessories"/>
    <s v="Wallet"/>
    <n v="23.58"/>
    <s v="Winter"/>
    <s v="Card"/>
    <n v="3.2"/>
    <x v="0"/>
    <n v="4"/>
    <n v="28.756097560975604"/>
    <n v="5.1760975609756059"/>
    <x v="1"/>
    <n v="1"/>
  </r>
  <r>
    <n v="3052"/>
    <n v="48"/>
    <s v="Male"/>
    <s v="Electronics"/>
    <s v="Laptop"/>
    <n v="1298.54"/>
    <s v="Winter"/>
    <s v="Card"/>
    <n v="3.5"/>
    <x v="7"/>
    <n v="0"/>
    <n v="1442.8222222222221"/>
    <n v="144.28222222222212"/>
    <x v="4"/>
    <n v="1"/>
  </r>
  <r>
    <n v="3053"/>
    <n v="57"/>
    <s v="Female"/>
    <s v="Accessories"/>
    <s v="Sunglasses"/>
    <n v="147.6"/>
    <s v="Summer"/>
    <s v="Card"/>
    <n v="4"/>
    <x v="18"/>
    <n v="7"/>
    <n v="194.21052631578945"/>
    <n v="46.610526315789457"/>
    <x v="0"/>
    <n v="1"/>
  </r>
  <r>
    <n v="3054"/>
    <n v="46"/>
    <s v="Male"/>
    <s v="Electronics"/>
    <s v="Mobile Phone"/>
    <n v="1161.0899999999999"/>
    <s v="Autumn"/>
    <s v="Card"/>
    <n v="4.8"/>
    <x v="7"/>
    <n v="5"/>
    <n v="1290.0999999999999"/>
    <n v="129.01"/>
    <x v="4"/>
    <n v="1"/>
  </r>
  <r>
    <n v="3055"/>
    <n v="51"/>
    <s v="Female"/>
    <s v="Footwear"/>
    <s v="Sneakers"/>
    <n v="203.75"/>
    <s v="Autumn"/>
    <s v="Card"/>
    <n v="3.4"/>
    <x v="2"/>
    <n v="3"/>
    <n v="228.93258426966293"/>
    <n v="25.182584269662925"/>
    <x v="4"/>
    <n v="1"/>
  </r>
  <r>
    <n v="3056"/>
    <n v="57"/>
    <s v="Female"/>
    <s v="Home"/>
    <s v="Lamp"/>
    <n v="145.76"/>
    <s v="Summer"/>
    <s v="Card"/>
    <n v="3.2"/>
    <x v="4"/>
    <n v="7"/>
    <n v="169.48837209302326"/>
    <n v="23.728372093023268"/>
    <x v="0"/>
    <n v="1"/>
  </r>
  <r>
    <n v="3057"/>
    <n v="70"/>
    <s v="Female"/>
    <s v="Footwear"/>
    <s v="Formal Shoes"/>
    <n v="221.59"/>
    <s v="Spring"/>
    <s v="Card"/>
    <n v="3.8"/>
    <x v="1"/>
    <n v="4"/>
    <n v="254.70114942528735"/>
    <n v="33.111149425287351"/>
    <x v="2"/>
    <n v="1"/>
  </r>
  <r>
    <n v="3058"/>
    <n v="22"/>
    <s v="Female"/>
    <s v="Womens Clothing"/>
    <s v="Jeans"/>
    <n v="142.09"/>
    <s v="Summer"/>
    <s v="Card"/>
    <n v="3.7"/>
    <x v="4"/>
    <n v="2"/>
    <n v="165.22093023255815"/>
    <n v="23.130930232558143"/>
    <x v="3"/>
    <n v="1"/>
  </r>
  <r>
    <n v="3059"/>
    <n v="46"/>
    <s v="Male"/>
    <s v="Mens Clothing"/>
    <s v="Jeans"/>
    <n v="149.84"/>
    <s v="Winter"/>
    <s v="Card"/>
    <n v="3.9"/>
    <x v="5"/>
    <n v="4"/>
    <n v="162.86956521739131"/>
    <n v="13.029565217391308"/>
    <x v="4"/>
    <n v="1"/>
  </r>
  <r>
    <n v="3060"/>
    <n v="33"/>
    <s v="Female"/>
    <s v="Beauty"/>
    <s v="Perfume"/>
    <n v="47.94"/>
    <s v="Autumn"/>
    <s v="Cash on Delivery"/>
    <n v="3.8"/>
    <x v="8"/>
    <n v="6"/>
    <n v="54.477272727272727"/>
    <n v="6.5372727272727289"/>
    <x v="5"/>
    <n v="1"/>
  </r>
  <r>
    <n v="3061"/>
    <n v="28"/>
    <s v="Male"/>
    <s v="Groceries"/>
    <s v="Cooking Oil"/>
    <n v="11.62"/>
    <s v="Autumn"/>
    <s v="Card"/>
    <n v="3.7"/>
    <x v="13"/>
    <n v="2"/>
    <n v="12.769230769230768"/>
    <n v="1.1492307692307691"/>
    <x v="5"/>
    <n v="1"/>
  </r>
  <r>
    <n v="3062"/>
    <n v="39"/>
    <s v="Female"/>
    <s v="Womens Clothing"/>
    <s v="Dress"/>
    <n v="119.77"/>
    <s v="Winter"/>
    <s v="Card"/>
    <n v="4"/>
    <x v="18"/>
    <n v="7"/>
    <n v="157.59210526315789"/>
    <n v="37.822105263157894"/>
    <x v="1"/>
    <n v="1"/>
  </r>
  <r>
    <n v="3063"/>
    <n v="60"/>
    <s v="Male"/>
    <s v="Mens Clothing"/>
    <s v="T-Shirt"/>
    <n v="188.39"/>
    <s v="Summer"/>
    <s v="Card"/>
    <n v="3.4"/>
    <x v="22"/>
    <n v="9"/>
    <n v="244.66233766233765"/>
    <n v="56.272337662337662"/>
    <x v="0"/>
    <n v="1"/>
  </r>
  <r>
    <n v="3064"/>
    <n v="37"/>
    <s v="Male"/>
    <s v="Groceries"/>
    <s v="Cooking Oil"/>
    <n v="70.239999999999995"/>
    <s v="Autumn"/>
    <s v="Cash on Delivery"/>
    <n v="4.3"/>
    <x v="24"/>
    <n v="9"/>
    <n v="97.555555555555557"/>
    <n v="27.315555555555562"/>
    <x v="1"/>
    <n v="1"/>
  </r>
  <r>
    <n v="3065"/>
    <n v="40"/>
    <s v="Female"/>
    <s v="Womens Clothing"/>
    <s v="Top"/>
    <n v="167.11"/>
    <s v="Winter"/>
    <s v="Card"/>
    <n v="3.9"/>
    <x v="3"/>
    <n v="5"/>
    <n v="208.88750000000002"/>
    <n v="41.777500000000003"/>
    <x v="1"/>
    <n v="1"/>
  </r>
  <r>
    <n v="3066"/>
    <n v="56"/>
    <s v="Male"/>
    <s v="Mens Clothing"/>
    <s v="Jeans"/>
    <n v="108.75"/>
    <s v="Autumn"/>
    <s v="Card"/>
    <n v="4.4000000000000004"/>
    <x v="10"/>
    <n v="6"/>
    <n v="139.42307692307691"/>
    <n v="30.673076923076906"/>
    <x v="0"/>
    <n v="1"/>
  </r>
  <r>
    <n v="3067"/>
    <n v="42"/>
    <s v="Male"/>
    <s v="Footwear"/>
    <s v="Formal Shoes"/>
    <n v="234.89"/>
    <s v="Winter"/>
    <s v="Card"/>
    <n v="4.0999999999999996"/>
    <x v="17"/>
    <n v="2"/>
    <n v="244.67708333333331"/>
    <n v="9.787083333333328"/>
    <x v="1"/>
    <n v="1"/>
  </r>
  <r>
    <n v="3068"/>
    <n v="35"/>
    <s v="Female"/>
    <s v="Footwear"/>
    <s v="Sneakers"/>
    <n v="203.24"/>
    <s v="Spring"/>
    <s v="Card"/>
    <n v="3.8"/>
    <x v="3"/>
    <n v="5"/>
    <n v="254.05"/>
    <n v="50.81"/>
    <x v="5"/>
    <n v="1"/>
  </r>
  <r>
    <n v="3069"/>
    <n v="31"/>
    <s v="Male"/>
    <s v="Footwear"/>
    <s v="Formal Shoes"/>
    <n v="118.39"/>
    <s v="Winter"/>
    <s v="Card"/>
    <n v="4.4000000000000004"/>
    <x v="19"/>
    <n v="5"/>
    <n v="139.28235294117647"/>
    <n v="20.892352941176469"/>
    <x v="5"/>
    <n v="1"/>
  </r>
  <r>
    <n v="3070"/>
    <n v="66"/>
    <s v="Female"/>
    <s v="Beauty"/>
    <s v="Perfume"/>
    <n v="105.89"/>
    <s v="Spring"/>
    <s v="Card"/>
    <n v="3.5"/>
    <x v="11"/>
    <n v="8"/>
    <n v="143.09459459459461"/>
    <n v="37.20459459459461"/>
    <x v="2"/>
    <n v="1"/>
  </r>
  <r>
    <n v="3071"/>
    <n v="59"/>
    <s v="Male"/>
    <s v="Electronics"/>
    <s v="Mobile Phone"/>
    <n v="2313.37"/>
    <s v="Summer"/>
    <s v="Card"/>
    <n v="3"/>
    <x v="0"/>
    <n v="4"/>
    <n v="2821.1829268292681"/>
    <n v="507.81292682926824"/>
    <x v="0"/>
    <n v="1"/>
  </r>
  <r>
    <n v="3072"/>
    <n v="34"/>
    <s v="Female"/>
    <s v="Home"/>
    <s v="Curtains"/>
    <n v="158.41999999999999"/>
    <s v="Winter"/>
    <s v="Card"/>
    <n v="4.7"/>
    <x v="14"/>
    <n v="6"/>
    <n v="190.86746987951807"/>
    <n v="32.447469879518081"/>
    <x v="5"/>
    <n v="1"/>
  </r>
  <r>
    <n v="3073"/>
    <n v="33"/>
    <s v="Male"/>
    <s v="Sports"/>
    <s v="Yoga Mat"/>
    <n v="59.3"/>
    <s v="Spring"/>
    <s v="Card"/>
    <n v="3"/>
    <x v="0"/>
    <n v="4"/>
    <n v="72.317073170731703"/>
    <n v="13.017073170731706"/>
    <x v="5"/>
    <n v="1"/>
  </r>
  <r>
    <n v="3074"/>
    <n v="40"/>
    <s v="Male"/>
    <s v="Mens Clothing"/>
    <s v="Shirt"/>
    <n v="191.84"/>
    <s v="Summer"/>
    <s v="Card"/>
    <n v="3.5"/>
    <x v="21"/>
    <n v="8"/>
    <n v="242.83544303797467"/>
    <n v="50.995443037974667"/>
    <x v="1"/>
    <n v="1"/>
  </r>
  <r>
    <n v="3075"/>
    <n v="38"/>
    <s v="Female"/>
    <s v="Home"/>
    <s v="Kitchen Set"/>
    <n v="164.04"/>
    <s v="Summer"/>
    <s v="Card"/>
    <n v="3.9"/>
    <x v="8"/>
    <n v="6"/>
    <n v="186.40909090909091"/>
    <n v="22.369090909090914"/>
    <x v="1"/>
    <n v="1"/>
  </r>
  <r>
    <n v="3076"/>
    <n v="65"/>
    <s v="Male"/>
    <s v="Footwear"/>
    <s v="Sneakers"/>
    <n v="84.56"/>
    <s v="Summer"/>
    <s v="Card"/>
    <n v="3.3"/>
    <x v="19"/>
    <n v="5"/>
    <n v="99.482352941176472"/>
    <n v="14.92235294117647"/>
    <x v="0"/>
    <n v="1"/>
  </r>
  <r>
    <n v="3077"/>
    <n v="37"/>
    <s v="Female"/>
    <s v="Womens Clothing"/>
    <s v="Skirt"/>
    <n v="54.47"/>
    <s v="Autumn"/>
    <s v="Cash on Delivery"/>
    <n v="3.9"/>
    <x v="19"/>
    <n v="5"/>
    <n v="64.082352941176467"/>
    <n v="9.6123529411764679"/>
    <x v="1"/>
    <n v="1"/>
  </r>
  <r>
    <n v="3078"/>
    <n v="37"/>
    <s v="Female"/>
    <s v="Beauty"/>
    <s v="Makeup Set"/>
    <n v="52.5"/>
    <s v="Winter"/>
    <s v="Card"/>
    <n v="4.3"/>
    <x v="21"/>
    <n v="8"/>
    <n v="66.455696202531641"/>
    <n v="13.955696202531641"/>
    <x v="1"/>
    <n v="1"/>
  </r>
  <r>
    <n v="3079"/>
    <n v="46"/>
    <s v="Male"/>
    <s v="Electronics"/>
    <s v="Laptop"/>
    <n v="1239.45"/>
    <s v="Spring"/>
    <s v="Card"/>
    <n v="4.0999999999999996"/>
    <x v="1"/>
    <n v="4"/>
    <n v="1424.6551724137933"/>
    <n v="185.20517241379321"/>
    <x v="4"/>
    <n v="1"/>
  </r>
  <r>
    <n v="3080"/>
    <n v="30"/>
    <s v="Female"/>
    <s v="Womens Clothing"/>
    <s v="Skirt"/>
    <n v="99.88"/>
    <s v="Winter"/>
    <s v="Card"/>
    <n v="3.3"/>
    <x v="4"/>
    <n v="2"/>
    <n v="116.13953488372093"/>
    <n v="16.259534883720931"/>
    <x v="5"/>
    <n v="1"/>
  </r>
  <r>
    <n v="3081"/>
    <n v="42"/>
    <s v="Female"/>
    <s v="Footwear"/>
    <s v="Sandals"/>
    <n v="73.33"/>
    <s v="Summer"/>
    <s v="Cash on Delivery"/>
    <n v="4.5999999999999996"/>
    <x v="10"/>
    <n v="6"/>
    <n v="94.012820512820511"/>
    <n v="20.682820512820513"/>
    <x v="1"/>
    <n v="1"/>
  </r>
  <r>
    <n v="3082"/>
    <n v="25"/>
    <s v="Male"/>
    <s v="Electronics"/>
    <s v="Mobile Phone"/>
    <n v="727.7"/>
    <s v="Spring"/>
    <s v="Card"/>
    <n v="3.6"/>
    <x v="0"/>
    <n v="4"/>
    <n v="887.43902439024384"/>
    <n v="159.7390243902438"/>
    <x v="3"/>
    <n v="1"/>
  </r>
  <r>
    <n v="3083"/>
    <n v="48"/>
    <s v="Female"/>
    <s v="Accessories"/>
    <s v="Sunglasses"/>
    <n v="59.04"/>
    <s v="Winter"/>
    <s v="Card"/>
    <n v="4.0999999999999996"/>
    <x v="0"/>
    <n v="9"/>
    <n v="72"/>
    <n v="12.96"/>
    <x v="4"/>
    <n v="1"/>
  </r>
  <r>
    <n v="3084"/>
    <n v="39"/>
    <s v="Female"/>
    <s v="Sports"/>
    <s v="Yoga Mat"/>
    <n v="178.47"/>
    <s v="Summer"/>
    <s v="Card"/>
    <n v="3.2"/>
    <x v="7"/>
    <n v="5"/>
    <n v="198.29999999999998"/>
    <n v="19.829999999999984"/>
    <x v="1"/>
    <n v="1"/>
  </r>
  <r>
    <n v="3085"/>
    <n v="51"/>
    <s v="Female"/>
    <s v="Accessories"/>
    <s v="Sunglasses"/>
    <n v="150.63999999999999"/>
    <s v="Spring"/>
    <s v="Card"/>
    <n v="3.6"/>
    <x v="14"/>
    <n v="6"/>
    <n v="181.49397590361446"/>
    <n v="30.853975903614469"/>
    <x v="4"/>
    <n v="1"/>
  </r>
  <r>
    <n v="3086"/>
    <n v="54"/>
    <s v="Male"/>
    <s v="Footwear"/>
    <s v="Formal Shoes"/>
    <n v="93.5"/>
    <s v="Winter"/>
    <s v="Cash on Delivery"/>
    <n v="3"/>
    <x v="14"/>
    <n v="6"/>
    <n v="112.65060240963857"/>
    <n v="19.150602409638566"/>
    <x v="4"/>
    <n v="1"/>
  </r>
  <r>
    <n v="3087"/>
    <n v="52"/>
    <s v="Male"/>
    <s v="Mens Clothing"/>
    <s v="T-Shirt"/>
    <n v="37.229999999999997"/>
    <s v="Winter"/>
    <s v="Card"/>
    <n v="3.9"/>
    <x v="13"/>
    <n v="2"/>
    <n v="40.912087912087905"/>
    <n v="3.6820879120879084"/>
    <x v="4"/>
    <n v="1"/>
  </r>
  <r>
    <n v="3088"/>
    <n v="52"/>
    <s v="Female"/>
    <s v="Footwear"/>
    <s v="Sandals"/>
    <n v="203.27"/>
    <s v="Summer"/>
    <s v="Card"/>
    <n v="4.5999999999999996"/>
    <x v="17"/>
    <n v="2"/>
    <n v="211.73958333333334"/>
    <n v="8.4695833333333326"/>
    <x v="4"/>
    <n v="1"/>
  </r>
  <r>
    <n v="3089"/>
    <n v="26"/>
    <s v="Male"/>
    <s v="Sports"/>
    <s v="Football"/>
    <n v="178.08"/>
    <s v="Winter"/>
    <s v="Card"/>
    <n v="3.9"/>
    <x v="17"/>
    <n v="2"/>
    <n v="185.50000000000003"/>
    <n v="7.4200000000000159"/>
    <x v="5"/>
    <n v="1"/>
  </r>
  <r>
    <n v="3090"/>
    <n v="66"/>
    <s v="Female"/>
    <s v="Accessories"/>
    <s v="Wallet"/>
    <n v="110.97"/>
    <s v="Winter"/>
    <s v="Card"/>
    <n v="3.7"/>
    <x v="1"/>
    <n v="4"/>
    <n v="127.55172413793103"/>
    <n v="16.581724137931033"/>
    <x v="2"/>
    <n v="1"/>
  </r>
  <r>
    <n v="3091"/>
    <n v="67"/>
    <s v="Male"/>
    <s v="Electronics"/>
    <s v="Mobile Phone"/>
    <n v="2107.08"/>
    <s v="Summer"/>
    <s v="Card"/>
    <n v="4.5"/>
    <x v="7"/>
    <n v="5"/>
    <n v="2341.1999999999998"/>
    <n v="234.11999999999989"/>
    <x v="2"/>
    <n v="1"/>
  </r>
  <r>
    <n v="3092"/>
    <n v="30"/>
    <s v="Female"/>
    <s v="Accessories"/>
    <s v="Handbag"/>
    <n v="143.83000000000001"/>
    <s v="Spring"/>
    <s v="Card"/>
    <n v="3.8"/>
    <x v="12"/>
    <n v="7"/>
    <n v="177.5679012345679"/>
    <n v="33.737901234567886"/>
    <x v="5"/>
    <n v="1"/>
  </r>
  <r>
    <n v="3093"/>
    <n v="37"/>
    <s v="Male"/>
    <s v="Sports"/>
    <s v="Dumbbells"/>
    <n v="140.4"/>
    <s v="Spring"/>
    <s v="Card"/>
    <n v="3.8"/>
    <x v="19"/>
    <n v="5"/>
    <n v="165.1764705882353"/>
    <n v="24.776470588235298"/>
    <x v="1"/>
    <n v="1"/>
  </r>
  <r>
    <n v="3094"/>
    <n v="64"/>
    <s v="Female"/>
    <s v="Beauty"/>
    <s v="Makeup Set"/>
    <n v="145.84"/>
    <s v="Winter"/>
    <s v="Card"/>
    <n v="4"/>
    <x v="17"/>
    <n v="2"/>
    <n v="151.91666666666669"/>
    <n v="6.0766666666666822"/>
    <x v="0"/>
    <n v="1"/>
  </r>
  <r>
    <n v="3095"/>
    <n v="43"/>
    <s v="Male"/>
    <s v="Home"/>
    <s v="Curtains"/>
    <n v="50.1"/>
    <s v="Spring"/>
    <s v="Cash on Delivery"/>
    <n v="4.5"/>
    <x v="10"/>
    <n v="6"/>
    <n v="64.230769230769226"/>
    <n v="14.130769230769225"/>
    <x v="1"/>
    <n v="1"/>
  </r>
  <r>
    <n v="3096"/>
    <n v="56"/>
    <s v="Male"/>
    <s v="Electronics"/>
    <s v="Laptop"/>
    <n v="1390.67"/>
    <s v="Spring"/>
    <s v="Card"/>
    <n v="4.4000000000000004"/>
    <x v="3"/>
    <n v="5"/>
    <n v="1738.3375000000001"/>
    <n v="347.66750000000002"/>
    <x v="0"/>
    <n v="1"/>
  </r>
  <r>
    <n v="3097"/>
    <n v="42"/>
    <s v="Female"/>
    <s v="Sports"/>
    <s v="Dumbbells"/>
    <n v="54.94"/>
    <s v="Summer"/>
    <s v="Cash on Delivery"/>
    <n v="4"/>
    <x v="5"/>
    <n v="4"/>
    <n v="59.717391304347821"/>
    <n v="4.7773913043478231"/>
    <x v="1"/>
    <n v="1"/>
  </r>
  <r>
    <n v="3098"/>
    <n v="61"/>
    <s v="Male"/>
    <s v="Footwear"/>
    <s v="Sandals"/>
    <n v="214.2"/>
    <s v="Spring"/>
    <s v="Card"/>
    <n v="4.9000000000000004"/>
    <x v="3"/>
    <n v="5"/>
    <n v="267.74999999999994"/>
    <n v="53.549999999999955"/>
    <x v="0"/>
    <n v="1"/>
  </r>
  <r>
    <n v="3099"/>
    <n v="66"/>
    <s v="Male"/>
    <s v="Mens Clothing"/>
    <s v="Jacket"/>
    <n v="115.35"/>
    <s v="Winter"/>
    <s v="Card"/>
    <n v="4.4000000000000004"/>
    <x v="5"/>
    <n v="4"/>
    <n v="125.38043478260869"/>
    <n v="10.030434782608694"/>
    <x v="2"/>
    <n v="1"/>
  </r>
  <r>
    <n v="3100"/>
    <n v="43"/>
    <s v="Male"/>
    <s v="Sports"/>
    <s v="Dumbbells"/>
    <n v="38.090000000000003"/>
    <s v="Autumn"/>
    <s v="Cash on Delivery"/>
    <n v="4.2"/>
    <x v="3"/>
    <n v="5"/>
    <n v="47.612500000000004"/>
    <n v="9.5225000000000009"/>
    <x v="1"/>
    <n v="1"/>
  </r>
  <r>
    <n v="3101"/>
    <n v="22"/>
    <s v="Male"/>
    <s v="Electronics"/>
    <s v="Laptop"/>
    <n v="1683.66"/>
    <s v="Autumn"/>
    <s v="Card"/>
    <n v="4.5"/>
    <x v="3"/>
    <n v="5"/>
    <n v="2104.5749999999998"/>
    <n v="420.91499999999974"/>
    <x v="3"/>
    <n v="1"/>
  </r>
  <r>
    <n v="3102"/>
    <n v="21"/>
    <s v="Male"/>
    <s v="Electronics"/>
    <s v="Laptop"/>
    <n v="1599.75"/>
    <s v="Summer"/>
    <s v="Card"/>
    <n v="4.2"/>
    <x v="3"/>
    <n v="5"/>
    <n v="1999.6875"/>
    <n v="399.9375"/>
    <x v="3"/>
    <n v="1"/>
  </r>
  <r>
    <n v="3103"/>
    <n v="70"/>
    <s v="Female"/>
    <s v="Accessories"/>
    <s v="Wallet"/>
    <n v="55.1"/>
    <s v="Autumn"/>
    <s v="Cash on Delivery"/>
    <n v="3.7"/>
    <x v="0"/>
    <n v="4"/>
    <n v="67.195121951219505"/>
    <n v="12.095121951219504"/>
    <x v="2"/>
    <n v="1"/>
  </r>
  <r>
    <n v="3104"/>
    <n v="20"/>
    <s v="Female"/>
    <s v="Home"/>
    <s v="Curtains"/>
    <n v="246.01"/>
    <s v="Spring"/>
    <s v="Card"/>
    <n v="4.4000000000000004"/>
    <x v="18"/>
    <n v="7"/>
    <n v="323.6973684210526"/>
    <n v="77.687368421052611"/>
    <x v="3"/>
    <n v="1"/>
  </r>
  <r>
    <n v="3105"/>
    <n v="24"/>
    <s v="Female"/>
    <s v="Sports"/>
    <s v="Dumbbells"/>
    <n v="235.97"/>
    <s v="Spring"/>
    <s v="Card"/>
    <n v="3.8"/>
    <x v="4"/>
    <n v="2"/>
    <n v="274.38372093023258"/>
    <n v="38.413720930232586"/>
    <x v="3"/>
    <n v="1"/>
  </r>
  <r>
    <n v="3106"/>
    <n v="53"/>
    <s v="Male"/>
    <s v="Sports"/>
    <s v="Yoga Mat"/>
    <n v="249.3"/>
    <s v="Winter"/>
    <s v="Card"/>
    <n v="3.9"/>
    <x v="0"/>
    <n v="4"/>
    <n v="304.02439024390242"/>
    <n v="54.724390243902405"/>
    <x v="4"/>
    <n v="1"/>
  </r>
  <r>
    <n v="3107"/>
    <n v="44"/>
    <s v="Male"/>
    <s v="Mens Clothing"/>
    <s v="Jacket"/>
    <n v="105.92"/>
    <s v="Autumn"/>
    <s v="Card"/>
    <n v="3.9"/>
    <x v="27"/>
    <n v="10"/>
    <n v="141.22666666666666"/>
    <n v="35.306666666666658"/>
    <x v="1"/>
    <n v="1"/>
  </r>
  <r>
    <n v="3108"/>
    <n v="54"/>
    <s v="Female"/>
    <s v="Footwear"/>
    <s v="Formal Shoes"/>
    <n v="104.74"/>
    <s v="Summer"/>
    <s v="Card"/>
    <n v="3.2"/>
    <x v="6"/>
    <n v="8"/>
    <n v="124.69047619047619"/>
    <n v="19.950476190476195"/>
    <x v="4"/>
    <n v="1"/>
  </r>
  <r>
    <n v="3109"/>
    <n v="62"/>
    <s v="Female"/>
    <s v="Groceries"/>
    <s v="Beverages"/>
    <n v="41.33"/>
    <s v="Summer"/>
    <s v="Cash on Delivery"/>
    <n v="2.1"/>
    <x v="7"/>
    <n v="5"/>
    <n v="45.922222222222217"/>
    <n v="4.5922222222222189"/>
    <x v="0"/>
    <n v="1"/>
  </r>
  <r>
    <n v="3110"/>
    <n v="40"/>
    <s v="Female"/>
    <s v="Womens Clothing"/>
    <s v="Top"/>
    <n v="164.97"/>
    <s v="Spring"/>
    <s v="Card"/>
    <n v="4.3"/>
    <x v="10"/>
    <n v="6"/>
    <n v="211.5"/>
    <n v="46.53"/>
    <x v="1"/>
    <n v="1"/>
  </r>
  <r>
    <n v="3111"/>
    <n v="52"/>
    <s v="Male"/>
    <s v="Electronics"/>
    <s v="Headphones"/>
    <n v="1788.15"/>
    <s v="Winter"/>
    <s v="Card"/>
    <n v="4.5999999999999996"/>
    <x v="5"/>
    <n v="4"/>
    <n v="1943.641304347826"/>
    <n v="155.49130434782592"/>
    <x v="4"/>
    <n v="1"/>
  </r>
  <r>
    <n v="3112"/>
    <n v="52"/>
    <s v="Male"/>
    <s v="Footwear"/>
    <s v="Sneakers"/>
    <n v="157.54"/>
    <s v="Spring"/>
    <s v="Card"/>
    <n v="3.5"/>
    <x v="2"/>
    <n v="3"/>
    <n v="177.01123595505618"/>
    <n v="19.471235955056187"/>
    <x v="4"/>
    <n v="1"/>
  </r>
  <r>
    <n v="3113"/>
    <n v="44"/>
    <s v="Female"/>
    <s v="Footwear"/>
    <s v="Sandals"/>
    <n v="222.1"/>
    <s v="Spring"/>
    <s v="Card"/>
    <n v="2.6"/>
    <x v="7"/>
    <n v="5"/>
    <n v="246.77777777777777"/>
    <n v="24.677777777777777"/>
    <x v="1"/>
    <n v="1"/>
  </r>
  <r>
    <n v="3114"/>
    <n v="56"/>
    <s v="Female"/>
    <s v="Footwear"/>
    <s v="Sneakers"/>
    <n v="149.21"/>
    <s v="Winter"/>
    <s v="Card"/>
    <n v="4.0999999999999996"/>
    <x v="14"/>
    <n v="6"/>
    <n v="179.77108433734941"/>
    <n v="30.561084337349399"/>
    <x v="0"/>
    <n v="1"/>
  </r>
  <r>
    <n v="3115"/>
    <n v="52"/>
    <s v="Female"/>
    <s v="Womens Clothing"/>
    <s v="Skirt"/>
    <n v="153.09"/>
    <s v="Winter"/>
    <s v="Card"/>
    <n v="3.8"/>
    <x v="5"/>
    <n v="4"/>
    <n v="166.40217391304347"/>
    <n v="13.312173913043466"/>
    <x v="4"/>
    <n v="1"/>
  </r>
  <r>
    <n v="3116"/>
    <n v="55"/>
    <s v="Female"/>
    <s v="Groceries"/>
    <s v="Beverages"/>
    <n v="68.41"/>
    <s v="Spring"/>
    <s v="Cash on Delivery"/>
    <n v="4.5999999999999996"/>
    <x v="4"/>
    <n v="2"/>
    <n v="79.54651162790698"/>
    <n v="11.136511627906984"/>
    <x v="4"/>
    <n v="1"/>
  </r>
  <r>
    <n v="3117"/>
    <n v="55"/>
    <s v="Female"/>
    <s v="Accessories"/>
    <s v="Wallet"/>
    <n v="160.25"/>
    <s v="Summer"/>
    <s v="Card"/>
    <n v="3.5"/>
    <x v="16"/>
    <n v="3"/>
    <n v="170.47872340425533"/>
    <n v="10.228723404255334"/>
    <x v="4"/>
    <n v="1"/>
  </r>
  <r>
    <n v="3118"/>
    <n v="70"/>
    <s v="Female"/>
    <s v="Accessories"/>
    <s v="Handbag"/>
    <n v="63.39"/>
    <s v="Autumn"/>
    <s v="Cash on Delivery"/>
    <n v="3.3"/>
    <x v="4"/>
    <n v="2"/>
    <n v="73.70930232558139"/>
    <n v="10.31930232558139"/>
    <x v="2"/>
    <n v="1"/>
  </r>
  <r>
    <n v="3119"/>
    <n v="69"/>
    <s v="Male"/>
    <s v="Sports"/>
    <s v="Dumbbells"/>
    <n v="95.03"/>
    <s v="Winter"/>
    <s v="Card"/>
    <n v="2.8"/>
    <x v="6"/>
    <n v="3"/>
    <n v="113.13095238095238"/>
    <n v="18.100952380952378"/>
    <x v="2"/>
    <n v="1"/>
  </r>
  <r>
    <n v="3120"/>
    <n v="38"/>
    <s v="Female"/>
    <s v="Accessories"/>
    <s v="Sunglasses"/>
    <n v="171.81"/>
    <s v="Summer"/>
    <s v="Card"/>
    <n v="4.5999999999999996"/>
    <x v="11"/>
    <n v="8"/>
    <n v="232.17567567567568"/>
    <n v="60.365675675675675"/>
    <x v="1"/>
    <n v="1"/>
  </r>
  <r>
    <n v="3121"/>
    <n v="53"/>
    <s v="Female"/>
    <s v="Womens Clothing"/>
    <s v="Skirt"/>
    <n v="195"/>
    <s v="Winter"/>
    <s v="Card"/>
    <n v="3.6"/>
    <x v="4"/>
    <n v="7"/>
    <n v="226.74418604651163"/>
    <n v="31.744186046511629"/>
    <x v="4"/>
    <n v="1"/>
  </r>
  <r>
    <n v="3122"/>
    <n v="51"/>
    <s v="Male"/>
    <s v="Electronics"/>
    <s v="Headphones"/>
    <n v="2502.92"/>
    <s v="Autumn"/>
    <s v="Card"/>
    <n v="1.9"/>
    <x v="24"/>
    <n v="9"/>
    <n v="3476.2777777777778"/>
    <n v="973.35777777777776"/>
    <x v="4"/>
    <n v="1"/>
  </r>
  <r>
    <n v="3123"/>
    <n v="29"/>
    <s v="Female"/>
    <s v="Footwear"/>
    <s v="Formal Shoes"/>
    <n v="133.44"/>
    <s v="Winter"/>
    <s v="Card"/>
    <n v="5"/>
    <x v="3"/>
    <n v="5"/>
    <n v="166.79999999999998"/>
    <n v="33.359999999999985"/>
    <x v="5"/>
    <n v="1"/>
  </r>
  <r>
    <n v="3124"/>
    <n v="20"/>
    <s v="Female"/>
    <s v="Accessories"/>
    <s v="Sunglasses"/>
    <n v="142.21"/>
    <s v="Summer"/>
    <s v="Card"/>
    <n v="3.8"/>
    <x v="1"/>
    <n v="4"/>
    <n v="163.45977011494253"/>
    <n v="21.249770114942521"/>
    <x v="3"/>
    <n v="1"/>
  </r>
  <r>
    <n v="3125"/>
    <n v="28"/>
    <s v="Male"/>
    <s v="Sports"/>
    <s v="Football"/>
    <n v="107.86"/>
    <s v="Winter"/>
    <s v="Card"/>
    <n v="2.8"/>
    <x v="19"/>
    <n v="5"/>
    <n v="126.89411764705882"/>
    <n v="19.034117647058821"/>
    <x v="5"/>
    <n v="1"/>
  </r>
  <r>
    <n v="3126"/>
    <n v="57"/>
    <s v="Male"/>
    <s v="Mens Clothing"/>
    <s v="T-Shirt"/>
    <n v="142.37"/>
    <s v="Summer"/>
    <s v="Card"/>
    <n v="4.3"/>
    <x v="2"/>
    <n v="3"/>
    <n v="159.96629213483146"/>
    <n v="17.596292134831458"/>
    <x v="0"/>
    <n v="1"/>
  </r>
  <r>
    <n v="3127"/>
    <n v="56"/>
    <s v="Male"/>
    <s v="Sports"/>
    <s v="Yoga Mat"/>
    <n v="198.31"/>
    <s v="Summer"/>
    <s v="Card"/>
    <n v="4.3"/>
    <x v="27"/>
    <n v="10"/>
    <n v="264.41333333333336"/>
    <n v="66.103333333333353"/>
    <x v="0"/>
    <n v="1"/>
  </r>
  <r>
    <n v="3128"/>
    <n v="27"/>
    <s v="Female"/>
    <s v="Beauty"/>
    <s v="Perfume"/>
    <n v="34.44"/>
    <s v="Winter"/>
    <s v="Card"/>
    <n v="3.4"/>
    <x v="17"/>
    <n v="2"/>
    <n v="35.875"/>
    <n v="1.4350000000000023"/>
    <x v="5"/>
    <n v="1"/>
  </r>
  <r>
    <n v="3129"/>
    <n v="61"/>
    <s v="Female"/>
    <s v="Groceries"/>
    <s v="Snacks"/>
    <n v="22.87"/>
    <s v="Summer"/>
    <s v="Cash on Delivery"/>
    <n v="3.6"/>
    <x v="1"/>
    <n v="4"/>
    <n v="26.287356321839081"/>
    <n v="3.4173563218390797"/>
    <x v="0"/>
    <n v="1"/>
  </r>
  <r>
    <n v="3130"/>
    <n v="44"/>
    <s v="Male"/>
    <s v="Footwear"/>
    <s v="Formal Shoes"/>
    <n v="143.16999999999999"/>
    <s v="Summer"/>
    <s v="Card"/>
    <n v="5"/>
    <x v="19"/>
    <n v="5"/>
    <n v="168.43529411764706"/>
    <n v="25.265294117647073"/>
    <x v="1"/>
    <n v="1"/>
  </r>
  <r>
    <n v="3131"/>
    <n v="67"/>
    <s v="Male"/>
    <s v="Electronics"/>
    <s v="Headphones"/>
    <n v="2411.19"/>
    <s v="Winter"/>
    <s v="Card"/>
    <n v="3.1"/>
    <x v="13"/>
    <n v="2"/>
    <n v="2649.6593406593406"/>
    <n v="238.46934065934056"/>
    <x v="2"/>
    <n v="1"/>
  </r>
  <r>
    <n v="3132"/>
    <n v="26"/>
    <s v="Male"/>
    <s v="Footwear"/>
    <s v="Formal Shoes"/>
    <n v="130.13999999999999"/>
    <s v="Spring"/>
    <s v="Card"/>
    <n v="4"/>
    <x v="28"/>
    <n v="12"/>
    <n v="183.29577464788733"/>
    <n v="53.155774647887341"/>
    <x v="5"/>
    <n v="1"/>
  </r>
  <r>
    <n v="3133"/>
    <n v="69"/>
    <s v="Female"/>
    <s v="Beauty"/>
    <s v="Perfume"/>
    <n v="52.81"/>
    <s v="Summer"/>
    <s v="Card"/>
    <n v="4.3"/>
    <x v="12"/>
    <n v="7"/>
    <n v="65.197530864197532"/>
    <n v="12.387530864197529"/>
    <x v="2"/>
    <n v="1"/>
  </r>
  <r>
    <n v="3134"/>
    <n v="62"/>
    <s v="Male"/>
    <s v="Footwear"/>
    <s v="Sneakers"/>
    <n v="232.72"/>
    <s v="Spring"/>
    <s v="Card"/>
    <n v="3.7"/>
    <x v="1"/>
    <n v="4"/>
    <n v="267.4942528735632"/>
    <n v="34.774252873563199"/>
    <x v="0"/>
    <n v="1"/>
  </r>
  <r>
    <n v="3135"/>
    <n v="47"/>
    <s v="Female"/>
    <s v="Beauty"/>
    <s v="Makeup Set"/>
    <n v="38.049999999999997"/>
    <s v="Summer"/>
    <s v="Cash on Delivery"/>
    <n v="3.4"/>
    <x v="22"/>
    <n v="9"/>
    <n v="49.415584415584412"/>
    <n v="11.365584415584415"/>
    <x v="4"/>
    <n v="1"/>
  </r>
  <r>
    <n v="3136"/>
    <n v="62"/>
    <s v="Male"/>
    <s v="Home"/>
    <s v="Kitchen Set"/>
    <n v="203.78"/>
    <s v="Summer"/>
    <s v="Card"/>
    <n v="3.4"/>
    <x v="0"/>
    <n v="4"/>
    <n v="248.51219512195121"/>
    <n v="44.732195121951207"/>
    <x v="0"/>
    <n v="1"/>
  </r>
  <r>
    <n v="3137"/>
    <n v="49"/>
    <s v="Male"/>
    <s v="Home"/>
    <s v="Curtains"/>
    <n v="73.31"/>
    <s v="Spring"/>
    <s v="Cash on Delivery"/>
    <n v="4.5"/>
    <x v="10"/>
    <n v="6"/>
    <n v="93.987179487179489"/>
    <n v="20.677179487179487"/>
    <x v="4"/>
    <n v="1"/>
  </r>
  <r>
    <n v="3138"/>
    <n v="52"/>
    <s v="Male"/>
    <s v="Footwear"/>
    <s v="Sandals"/>
    <n v="68.930000000000007"/>
    <s v="Winter"/>
    <s v="Cash on Delivery"/>
    <n v="2.2999999999999998"/>
    <x v="18"/>
    <n v="7"/>
    <n v="90.697368421052644"/>
    <n v="21.767368421052637"/>
    <x v="4"/>
    <n v="1"/>
  </r>
  <r>
    <n v="3139"/>
    <n v="67"/>
    <s v="Male"/>
    <s v="Footwear"/>
    <s v="Sandals"/>
    <n v="55.02"/>
    <s v="Autumn"/>
    <s v="Cash on Delivery"/>
    <n v="3.4"/>
    <x v="22"/>
    <n v="9"/>
    <n v="71.454545454545453"/>
    <n v="16.43454545454545"/>
    <x v="2"/>
    <n v="1"/>
  </r>
  <r>
    <n v="3140"/>
    <n v="34"/>
    <s v="Female"/>
    <s v="Sports"/>
    <s v="Yoga Mat"/>
    <n v="199.1"/>
    <s v="Autumn"/>
    <s v="Card"/>
    <n v="4.3"/>
    <x v="2"/>
    <n v="3"/>
    <n v="223.70786516853931"/>
    <n v="24.60786516853932"/>
    <x v="5"/>
    <n v="1"/>
  </r>
  <r>
    <n v="3141"/>
    <n v="43"/>
    <s v="Male"/>
    <s v="Electronics"/>
    <s v="Smart Watch"/>
    <n v="1988.61"/>
    <s v="Spring"/>
    <s v="Card"/>
    <n v="3.8"/>
    <x v="14"/>
    <n v="6"/>
    <n v="2395.9156626506024"/>
    <n v="407.30566265060247"/>
    <x v="1"/>
    <n v="1"/>
  </r>
  <r>
    <n v="3142"/>
    <n v="60"/>
    <s v="Female"/>
    <s v="Womens Clothing"/>
    <s v="Top"/>
    <n v="118.52"/>
    <s v="Winter"/>
    <s v="Card"/>
    <n v="3.4"/>
    <x v="6"/>
    <n v="3"/>
    <n v="141.0952380952381"/>
    <n v="22.575238095238106"/>
    <x v="0"/>
    <n v="1"/>
  </r>
  <r>
    <n v="3143"/>
    <n v="45"/>
    <s v="Female"/>
    <s v="Footwear"/>
    <s v="Sandals"/>
    <n v="80.17"/>
    <s v="Summer"/>
    <s v="Cash on Delivery"/>
    <n v="3.7"/>
    <x v="10"/>
    <n v="6"/>
    <n v="102.78205128205128"/>
    <n v="22.612051282051283"/>
    <x v="1"/>
    <n v="1"/>
  </r>
  <r>
    <n v="3144"/>
    <n v="53"/>
    <s v="Male"/>
    <s v="Electronics"/>
    <s v="Laptop"/>
    <n v="2987.4"/>
    <s v="Summer"/>
    <s v="Card"/>
    <n v="3.4"/>
    <x v="6"/>
    <n v="3"/>
    <n v="3556.4285714285716"/>
    <n v="569.02857142857147"/>
    <x v="4"/>
    <n v="1"/>
  </r>
  <r>
    <n v="3145"/>
    <n v="58"/>
    <s v="Female"/>
    <s v="Accessories"/>
    <s v="Handbag"/>
    <n v="101.38"/>
    <s v="Autumn"/>
    <s v="Card"/>
    <n v="3.3"/>
    <x v="0"/>
    <n v="4"/>
    <n v="123.63414634146341"/>
    <n v="22.254146341463411"/>
    <x v="0"/>
    <n v="1"/>
  </r>
  <r>
    <n v="3146"/>
    <n v="62"/>
    <s v="Female"/>
    <s v="Footwear"/>
    <s v="Sandals"/>
    <n v="120.82"/>
    <s v="Winter"/>
    <s v="Card"/>
    <n v="5"/>
    <x v="10"/>
    <n v="6"/>
    <n v="154.89743589743588"/>
    <n v="34.07743589743589"/>
    <x v="0"/>
    <n v="1"/>
  </r>
  <r>
    <n v="3147"/>
    <n v="45"/>
    <s v="Male"/>
    <s v="Sports"/>
    <s v="Yoga Mat"/>
    <n v="152.08000000000001"/>
    <s v="Autumn"/>
    <s v="Card"/>
    <n v="3.6"/>
    <x v="5"/>
    <n v="4"/>
    <n v="165.30434782608697"/>
    <n v="13.224347826086955"/>
    <x v="1"/>
    <n v="1"/>
  </r>
  <r>
    <n v="3148"/>
    <n v="28"/>
    <s v="Female"/>
    <s v="Accessories"/>
    <s v="Wallet"/>
    <n v="28.4"/>
    <s v="Winter"/>
    <s v="Card"/>
    <n v="3.5"/>
    <x v="4"/>
    <n v="2"/>
    <n v="33.02325581395349"/>
    <n v="4.6232558139534916"/>
    <x v="5"/>
    <n v="1"/>
  </r>
  <r>
    <n v="3149"/>
    <n v="59"/>
    <s v="Female"/>
    <s v="Sports"/>
    <s v="Yoga Mat"/>
    <n v="27.33"/>
    <s v="Spring"/>
    <s v="Card"/>
    <n v="4.5"/>
    <x v="12"/>
    <n v="7"/>
    <n v="33.740740740740733"/>
    <n v="6.4107407407407351"/>
    <x v="0"/>
    <n v="1"/>
  </r>
  <r>
    <n v="3150"/>
    <n v="70"/>
    <s v="Female"/>
    <s v="Sports"/>
    <s v="Yoga Mat"/>
    <n v="62.01"/>
    <s v="Autumn"/>
    <s v="Card"/>
    <n v="3.2"/>
    <x v="2"/>
    <n v="3"/>
    <n v="69.674157303370777"/>
    <n v="7.6641573033707786"/>
    <x v="2"/>
    <n v="1"/>
  </r>
  <r>
    <n v="3151"/>
    <n v="32"/>
    <s v="Male"/>
    <s v="Footwear"/>
    <s v="Sandals"/>
    <n v="244.65"/>
    <s v="Autumn"/>
    <s v="Card"/>
    <n v="3.2"/>
    <x v="3"/>
    <n v="5"/>
    <n v="305.8125"/>
    <n v="61.162499999999994"/>
    <x v="5"/>
    <n v="1"/>
  </r>
  <r>
    <n v="3152"/>
    <n v="30"/>
    <s v="Male"/>
    <s v="Electronics"/>
    <s v="Laptop"/>
    <n v="1948.26"/>
    <s v="Summer"/>
    <s v="Card"/>
    <n v="4.2"/>
    <x v="10"/>
    <n v="6"/>
    <n v="2497.7692307692305"/>
    <n v="549.5092307692305"/>
    <x v="5"/>
    <n v="1"/>
  </r>
  <r>
    <n v="3153"/>
    <n v="41"/>
    <s v="Male"/>
    <s v="Sports"/>
    <s v="Dumbbells"/>
    <n v="125.2"/>
    <s v="Winter"/>
    <s v="Card"/>
    <n v="3.7"/>
    <x v="5"/>
    <n v="4"/>
    <n v="136.08695652173913"/>
    <n v="10.886956521739123"/>
    <x v="1"/>
    <n v="1"/>
  </r>
  <r>
    <n v="3154"/>
    <n v="28"/>
    <s v="Male"/>
    <s v="Sports"/>
    <s v="Dumbbells"/>
    <n v="181.02"/>
    <s v="Autumn"/>
    <s v="Card"/>
    <n v="4.3"/>
    <x v="16"/>
    <n v="3"/>
    <n v="192.57446808510642"/>
    <n v="11.554468085106407"/>
    <x v="5"/>
    <n v="1"/>
  </r>
  <r>
    <n v="3155"/>
    <n v="34"/>
    <s v="Female"/>
    <s v="Sports"/>
    <s v="Football"/>
    <n v="44.83"/>
    <s v="Spring"/>
    <s v="Cash on Delivery"/>
    <n v="3.5"/>
    <x v="8"/>
    <n v="6"/>
    <n v="50.943181818181813"/>
    <n v="6.1131818181818147"/>
    <x v="5"/>
    <n v="1"/>
  </r>
  <r>
    <n v="3156"/>
    <n v="60"/>
    <s v="Female"/>
    <s v="Beauty"/>
    <s v="Perfume"/>
    <n v="142.97"/>
    <s v="Summer"/>
    <s v="Card"/>
    <n v="5"/>
    <x v="30"/>
    <n v="12"/>
    <n v="216.62121212121215"/>
    <n v="73.651212121212154"/>
    <x v="0"/>
    <n v="1"/>
  </r>
  <r>
    <n v="3157"/>
    <n v="25"/>
    <s v="Female"/>
    <s v="Accessories"/>
    <s v="Handbag"/>
    <n v="147.25"/>
    <s v="Summer"/>
    <s v="Card"/>
    <n v="3.3"/>
    <x v="16"/>
    <n v="3"/>
    <n v="156.64893617021278"/>
    <n v="9.3989361702127781"/>
    <x v="3"/>
    <n v="1"/>
  </r>
  <r>
    <n v="3158"/>
    <n v="23"/>
    <s v="Male"/>
    <s v="Electronics"/>
    <s v="Smart Watch"/>
    <n v="2464.0300000000002"/>
    <s v="Summer"/>
    <s v="Card"/>
    <n v="3"/>
    <x v="13"/>
    <n v="2"/>
    <n v="2707.7252747252746"/>
    <n v="243.69527472527443"/>
    <x v="3"/>
    <n v="1"/>
  </r>
  <r>
    <n v="3159"/>
    <n v="42"/>
    <s v="Female"/>
    <s v="Womens Clothing"/>
    <s v="Top"/>
    <n v="40.69"/>
    <s v="Autumn"/>
    <s v="Card"/>
    <n v="3.5"/>
    <x v="0"/>
    <n v="4"/>
    <n v="49.621951219512191"/>
    <n v="8.9319512195121931"/>
    <x v="1"/>
    <n v="1"/>
  </r>
  <r>
    <n v="3160"/>
    <n v="70"/>
    <s v="Male"/>
    <s v="Electronics"/>
    <s v="Headphones"/>
    <n v="2039.35"/>
    <s v="Spring"/>
    <s v="Card"/>
    <n v="4.7"/>
    <x v="6"/>
    <n v="3"/>
    <n v="2427.7976190476188"/>
    <n v="388.4476190476189"/>
    <x v="2"/>
    <n v="1"/>
  </r>
  <r>
    <n v="3161"/>
    <n v="43"/>
    <s v="Female"/>
    <s v="Accessories"/>
    <s v="Handbag"/>
    <n v="140.85"/>
    <s v="Summer"/>
    <s v="Card"/>
    <n v="3.9"/>
    <x v="5"/>
    <n v="4"/>
    <n v="153.0978260869565"/>
    <n v="12.247826086956508"/>
    <x v="1"/>
    <n v="1"/>
  </r>
  <r>
    <n v="3162"/>
    <n v="59"/>
    <s v="Male"/>
    <s v="Mens Clothing"/>
    <s v="Jeans"/>
    <n v="126.38"/>
    <s v="Winter"/>
    <s v="Card"/>
    <n v="4"/>
    <x v="17"/>
    <n v="2"/>
    <n v="131.64583333333334"/>
    <n v="5.2658333333333474"/>
    <x v="0"/>
    <n v="1"/>
  </r>
  <r>
    <n v="3163"/>
    <n v="46"/>
    <s v="Male"/>
    <s v="Footwear"/>
    <s v="Sandals"/>
    <n v="136.72999999999999"/>
    <s v="Spring"/>
    <s v="Card"/>
    <n v="4.5999999999999996"/>
    <x v="14"/>
    <n v="6"/>
    <n v="164.73493975903614"/>
    <n v="28.004939759036148"/>
    <x v="4"/>
    <n v="1"/>
  </r>
  <r>
    <n v="3164"/>
    <n v="26"/>
    <s v="Female"/>
    <s v="Beauty"/>
    <s v="Makeup Set"/>
    <n v="32.35"/>
    <s v="Spring"/>
    <s v="Card"/>
    <n v="4.4000000000000004"/>
    <x v="27"/>
    <n v="10"/>
    <n v="43.133333333333333"/>
    <n v="10.783333333333331"/>
    <x v="5"/>
    <n v="1"/>
  </r>
  <r>
    <n v="3165"/>
    <n v="51"/>
    <s v="Female"/>
    <s v="Womens Clothing"/>
    <s v="Top"/>
    <n v="104"/>
    <s v="Autumn"/>
    <s v="Card"/>
    <n v="4.2"/>
    <x v="4"/>
    <n v="2"/>
    <n v="120.93023255813954"/>
    <n v="16.930232558139537"/>
    <x v="4"/>
    <n v="1"/>
  </r>
  <r>
    <n v="3166"/>
    <n v="28"/>
    <s v="Female"/>
    <s v="Beauty"/>
    <s v="Makeup Set"/>
    <n v="128.02000000000001"/>
    <s v="Winter"/>
    <s v="Card"/>
    <n v="3.6"/>
    <x v="19"/>
    <n v="5"/>
    <n v="150.61176470588236"/>
    <n v="22.591764705882355"/>
    <x v="5"/>
    <n v="1"/>
  </r>
  <r>
    <n v="3167"/>
    <n v="31"/>
    <s v="Female"/>
    <s v="Footwear"/>
    <s v="Formal Shoes"/>
    <n v="59.9"/>
    <s v="Summer"/>
    <s v="Cash on Delivery"/>
    <n v="3.4"/>
    <x v="10"/>
    <n v="6"/>
    <n v="76.794871794871796"/>
    <n v="16.894871794871797"/>
    <x v="5"/>
    <n v="1"/>
  </r>
  <r>
    <n v="3168"/>
    <n v="57"/>
    <s v="Male"/>
    <s v="Electronics"/>
    <s v="Smart Watch"/>
    <n v="2940.66"/>
    <s v="Autumn"/>
    <s v="Card"/>
    <n v="3.1"/>
    <x v="7"/>
    <n v="5"/>
    <n v="3267.3999999999996"/>
    <n v="326.73999999999978"/>
    <x v="0"/>
    <n v="1"/>
  </r>
  <r>
    <n v="3169"/>
    <n v="60"/>
    <s v="Male"/>
    <s v="Sports"/>
    <s v="Dumbbells"/>
    <n v="99.99"/>
    <s v="Autumn"/>
    <s v="Cash on Delivery"/>
    <n v="2.5"/>
    <x v="0"/>
    <n v="4"/>
    <n v="121.93902439024389"/>
    <n v="21.949024390243892"/>
    <x v="0"/>
    <n v="1"/>
  </r>
  <r>
    <n v="3170"/>
    <n v="43"/>
    <s v="Female"/>
    <s v="Accessories"/>
    <s v="Wallet"/>
    <n v="35.090000000000003"/>
    <s v="Spring"/>
    <s v="Card"/>
    <n v="4.5"/>
    <x v="3"/>
    <n v="5"/>
    <n v="43.862500000000004"/>
    <n v="8.7725000000000009"/>
    <x v="1"/>
    <n v="1"/>
  </r>
  <r>
    <n v="3171"/>
    <n v="32"/>
    <s v="Male"/>
    <s v="Mens Clothing"/>
    <s v="Jeans"/>
    <n v="174.21"/>
    <s v="Summer"/>
    <s v="Card"/>
    <n v="3.2"/>
    <x v="5"/>
    <n v="4"/>
    <n v="189.35869565217391"/>
    <n v="15.148695652173899"/>
    <x v="5"/>
    <n v="1"/>
  </r>
  <r>
    <n v="3172"/>
    <n v="52"/>
    <s v="Male"/>
    <s v="Electronics"/>
    <s v="Laptop"/>
    <n v="1090.05"/>
    <s v="Winter"/>
    <s v="Card"/>
    <n v="3.6"/>
    <x v="1"/>
    <n v="4"/>
    <n v="1252.9310344827586"/>
    <n v="162.88103448275865"/>
    <x v="4"/>
    <n v="1"/>
  </r>
  <r>
    <n v="3173"/>
    <n v="69"/>
    <s v="Male"/>
    <s v="Sports"/>
    <s v="Yoga Mat"/>
    <n v="36.799999999999997"/>
    <s v="Summer"/>
    <s v="Card"/>
    <n v="3.7"/>
    <x v="25"/>
    <n v="10"/>
    <n v="52.571428571428569"/>
    <n v="15.771428571428572"/>
    <x v="2"/>
    <n v="1"/>
  </r>
  <r>
    <n v="3174"/>
    <n v="64"/>
    <s v="Male"/>
    <s v="Sports"/>
    <s v="Dumbbells"/>
    <n v="242.59"/>
    <s v="Winter"/>
    <s v="Card"/>
    <n v="4.3"/>
    <x v="13"/>
    <n v="2"/>
    <n v="266.58241758241758"/>
    <n v="23.992417582417573"/>
    <x v="0"/>
    <n v="1"/>
  </r>
  <r>
    <n v="3175"/>
    <n v="68"/>
    <s v="Male"/>
    <s v="Electronics"/>
    <s v="Smart Watch"/>
    <n v="1208.17"/>
    <s v="Spring"/>
    <s v="Card"/>
    <n v="3.6"/>
    <x v="8"/>
    <n v="6"/>
    <n v="1372.9204545454547"/>
    <n v="164.75045454545466"/>
    <x v="2"/>
    <n v="1"/>
  </r>
  <r>
    <n v="3176"/>
    <n v="24"/>
    <s v="Female"/>
    <s v="Footwear"/>
    <s v="Sandals"/>
    <n v="144.41999999999999"/>
    <s v="Summer"/>
    <s v="Card"/>
    <n v="4.4000000000000004"/>
    <x v="17"/>
    <n v="2"/>
    <n v="150.4375"/>
    <n v="6.0175000000000125"/>
    <x v="3"/>
    <n v="1"/>
  </r>
  <r>
    <n v="3177"/>
    <n v="57"/>
    <s v="Male"/>
    <s v="Mens Clothing"/>
    <s v="Shirt"/>
    <n v="74.47"/>
    <s v="Autumn"/>
    <s v="Cash on Delivery"/>
    <n v="3.2"/>
    <x v="6"/>
    <n v="3"/>
    <n v="88.654761904761912"/>
    <n v="14.184761904761913"/>
    <x v="0"/>
    <n v="1"/>
  </r>
  <r>
    <n v="3178"/>
    <n v="22"/>
    <s v="Female"/>
    <s v="Footwear"/>
    <s v="Formal Shoes"/>
    <n v="248.95"/>
    <s v="Spring"/>
    <s v="Card"/>
    <n v="2.7"/>
    <x v="7"/>
    <n v="5"/>
    <n v="276.61111111111109"/>
    <n v="27.661111111111097"/>
    <x v="3"/>
    <n v="1"/>
  </r>
  <r>
    <n v="3179"/>
    <n v="49"/>
    <s v="Male"/>
    <s v="Sports"/>
    <s v="Yoga Mat"/>
    <n v="84.57"/>
    <s v="Winter"/>
    <s v="Card"/>
    <n v="3.3"/>
    <x v="0"/>
    <n v="4"/>
    <n v="103.13414634146339"/>
    <n v="18.564146341463399"/>
    <x v="4"/>
    <n v="1"/>
  </r>
  <r>
    <n v="3180"/>
    <n v="65"/>
    <s v="Female"/>
    <s v="Footwear"/>
    <s v="Formal Shoes"/>
    <n v="182.69"/>
    <s v="Winter"/>
    <s v="Card"/>
    <n v="4.2"/>
    <x v="5"/>
    <n v="4"/>
    <n v="198.57608695652172"/>
    <n v="15.886086956521723"/>
    <x v="0"/>
    <n v="1"/>
  </r>
  <r>
    <n v="3181"/>
    <n v="63"/>
    <s v="Female"/>
    <s v="Footwear"/>
    <s v="Sandals"/>
    <n v="95.84"/>
    <s v="Winter"/>
    <s v="Card"/>
    <n v="2.5"/>
    <x v="2"/>
    <n v="3"/>
    <n v="107.68539325842697"/>
    <n v="11.845393258426967"/>
    <x v="0"/>
    <n v="1"/>
  </r>
  <r>
    <n v="3182"/>
    <n v="37"/>
    <s v="Male"/>
    <s v="Mens Clothing"/>
    <s v="Shirt"/>
    <n v="174.37"/>
    <s v="Summer"/>
    <s v="Card"/>
    <n v="4.3"/>
    <x v="5"/>
    <n v="4"/>
    <n v="189.53260869565216"/>
    <n v="15.162608695652153"/>
    <x v="1"/>
    <n v="1"/>
  </r>
  <r>
    <n v="3183"/>
    <n v="35"/>
    <s v="Male"/>
    <s v="Sports"/>
    <s v="Football"/>
    <n v="203.49"/>
    <s v="Spring"/>
    <s v="Card"/>
    <n v="2.8"/>
    <x v="16"/>
    <n v="3"/>
    <n v="216.47872340425533"/>
    <n v="12.988723404255325"/>
    <x v="5"/>
    <n v="1"/>
  </r>
  <r>
    <n v="3184"/>
    <n v="22"/>
    <s v="Male"/>
    <s v="Footwear"/>
    <s v="Formal Shoes"/>
    <n v="125.93"/>
    <s v="Summer"/>
    <s v="Card"/>
    <n v="4.8"/>
    <x v="7"/>
    <n v="5"/>
    <n v="139.92222222222222"/>
    <n v="13.99222222222221"/>
    <x v="3"/>
    <n v="1"/>
  </r>
  <r>
    <n v="3185"/>
    <n v="40"/>
    <s v="Female"/>
    <s v="Accessories"/>
    <s v="Handbag"/>
    <n v="59.58"/>
    <s v="Summer"/>
    <s v="Cash on Delivery"/>
    <n v="3.1"/>
    <x v="7"/>
    <n v="5"/>
    <n v="66.2"/>
    <n v="6.6200000000000045"/>
    <x v="1"/>
    <n v="1"/>
  </r>
  <r>
    <n v="3186"/>
    <n v="40"/>
    <s v="Male"/>
    <s v="Sports"/>
    <s v="Yoga Mat"/>
    <n v="82.63"/>
    <s v="Spring"/>
    <s v="Card"/>
    <n v="2.7"/>
    <x v="1"/>
    <n v="4"/>
    <n v="94.977011494252864"/>
    <n v="12.347011494252868"/>
    <x v="1"/>
    <n v="1"/>
  </r>
  <r>
    <n v="3187"/>
    <n v="68"/>
    <s v="Female"/>
    <s v="Home"/>
    <s v="Lamp"/>
    <n v="178.28"/>
    <s v="Spring"/>
    <s v="Card"/>
    <n v="3.2"/>
    <x v="19"/>
    <n v="5"/>
    <n v="209.74117647058824"/>
    <n v="31.461176470588242"/>
    <x v="2"/>
    <n v="1"/>
  </r>
  <r>
    <n v="3188"/>
    <n v="46"/>
    <s v="Male"/>
    <s v="Sports"/>
    <s v="Football"/>
    <n v="205.44"/>
    <s v="Winter"/>
    <s v="Card"/>
    <n v="3.2"/>
    <x v="6"/>
    <n v="8"/>
    <n v="244.57142857142858"/>
    <n v="39.131428571428586"/>
    <x v="4"/>
    <n v="1"/>
  </r>
  <r>
    <n v="3189"/>
    <n v="35"/>
    <s v="Male"/>
    <s v="Mens Clothing"/>
    <s v="Shirt"/>
    <n v="165.66"/>
    <s v="Spring"/>
    <s v="Card"/>
    <n v="2.9"/>
    <x v="8"/>
    <n v="6"/>
    <n v="188.25"/>
    <n v="22.590000000000003"/>
    <x v="5"/>
    <n v="1"/>
  </r>
  <r>
    <n v="3190"/>
    <n v="28"/>
    <s v="Male"/>
    <s v="Groceries"/>
    <s v="Snacks"/>
    <n v="30.88"/>
    <s v="Summer"/>
    <s v="Cash on Delivery"/>
    <n v="4.0999999999999996"/>
    <x v="5"/>
    <n v="4"/>
    <n v="33.565217391304344"/>
    <n v="2.6852173913043451"/>
    <x v="5"/>
    <n v="1"/>
  </r>
  <r>
    <n v="3191"/>
    <n v="66"/>
    <s v="Male"/>
    <s v="Mens Clothing"/>
    <s v="Jacket"/>
    <n v="38.61"/>
    <s v="Summer"/>
    <s v="Cash on Delivery"/>
    <n v="2.9"/>
    <x v="19"/>
    <n v="5"/>
    <n v="45.423529411764704"/>
    <n v="6.8135294117647049"/>
    <x v="2"/>
    <n v="1"/>
  </r>
  <r>
    <n v="3192"/>
    <n v="41"/>
    <s v="Female"/>
    <s v="Accessories"/>
    <s v="Handbag"/>
    <n v="45.01"/>
    <s v="Spring"/>
    <s v="Cash on Delivery"/>
    <n v="4.7"/>
    <x v="10"/>
    <n v="6"/>
    <n v="57.705128205128197"/>
    <n v="12.695128205128199"/>
    <x v="1"/>
    <n v="1"/>
  </r>
  <r>
    <n v="3193"/>
    <n v="57"/>
    <s v="Male"/>
    <s v="Sports"/>
    <s v="Dumbbells"/>
    <n v="175.22"/>
    <s v="Autumn"/>
    <s v="Card"/>
    <n v="3.6"/>
    <x v="10"/>
    <n v="6"/>
    <n v="224.64102564102564"/>
    <n v="49.421025641025636"/>
    <x v="0"/>
    <n v="1"/>
  </r>
  <r>
    <n v="3194"/>
    <n v="22"/>
    <s v="Male"/>
    <s v="Footwear"/>
    <s v="Sandals"/>
    <n v="243.43"/>
    <s v="Winter"/>
    <s v="Card"/>
    <n v="4"/>
    <x v="8"/>
    <n v="6"/>
    <n v="276.625"/>
    <n v="33.194999999999993"/>
    <x v="3"/>
    <n v="1"/>
  </r>
  <r>
    <n v="3195"/>
    <n v="62"/>
    <s v="Female"/>
    <s v="Womens Clothing"/>
    <s v="Dress"/>
    <n v="117.16"/>
    <s v="Summer"/>
    <s v="Card"/>
    <n v="3.9"/>
    <x v="22"/>
    <n v="9"/>
    <n v="152.15584415584414"/>
    <n v="34.995844155844139"/>
    <x v="0"/>
    <n v="1"/>
  </r>
  <r>
    <n v="3196"/>
    <n v="56"/>
    <s v="Female"/>
    <s v="Beauty"/>
    <s v="Skincare Kit"/>
    <n v="58.22"/>
    <s v="Winter"/>
    <s v="Cash on Delivery"/>
    <n v="2.8"/>
    <x v="3"/>
    <n v="5"/>
    <n v="72.774999999999991"/>
    <n v="14.554999999999993"/>
    <x v="0"/>
    <n v="1"/>
  </r>
  <r>
    <n v="3197"/>
    <n v="21"/>
    <s v="Male"/>
    <s v="Footwear"/>
    <s v="Sneakers"/>
    <n v="155.55000000000001"/>
    <s v="Autumn"/>
    <s v="Card"/>
    <n v="5"/>
    <x v="25"/>
    <n v="10"/>
    <n v="222.21428571428575"/>
    <n v="66.664285714285739"/>
    <x v="3"/>
    <n v="1"/>
  </r>
  <r>
    <n v="3198"/>
    <n v="44"/>
    <s v="Male"/>
    <s v="Mens Clothing"/>
    <s v="T-Shirt"/>
    <n v="121.79"/>
    <s v="Winter"/>
    <s v="Card"/>
    <n v="4.8"/>
    <x v="6"/>
    <n v="3"/>
    <n v="144.98809523809524"/>
    <n v="23.198095238095235"/>
    <x v="1"/>
    <n v="1"/>
  </r>
  <r>
    <n v="3199"/>
    <n v="24"/>
    <s v="Male"/>
    <s v="Mens Clothing"/>
    <s v="Jacket"/>
    <n v="77.77"/>
    <s v="Summer"/>
    <s v="Cash on Delivery"/>
    <n v="3"/>
    <x v="27"/>
    <n v="10"/>
    <n v="103.69333333333333"/>
    <n v="25.923333333333332"/>
    <x v="3"/>
    <n v="1"/>
  </r>
  <r>
    <n v="3200"/>
    <n v="34"/>
    <s v="Male"/>
    <s v="Sports"/>
    <s v="Yoga Mat"/>
    <n v="91.22"/>
    <s v="Spring"/>
    <s v="Cash on Delivery"/>
    <n v="3.2"/>
    <x v="4"/>
    <n v="2"/>
    <n v="106.06976744186046"/>
    <n v="14.849767441860465"/>
    <x v="5"/>
    <n v="1"/>
  </r>
  <r>
    <n v="3201"/>
    <n v="68"/>
    <s v="Female"/>
    <s v="Footwear"/>
    <s v="Sandals"/>
    <n v="49.34"/>
    <s v="Summer"/>
    <s v="Cash on Delivery"/>
    <n v="3.8"/>
    <x v="10"/>
    <n v="6"/>
    <n v="63.256410256410255"/>
    <n v="13.916410256410252"/>
    <x v="2"/>
    <n v="1"/>
  </r>
  <r>
    <n v="3202"/>
    <n v="59"/>
    <s v="Male"/>
    <s v="Electronics"/>
    <s v="Smart Watch"/>
    <n v="1412.35"/>
    <s v="Spring"/>
    <s v="Card"/>
    <n v="2.8"/>
    <x v="2"/>
    <n v="3"/>
    <n v="1586.9101123595503"/>
    <n v="174.56011235955043"/>
    <x v="0"/>
    <n v="1"/>
  </r>
  <r>
    <n v="3203"/>
    <n v="70"/>
    <s v="Female"/>
    <s v="Sports"/>
    <s v="Dumbbells"/>
    <n v="191.53"/>
    <s v="Autumn"/>
    <s v="Card"/>
    <n v="3"/>
    <x v="13"/>
    <n v="2"/>
    <n v="210.47252747252747"/>
    <n v="18.942527472527473"/>
    <x v="2"/>
    <n v="1"/>
  </r>
  <r>
    <n v="3204"/>
    <n v="70"/>
    <s v="Female"/>
    <s v="Beauty"/>
    <s v="Perfume"/>
    <n v="132.43"/>
    <s v="Summer"/>
    <s v="Card"/>
    <n v="4.3"/>
    <x v="6"/>
    <n v="3"/>
    <n v="157.65476190476193"/>
    <n v="25.22476190476192"/>
    <x v="2"/>
    <n v="1"/>
  </r>
  <r>
    <n v="3205"/>
    <n v="48"/>
    <s v="Female"/>
    <s v="Beauty"/>
    <s v="Skincare Kit"/>
    <n v="69.75"/>
    <s v="Winter"/>
    <s v="Card"/>
    <n v="3.7"/>
    <x v="15"/>
    <n v="1"/>
    <n v="71.173469387755105"/>
    <n v="1.4234693877551052"/>
    <x v="4"/>
    <n v="1"/>
  </r>
  <r>
    <n v="3206"/>
    <n v="35"/>
    <s v="Male"/>
    <s v="Footwear"/>
    <s v="Formal Shoes"/>
    <n v="85.09"/>
    <s v="Spring"/>
    <s v="Card"/>
    <n v="2.8"/>
    <x v="3"/>
    <n v="5"/>
    <n v="106.3625"/>
    <n v="21.272499999999994"/>
    <x v="5"/>
    <n v="1"/>
  </r>
  <r>
    <n v="3207"/>
    <n v="61"/>
    <s v="Male"/>
    <s v="Mens Clothing"/>
    <s v="Shirt"/>
    <n v="46.79"/>
    <s v="Winter"/>
    <s v="Cash on Delivery"/>
    <n v="3.8"/>
    <x v="1"/>
    <n v="4"/>
    <n v="53.781609195402297"/>
    <n v="6.9916091954022974"/>
    <x v="0"/>
    <n v="1"/>
  </r>
  <r>
    <n v="3208"/>
    <n v="55"/>
    <s v="Male"/>
    <s v="Sports"/>
    <s v="Football"/>
    <n v="164.44"/>
    <s v="Autumn"/>
    <s v="Card"/>
    <n v="3.7"/>
    <x v="8"/>
    <n v="6"/>
    <n v="186.86363636363637"/>
    <n v="22.423636363636376"/>
    <x v="4"/>
    <n v="1"/>
  </r>
  <r>
    <n v="3209"/>
    <n v="50"/>
    <s v="Male"/>
    <s v="Mens Clothing"/>
    <s v="Jacket"/>
    <n v="73.98"/>
    <s v="Spring"/>
    <s v="Card"/>
    <n v="5"/>
    <x v="22"/>
    <n v="9"/>
    <n v="96.077922077922082"/>
    <n v="22.097922077922078"/>
    <x v="4"/>
    <n v="1"/>
  </r>
  <r>
    <n v="3210"/>
    <n v="23"/>
    <s v="Female"/>
    <s v="Beauty"/>
    <s v="Makeup Set"/>
    <n v="145.91"/>
    <s v="Summer"/>
    <s v="Card"/>
    <n v="3.3"/>
    <x v="0"/>
    <n v="4"/>
    <n v="177.93902439024387"/>
    <n v="32.029024390243876"/>
    <x v="3"/>
    <n v="1"/>
  </r>
  <r>
    <n v="3211"/>
    <n v="26"/>
    <s v="Male"/>
    <s v="Footwear"/>
    <s v="Sandals"/>
    <n v="189.03"/>
    <s v="Summer"/>
    <s v="Card"/>
    <n v="4.2"/>
    <x v="7"/>
    <n v="5"/>
    <n v="210.03333333333333"/>
    <n v="21.00333333333333"/>
    <x v="5"/>
    <n v="1"/>
  </r>
  <r>
    <n v="3212"/>
    <n v="41"/>
    <s v="Female"/>
    <s v="Beauty"/>
    <s v="Makeup Set"/>
    <n v="105.87"/>
    <s v="Summer"/>
    <s v="Card"/>
    <n v="4.9000000000000004"/>
    <x v="1"/>
    <n v="4"/>
    <n v="121.68965517241379"/>
    <n v="15.819655172413789"/>
    <x v="1"/>
    <n v="1"/>
  </r>
  <r>
    <n v="3213"/>
    <n v="45"/>
    <s v="Male"/>
    <s v="Home"/>
    <s v="Curtains"/>
    <n v="170.97"/>
    <s v="Winter"/>
    <s v="Card"/>
    <n v="4.4000000000000004"/>
    <x v="8"/>
    <n v="6"/>
    <n v="194.28409090909091"/>
    <n v="23.314090909090908"/>
    <x v="1"/>
    <n v="1"/>
  </r>
  <r>
    <n v="3214"/>
    <n v="27"/>
    <s v="Female"/>
    <s v="Footwear"/>
    <s v="Sneakers"/>
    <n v="77.2"/>
    <s v="Winter"/>
    <s v="Cash on Delivery"/>
    <n v="4.2"/>
    <x v="19"/>
    <n v="5"/>
    <n v="90.82352941176471"/>
    <n v="13.623529411764707"/>
    <x v="5"/>
    <n v="1"/>
  </r>
  <r>
    <n v="3215"/>
    <n v="21"/>
    <s v="Female"/>
    <s v="Beauty"/>
    <s v="Skincare Kit"/>
    <n v="147"/>
    <s v="Winter"/>
    <s v="Card"/>
    <n v="3.4"/>
    <x v="5"/>
    <n v="4"/>
    <n v="159.78260869565216"/>
    <n v="12.782608695652158"/>
    <x v="3"/>
    <n v="1"/>
  </r>
  <r>
    <n v="3216"/>
    <n v="46"/>
    <s v="Female"/>
    <s v="Womens Clothing"/>
    <s v="Skirt"/>
    <n v="30.57"/>
    <s v="Winter"/>
    <s v="Card"/>
    <n v="4.2"/>
    <x v="16"/>
    <n v="3"/>
    <n v="32.521276595744681"/>
    <n v="1.9512765957446803"/>
    <x v="4"/>
    <n v="1"/>
  </r>
  <r>
    <n v="3217"/>
    <n v="23"/>
    <s v="Male"/>
    <s v="Footwear"/>
    <s v="Sneakers"/>
    <n v="232.37"/>
    <s v="Autumn"/>
    <s v="Card"/>
    <n v="4.2"/>
    <x v="22"/>
    <n v="9"/>
    <n v="301.77922077922079"/>
    <n v="69.409220779220789"/>
    <x v="3"/>
    <n v="1"/>
  </r>
  <r>
    <n v="3218"/>
    <n v="59"/>
    <s v="Male"/>
    <s v="Sports"/>
    <s v="Yoga Mat"/>
    <n v="234.52"/>
    <s v="Winter"/>
    <s v="Card"/>
    <n v="4.0999999999999996"/>
    <x v="10"/>
    <n v="6"/>
    <n v="300.66666666666669"/>
    <n v="66.146666666666675"/>
    <x v="0"/>
    <n v="1"/>
  </r>
  <r>
    <n v="3219"/>
    <n v="52"/>
    <s v="Female"/>
    <s v="Beauty"/>
    <s v="Perfume"/>
    <n v="130.99"/>
    <s v="Winter"/>
    <s v="Card"/>
    <n v="5"/>
    <x v="18"/>
    <n v="7"/>
    <n v="172.35526315789474"/>
    <n v="41.365263157894731"/>
    <x v="4"/>
    <n v="1"/>
  </r>
  <r>
    <n v="3220"/>
    <n v="36"/>
    <s v="Male"/>
    <s v="Sports"/>
    <s v="Football"/>
    <n v="51.47"/>
    <s v="Winter"/>
    <s v="Card"/>
    <n v="2.4"/>
    <x v="16"/>
    <n v="3"/>
    <n v="54.755319148936174"/>
    <n v="3.2853191489361748"/>
    <x v="1"/>
    <n v="1"/>
  </r>
  <r>
    <n v="3221"/>
    <n v="40"/>
    <s v="Female"/>
    <s v="Accessories"/>
    <s v="Sunglasses"/>
    <n v="160.63"/>
    <s v="Summer"/>
    <s v="Card"/>
    <n v="2.8"/>
    <x v="4"/>
    <n v="7"/>
    <n v="186.77906976744185"/>
    <n v="26.149069767441858"/>
    <x v="1"/>
    <n v="1"/>
  </r>
  <r>
    <n v="3222"/>
    <n v="50"/>
    <s v="Male"/>
    <s v="Home"/>
    <s v="Kitchen Set"/>
    <n v="122.41"/>
    <s v="Spring"/>
    <s v="Card"/>
    <n v="3.9"/>
    <x v="6"/>
    <n v="8"/>
    <n v="145.72619047619048"/>
    <n v="23.316190476190485"/>
    <x v="4"/>
    <n v="1"/>
  </r>
  <r>
    <n v="3223"/>
    <n v="39"/>
    <s v="Male"/>
    <s v="Home"/>
    <s v="Lamp"/>
    <n v="113.22"/>
    <s v="Spring"/>
    <s v="Card"/>
    <n v="3.1"/>
    <x v="25"/>
    <n v="10"/>
    <n v="161.74285714285716"/>
    <n v="48.522857142857163"/>
    <x v="1"/>
    <n v="1"/>
  </r>
  <r>
    <n v="3224"/>
    <n v="65"/>
    <s v="Female"/>
    <s v="Beauty"/>
    <s v="Makeup Set"/>
    <n v="84.88"/>
    <s v="Winter"/>
    <s v="Cash on Delivery"/>
    <n v="2.7"/>
    <x v="0"/>
    <n v="4"/>
    <n v="103.51219512195121"/>
    <n v="18.632195121951213"/>
    <x v="0"/>
    <n v="1"/>
  </r>
  <r>
    <n v="3225"/>
    <n v="52"/>
    <s v="Female"/>
    <s v="Beauty"/>
    <s v="Skincare Kit"/>
    <n v="22.73"/>
    <s v="Spring"/>
    <s v="Card"/>
    <n v="3.4"/>
    <x v="16"/>
    <n v="3"/>
    <n v="24.180851063829788"/>
    <n v="1.4508510638297878"/>
    <x v="4"/>
    <n v="1"/>
  </r>
  <r>
    <n v="3226"/>
    <n v="54"/>
    <s v="Female"/>
    <s v="Footwear"/>
    <s v="Sneakers"/>
    <n v="226.11"/>
    <s v="Summer"/>
    <s v="Card"/>
    <n v="4.5"/>
    <x v="14"/>
    <n v="6"/>
    <n v="272.42168674698797"/>
    <n v="46.311686746987959"/>
    <x v="4"/>
    <n v="1"/>
  </r>
  <r>
    <n v="3227"/>
    <n v="64"/>
    <s v="Female"/>
    <s v="Sports"/>
    <s v="Yoga Mat"/>
    <n v="208.59"/>
    <s v="Spring"/>
    <s v="Card"/>
    <n v="2.8"/>
    <x v="5"/>
    <n v="4"/>
    <n v="226.72826086956522"/>
    <n v="18.138260869565215"/>
    <x v="0"/>
    <n v="1"/>
  </r>
  <r>
    <n v="3228"/>
    <n v="53"/>
    <s v="Male"/>
    <s v="Sports"/>
    <s v="Football"/>
    <n v="120.33"/>
    <s v="Spring"/>
    <s v="Card"/>
    <n v="3.7"/>
    <x v="16"/>
    <n v="3"/>
    <n v="128.01063829787233"/>
    <n v="7.6806382978723349"/>
    <x v="4"/>
    <n v="1"/>
  </r>
  <r>
    <n v="3229"/>
    <n v="29"/>
    <s v="Male"/>
    <s v="Groceries"/>
    <s v="Rice Pack"/>
    <n v="41.86"/>
    <s v="Spring"/>
    <s v="Cash on Delivery"/>
    <n v="4"/>
    <x v="0"/>
    <n v="4"/>
    <n v="51.048780487804876"/>
    <n v="9.1887804878048769"/>
    <x v="5"/>
    <n v="1"/>
  </r>
  <r>
    <n v="3230"/>
    <n v="50"/>
    <s v="Male"/>
    <s v="Sports"/>
    <s v="Dumbbells"/>
    <n v="31.06"/>
    <s v="Winter"/>
    <s v="Card"/>
    <n v="3"/>
    <x v="8"/>
    <n v="6"/>
    <n v="35.295454545454547"/>
    <n v="4.235454545454548"/>
    <x v="4"/>
    <n v="1"/>
  </r>
  <r>
    <n v="3231"/>
    <n v="51"/>
    <s v="Male"/>
    <s v="Footwear"/>
    <s v="Sandals"/>
    <n v="46.87"/>
    <s v="Summer"/>
    <s v="Cash on Delivery"/>
    <n v="3.5"/>
    <x v="19"/>
    <n v="5"/>
    <n v="55.141176470588235"/>
    <n v="8.2711764705882374"/>
    <x v="4"/>
    <n v="1"/>
  </r>
  <r>
    <n v="3232"/>
    <n v="70"/>
    <s v="Female"/>
    <s v="Accessories"/>
    <s v="Wallet"/>
    <n v="124.66"/>
    <s v="Spring"/>
    <s v="Card"/>
    <n v="4.5999999999999996"/>
    <x v="12"/>
    <n v="7"/>
    <n v="153.90123456790121"/>
    <n v="29.241234567901216"/>
    <x v="2"/>
    <n v="1"/>
  </r>
  <r>
    <n v="3233"/>
    <n v="32"/>
    <s v="Female"/>
    <s v="Home"/>
    <s v="Lamp"/>
    <n v="101.07"/>
    <s v="Winter"/>
    <s v="Card"/>
    <n v="3.6"/>
    <x v="16"/>
    <n v="3"/>
    <n v="107.52127659574468"/>
    <n v="6.4512765957446874"/>
    <x v="5"/>
    <n v="1"/>
  </r>
  <r>
    <n v="3234"/>
    <n v="69"/>
    <s v="Male"/>
    <s v="Sports"/>
    <s v="Football"/>
    <n v="169.69"/>
    <s v="Autumn"/>
    <s v="Card"/>
    <n v="3.8"/>
    <x v="17"/>
    <n v="2"/>
    <n v="176.76041666666666"/>
    <n v="7.0704166666666595"/>
    <x v="2"/>
    <n v="1"/>
  </r>
  <r>
    <n v="3235"/>
    <n v="38"/>
    <s v="Female"/>
    <s v="Accessories"/>
    <s v="Handbag"/>
    <n v="123.74"/>
    <s v="Autumn"/>
    <s v="Card"/>
    <n v="3.8"/>
    <x v="4"/>
    <n v="7"/>
    <n v="143.88372093023256"/>
    <n v="20.143720930232561"/>
    <x v="1"/>
    <n v="1"/>
  </r>
  <r>
    <n v="3236"/>
    <n v="45"/>
    <s v="Male"/>
    <s v="Footwear"/>
    <s v="Sneakers"/>
    <n v="118.39"/>
    <s v="Winter"/>
    <s v="Card"/>
    <n v="5"/>
    <x v="0"/>
    <n v="4"/>
    <n v="144.3780487804878"/>
    <n v="25.988048780487802"/>
    <x v="1"/>
    <n v="1"/>
  </r>
  <r>
    <n v="3237"/>
    <n v="47"/>
    <s v="Female"/>
    <s v="Accessories"/>
    <s v="Handbag"/>
    <n v="167.42"/>
    <s v="Autumn"/>
    <s v="Card"/>
    <n v="4.0999999999999996"/>
    <x v="1"/>
    <n v="4"/>
    <n v="192.43678160919538"/>
    <n v="25.016781609195391"/>
    <x v="4"/>
    <n v="1"/>
  </r>
  <r>
    <n v="3238"/>
    <n v="65"/>
    <s v="Male"/>
    <s v="Home"/>
    <s v="Curtains"/>
    <n v="113.63"/>
    <s v="Autumn"/>
    <s v="Card"/>
    <n v="3.2"/>
    <x v="5"/>
    <n v="4"/>
    <n v="123.51086956521738"/>
    <n v="9.880869565217381"/>
    <x v="0"/>
    <n v="1"/>
  </r>
  <r>
    <n v="3239"/>
    <n v="62"/>
    <s v="Female"/>
    <s v="Accessories"/>
    <s v="Handbag"/>
    <n v="61.6"/>
    <s v="Autumn"/>
    <s v="Card"/>
    <n v="3.9"/>
    <x v="7"/>
    <n v="5"/>
    <n v="68.444444444444443"/>
    <n v="6.8444444444444414"/>
    <x v="0"/>
    <n v="1"/>
  </r>
  <r>
    <n v="3240"/>
    <n v="41"/>
    <s v="Female"/>
    <s v="Beauty"/>
    <s v="Makeup Set"/>
    <n v="29.6"/>
    <s v="Autumn"/>
    <s v="Card"/>
    <n v="3.5"/>
    <x v="5"/>
    <n v="4"/>
    <n v="32.173913043478258"/>
    <n v="2.5739130434782567"/>
    <x v="1"/>
    <n v="1"/>
  </r>
  <r>
    <n v="3241"/>
    <n v="60"/>
    <s v="Female"/>
    <s v="Beauty"/>
    <s v="Makeup Set"/>
    <n v="29.4"/>
    <s v="Autumn"/>
    <s v="Cash on Delivery"/>
    <n v="4.2"/>
    <x v="2"/>
    <n v="3"/>
    <n v="33.033707865168537"/>
    <n v="3.6337078651685388"/>
    <x v="0"/>
    <n v="1"/>
  </r>
  <r>
    <n v="3242"/>
    <n v="36"/>
    <s v="Female"/>
    <s v="Sports"/>
    <s v="Yoga Mat"/>
    <n v="172.71"/>
    <s v="Summer"/>
    <s v="Card"/>
    <n v="4.4000000000000004"/>
    <x v="8"/>
    <n v="6"/>
    <n v="196.26136363636365"/>
    <n v="23.551363636363646"/>
    <x v="1"/>
    <n v="1"/>
  </r>
  <r>
    <n v="3243"/>
    <n v="47"/>
    <s v="Male"/>
    <s v="Footwear"/>
    <s v="Sandals"/>
    <n v="142.61000000000001"/>
    <s v="Winter"/>
    <s v="Card"/>
    <n v="3.8"/>
    <x v="3"/>
    <n v="5"/>
    <n v="178.26250000000002"/>
    <n v="35.652500000000003"/>
    <x v="4"/>
    <n v="1"/>
  </r>
  <r>
    <n v="3244"/>
    <n v="66"/>
    <s v="Female"/>
    <s v="Footwear"/>
    <s v="Sandals"/>
    <n v="214.77"/>
    <s v="Spring"/>
    <s v="Card"/>
    <n v="2.9"/>
    <x v="2"/>
    <n v="3"/>
    <n v="241.31460674157304"/>
    <n v="26.544606741573034"/>
    <x v="2"/>
    <n v="1"/>
  </r>
  <r>
    <n v="3245"/>
    <n v="50"/>
    <s v="Male"/>
    <s v="Mens Clothing"/>
    <s v="T-Shirt"/>
    <n v="178.6"/>
    <s v="Spring"/>
    <s v="Card"/>
    <n v="3.6"/>
    <x v="2"/>
    <n v="3"/>
    <n v="200.67415730337078"/>
    <n v="22.074157303370782"/>
    <x v="4"/>
    <n v="1"/>
  </r>
  <r>
    <n v="3246"/>
    <n v="55"/>
    <s v="Female"/>
    <s v="Home"/>
    <s v="Kitchen Set"/>
    <n v="41.18"/>
    <s v="Spring"/>
    <s v="Card"/>
    <n v="4.8"/>
    <x v="0"/>
    <n v="9"/>
    <n v="50.219512195121951"/>
    <n v="9.0395121951219508"/>
    <x v="4"/>
    <n v="1"/>
  </r>
  <r>
    <n v="3247"/>
    <n v="54"/>
    <s v="Female"/>
    <s v="Beauty"/>
    <s v="Skincare Kit"/>
    <n v="117.16"/>
    <s v="Winter"/>
    <s v="Card"/>
    <n v="4.3"/>
    <x v="24"/>
    <n v="9"/>
    <n v="162.72222222222223"/>
    <n v="45.562222222222232"/>
    <x v="4"/>
    <n v="1"/>
  </r>
  <r>
    <n v="3248"/>
    <n v="21"/>
    <s v="Male"/>
    <s v="Sports"/>
    <s v="Dumbbells"/>
    <n v="65.959999999999994"/>
    <s v="Summer"/>
    <s v="Card"/>
    <n v="5"/>
    <x v="10"/>
    <n v="6"/>
    <n v="84.564102564102555"/>
    <n v="18.604102564102561"/>
    <x v="3"/>
    <n v="1"/>
  </r>
  <r>
    <n v="3249"/>
    <n v="41"/>
    <s v="Female"/>
    <s v="Beauty"/>
    <s v="Perfume"/>
    <n v="48.64"/>
    <s v="Summer"/>
    <s v="Card"/>
    <n v="2.7"/>
    <x v="5"/>
    <n v="4"/>
    <n v="52.869565217391305"/>
    <n v="4.2295652173913041"/>
    <x v="1"/>
    <n v="1"/>
  </r>
  <r>
    <n v="3250"/>
    <n v="58"/>
    <s v="Male"/>
    <s v="Sports"/>
    <s v="Dumbbells"/>
    <n v="246.31"/>
    <s v="Winter"/>
    <s v="Card"/>
    <n v="3.9"/>
    <x v="3"/>
    <n v="5"/>
    <n v="307.88749999999999"/>
    <n v="61.577499999999986"/>
    <x v="0"/>
    <n v="1"/>
  </r>
  <r>
    <n v="3251"/>
    <n v="56"/>
    <s v="Male"/>
    <s v="Electronics"/>
    <s v="Mobile Phone"/>
    <n v="648.62"/>
    <s v="Summer"/>
    <s v="Card"/>
    <n v="3.3"/>
    <x v="8"/>
    <n v="6"/>
    <n v="737.06818181818187"/>
    <n v="88.448181818181865"/>
    <x v="0"/>
    <n v="1"/>
  </r>
  <r>
    <n v="3252"/>
    <n v="51"/>
    <s v="Female"/>
    <s v="Groceries"/>
    <s v="Snacks"/>
    <n v="67.67"/>
    <s v="Autumn"/>
    <s v="Cash on Delivery"/>
    <n v="3.9"/>
    <x v="0"/>
    <n v="4"/>
    <n v="82.524390243902431"/>
    <n v="14.854390243902429"/>
    <x v="4"/>
    <n v="1"/>
  </r>
  <r>
    <n v="3253"/>
    <n v="38"/>
    <s v="Male"/>
    <s v="Mens Clothing"/>
    <s v="T-Shirt"/>
    <n v="154.49"/>
    <s v="Autumn"/>
    <s v="Card"/>
    <n v="3.2"/>
    <x v="2"/>
    <n v="3"/>
    <n v="173.58426966292134"/>
    <n v="19.094269662921334"/>
    <x v="1"/>
    <n v="1"/>
  </r>
  <r>
    <n v="3254"/>
    <n v="29"/>
    <s v="Male"/>
    <s v="Sports"/>
    <s v="Yoga Mat"/>
    <n v="51.12"/>
    <s v="Spring"/>
    <s v="Card"/>
    <n v="4.9000000000000004"/>
    <x v="25"/>
    <n v="10"/>
    <n v="73.028571428571425"/>
    <n v="21.908571428571427"/>
    <x v="5"/>
    <n v="1"/>
  </r>
  <r>
    <n v="3255"/>
    <n v="70"/>
    <s v="Female"/>
    <s v="Accessories"/>
    <s v="Wallet"/>
    <n v="115.94"/>
    <s v="Spring"/>
    <s v="Card"/>
    <n v="4.4000000000000004"/>
    <x v="16"/>
    <n v="3"/>
    <n v="123.3404255319149"/>
    <n v="7.4004255319149053"/>
    <x v="2"/>
    <n v="1"/>
  </r>
  <r>
    <n v="3256"/>
    <n v="49"/>
    <s v="Female"/>
    <s v="Beauty"/>
    <s v="Perfume"/>
    <n v="132.49"/>
    <s v="Winter"/>
    <s v="Card"/>
    <n v="2.2999999999999998"/>
    <x v="19"/>
    <n v="5"/>
    <n v="155.87058823529412"/>
    <n v="23.380588235294113"/>
    <x v="4"/>
    <n v="1"/>
  </r>
  <r>
    <n v="3257"/>
    <n v="69"/>
    <s v="Male"/>
    <s v="Footwear"/>
    <s v="Sandals"/>
    <n v="194.63"/>
    <s v="Winter"/>
    <s v="Card"/>
    <n v="4.7"/>
    <x v="13"/>
    <n v="2"/>
    <n v="213.87912087912088"/>
    <n v="19.249120879120881"/>
    <x v="2"/>
    <n v="1"/>
  </r>
  <r>
    <n v="3258"/>
    <n v="34"/>
    <s v="Male"/>
    <s v="Footwear"/>
    <s v="Formal Shoes"/>
    <n v="113.73"/>
    <s v="Autumn"/>
    <s v="Card"/>
    <n v="3.6"/>
    <x v="21"/>
    <n v="8"/>
    <n v="143.96202531645571"/>
    <n v="30.232025316455704"/>
    <x v="5"/>
    <n v="1"/>
  </r>
  <r>
    <n v="3259"/>
    <n v="58"/>
    <s v="Female"/>
    <s v="Sports"/>
    <s v="Yoga Mat"/>
    <n v="84.1"/>
    <s v="Spring"/>
    <s v="Card"/>
    <n v="3.8"/>
    <x v="6"/>
    <n v="3"/>
    <n v="100.11904761904762"/>
    <n v="16.019047619047626"/>
    <x v="0"/>
    <n v="1"/>
  </r>
  <r>
    <n v="3260"/>
    <n v="60"/>
    <s v="Male"/>
    <s v="Electronics"/>
    <s v="Smart Watch"/>
    <n v="2936.08"/>
    <s v="Summer"/>
    <s v="Card"/>
    <n v="5"/>
    <x v="3"/>
    <n v="5"/>
    <n v="3670.1"/>
    <n v="734.02"/>
    <x v="0"/>
    <n v="1"/>
  </r>
  <r>
    <n v="3261"/>
    <n v="51"/>
    <s v="Male"/>
    <s v="Electronics"/>
    <s v="Smart Watch"/>
    <n v="1369.63"/>
    <s v="Summer"/>
    <s v="Card"/>
    <n v="3"/>
    <x v="7"/>
    <n v="5"/>
    <n v="1521.8111111111111"/>
    <n v="152.18111111111102"/>
    <x v="4"/>
    <n v="1"/>
  </r>
  <r>
    <n v="3262"/>
    <n v="68"/>
    <s v="Female"/>
    <s v="Beauty"/>
    <s v="Makeup Set"/>
    <n v="23.21"/>
    <s v="Autumn"/>
    <s v="Card"/>
    <n v="5"/>
    <x v="2"/>
    <n v="3"/>
    <n v="26.078651685393258"/>
    <n v="2.8686516853932567"/>
    <x v="2"/>
    <n v="1"/>
  </r>
  <r>
    <n v="3263"/>
    <n v="40"/>
    <s v="Male"/>
    <s v="Sports"/>
    <s v="Yoga Mat"/>
    <n v="231.3"/>
    <s v="Winter"/>
    <s v="Card"/>
    <n v="4"/>
    <x v="5"/>
    <n v="4"/>
    <n v="251.41304347826087"/>
    <n v="20.113043478260863"/>
    <x v="1"/>
    <n v="1"/>
  </r>
  <r>
    <n v="3264"/>
    <n v="31"/>
    <s v="Male"/>
    <s v="Sports"/>
    <s v="Football"/>
    <n v="212.05"/>
    <s v="Autumn"/>
    <s v="Card"/>
    <n v="3.5"/>
    <x v="19"/>
    <n v="5"/>
    <n v="249.47058823529414"/>
    <n v="37.420588235294133"/>
    <x v="5"/>
    <n v="1"/>
  </r>
  <r>
    <n v="3265"/>
    <n v="20"/>
    <s v="Female"/>
    <s v="Womens Clothing"/>
    <s v="Top"/>
    <n v="78.09"/>
    <s v="Winter"/>
    <s v="Cash on Delivery"/>
    <n v="4.0999999999999996"/>
    <x v="5"/>
    <n v="4"/>
    <n v="84.880434782608702"/>
    <n v="6.790434782608699"/>
    <x v="3"/>
    <n v="1"/>
  </r>
  <r>
    <n v="3266"/>
    <n v="35"/>
    <s v="Male"/>
    <s v="Sports"/>
    <s v="Yoga Mat"/>
    <n v="189.56"/>
    <s v="Autumn"/>
    <s v="Card"/>
    <n v="4.5"/>
    <x v="2"/>
    <n v="3"/>
    <n v="212.98876404494382"/>
    <n v="23.428764044943819"/>
    <x v="5"/>
    <n v="1"/>
  </r>
  <r>
    <n v="3267"/>
    <n v="39"/>
    <s v="Female"/>
    <s v="Footwear"/>
    <s v="Formal Shoes"/>
    <n v="143.79"/>
    <s v="Summer"/>
    <s v="Card"/>
    <n v="4.9000000000000004"/>
    <x v="6"/>
    <n v="3"/>
    <n v="171.17857142857142"/>
    <n v="27.388571428571424"/>
    <x v="1"/>
    <n v="1"/>
  </r>
  <r>
    <n v="3268"/>
    <n v="56"/>
    <s v="Male"/>
    <s v="Groceries"/>
    <s v="Snacks"/>
    <n v="43.68"/>
    <s v="Summer"/>
    <s v="Cash on Delivery"/>
    <n v="3.9"/>
    <x v="9"/>
    <n v="11"/>
    <n v="59.835616438356162"/>
    <n v="16.155616438356162"/>
    <x v="0"/>
    <n v="1"/>
  </r>
  <r>
    <n v="3269"/>
    <n v="58"/>
    <s v="Female"/>
    <s v="Beauty"/>
    <s v="Skincare Kit"/>
    <n v="68.569999999999993"/>
    <s v="Autumn"/>
    <s v="Card"/>
    <n v="4.3"/>
    <x v="0"/>
    <n v="4"/>
    <n v="83.621951219512184"/>
    <n v="15.051951219512191"/>
    <x v="0"/>
    <n v="1"/>
  </r>
  <r>
    <n v="3270"/>
    <n v="68"/>
    <s v="Female"/>
    <s v="Footwear"/>
    <s v="Sandals"/>
    <n v="69.56"/>
    <s v="Winter"/>
    <s v="Cash on Delivery"/>
    <n v="4.9000000000000004"/>
    <x v="21"/>
    <n v="8"/>
    <n v="88.050632911392398"/>
    <n v="18.490632911392396"/>
    <x v="2"/>
    <n v="1"/>
  </r>
  <r>
    <n v="3271"/>
    <n v="22"/>
    <s v="Female"/>
    <s v="Home"/>
    <s v="Lamp"/>
    <n v="242.3"/>
    <s v="Autumn"/>
    <s v="Card"/>
    <n v="4.5"/>
    <x v="10"/>
    <n v="6"/>
    <n v="310.64102564102564"/>
    <n v="68.341025641025624"/>
    <x v="3"/>
    <n v="1"/>
  </r>
  <r>
    <n v="3272"/>
    <n v="20"/>
    <s v="Female"/>
    <s v="Beauty"/>
    <s v="Perfume"/>
    <n v="140.19999999999999"/>
    <s v="Spring"/>
    <s v="Card"/>
    <n v="4.0999999999999996"/>
    <x v="12"/>
    <n v="7"/>
    <n v="173.0864197530864"/>
    <n v="32.886419753086415"/>
    <x v="3"/>
    <n v="1"/>
  </r>
  <r>
    <n v="3273"/>
    <n v="64"/>
    <s v="Male"/>
    <s v="Home"/>
    <s v="Curtains"/>
    <n v="79.900000000000006"/>
    <s v="Spring"/>
    <s v="Card"/>
    <n v="3.3"/>
    <x v="11"/>
    <n v="8"/>
    <n v="107.97297297297298"/>
    <n v="28.072972972972977"/>
    <x v="0"/>
    <n v="1"/>
  </r>
  <r>
    <n v="3274"/>
    <n v="33"/>
    <s v="Male"/>
    <s v="Footwear"/>
    <s v="Sandals"/>
    <n v="248.65"/>
    <s v="Autumn"/>
    <s v="Card"/>
    <n v="3.8"/>
    <x v="19"/>
    <n v="5"/>
    <n v="292.52941176470591"/>
    <n v="43.879411764705907"/>
    <x v="5"/>
    <n v="1"/>
  </r>
  <r>
    <n v="3275"/>
    <n v="45"/>
    <s v="Male"/>
    <s v="Footwear"/>
    <s v="Sneakers"/>
    <n v="227.4"/>
    <s v="Winter"/>
    <s v="Card"/>
    <n v="3.8"/>
    <x v="19"/>
    <n v="5"/>
    <n v="267.52941176470591"/>
    <n v="40.129411764705907"/>
    <x v="1"/>
    <n v="1"/>
  </r>
  <r>
    <n v="3276"/>
    <n v="24"/>
    <s v="Male"/>
    <s v="Sports"/>
    <s v="Dumbbells"/>
    <n v="153.18"/>
    <s v="Spring"/>
    <s v="Card"/>
    <n v="3.2"/>
    <x v="19"/>
    <n v="5"/>
    <n v="180.21176470588236"/>
    <n v="27.031764705882352"/>
    <x v="3"/>
    <n v="1"/>
  </r>
  <r>
    <n v="3277"/>
    <n v="24"/>
    <s v="Male"/>
    <s v="Mens Clothing"/>
    <s v="T-Shirt"/>
    <n v="101.1"/>
    <s v="Spring"/>
    <s v="Card"/>
    <n v="2.9"/>
    <x v="7"/>
    <n v="5"/>
    <n v="112.33333333333333"/>
    <n v="11.233333333333334"/>
    <x v="3"/>
    <n v="1"/>
  </r>
  <r>
    <n v="3278"/>
    <n v="70"/>
    <s v="Male"/>
    <s v="Mens Clothing"/>
    <s v="Jacket"/>
    <n v="128.5"/>
    <s v="Summer"/>
    <s v="Card"/>
    <n v="4.4000000000000004"/>
    <x v="14"/>
    <n v="6"/>
    <n v="154.81927710843374"/>
    <n v="26.319277108433738"/>
    <x v="2"/>
    <n v="1"/>
  </r>
  <r>
    <n v="3279"/>
    <n v="49"/>
    <s v="Female"/>
    <s v="Sports"/>
    <s v="Yoga Mat"/>
    <n v="93.21"/>
    <s v="Summer"/>
    <s v="Cash on Delivery"/>
    <n v="4"/>
    <x v="5"/>
    <n v="4"/>
    <n v="101.31521739130433"/>
    <n v="8.1052173913043362"/>
    <x v="4"/>
    <n v="1"/>
  </r>
  <r>
    <n v="3280"/>
    <n v="69"/>
    <s v="Male"/>
    <s v="Mens Clothing"/>
    <s v="T-Shirt"/>
    <n v="120.7"/>
    <s v="Winter"/>
    <s v="Card"/>
    <n v="3.9"/>
    <x v="7"/>
    <n v="5"/>
    <n v="134.11111111111111"/>
    <n v="13.411111111111111"/>
    <x v="2"/>
    <n v="1"/>
  </r>
  <r>
    <n v="3281"/>
    <n v="36"/>
    <s v="Male"/>
    <s v="Mens Clothing"/>
    <s v="Shirt"/>
    <n v="76.16"/>
    <s v="Summer"/>
    <s v="Cash on Delivery"/>
    <n v="4.3"/>
    <x v="7"/>
    <n v="5"/>
    <n v="84.62222222222222"/>
    <n v="8.4622222222222234"/>
    <x v="1"/>
    <n v="1"/>
  </r>
  <r>
    <n v="3282"/>
    <n v="25"/>
    <s v="Male"/>
    <s v="Sports"/>
    <s v="Yoga Mat"/>
    <n v="226.66"/>
    <s v="Winter"/>
    <s v="Card"/>
    <n v="3.8"/>
    <x v="18"/>
    <n v="7"/>
    <n v="298.23684210526312"/>
    <n v="71.576842105263125"/>
    <x v="3"/>
    <n v="1"/>
  </r>
  <r>
    <n v="3283"/>
    <n v="63"/>
    <s v="Male"/>
    <s v="Sports"/>
    <s v="Yoga Mat"/>
    <n v="130.19999999999999"/>
    <s v="Winter"/>
    <s v="Card"/>
    <n v="2.6"/>
    <x v="17"/>
    <n v="2"/>
    <n v="135.625"/>
    <n v="5.4250000000000114"/>
    <x v="0"/>
    <n v="1"/>
  </r>
  <r>
    <n v="3284"/>
    <n v="57"/>
    <s v="Male"/>
    <s v="Footwear"/>
    <s v="Sandals"/>
    <n v="52.67"/>
    <s v="Winter"/>
    <s v="Card"/>
    <n v="4.3"/>
    <x v="6"/>
    <n v="3"/>
    <n v="62.702380952380956"/>
    <n v="10.032380952380954"/>
    <x v="0"/>
    <n v="1"/>
  </r>
  <r>
    <n v="3285"/>
    <n v="21"/>
    <s v="Female"/>
    <s v="Womens Clothing"/>
    <s v="Jeans"/>
    <n v="151.32"/>
    <s v="Summer"/>
    <s v="Card"/>
    <n v="3"/>
    <x v="18"/>
    <n v="7"/>
    <n v="199.10526315789471"/>
    <n v="47.785263157894718"/>
    <x v="3"/>
    <n v="1"/>
  </r>
  <r>
    <n v="3286"/>
    <n v="57"/>
    <s v="Male"/>
    <s v="Footwear"/>
    <s v="Sneakers"/>
    <n v="49.11"/>
    <s v="Autumn"/>
    <s v="Cash on Delivery"/>
    <n v="3.3"/>
    <x v="0"/>
    <n v="4"/>
    <n v="59.890243902439018"/>
    <n v="10.780243902439018"/>
    <x v="0"/>
    <n v="1"/>
  </r>
  <r>
    <n v="3287"/>
    <n v="50"/>
    <s v="Female"/>
    <s v="Beauty"/>
    <s v="Skincare Kit"/>
    <n v="71.64"/>
    <s v="Winter"/>
    <s v="Cash on Delivery"/>
    <n v="4.5"/>
    <x v="3"/>
    <n v="5"/>
    <n v="89.55"/>
    <n v="17.909999999999997"/>
    <x v="4"/>
    <n v="1"/>
  </r>
  <r>
    <n v="3288"/>
    <n v="30"/>
    <s v="Male"/>
    <s v="Home"/>
    <s v="Lamp"/>
    <n v="165.95"/>
    <s v="Autumn"/>
    <s v="Card"/>
    <n v="4.5"/>
    <x v="0"/>
    <n v="4"/>
    <n v="202.37804878048777"/>
    <n v="36.428048780487785"/>
    <x v="5"/>
    <n v="1"/>
  </r>
  <r>
    <n v="3289"/>
    <n v="62"/>
    <s v="Male"/>
    <s v="Sports"/>
    <s v="Football"/>
    <n v="248.99"/>
    <s v="Autumn"/>
    <s v="Card"/>
    <n v="2.8"/>
    <x v="1"/>
    <n v="4"/>
    <n v="286.19540229885058"/>
    <n v="37.205402298850572"/>
    <x v="0"/>
    <n v="1"/>
  </r>
  <r>
    <n v="3290"/>
    <n v="35"/>
    <s v="Male"/>
    <s v="Electronics"/>
    <s v="Laptop"/>
    <n v="2952.94"/>
    <s v="Spring"/>
    <s v="Card"/>
    <n v="3"/>
    <x v="2"/>
    <n v="3"/>
    <n v="3317.9101123595506"/>
    <n v="364.97011235955051"/>
    <x v="5"/>
    <n v="1"/>
  </r>
  <r>
    <n v="3291"/>
    <n v="20"/>
    <s v="Male"/>
    <s v="Sports"/>
    <s v="Football"/>
    <n v="226.69"/>
    <s v="Summer"/>
    <s v="Card"/>
    <n v="4"/>
    <x v="14"/>
    <n v="6"/>
    <n v="273.12048192771084"/>
    <n v="46.430481927710844"/>
    <x v="3"/>
    <n v="1"/>
  </r>
  <r>
    <n v="3292"/>
    <n v="41"/>
    <s v="Male"/>
    <s v="Mens Clothing"/>
    <s v="T-Shirt"/>
    <n v="136.81"/>
    <s v="Autumn"/>
    <s v="Card"/>
    <n v="4"/>
    <x v="13"/>
    <n v="2"/>
    <n v="150.34065934065933"/>
    <n v="13.530659340659327"/>
    <x v="1"/>
    <n v="1"/>
  </r>
  <r>
    <n v="3293"/>
    <n v="60"/>
    <s v="Female"/>
    <s v="Footwear"/>
    <s v="Formal Shoes"/>
    <n v="191.66"/>
    <s v="Spring"/>
    <s v="Card"/>
    <n v="5"/>
    <x v="13"/>
    <n v="2"/>
    <n v="210.61538461538461"/>
    <n v="18.955384615384617"/>
    <x v="0"/>
    <n v="1"/>
  </r>
  <r>
    <n v="3294"/>
    <n v="34"/>
    <s v="Female"/>
    <s v="Womens Clothing"/>
    <s v="Dress"/>
    <n v="82.77"/>
    <s v="Winter"/>
    <s v="Cash on Delivery"/>
    <n v="3.5"/>
    <x v="20"/>
    <n v="11"/>
    <n v="121.72058823529412"/>
    <n v="38.95058823529412"/>
    <x v="5"/>
    <n v="1"/>
  </r>
  <r>
    <n v="3295"/>
    <n v="52"/>
    <s v="Female"/>
    <s v="Footwear"/>
    <s v="Sandals"/>
    <n v="50.19"/>
    <s v="Summer"/>
    <s v="Card"/>
    <n v="4.2"/>
    <x v="14"/>
    <n v="6"/>
    <n v="60.46987951807229"/>
    <n v="10.279879518072292"/>
    <x v="4"/>
    <n v="1"/>
  </r>
  <r>
    <n v="3296"/>
    <n v="43"/>
    <s v="Female"/>
    <s v="Accessories"/>
    <s v="Sunglasses"/>
    <n v="170.71"/>
    <s v="Winter"/>
    <s v="Card"/>
    <n v="3"/>
    <x v="19"/>
    <n v="5"/>
    <n v="200.83529411764707"/>
    <n v="30.125294117647059"/>
    <x v="1"/>
    <n v="1"/>
  </r>
  <r>
    <n v="3297"/>
    <n v="22"/>
    <s v="Male"/>
    <s v="Mens Clothing"/>
    <s v="Jacket"/>
    <n v="57.55"/>
    <s v="Summer"/>
    <s v="Cash on Delivery"/>
    <n v="3.4"/>
    <x v="7"/>
    <n v="5"/>
    <n v="63.944444444444443"/>
    <n v="6.3944444444444457"/>
    <x v="3"/>
    <n v="1"/>
  </r>
  <r>
    <n v="3298"/>
    <n v="25"/>
    <s v="Male"/>
    <s v="Electronics"/>
    <s v="Smart Watch"/>
    <n v="1659.69"/>
    <s v="Autumn"/>
    <s v="Card"/>
    <n v="4.0999999999999996"/>
    <x v="2"/>
    <n v="3"/>
    <n v="1864.8202247191011"/>
    <n v="205.13022471910108"/>
    <x v="3"/>
    <n v="1"/>
  </r>
  <r>
    <n v="3299"/>
    <n v="50"/>
    <s v="Male"/>
    <s v="Sports"/>
    <s v="Football"/>
    <n v="99.86"/>
    <s v="Spring"/>
    <s v="Card"/>
    <n v="3.2"/>
    <x v="10"/>
    <n v="6"/>
    <n v="128.02564102564102"/>
    <n v="28.165641025641023"/>
    <x v="4"/>
    <n v="1"/>
  </r>
  <r>
    <n v="3300"/>
    <n v="61"/>
    <s v="Female"/>
    <s v="Footwear"/>
    <s v="Formal Shoes"/>
    <n v="101.31"/>
    <s v="Summer"/>
    <s v="Card"/>
    <n v="3.6"/>
    <x v="6"/>
    <n v="3"/>
    <n v="120.60714285714286"/>
    <n v="19.297142857142859"/>
    <x v="0"/>
    <n v="1"/>
  </r>
  <r>
    <n v="3301"/>
    <n v="37"/>
    <s v="Male"/>
    <s v="Electronics"/>
    <s v="Laptop"/>
    <n v="1894.44"/>
    <s v="Winter"/>
    <s v="Card"/>
    <n v="4.3"/>
    <x v="8"/>
    <n v="6"/>
    <n v="2152.7727272727275"/>
    <n v="258.33272727272742"/>
    <x v="1"/>
    <n v="1"/>
  </r>
  <r>
    <n v="3302"/>
    <n v="44"/>
    <s v="Female"/>
    <s v="Footwear"/>
    <s v="Sneakers"/>
    <n v="110.78"/>
    <s v="Spring"/>
    <s v="Card"/>
    <n v="3.3"/>
    <x v="3"/>
    <n v="5"/>
    <n v="138.47499999999999"/>
    <n v="27.694999999999993"/>
    <x v="1"/>
    <n v="1"/>
  </r>
  <r>
    <n v="3303"/>
    <n v="45"/>
    <s v="Female"/>
    <s v="Beauty"/>
    <s v="Makeup Set"/>
    <n v="40.99"/>
    <s v="Spring"/>
    <s v="Card"/>
    <n v="3.8"/>
    <x v="4"/>
    <n v="2"/>
    <n v="47.662790697674424"/>
    <n v="6.6727906976744222"/>
    <x v="1"/>
    <n v="1"/>
  </r>
  <r>
    <n v="3304"/>
    <n v="66"/>
    <s v="Female"/>
    <s v="Womens Clothing"/>
    <s v="Dress"/>
    <n v="45.9"/>
    <s v="Summer"/>
    <s v="Cash on Delivery"/>
    <n v="3.5"/>
    <x v="6"/>
    <n v="8"/>
    <n v="54.642857142857146"/>
    <n v="8.7428571428571473"/>
    <x v="2"/>
    <n v="1"/>
  </r>
  <r>
    <n v="3305"/>
    <n v="61"/>
    <s v="Female"/>
    <s v="Accessories"/>
    <s v="Wallet"/>
    <n v="48.25"/>
    <s v="Winter"/>
    <s v="Card"/>
    <n v="3.6"/>
    <x v="7"/>
    <n v="5"/>
    <n v="53.611111111111107"/>
    <n v="5.3611111111111072"/>
    <x v="0"/>
    <n v="1"/>
  </r>
  <r>
    <n v="3306"/>
    <n v="49"/>
    <s v="Male"/>
    <s v="Electronics"/>
    <s v="Mobile Phone"/>
    <n v="2743.44"/>
    <s v="Summer"/>
    <s v="Card"/>
    <n v="4.7"/>
    <x v="3"/>
    <n v="5"/>
    <n v="3429.2999999999997"/>
    <n v="685.85999999999967"/>
    <x v="4"/>
    <n v="1"/>
  </r>
  <r>
    <n v="3307"/>
    <n v="21"/>
    <s v="Female"/>
    <s v="Womens Clothing"/>
    <s v="Top"/>
    <n v="103.61"/>
    <s v="Autumn"/>
    <s v="Card"/>
    <n v="3.8"/>
    <x v="7"/>
    <n v="5"/>
    <n v="115.12222222222222"/>
    <n v="11.512222222222221"/>
    <x v="3"/>
    <n v="1"/>
  </r>
  <r>
    <n v="3308"/>
    <n v="28"/>
    <s v="Male"/>
    <s v="Electronics"/>
    <s v="Mobile Phone"/>
    <n v="2722.53"/>
    <s v="Spring"/>
    <s v="Card"/>
    <n v="3.9"/>
    <x v="14"/>
    <n v="6"/>
    <n v="3280.1566265060246"/>
    <n v="557.62662650602442"/>
    <x v="5"/>
    <n v="1"/>
  </r>
  <r>
    <n v="3309"/>
    <n v="41"/>
    <s v="Male"/>
    <s v="Electronics"/>
    <s v="Smart Watch"/>
    <n v="956.14"/>
    <s v="Autumn"/>
    <s v="Card"/>
    <n v="3.5"/>
    <x v="21"/>
    <n v="8"/>
    <n v="1210.3037974683543"/>
    <n v="254.16379746835435"/>
    <x v="1"/>
    <n v="1"/>
  </r>
  <r>
    <n v="3310"/>
    <n v="59"/>
    <s v="Male"/>
    <s v="Mens Clothing"/>
    <s v="Jacket"/>
    <n v="179.08"/>
    <s v="Winter"/>
    <s v="Card"/>
    <n v="3.9"/>
    <x v="2"/>
    <n v="3"/>
    <n v="201.21348314606743"/>
    <n v="22.13348314606742"/>
    <x v="0"/>
    <n v="1"/>
  </r>
  <r>
    <n v="3311"/>
    <n v="70"/>
    <s v="Male"/>
    <s v="Footwear"/>
    <s v="Sneakers"/>
    <n v="237.9"/>
    <s v="Winter"/>
    <s v="Card"/>
    <n v="3.3"/>
    <x v="1"/>
    <n v="4"/>
    <n v="273.44827586206895"/>
    <n v="35.548275862068948"/>
    <x v="2"/>
    <n v="1"/>
  </r>
  <r>
    <n v="3312"/>
    <n v="21"/>
    <s v="Female"/>
    <s v="Footwear"/>
    <s v="Formal Shoes"/>
    <n v="112.2"/>
    <s v="Winter"/>
    <s v="Card"/>
    <n v="3"/>
    <x v="19"/>
    <n v="5"/>
    <n v="132"/>
    <n v="19.799999999999997"/>
    <x v="3"/>
    <n v="1"/>
  </r>
  <r>
    <n v="3313"/>
    <n v="53"/>
    <s v="Female"/>
    <s v="Womens Clothing"/>
    <s v="Dress"/>
    <n v="100.01"/>
    <s v="Summer"/>
    <s v="Card"/>
    <n v="3.4"/>
    <x v="21"/>
    <n v="8"/>
    <n v="126.59493670886076"/>
    <n v="26.584936708860752"/>
    <x v="4"/>
    <n v="1"/>
  </r>
  <r>
    <n v="3314"/>
    <n v="46"/>
    <s v="Male"/>
    <s v="Footwear"/>
    <s v="Formal Shoes"/>
    <n v="70.16"/>
    <s v="Autumn"/>
    <s v="Card"/>
    <n v="4"/>
    <x v="10"/>
    <n v="6"/>
    <n v="89.948717948717942"/>
    <n v="19.788717948717945"/>
    <x v="4"/>
    <n v="1"/>
  </r>
  <r>
    <n v="3315"/>
    <n v="61"/>
    <s v="Female"/>
    <s v="Womens Clothing"/>
    <s v="Skirt"/>
    <n v="128.44"/>
    <s v="Spring"/>
    <s v="Card"/>
    <n v="4.5999999999999996"/>
    <x v="0"/>
    <n v="4"/>
    <n v="156.63414634146341"/>
    <n v="28.194146341463409"/>
    <x v="0"/>
    <n v="1"/>
  </r>
  <r>
    <n v="3316"/>
    <n v="43"/>
    <s v="Male"/>
    <s v="Mens Clothing"/>
    <s v="T-Shirt"/>
    <n v="84.29"/>
    <s v="Spring"/>
    <s v="Cash on Delivery"/>
    <n v="3"/>
    <x v="5"/>
    <n v="4"/>
    <n v="91.619565217391312"/>
    <n v="7.3295652173913055"/>
    <x v="1"/>
    <n v="1"/>
  </r>
  <r>
    <n v="3317"/>
    <n v="39"/>
    <s v="Female"/>
    <s v="Footwear"/>
    <s v="Sneakers"/>
    <n v="139.91"/>
    <s v="Winter"/>
    <s v="Card"/>
    <n v="3.8"/>
    <x v="8"/>
    <n v="6"/>
    <n v="158.98863636363635"/>
    <n v="19.078636363636349"/>
    <x v="1"/>
    <n v="1"/>
  </r>
  <r>
    <n v="3318"/>
    <n v="25"/>
    <s v="Female"/>
    <s v="Footwear"/>
    <s v="Sandals"/>
    <n v="66.52"/>
    <s v="Autumn"/>
    <s v="Cash on Delivery"/>
    <n v="3.8"/>
    <x v="5"/>
    <n v="4"/>
    <n v="72.304347826086953"/>
    <n v="5.7843478260869574"/>
    <x v="3"/>
    <n v="1"/>
  </r>
  <r>
    <n v="3319"/>
    <n v="69"/>
    <s v="Female"/>
    <s v="Beauty"/>
    <s v="Perfume"/>
    <n v="49.37"/>
    <s v="Autumn"/>
    <s v="Cash on Delivery"/>
    <n v="4.3"/>
    <x v="15"/>
    <n v="1"/>
    <n v="50.377551020408163"/>
    <n v="1.0075510204081652"/>
    <x v="2"/>
    <n v="1"/>
  </r>
  <r>
    <n v="3320"/>
    <n v="52"/>
    <s v="Female"/>
    <s v="Beauty"/>
    <s v="Skincare Kit"/>
    <n v="33.78"/>
    <s v="Spring"/>
    <s v="Cash on Delivery"/>
    <n v="2.4"/>
    <x v="19"/>
    <n v="5"/>
    <n v="39.741176470588236"/>
    <n v="5.9611764705882351"/>
    <x v="4"/>
    <n v="1"/>
  </r>
  <r>
    <n v="3321"/>
    <n v="40"/>
    <s v="Male"/>
    <s v="Mens Clothing"/>
    <s v="Jacket"/>
    <n v="70.77"/>
    <s v="Autumn"/>
    <s v="Card"/>
    <n v="4.5"/>
    <x v="6"/>
    <n v="3"/>
    <n v="84.25"/>
    <n v="13.480000000000004"/>
    <x v="1"/>
    <n v="1"/>
  </r>
  <r>
    <n v="3322"/>
    <n v="29"/>
    <s v="Female"/>
    <s v="Womens Clothing"/>
    <s v="Jeans"/>
    <n v="65.09"/>
    <s v="Spring"/>
    <s v="Cash on Delivery"/>
    <n v="4.5999999999999996"/>
    <x v="17"/>
    <n v="2"/>
    <n v="67.802083333333343"/>
    <n v="2.7120833333333394"/>
    <x v="5"/>
    <n v="1"/>
  </r>
  <r>
    <n v="3323"/>
    <n v="65"/>
    <s v="Male"/>
    <s v="Sports"/>
    <s v="Yoga Mat"/>
    <n v="245.06"/>
    <s v="Spring"/>
    <s v="Card"/>
    <n v="3.1"/>
    <x v="7"/>
    <n v="5"/>
    <n v="272.28888888888889"/>
    <n v="27.228888888888889"/>
    <x v="0"/>
    <n v="1"/>
  </r>
  <r>
    <n v="3324"/>
    <n v="61"/>
    <s v="Female"/>
    <s v="Accessories"/>
    <s v="Handbag"/>
    <n v="68.040000000000006"/>
    <s v="Autumn"/>
    <s v="Cash on Delivery"/>
    <n v="4.9000000000000004"/>
    <x v="0"/>
    <n v="9"/>
    <n v="82.975609756097569"/>
    <n v="14.935609756097563"/>
    <x v="0"/>
    <n v="1"/>
  </r>
  <r>
    <n v="3325"/>
    <n v="66"/>
    <s v="Female"/>
    <s v="Accessories"/>
    <s v="Handbag"/>
    <n v="41.18"/>
    <s v="Winter"/>
    <s v="Cash on Delivery"/>
    <n v="2.8"/>
    <x v="15"/>
    <n v="1"/>
    <n v="42.020408163265309"/>
    <n v="0.84040816326530887"/>
    <x v="2"/>
    <n v="1"/>
  </r>
  <r>
    <n v="3326"/>
    <n v="63"/>
    <s v="Male"/>
    <s v="Sports"/>
    <s v="Football"/>
    <n v="154.11000000000001"/>
    <s v="Autumn"/>
    <s v="Card"/>
    <n v="3.3"/>
    <x v="1"/>
    <n v="4"/>
    <n v="177.13793103448276"/>
    <n v="23.027931034482748"/>
    <x v="0"/>
    <n v="1"/>
  </r>
  <r>
    <n v="3327"/>
    <n v="24"/>
    <s v="Female"/>
    <s v="Footwear"/>
    <s v="Sneakers"/>
    <n v="174.93"/>
    <s v="Summer"/>
    <s v="Card"/>
    <n v="3.9"/>
    <x v="14"/>
    <n v="6"/>
    <n v="210.75903614457835"/>
    <n v="35.829036144578339"/>
    <x v="3"/>
    <n v="1"/>
  </r>
  <r>
    <n v="3328"/>
    <n v="38"/>
    <s v="Male"/>
    <s v="Mens Clothing"/>
    <s v="Jacket"/>
    <n v="192.91"/>
    <s v="Spring"/>
    <s v="Card"/>
    <n v="3.6"/>
    <x v="6"/>
    <n v="8"/>
    <n v="229.6547619047619"/>
    <n v="36.744761904761901"/>
    <x v="1"/>
    <n v="1"/>
  </r>
  <r>
    <n v="3329"/>
    <n v="21"/>
    <s v="Female"/>
    <s v="Footwear"/>
    <s v="Formal Shoes"/>
    <n v="42.33"/>
    <s v="Summer"/>
    <s v="Cash on Delivery"/>
    <n v="2.9"/>
    <x v="13"/>
    <n v="2"/>
    <n v="46.516483516483511"/>
    <n v="4.1864835164835128"/>
    <x v="3"/>
    <n v="1"/>
  </r>
  <r>
    <n v="3330"/>
    <n v="41"/>
    <s v="Female"/>
    <s v="Home"/>
    <s v="Curtains"/>
    <n v="260.49"/>
    <s v="Summer"/>
    <s v="Card"/>
    <n v="4"/>
    <x v="10"/>
    <n v="6"/>
    <n v="333.96153846153845"/>
    <n v="73.471538461538444"/>
    <x v="1"/>
    <n v="1"/>
  </r>
  <r>
    <n v="3331"/>
    <n v="42"/>
    <s v="Male"/>
    <s v="Mens Clothing"/>
    <s v="Jeans"/>
    <n v="48.33"/>
    <s v="Summer"/>
    <s v="Cash on Delivery"/>
    <n v="5"/>
    <x v="7"/>
    <n v="5"/>
    <n v="53.699999999999996"/>
    <n v="5.3699999999999974"/>
    <x v="1"/>
    <n v="1"/>
  </r>
  <r>
    <n v="3332"/>
    <n v="56"/>
    <s v="Female"/>
    <s v="Beauty"/>
    <s v="Makeup Set"/>
    <n v="100.08"/>
    <s v="Summer"/>
    <s v="Card"/>
    <n v="3.5"/>
    <x v="5"/>
    <n v="4"/>
    <n v="108.78260869565217"/>
    <n v="8.7026086956521738"/>
    <x v="0"/>
    <n v="1"/>
  </r>
  <r>
    <n v="3333"/>
    <n v="25"/>
    <s v="Male"/>
    <s v="Footwear"/>
    <s v="Formal Shoes"/>
    <n v="98.36"/>
    <s v="Autumn"/>
    <s v="Card"/>
    <n v="4.3"/>
    <x v="13"/>
    <n v="2"/>
    <n v="108.08791208791209"/>
    <n v="9.7279120879120882"/>
    <x v="3"/>
    <n v="1"/>
  </r>
  <r>
    <n v="3334"/>
    <n v="34"/>
    <s v="Male"/>
    <s v="Electronics"/>
    <s v="Mobile Phone"/>
    <n v="2073.3000000000002"/>
    <s v="Autumn"/>
    <s v="Card"/>
    <n v="4.2"/>
    <x v="5"/>
    <n v="4"/>
    <n v="2253.586956521739"/>
    <n v="180.28695652173883"/>
    <x v="5"/>
    <n v="1"/>
  </r>
  <r>
    <n v="3335"/>
    <n v="47"/>
    <s v="Female"/>
    <s v="Womens Clothing"/>
    <s v="Top"/>
    <n v="98.36"/>
    <s v="Summer"/>
    <s v="Cash on Delivery"/>
    <n v="3.7"/>
    <x v="0"/>
    <n v="4"/>
    <n v="119.95121951219511"/>
    <n v="21.59121951219511"/>
    <x v="4"/>
    <n v="1"/>
  </r>
  <r>
    <n v="3336"/>
    <n v="35"/>
    <s v="Male"/>
    <s v="Sports"/>
    <s v="Football"/>
    <n v="32.78"/>
    <s v="Spring"/>
    <s v="Cash on Delivery"/>
    <n v="4.5"/>
    <x v="7"/>
    <n v="5"/>
    <n v="36.422222222222224"/>
    <n v="3.6422222222222231"/>
    <x v="5"/>
    <n v="1"/>
  </r>
  <r>
    <n v="3337"/>
    <n v="26"/>
    <s v="Male"/>
    <s v="Sports"/>
    <s v="Dumbbells"/>
    <n v="168"/>
    <s v="Spring"/>
    <s v="Card"/>
    <n v="2.9"/>
    <x v="4"/>
    <n v="7"/>
    <n v="195.34883720930233"/>
    <n v="27.348837209302332"/>
    <x v="5"/>
    <n v="1"/>
  </r>
  <r>
    <n v="3338"/>
    <n v="63"/>
    <s v="Male"/>
    <s v="Electronics"/>
    <s v="Headphones"/>
    <n v="2939.08"/>
    <s v="Summer"/>
    <s v="Card"/>
    <n v="3.3"/>
    <x v="0"/>
    <n v="4"/>
    <n v="3584.2439024390242"/>
    <n v="645.16390243902424"/>
    <x v="0"/>
    <n v="1"/>
  </r>
  <r>
    <n v="3339"/>
    <n v="59"/>
    <s v="Female"/>
    <s v="Accessories"/>
    <s v="Sunglasses"/>
    <n v="37.43"/>
    <s v="Winter"/>
    <s v="Cash on Delivery"/>
    <n v="2.4"/>
    <x v="0"/>
    <n v="4"/>
    <n v="45.646341463414629"/>
    <n v="8.2163414634146292"/>
    <x v="0"/>
    <n v="1"/>
  </r>
  <r>
    <n v="3340"/>
    <n v="57"/>
    <s v="Male"/>
    <s v="Footwear"/>
    <s v="Sneakers"/>
    <n v="219.41"/>
    <s v="Summer"/>
    <s v="Card"/>
    <n v="4.3"/>
    <x v="0"/>
    <n v="4"/>
    <n v="267.57317073170731"/>
    <n v="48.163170731707311"/>
    <x v="0"/>
    <n v="1"/>
  </r>
  <r>
    <n v="3341"/>
    <n v="24"/>
    <s v="Female"/>
    <s v="Footwear"/>
    <s v="Sandals"/>
    <n v="79.680000000000007"/>
    <s v="Spring"/>
    <s v="Card"/>
    <n v="3.6"/>
    <x v="7"/>
    <n v="5"/>
    <n v="88.533333333333346"/>
    <n v="8.8533333333333388"/>
    <x v="3"/>
    <n v="1"/>
  </r>
  <r>
    <n v="3342"/>
    <n v="44"/>
    <s v="Female"/>
    <s v="Beauty"/>
    <s v="Perfume"/>
    <n v="83.41"/>
    <s v="Spring"/>
    <s v="Cash on Delivery"/>
    <n v="3.2"/>
    <x v="4"/>
    <n v="7"/>
    <n v="96.988372093023258"/>
    <n v="13.578372093023262"/>
    <x v="1"/>
    <n v="1"/>
  </r>
  <r>
    <n v="3343"/>
    <n v="35"/>
    <s v="Male"/>
    <s v="Groceries"/>
    <s v="Beverages"/>
    <n v="19.63"/>
    <s v="Summer"/>
    <s v="Card"/>
    <n v="4.8"/>
    <x v="8"/>
    <n v="6"/>
    <n v="22.30681818181818"/>
    <n v="2.6768181818181809"/>
    <x v="5"/>
    <n v="1"/>
  </r>
  <r>
    <n v="3344"/>
    <n v="55"/>
    <s v="Male"/>
    <s v="Mens Clothing"/>
    <s v="Shirt"/>
    <n v="112.09"/>
    <s v="Autumn"/>
    <s v="Card"/>
    <n v="3.6"/>
    <x v="5"/>
    <n v="4"/>
    <n v="121.83695652173913"/>
    <n v="9.7469565217391221"/>
    <x v="4"/>
    <n v="1"/>
  </r>
  <r>
    <n v="3345"/>
    <n v="31"/>
    <s v="Female"/>
    <s v="Home"/>
    <s v="Curtains"/>
    <n v="218.84"/>
    <s v="Summer"/>
    <s v="Card"/>
    <n v="4.0999999999999996"/>
    <x v="3"/>
    <n v="5"/>
    <n v="273.55"/>
    <n v="54.710000000000008"/>
    <x v="5"/>
    <n v="1"/>
  </r>
  <r>
    <n v="3346"/>
    <n v="62"/>
    <s v="Female"/>
    <s v="Beauty"/>
    <s v="Perfume"/>
    <n v="136.35"/>
    <s v="Winter"/>
    <s v="Card"/>
    <n v="2.7"/>
    <x v="8"/>
    <n v="6"/>
    <n v="154.94318181818181"/>
    <n v="18.593181818181819"/>
    <x v="0"/>
    <n v="1"/>
  </r>
  <r>
    <n v="3347"/>
    <n v="52"/>
    <s v="Female"/>
    <s v="Sports"/>
    <s v="Dumbbells"/>
    <n v="210.16"/>
    <s v="Autumn"/>
    <s v="Card"/>
    <n v="3"/>
    <x v="7"/>
    <n v="5"/>
    <n v="233.51111111111109"/>
    <n v="23.351111111111095"/>
    <x v="4"/>
    <n v="1"/>
  </r>
  <r>
    <n v="3348"/>
    <n v="53"/>
    <s v="Male"/>
    <s v="Mens Clothing"/>
    <s v="Shirt"/>
    <n v="90.13"/>
    <s v="Spring"/>
    <s v="Card"/>
    <n v="3.5"/>
    <x v="0"/>
    <n v="4"/>
    <n v="109.91463414634146"/>
    <n v="19.78463414634146"/>
    <x v="4"/>
    <n v="1"/>
  </r>
  <r>
    <n v="3349"/>
    <n v="28"/>
    <s v="Female"/>
    <s v="Beauty"/>
    <s v="Skincare Kit"/>
    <n v="132.16999999999999"/>
    <s v="Autumn"/>
    <s v="Card"/>
    <n v="2.7"/>
    <x v="12"/>
    <n v="7"/>
    <n v="163.17283950617281"/>
    <n v="31.002839506172819"/>
    <x v="5"/>
    <n v="1"/>
  </r>
  <r>
    <n v="3350"/>
    <n v="20"/>
    <s v="Male"/>
    <s v="Footwear"/>
    <s v="Formal Shoes"/>
    <n v="162.4"/>
    <s v="Winter"/>
    <s v="Card"/>
    <n v="3.5"/>
    <x v="5"/>
    <n v="4"/>
    <n v="176.52173913043478"/>
    <n v="14.121739130434776"/>
    <x v="3"/>
    <n v="1"/>
  </r>
  <r>
    <n v="3351"/>
    <n v="47"/>
    <s v="Female"/>
    <s v="Home"/>
    <s v="Lamp"/>
    <n v="242.74"/>
    <s v="Autumn"/>
    <s v="Card"/>
    <n v="2.8"/>
    <x v="2"/>
    <n v="3"/>
    <n v="272.74157303370788"/>
    <n v="30.001573033707871"/>
    <x v="4"/>
    <n v="1"/>
  </r>
  <r>
    <n v="3352"/>
    <n v="40"/>
    <s v="Male"/>
    <s v="Mens Clothing"/>
    <s v="T-Shirt"/>
    <n v="113.99"/>
    <s v="Spring"/>
    <s v="Card"/>
    <n v="3.2"/>
    <x v="16"/>
    <n v="3"/>
    <n v="121.26595744680851"/>
    <n v="7.2759574468085191"/>
    <x v="1"/>
    <n v="1"/>
  </r>
  <r>
    <n v="3353"/>
    <n v="24"/>
    <s v="Female"/>
    <s v="Accessories"/>
    <s v="Sunglasses"/>
    <n v="45.95"/>
    <s v="Summer"/>
    <s v="Cash on Delivery"/>
    <n v="3.9"/>
    <x v="8"/>
    <n v="1"/>
    <n v="52.215909090909093"/>
    <n v="6.2659090909090907"/>
    <x v="3"/>
    <n v="1"/>
  </r>
  <r>
    <n v="3354"/>
    <n v="24"/>
    <s v="Female"/>
    <s v="Accessories"/>
    <s v="Handbag"/>
    <n v="144.09"/>
    <s v="Spring"/>
    <s v="Card"/>
    <n v="5"/>
    <x v="24"/>
    <n v="9"/>
    <n v="200.125"/>
    <n v="56.034999999999997"/>
    <x v="3"/>
    <n v="1"/>
  </r>
  <r>
    <n v="3355"/>
    <n v="59"/>
    <s v="Male"/>
    <s v="Home"/>
    <s v="Curtains"/>
    <n v="79.319999999999993"/>
    <s v="Winter"/>
    <s v="Cash on Delivery"/>
    <n v="4.4000000000000004"/>
    <x v="10"/>
    <n v="6"/>
    <n v="101.69230769230768"/>
    <n v="22.372307692307686"/>
    <x v="0"/>
    <n v="1"/>
  </r>
  <r>
    <n v="3356"/>
    <n v="47"/>
    <s v="Female"/>
    <s v="Accessories"/>
    <s v="Wallet"/>
    <n v="39.79"/>
    <s v="Summer"/>
    <s v="Card"/>
    <n v="3.3"/>
    <x v="2"/>
    <n v="3"/>
    <n v="44.707865168539321"/>
    <n v="4.917865168539322"/>
    <x v="4"/>
    <n v="1"/>
  </r>
  <r>
    <n v="3357"/>
    <n v="68"/>
    <s v="Male"/>
    <s v="Footwear"/>
    <s v="Formal Shoes"/>
    <n v="205.44"/>
    <s v="Spring"/>
    <s v="Card"/>
    <n v="2"/>
    <x v="0"/>
    <n v="4"/>
    <n v="250.53658536585363"/>
    <n v="45.096585365853628"/>
    <x v="2"/>
    <n v="1"/>
  </r>
  <r>
    <n v="3358"/>
    <n v="56"/>
    <s v="Male"/>
    <s v="Sports"/>
    <s v="Yoga Mat"/>
    <n v="53.45"/>
    <s v="Summer"/>
    <s v="Cash on Delivery"/>
    <n v="4.5999999999999996"/>
    <x v="7"/>
    <n v="0"/>
    <n v="59.388888888888893"/>
    <n v="5.93888888888889"/>
    <x v="0"/>
    <n v="1"/>
  </r>
  <r>
    <n v="3359"/>
    <n v="34"/>
    <s v="Male"/>
    <s v="Sports"/>
    <s v="Dumbbells"/>
    <n v="110.27"/>
    <s v="Winter"/>
    <s v="Card"/>
    <n v="3.3"/>
    <x v="6"/>
    <n v="8"/>
    <n v="131.27380952380952"/>
    <n v="21.003809523809522"/>
    <x v="5"/>
    <n v="1"/>
  </r>
  <r>
    <n v="3360"/>
    <n v="31"/>
    <s v="Male"/>
    <s v="Footwear"/>
    <s v="Sneakers"/>
    <n v="234.04"/>
    <s v="Autumn"/>
    <s v="Card"/>
    <n v="4.5999999999999996"/>
    <x v="4"/>
    <n v="7"/>
    <n v="272.1395348837209"/>
    <n v="38.099534883720906"/>
    <x v="5"/>
    <n v="1"/>
  </r>
  <r>
    <n v="3361"/>
    <n v="22"/>
    <s v="Female"/>
    <s v="Accessories"/>
    <s v="Wallet"/>
    <n v="116.71"/>
    <s v="Winter"/>
    <s v="Card"/>
    <n v="3.8"/>
    <x v="7"/>
    <n v="5"/>
    <n v="129.67777777777778"/>
    <n v="12.967777777777783"/>
    <x v="3"/>
    <n v="1"/>
  </r>
  <r>
    <n v="3362"/>
    <n v="59"/>
    <s v="Male"/>
    <s v="Mens Clothing"/>
    <s v="T-Shirt"/>
    <n v="176.93"/>
    <s v="Winter"/>
    <s v="Card"/>
    <n v="5"/>
    <x v="24"/>
    <n v="9"/>
    <n v="245.73611111111114"/>
    <n v="68.806111111111136"/>
    <x v="0"/>
    <n v="1"/>
  </r>
  <r>
    <n v="3363"/>
    <n v="20"/>
    <s v="Male"/>
    <s v="Footwear"/>
    <s v="Sneakers"/>
    <n v="51.56"/>
    <s v="Spring"/>
    <s v="Card"/>
    <n v="3.5"/>
    <x v="3"/>
    <n v="5"/>
    <n v="64.45"/>
    <n v="12.89"/>
    <x v="3"/>
    <n v="1"/>
  </r>
  <r>
    <n v="3364"/>
    <n v="51"/>
    <s v="Female"/>
    <s v="Beauty"/>
    <s v="Skincare Kit"/>
    <n v="94.53"/>
    <s v="Winter"/>
    <s v="Cash on Delivery"/>
    <n v="3.7"/>
    <x v="0"/>
    <n v="4"/>
    <n v="115.28048780487804"/>
    <n v="20.750487804878034"/>
    <x v="4"/>
    <n v="1"/>
  </r>
  <r>
    <n v="3365"/>
    <n v="22"/>
    <s v="Female"/>
    <s v="Sports"/>
    <s v="Football"/>
    <n v="52.91"/>
    <s v="Autumn"/>
    <s v="Cash on Delivery"/>
    <n v="4.3"/>
    <x v="11"/>
    <n v="8"/>
    <n v="71.5"/>
    <n v="18.590000000000003"/>
    <x v="3"/>
    <n v="1"/>
  </r>
  <r>
    <n v="3366"/>
    <n v="26"/>
    <s v="Female"/>
    <s v="Footwear"/>
    <s v="Sandals"/>
    <n v="118.99"/>
    <s v="Spring"/>
    <s v="Card"/>
    <n v="4.0999999999999996"/>
    <x v="1"/>
    <n v="4"/>
    <n v="136.77011494252872"/>
    <n v="17.780114942528726"/>
    <x v="5"/>
    <n v="1"/>
  </r>
  <r>
    <n v="3367"/>
    <n v="36"/>
    <s v="Female"/>
    <s v="Accessories"/>
    <s v="Handbag"/>
    <n v="142.22"/>
    <s v="Summer"/>
    <s v="Card"/>
    <n v="3.1"/>
    <x v="3"/>
    <n v="5"/>
    <n v="177.77499999999998"/>
    <n v="35.554999999999978"/>
    <x v="1"/>
    <n v="1"/>
  </r>
  <r>
    <n v="3368"/>
    <n v="38"/>
    <s v="Female"/>
    <s v="Home"/>
    <s v="Lamp"/>
    <n v="279.22000000000003"/>
    <s v="Summer"/>
    <s v="Card"/>
    <n v="4.3"/>
    <x v="26"/>
    <n v="0"/>
    <n v="293.91578947368424"/>
    <n v="14.695789473684215"/>
    <x v="1"/>
    <n v="1"/>
  </r>
  <r>
    <n v="3369"/>
    <n v="22"/>
    <s v="Female"/>
    <s v="Beauty"/>
    <s v="Makeup Set"/>
    <n v="69.319999999999993"/>
    <s v="Autumn"/>
    <s v="Cash on Delivery"/>
    <n v="3.2"/>
    <x v="6"/>
    <n v="3"/>
    <n v="82.523809523809518"/>
    <n v="13.203809523809525"/>
    <x v="3"/>
    <n v="1"/>
  </r>
  <r>
    <n v="3370"/>
    <n v="48"/>
    <s v="Male"/>
    <s v="Sports"/>
    <s v="Yoga Mat"/>
    <n v="185.35"/>
    <s v="Spring"/>
    <s v="Card"/>
    <n v="1.7"/>
    <x v="6"/>
    <n v="3"/>
    <n v="220.6547619047619"/>
    <n v="35.304761904761904"/>
    <x v="4"/>
    <n v="1"/>
  </r>
  <r>
    <n v="3371"/>
    <n v="42"/>
    <s v="Female"/>
    <s v="Sports"/>
    <s v="Dumbbells"/>
    <n v="93.72"/>
    <s v="Winter"/>
    <s v="Card"/>
    <n v="4.0999999999999996"/>
    <x v="0"/>
    <n v="4"/>
    <n v="114.29268292682926"/>
    <n v="20.572682926829259"/>
    <x v="1"/>
    <n v="1"/>
  </r>
  <r>
    <n v="3372"/>
    <n v="24"/>
    <s v="Male"/>
    <s v="Mens Clothing"/>
    <s v="Shirt"/>
    <n v="158.33000000000001"/>
    <s v="Spring"/>
    <s v="Card"/>
    <n v="3.2"/>
    <x v="19"/>
    <n v="5"/>
    <n v="186.27058823529413"/>
    <n v="27.940588235294115"/>
    <x v="3"/>
    <n v="1"/>
  </r>
  <r>
    <n v="3373"/>
    <n v="24"/>
    <s v="Male"/>
    <s v="Footwear"/>
    <s v="Sandals"/>
    <n v="73.819999999999993"/>
    <s v="Autumn"/>
    <s v="Cash on Delivery"/>
    <n v="3.7"/>
    <x v="10"/>
    <n v="6"/>
    <n v="94.641025641025635"/>
    <n v="20.821025641025642"/>
    <x v="3"/>
    <n v="1"/>
  </r>
  <r>
    <n v="3374"/>
    <n v="63"/>
    <s v="Male"/>
    <s v="Groceries"/>
    <s v="Rice Pack"/>
    <n v="13.69"/>
    <s v="Spring"/>
    <s v="Card"/>
    <n v="3.7"/>
    <x v="6"/>
    <n v="8"/>
    <n v="16.297619047619047"/>
    <n v="2.6076190476190479"/>
    <x v="0"/>
    <n v="1"/>
  </r>
  <r>
    <n v="3375"/>
    <n v="34"/>
    <s v="Male"/>
    <s v="Mens Clothing"/>
    <s v="Jacket"/>
    <n v="59.1"/>
    <s v="Autumn"/>
    <s v="Card"/>
    <n v="3.6"/>
    <x v="10"/>
    <n v="6"/>
    <n v="75.769230769230774"/>
    <n v="16.669230769230772"/>
    <x v="5"/>
    <n v="1"/>
  </r>
  <r>
    <n v="3376"/>
    <n v="57"/>
    <s v="Female"/>
    <s v="Home"/>
    <s v="Lamp"/>
    <n v="148.53"/>
    <s v="Winter"/>
    <s v="Card"/>
    <n v="3.8"/>
    <x v="6"/>
    <n v="3"/>
    <n v="176.82142857142858"/>
    <n v="28.291428571428582"/>
    <x v="0"/>
    <n v="1"/>
  </r>
  <r>
    <n v="3377"/>
    <n v="62"/>
    <s v="Male"/>
    <s v="Footwear"/>
    <s v="Formal Shoes"/>
    <n v="171"/>
    <s v="Winter"/>
    <s v="Card"/>
    <n v="4"/>
    <x v="0"/>
    <n v="4"/>
    <n v="208.53658536585365"/>
    <n v="37.536585365853654"/>
    <x v="0"/>
    <n v="1"/>
  </r>
  <r>
    <n v="3378"/>
    <n v="49"/>
    <s v="Male"/>
    <s v="Groceries"/>
    <s v="Beverages"/>
    <n v="56.43"/>
    <s v="Winter"/>
    <s v="Cash on Delivery"/>
    <n v="3.2"/>
    <x v="6"/>
    <n v="3"/>
    <n v="67.178571428571431"/>
    <n v="10.748571428571431"/>
    <x v="4"/>
    <n v="1"/>
  </r>
  <r>
    <n v="3379"/>
    <n v="41"/>
    <s v="Female"/>
    <s v="Beauty"/>
    <s v="Makeup Set"/>
    <n v="85.3"/>
    <s v="Spring"/>
    <s v="Card"/>
    <n v="5"/>
    <x v="7"/>
    <n v="5"/>
    <n v="94.777777777777771"/>
    <n v="9.4777777777777743"/>
    <x v="1"/>
    <n v="1"/>
  </r>
  <r>
    <n v="3380"/>
    <n v="47"/>
    <s v="Female"/>
    <s v="Beauty"/>
    <s v="Skincare Kit"/>
    <n v="122.41"/>
    <s v="Autumn"/>
    <s v="Card"/>
    <n v="4.2"/>
    <x v="0"/>
    <n v="4"/>
    <n v="149.28048780487802"/>
    <n v="26.870487804878024"/>
    <x v="4"/>
    <n v="1"/>
  </r>
  <r>
    <n v="3381"/>
    <n v="49"/>
    <s v="Female"/>
    <s v="Footwear"/>
    <s v="Sneakers"/>
    <n v="99.87"/>
    <s v="Autumn"/>
    <s v="Card"/>
    <n v="3.6"/>
    <x v="12"/>
    <n v="7"/>
    <n v="123.29629629629629"/>
    <n v="23.426296296296286"/>
    <x v="4"/>
    <n v="1"/>
  </r>
  <r>
    <n v="3382"/>
    <n v="41"/>
    <s v="Female"/>
    <s v="Footwear"/>
    <s v="Formal Shoes"/>
    <n v="214.67"/>
    <s v="Autumn"/>
    <s v="Card"/>
    <n v="3.7"/>
    <x v="6"/>
    <n v="8"/>
    <n v="255.5595238095238"/>
    <n v="40.889523809523808"/>
    <x v="1"/>
    <n v="1"/>
  </r>
  <r>
    <n v="3383"/>
    <n v="56"/>
    <s v="Female"/>
    <s v="Beauty"/>
    <s v="Skincare Kit"/>
    <n v="48.85"/>
    <s v="Autumn"/>
    <s v="Card"/>
    <n v="4.7"/>
    <x v="6"/>
    <n v="3"/>
    <n v="58.154761904761905"/>
    <n v="9.3047619047619037"/>
    <x v="0"/>
    <n v="1"/>
  </r>
  <r>
    <n v="3384"/>
    <n v="21"/>
    <s v="Female"/>
    <s v="Home"/>
    <s v="Kitchen Set"/>
    <n v="184.48"/>
    <s v="Winter"/>
    <s v="Card"/>
    <n v="4.5999999999999996"/>
    <x v="9"/>
    <n v="11"/>
    <n v="252.71232876712327"/>
    <n v="68.232328767123278"/>
    <x v="3"/>
    <n v="1"/>
  </r>
  <r>
    <n v="3385"/>
    <n v="24"/>
    <s v="Male"/>
    <s v="Sports"/>
    <s v="Dumbbells"/>
    <n v="137.49"/>
    <s v="Summer"/>
    <s v="Card"/>
    <n v="3.3"/>
    <x v="2"/>
    <n v="3"/>
    <n v="154.48314606741573"/>
    <n v="16.993146067415722"/>
    <x v="3"/>
    <n v="1"/>
  </r>
  <r>
    <n v="3386"/>
    <n v="44"/>
    <s v="Female"/>
    <s v="Womens Clothing"/>
    <s v="Skirt"/>
    <n v="32.06"/>
    <s v="Winter"/>
    <s v="Cash on Delivery"/>
    <n v="3.6"/>
    <x v="19"/>
    <n v="5"/>
    <n v="37.71764705882353"/>
    <n v="5.6576470588235281"/>
    <x v="1"/>
    <n v="1"/>
  </r>
  <r>
    <n v="3387"/>
    <n v="68"/>
    <s v="Male"/>
    <s v="Mens Clothing"/>
    <s v="T-Shirt"/>
    <n v="192.92"/>
    <s v="Autumn"/>
    <s v="Card"/>
    <n v="4.0999999999999996"/>
    <x v="1"/>
    <n v="4"/>
    <n v="221.7471264367816"/>
    <n v="28.827126436781612"/>
    <x v="2"/>
    <n v="1"/>
  </r>
  <r>
    <n v="3388"/>
    <n v="41"/>
    <s v="Female"/>
    <s v="Groceries"/>
    <s v="Rice Pack"/>
    <n v="17.899999999999999"/>
    <s v="Summer"/>
    <s v="Card"/>
    <n v="2.5"/>
    <x v="25"/>
    <n v="10"/>
    <n v="25.571428571428569"/>
    <n v="7.6714285714285708"/>
    <x v="1"/>
    <n v="1"/>
  </r>
  <r>
    <n v="3389"/>
    <n v="43"/>
    <s v="Female"/>
    <s v="Sports"/>
    <s v="Dumbbells"/>
    <n v="122.74"/>
    <s v="Summer"/>
    <s v="Card"/>
    <n v="4.5"/>
    <x v="14"/>
    <n v="6"/>
    <n v="147.87951807228916"/>
    <n v="25.139518072289164"/>
    <x v="1"/>
    <n v="1"/>
  </r>
  <r>
    <n v="3390"/>
    <n v="21"/>
    <s v="Female"/>
    <s v="Footwear"/>
    <s v="Sandals"/>
    <n v="84.31"/>
    <s v="Autumn"/>
    <s v="Card"/>
    <n v="3.3"/>
    <x v="17"/>
    <n v="2"/>
    <n v="87.822916666666671"/>
    <n v="3.5129166666666691"/>
    <x v="3"/>
    <n v="1"/>
  </r>
  <r>
    <n v="3391"/>
    <n v="63"/>
    <s v="Female"/>
    <s v="Womens Clothing"/>
    <s v="Dress"/>
    <n v="179.53"/>
    <s v="Autumn"/>
    <s v="Card"/>
    <n v="4.5999999999999996"/>
    <x v="1"/>
    <n v="4"/>
    <n v="206.35632183908046"/>
    <n v="26.826321839080464"/>
    <x v="0"/>
    <n v="1"/>
  </r>
  <r>
    <n v="3392"/>
    <n v="63"/>
    <s v="Female"/>
    <s v="Womens Clothing"/>
    <s v="Jeans"/>
    <n v="102.83"/>
    <s v="Autumn"/>
    <s v="Card"/>
    <n v="2.2999999999999998"/>
    <x v="4"/>
    <n v="7"/>
    <n v="119.56976744186046"/>
    <n v="16.739767441860465"/>
    <x v="0"/>
    <n v="1"/>
  </r>
  <r>
    <n v="3393"/>
    <n v="46"/>
    <s v="Male"/>
    <s v="Electronics"/>
    <s v="Mobile Phone"/>
    <n v="1334.9"/>
    <s v="Summer"/>
    <s v="Card"/>
    <n v="2.4"/>
    <x v="6"/>
    <n v="3"/>
    <n v="1589.1666666666667"/>
    <n v="254.26666666666665"/>
    <x v="4"/>
    <n v="1"/>
  </r>
  <r>
    <n v="3394"/>
    <n v="60"/>
    <s v="Male"/>
    <s v="Electronics"/>
    <s v="Headphones"/>
    <n v="2995.9"/>
    <s v="Spring"/>
    <s v="Card"/>
    <n v="4.5999999999999996"/>
    <x v="4"/>
    <n v="7"/>
    <n v="3483.604651162791"/>
    <n v="487.70465116279092"/>
    <x v="0"/>
    <n v="1"/>
  </r>
  <r>
    <n v="3395"/>
    <n v="26"/>
    <s v="Female"/>
    <s v="Footwear"/>
    <s v="Sandals"/>
    <n v="112.8"/>
    <s v="Autumn"/>
    <s v="Card"/>
    <n v="3.7"/>
    <x v="11"/>
    <n v="8"/>
    <n v="152.43243243243242"/>
    <n v="39.632432432432424"/>
    <x v="5"/>
    <n v="1"/>
  </r>
  <r>
    <n v="3396"/>
    <n v="65"/>
    <s v="Female"/>
    <s v="Beauty"/>
    <s v="Makeup Set"/>
    <n v="116.4"/>
    <s v="Winter"/>
    <s v="Card"/>
    <n v="3.9"/>
    <x v="25"/>
    <n v="10"/>
    <n v="166.28571428571431"/>
    <n v="49.8857142857143"/>
    <x v="0"/>
    <n v="1"/>
  </r>
  <r>
    <n v="3397"/>
    <n v="69"/>
    <s v="Female"/>
    <s v="Accessories"/>
    <s v="Sunglasses"/>
    <n v="106.97"/>
    <s v="Winter"/>
    <s v="Card"/>
    <n v="4.0999999999999996"/>
    <x v="1"/>
    <n v="4"/>
    <n v="122.95402298850574"/>
    <n v="15.984022988505743"/>
    <x v="2"/>
    <n v="1"/>
  </r>
  <r>
    <n v="3398"/>
    <n v="48"/>
    <s v="Male"/>
    <s v="Footwear"/>
    <s v="Sneakers"/>
    <n v="106.53"/>
    <s v="Spring"/>
    <s v="Card"/>
    <n v="4.7"/>
    <x v="10"/>
    <n v="6"/>
    <n v="136.57692307692307"/>
    <n v="30.046923076923065"/>
    <x v="4"/>
    <n v="1"/>
  </r>
  <r>
    <n v="3399"/>
    <n v="22"/>
    <s v="Female"/>
    <s v="Groceries"/>
    <s v="Cooking Oil"/>
    <n v="71.849999999999994"/>
    <s v="Spring"/>
    <s v="Card"/>
    <n v="3.6"/>
    <x v="10"/>
    <n v="6"/>
    <n v="92.115384615384599"/>
    <n v="20.265384615384605"/>
    <x v="3"/>
    <n v="1"/>
  </r>
  <r>
    <n v="3400"/>
    <n v="23"/>
    <s v="Male"/>
    <s v="Sports"/>
    <s v="Dumbbells"/>
    <n v="79.17"/>
    <s v="Summer"/>
    <s v="Card"/>
    <n v="3.9"/>
    <x v="1"/>
    <n v="4"/>
    <n v="91"/>
    <n v="11.829999999999998"/>
    <x v="3"/>
    <n v="1"/>
  </r>
  <r>
    <n v="3401"/>
    <n v="21"/>
    <s v="Male"/>
    <s v="Footwear"/>
    <s v="Sneakers"/>
    <n v="218.6"/>
    <s v="Winter"/>
    <s v="Card"/>
    <n v="4.5"/>
    <x v="8"/>
    <n v="6"/>
    <n v="248.40909090909091"/>
    <n v="29.809090909090912"/>
    <x v="3"/>
    <n v="1"/>
  </r>
  <r>
    <n v="3402"/>
    <n v="54"/>
    <s v="Male"/>
    <s v="Mens Clothing"/>
    <s v="Jacket"/>
    <n v="130.78"/>
    <s v="Autumn"/>
    <s v="Card"/>
    <n v="4.9000000000000004"/>
    <x v="4"/>
    <n v="7"/>
    <n v="152.06976744186048"/>
    <n v="21.289767441860477"/>
    <x v="4"/>
    <n v="1"/>
  </r>
  <r>
    <n v="3403"/>
    <n v="23"/>
    <s v="Male"/>
    <s v="Footwear"/>
    <s v="Sandals"/>
    <n v="76.209999999999994"/>
    <s v="Spring"/>
    <s v="Card"/>
    <n v="4.8"/>
    <x v="2"/>
    <n v="3"/>
    <n v="85.62921348314606"/>
    <n v="9.4192134831460663"/>
    <x v="3"/>
    <n v="1"/>
  </r>
  <r>
    <n v="3404"/>
    <n v="36"/>
    <s v="Male"/>
    <s v="Sports"/>
    <s v="Yoga Mat"/>
    <n v="134.77000000000001"/>
    <s v="Summer"/>
    <s v="Card"/>
    <n v="4.8"/>
    <x v="8"/>
    <n v="6"/>
    <n v="153.14772727272728"/>
    <n v="18.37772727272727"/>
    <x v="1"/>
    <n v="1"/>
  </r>
  <r>
    <n v="3405"/>
    <n v="56"/>
    <s v="Male"/>
    <s v="Sports"/>
    <s v="Dumbbells"/>
    <n v="224.71"/>
    <s v="Autumn"/>
    <s v="Card"/>
    <n v="4.8"/>
    <x v="1"/>
    <n v="4"/>
    <n v="258.28735632183907"/>
    <n v="33.577356321839062"/>
    <x v="0"/>
    <n v="1"/>
  </r>
  <r>
    <n v="3406"/>
    <n v="65"/>
    <s v="Female"/>
    <s v="Beauty"/>
    <s v="Skincare Kit"/>
    <n v="29.46"/>
    <s v="Autumn"/>
    <s v="Card"/>
    <n v="3.6"/>
    <x v="1"/>
    <n v="4"/>
    <n v="33.862068965517246"/>
    <n v="4.4020689655172447"/>
    <x v="0"/>
    <n v="1"/>
  </r>
  <r>
    <n v="3407"/>
    <n v="64"/>
    <s v="Male"/>
    <s v="Mens Clothing"/>
    <s v="Shirt"/>
    <n v="57"/>
    <s v="Summer"/>
    <s v="Cash on Delivery"/>
    <n v="3.6"/>
    <x v="19"/>
    <n v="5"/>
    <n v="67.058823529411768"/>
    <n v="10.058823529411768"/>
    <x v="0"/>
    <n v="1"/>
  </r>
  <r>
    <n v="3408"/>
    <n v="38"/>
    <s v="Male"/>
    <s v="Footwear"/>
    <s v="Sneakers"/>
    <n v="71.58"/>
    <s v="Spring"/>
    <s v="Cash on Delivery"/>
    <n v="3.3"/>
    <x v="1"/>
    <n v="4"/>
    <n v="82.275862068965509"/>
    <n v="10.695862068965511"/>
    <x v="1"/>
    <n v="1"/>
  </r>
  <r>
    <n v="3409"/>
    <n v="34"/>
    <s v="Female"/>
    <s v="Sports"/>
    <s v="Dumbbells"/>
    <n v="213.67"/>
    <s v="Autumn"/>
    <s v="Card"/>
    <n v="3.7"/>
    <x v="10"/>
    <n v="6"/>
    <n v="273.9358974358974"/>
    <n v="60.265897435897415"/>
    <x v="5"/>
    <n v="1"/>
  </r>
  <r>
    <n v="3410"/>
    <n v="35"/>
    <s v="Female"/>
    <s v="Womens Clothing"/>
    <s v="Skirt"/>
    <n v="97.07"/>
    <s v="Spring"/>
    <s v="Cash on Delivery"/>
    <n v="3.1"/>
    <x v="0"/>
    <n v="4"/>
    <n v="118.37804878048779"/>
    <n v="21.308048780487795"/>
    <x v="5"/>
    <n v="1"/>
  </r>
  <r>
    <n v="3411"/>
    <n v="67"/>
    <s v="Female"/>
    <s v="Accessories"/>
    <s v="Sunglasses"/>
    <n v="154.84"/>
    <s v="Winter"/>
    <s v="Card"/>
    <n v="3.9"/>
    <x v="0"/>
    <n v="4"/>
    <n v="188.82926829268291"/>
    <n v="33.989268292682908"/>
    <x v="2"/>
    <n v="1"/>
  </r>
  <r>
    <n v="3412"/>
    <n v="55"/>
    <s v="Female"/>
    <s v="Beauty"/>
    <s v="Perfume"/>
    <n v="92.98"/>
    <s v="Winter"/>
    <s v="Card"/>
    <n v="3.7"/>
    <x v="5"/>
    <n v="4"/>
    <n v="101.06521739130434"/>
    <n v="8.0852173913043401"/>
    <x v="4"/>
    <n v="1"/>
  </r>
  <r>
    <n v="3413"/>
    <n v="64"/>
    <s v="Female"/>
    <s v="Beauty"/>
    <s v="Makeup Set"/>
    <n v="81.650000000000006"/>
    <s v="Spring"/>
    <s v="Card"/>
    <n v="3.8"/>
    <x v="14"/>
    <n v="6"/>
    <n v="98.373493975903628"/>
    <n v="16.723493975903622"/>
    <x v="0"/>
    <n v="1"/>
  </r>
  <r>
    <n v="3414"/>
    <n v="39"/>
    <s v="Female"/>
    <s v="Footwear"/>
    <s v="Sneakers"/>
    <n v="249.4"/>
    <s v="Summer"/>
    <s v="Card"/>
    <n v="3.9"/>
    <x v="21"/>
    <n v="8"/>
    <n v="315.69620253164555"/>
    <n v="66.296202531645548"/>
    <x v="1"/>
    <n v="1"/>
  </r>
  <r>
    <n v="3415"/>
    <n v="23"/>
    <s v="Male"/>
    <s v="Home"/>
    <s v="Lamp"/>
    <n v="268.91000000000003"/>
    <s v="Spring"/>
    <s v="Card"/>
    <n v="4.2"/>
    <x v="1"/>
    <n v="4"/>
    <n v="309.09195402298855"/>
    <n v="40.181954022988521"/>
    <x v="3"/>
    <n v="1"/>
  </r>
  <r>
    <n v="3416"/>
    <n v="66"/>
    <s v="Male"/>
    <s v="Sports"/>
    <s v="Football"/>
    <n v="81.459999999999994"/>
    <s v="Winter"/>
    <s v="Cash on Delivery"/>
    <n v="3.9"/>
    <x v="3"/>
    <n v="5"/>
    <n v="101.82499999999999"/>
    <n v="20.364999999999995"/>
    <x v="2"/>
    <n v="1"/>
  </r>
  <r>
    <n v="3417"/>
    <n v="29"/>
    <s v="Female"/>
    <s v="Womens Clothing"/>
    <s v="Skirt"/>
    <n v="135.06"/>
    <s v="Summer"/>
    <s v="Card"/>
    <n v="2.2000000000000002"/>
    <x v="12"/>
    <n v="7"/>
    <n v="166.74074074074073"/>
    <n v="31.680740740740731"/>
    <x v="5"/>
    <n v="1"/>
  </r>
  <r>
    <n v="3418"/>
    <n v="54"/>
    <s v="Female"/>
    <s v="Beauty"/>
    <s v="Skincare Kit"/>
    <n v="127.1"/>
    <s v="Autumn"/>
    <s v="Card"/>
    <n v="3.5"/>
    <x v="0"/>
    <n v="4"/>
    <n v="154.99999999999997"/>
    <n v="27.899999999999977"/>
    <x v="4"/>
    <n v="1"/>
  </r>
  <r>
    <n v="3419"/>
    <n v="48"/>
    <s v="Male"/>
    <s v="Footwear"/>
    <s v="Sneakers"/>
    <n v="121.62"/>
    <s v="Spring"/>
    <s v="Card"/>
    <n v="4.4000000000000004"/>
    <x v="16"/>
    <n v="3"/>
    <n v="129.38297872340428"/>
    <n v="7.7629787234042738"/>
    <x v="4"/>
    <n v="1"/>
  </r>
  <r>
    <n v="3420"/>
    <n v="30"/>
    <s v="Female"/>
    <s v="Home"/>
    <s v="Lamp"/>
    <n v="194.22"/>
    <s v="Spring"/>
    <s v="Card"/>
    <n v="4.2"/>
    <x v="1"/>
    <n v="4"/>
    <n v="223.24137931034483"/>
    <n v="29.021379310344827"/>
    <x v="5"/>
    <n v="1"/>
  </r>
  <r>
    <n v="3421"/>
    <n v="48"/>
    <s v="Female"/>
    <s v="Footwear"/>
    <s v="Sandals"/>
    <n v="225.8"/>
    <s v="Summer"/>
    <s v="Card"/>
    <n v="3.2"/>
    <x v="16"/>
    <n v="3"/>
    <n v="240.21276595744683"/>
    <n v="14.412765957446823"/>
    <x v="4"/>
    <n v="1"/>
  </r>
  <r>
    <n v="3422"/>
    <n v="47"/>
    <s v="Female"/>
    <s v="Womens Clothing"/>
    <s v="Jeans"/>
    <n v="193.59"/>
    <s v="Spring"/>
    <s v="Card"/>
    <n v="3.3"/>
    <x v="6"/>
    <n v="3"/>
    <n v="230.46428571428572"/>
    <n v="36.874285714285719"/>
    <x v="4"/>
    <n v="1"/>
  </r>
  <r>
    <n v="3423"/>
    <n v="48"/>
    <s v="Male"/>
    <s v="Electronics"/>
    <s v="Laptop"/>
    <n v="2610.9899999999998"/>
    <s v="Summer"/>
    <s v="Card"/>
    <n v="3.5"/>
    <x v="1"/>
    <n v="4"/>
    <n v="3001.1379310344823"/>
    <n v="390.14793103448255"/>
    <x v="4"/>
    <n v="1"/>
  </r>
  <r>
    <n v="3424"/>
    <n v="20"/>
    <s v="Female"/>
    <s v="Footwear"/>
    <s v="Sneakers"/>
    <n v="104.2"/>
    <s v="Spring"/>
    <s v="Card"/>
    <n v="2.8"/>
    <x v="2"/>
    <n v="3"/>
    <n v="117.07865168539325"/>
    <n v="12.878651685393251"/>
    <x v="3"/>
    <n v="1"/>
  </r>
  <r>
    <n v="3425"/>
    <n v="37"/>
    <s v="Male"/>
    <s v="Footwear"/>
    <s v="Formal Shoes"/>
    <n v="159.51"/>
    <s v="Winter"/>
    <s v="Card"/>
    <n v="3.8"/>
    <x v="2"/>
    <n v="3"/>
    <n v="179.22471910112358"/>
    <n v="19.714719101123592"/>
    <x v="1"/>
    <n v="1"/>
  </r>
  <r>
    <n v="3426"/>
    <n v="63"/>
    <s v="Male"/>
    <s v="Mens Clothing"/>
    <s v="Jeans"/>
    <n v="163.47999999999999"/>
    <s v="Autumn"/>
    <s v="Card"/>
    <n v="4"/>
    <x v="0"/>
    <n v="4"/>
    <n v="199.36585365853657"/>
    <n v="35.885853658536575"/>
    <x v="0"/>
    <n v="1"/>
  </r>
  <r>
    <n v="3427"/>
    <n v="49"/>
    <s v="Female"/>
    <s v="Home"/>
    <s v="Kitchen Set"/>
    <n v="106.24"/>
    <s v="Winter"/>
    <s v="Card"/>
    <n v="3.5"/>
    <x v="6"/>
    <n v="3"/>
    <n v="126.47619047619048"/>
    <n v="20.236190476190487"/>
    <x v="4"/>
    <n v="1"/>
  </r>
  <r>
    <n v="3428"/>
    <n v="40"/>
    <s v="Male"/>
    <s v="Electronics"/>
    <s v="Headphones"/>
    <n v="1340.12"/>
    <s v="Spring"/>
    <s v="Card"/>
    <n v="4.0999999999999996"/>
    <x v="24"/>
    <n v="9"/>
    <n v="1861.2777777777776"/>
    <n v="521.15777777777771"/>
    <x v="1"/>
    <n v="1"/>
  </r>
  <r>
    <n v="3429"/>
    <n v="55"/>
    <s v="Female"/>
    <s v="Accessories"/>
    <s v="Wallet"/>
    <n v="66.95"/>
    <s v="Spring"/>
    <s v="Card"/>
    <n v="3.7"/>
    <x v="4"/>
    <n v="2"/>
    <n v="77.848837209302332"/>
    <n v="10.898837209302329"/>
    <x v="4"/>
    <n v="1"/>
  </r>
  <r>
    <n v="3430"/>
    <n v="50"/>
    <s v="Female"/>
    <s v="Womens Clothing"/>
    <s v="Dress"/>
    <n v="114.36"/>
    <s v="Autumn"/>
    <s v="Card"/>
    <n v="3.3"/>
    <x v="7"/>
    <n v="5"/>
    <n v="127.06666666666666"/>
    <n v="12.706666666666663"/>
    <x v="4"/>
    <n v="1"/>
  </r>
  <r>
    <n v="3431"/>
    <n v="63"/>
    <s v="Female"/>
    <s v="Accessories"/>
    <s v="Wallet"/>
    <n v="171.7"/>
    <s v="Summer"/>
    <s v="Card"/>
    <n v="3.8"/>
    <x v="14"/>
    <n v="6"/>
    <n v="206.86746987951807"/>
    <n v="35.16746987951808"/>
    <x v="0"/>
    <n v="1"/>
  </r>
  <r>
    <n v="3432"/>
    <n v="36"/>
    <s v="Male"/>
    <s v="Footwear"/>
    <s v="Sneakers"/>
    <n v="74.53"/>
    <s v="Spring"/>
    <s v="Cash on Delivery"/>
    <n v="4.3"/>
    <x v="2"/>
    <n v="3"/>
    <n v="83.741573033707866"/>
    <n v="9.2115730337078645"/>
    <x v="1"/>
    <n v="1"/>
  </r>
  <r>
    <n v="3433"/>
    <n v="34"/>
    <s v="Female"/>
    <s v="Womens Clothing"/>
    <s v="Dress"/>
    <n v="47.24"/>
    <s v="Spring"/>
    <s v="Cash on Delivery"/>
    <n v="3.1"/>
    <x v="0"/>
    <n v="4"/>
    <n v="57.609756097560975"/>
    <n v="10.369756097560973"/>
    <x v="5"/>
    <n v="1"/>
  </r>
  <r>
    <n v="3434"/>
    <n v="70"/>
    <s v="Male"/>
    <s v="Footwear"/>
    <s v="Sandals"/>
    <n v="247.53"/>
    <s v="Spring"/>
    <s v="Card"/>
    <n v="4.0999999999999996"/>
    <x v="8"/>
    <n v="6"/>
    <n v="281.28409090909093"/>
    <n v="33.754090909090934"/>
    <x v="2"/>
    <n v="1"/>
  </r>
  <r>
    <n v="3435"/>
    <n v="65"/>
    <s v="Female"/>
    <s v="Beauty"/>
    <s v="Perfume"/>
    <n v="119.15"/>
    <s v="Summer"/>
    <s v="Card"/>
    <n v="2.9"/>
    <x v="0"/>
    <n v="4"/>
    <n v="145.30487804878049"/>
    <n v="26.154878048780489"/>
    <x v="0"/>
    <n v="1"/>
  </r>
  <r>
    <n v="3436"/>
    <n v="38"/>
    <s v="Male"/>
    <s v="Electronics"/>
    <s v="Mobile Phone"/>
    <n v="2077.59"/>
    <s v="Winter"/>
    <s v="Card"/>
    <n v="3.2"/>
    <x v="5"/>
    <n v="4"/>
    <n v="2258.25"/>
    <n v="180.65999999999985"/>
    <x v="1"/>
    <n v="1"/>
  </r>
  <r>
    <n v="3437"/>
    <n v="24"/>
    <s v="Male"/>
    <s v="Electronics"/>
    <s v="Mobile Phone"/>
    <n v="2160.6799999999998"/>
    <s v="Winter"/>
    <s v="Card"/>
    <n v="2.7"/>
    <x v="16"/>
    <n v="3"/>
    <n v="2298.5957446808511"/>
    <n v="137.91574468085128"/>
    <x v="3"/>
    <n v="1"/>
  </r>
  <r>
    <n v="3438"/>
    <n v="45"/>
    <s v="Male"/>
    <s v="Footwear"/>
    <s v="Sandals"/>
    <n v="179.48"/>
    <s v="Autumn"/>
    <s v="Card"/>
    <n v="3.9"/>
    <x v="1"/>
    <n v="4"/>
    <n v="206.29885057471265"/>
    <n v="26.818850574712656"/>
    <x v="1"/>
    <n v="1"/>
  </r>
  <r>
    <n v="3439"/>
    <n v="63"/>
    <s v="Male"/>
    <s v="Home"/>
    <s v="Kitchen Set"/>
    <n v="49.32"/>
    <s v="Winter"/>
    <s v="Cash on Delivery"/>
    <n v="3.6"/>
    <x v="0"/>
    <n v="4"/>
    <n v="60.146341463414629"/>
    <n v="10.826341463414629"/>
    <x v="0"/>
    <n v="1"/>
  </r>
  <r>
    <n v="3440"/>
    <n v="55"/>
    <s v="Male"/>
    <s v="Electronics"/>
    <s v="Headphones"/>
    <n v="844.6"/>
    <s v="Winter"/>
    <s v="Card"/>
    <n v="4.7"/>
    <x v="17"/>
    <n v="2"/>
    <n v="879.79166666666674"/>
    <n v="35.19166666666672"/>
    <x v="4"/>
    <n v="1"/>
  </r>
  <r>
    <n v="3441"/>
    <n v="58"/>
    <s v="Female"/>
    <s v="Groceries"/>
    <s v="Cooking Oil"/>
    <n v="61.51"/>
    <s v="Autumn"/>
    <s v="Card"/>
    <n v="2.9"/>
    <x v="7"/>
    <n v="5"/>
    <n v="68.344444444444434"/>
    <n v="6.8344444444444363"/>
    <x v="0"/>
    <n v="1"/>
  </r>
  <r>
    <n v="3442"/>
    <n v="20"/>
    <s v="Male"/>
    <s v="Electronics"/>
    <s v="Mobile Phone"/>
    <n v="1267.3900000000001"/>
    <s v="Summer"/>
    <s v="Card"/>
    <n v="3.5"/>
    <x v="16"/>
    <n v="3"/>
    <n v="1348.2872340425533"/>
    <n v="80.897234042553237"/>
    <x v="3"/>
    <n v="1"/>
  </r>
  <r>
    <n v="3443"/>
    <n v="51"/>
    <s v="Female"/>
    <s v="Accessories"/>
    <s v="Handbag"/>
    <n v="89.15"/>
    <s v="Summer"/>
    <s v="Cash on Delivery"/>
    <n v="3"/>
    <x v="4"/>
    <n v="7"/>
    <n v="103.66279069767442"/>
    <n v="14.512790697674419"/>
    <x v="4"/>
    <n v="1"/>
  </r>
  <r>
    <n v="3444"/>
    <n v="59"/>
    <s v="Female"/>
    <s v="Beauty"/>
    <s v="Perfume"/>
    <n v="31.16"/>
    <s v="Autumn"/>
    <s v="Cash on Delivery"/>
    <n v="3.7"/>
    <x v="19"/>
    <n v="5"/>
    <n v="36.658823529411762"/>
    <n v="5.4988235294117622"/>
    <x v="0"/>
    <n v="1"/>
  </r>
  <r>
    <n v="3445"/>
    <n v="20"/>
    <s v="Female"/>
    <s v="Groceries"/>
    <s v="Rice Pack"/>
    <n v="40.090000000000003"/>
    <s v="Spring"/>
    <s v="Cash on Delivery"/>
    <n v="4.9000000000000004"/>
    <x v="3"/>
    <n v="5"/>
    <n v="50.112500000000004"/>
    <n v="10.022500000000001"/>
    <x v="3"/>
    <n v="1"/>
  </r>
  <r>
    <n v="3446"/>
    <n v="33"/>
    <s v="Female"/>
    <s v="Footwear"/>
    <s v="Sneakers"/>
    <n v="94.64"/>
    <s v="Summer"/>
    <s v="Cash on Delivery"/>
    <n v="4.9000000000000004"/>
    <x v="3"/>
    <n v="5"/>
    <n v="118.3"/>
    <n v="23.659999999999997"/>
    <x v="5"/>
    <n v="1"/>
  </r>
  <r>
    <n v="3447"/>
    <n v="46"/>
    <s v="Female"/>
    <s v="Groceries"/>
    <s v="Rice Pack"/>
    <n v="47.53"/>
    <s v="Winter"/>
    <s v="Cash on Delivery"/>
    <n v="3.4"/>
    <x v="2"/>
    <n v="3"/>
    <n v="53.40449438202247"/>
    <n v="5.8744943820224691"/>
    <x v="4"/>
    <n v="1"/>
  </r>
  <r>
    <n v="3448"/>
    <n v="29"/>
    <s v="Male"/>
    <s v="Footwear"/>
    <s v="Sneakers"/>
    <n v="51.72"/>
    <s v="Winter"/>
    <s v="Card"/>
    <n v="3.9"/>
    <x v="14"/>
    <n v="6"/>
    <n v="62.313253012048193"/>
    <n v="10.593253012048194"/>
    <x v="5"/>
    <n v="1"/>
  </r>
  <r>
    <n v="3449"/>
    <n v="59"/>
    <s v="Female"/>
    <s v="Groceries"/>
    <s v="Beverages"/>
    <n v="63.38"/>
    <s v="Autumn"/>
    <s v="Card"/>
    <n v="3.1"/>
    <x v="11"/>
    <n v="8"/>
    <n v="85.64864864864866"/>
    <n v="22.268648648648657"/>
    <x v="0"/>
    <n v="1"/>
  </r>
  <r>
    <n v="3450"/>
    <n v="37"/>
    <s v="Female"/>
    <s v="Beauty"/>
    <s v="Perfume"/>
    <n v="37.64"/>
    <s v="Spring"/>
    <s v="Card"/>
    <n v="2.9"/>
    <x v="19"/>
    <n v="5"/>
    <n v="44.28235294117647"/>
    <n v="6.642352941176469"/>
    <x v="1"/>
    <n v="1"/>
  </r>
  <r>
    <n v="3451"/>
    <n v="43"/>
    <s v="Female"/>
    <s v="Footwear"/>
    <s v="Sandals"/>
    <n v="183.45"/>
    <s v="Autumn"/>
    <s v="Card"/>
    <n v="4.4000000000000004"/>
    <x v="24"/>
    <n v="9"/>
    <n v="254.79166666666666"/>
    <n v="71.341666666666669"/>
    <x v="1"/>
    <n v="1"/>
  </r>
  <r>
    <n v="3452"/>
    <n v="38"/>
    <s v="Female"/>
    <s v="Sports"/>
    <s v="Dumbbells"/>
    <n v="103.8"/>
    <s v="Summer"/>
    <s v="Card"/>
    <n v="3.4"/>
    <x v="21"/>
    <n v="8"/>
    <n v="131.39240506329114"/>
    <n v="27.592405063291139"/>
    <x v="1"/>
    <n v="1"/>
  </r>
  <r>
    <n v="3453"/>
    <n v="25"/>
    <s v="Male"/>
    <s v="Mens Clothing"/>
    <s v="T-Shirt"/>
    <n v="86.2"/>
    <s v="Spring"/>
    <s v="Card"/>
    <n v="3.9"/>
    <x v="27"/>
    <n v="10"/>
    <n v="114.93333333333334"/>
    <n v="28.733333333333334"/>
    <x v="3"/>
    <n v="1"/>
  </r>
  <r>
    <n v="3454"/>
    <n v="25"/>
    <s v="Male"/>
    <s v="Sports"/>
    <s v="Yoga Mat"/>
    <n v="134.38"/>
    <s v="Winter"/>
    <s v="Card"/>
    <n v="3.8"/>
    <x v="13"/>
    <n v="2"/>
    <n v="147.67032967032966"/>
    <n v="13.290329670329669"/>
    <x v="3"/>
    <n v="1"/>
  </r>
  <r>
    <n v="3455"/>
    <n v="50"/>
    <s v="Male"/>
    <s v="Electronics"/>
    <s v="Headphones"/>
    <n v="2994.62"/>
    <s v="Autumn"/>
    <s v="Card"/>
    <n v="3.6"/>
    <x v="27"/>
    <n v="10"/>
    <n v="3992.8266666666664"/>
    <n v="998.20666666666648"/>
    <x v="4"/>
    <n v="1"/>
  </r>
  <r>
    <n v="3456"/>
    <n v="23"/>
    <s v="Female"/>
    <s v="Womens Clothing"/>
    <s v="Jeans"/>
    <n v="130.04"/>
    <s v="Spring"/>
    <s v="Card"/>
    <n v="3.8"/>
    <x v="3"/>
    <n v="5"/>
    <n v="162.54999999999998"/>
    <n v="32.509999999999991"/>
    <x v="3"/>
    <n v="1"/>
  </r>
  <r>
    <n v="3457"/>
    <n v="44"/>
    <s v="Female"/>
    <s v="Home"/>
    <s v="Lamp"/>
    <n v="218.77"/>
    <s v="Winter"/>
    <s v="Card"/>
    <n v="5"/>
    <x v="24"/>
    <n v="9"/>
    <n v="303.84722222222223"/>
    <n v="85.077222222222218"/>
    <x v="1"/>
    <n v="1"/>
  </r>
  <r>
    <n v="3458"/>
    <n v="33"/>
    <s v="Female"/>
    <s v="Womens Clothing"/>
    <s v="Skirt"/>
    <n v="110.92"/>
    <s v="Winter"/>
    <s v="Card"/>
    <n v="3.7"/>
    <x v="7"/>
    <n v="5"/>
    <n v="123.24444444444444"/>
    <n v="12.324444444444438"/>
    <x v="5"/>
    <n v="1"/>
  </r>
  <r>
    <n v="3459"/>
    <n v="20"/>
    <s v="Male"/>
    <s v="Groceries"/>
    <s v="Beverages"/>
    <n v="31.55"/>
    <s v="Autumn"/>
    <s v="Cash on Delivery"/>
    <n v="4.3"/>
    <x v="8"/>
    <n v="1"/>
    <n v="35.852272727272727"/>
    <n v="4.3022727272727259"/>
    <x v="3"/>
    <n v="1"/>
  </r>
  <r>
    <n v="3460"/>
    <n v="56"/>
    <s v="Female"/>
    <s v="Womens Clothing"/>
    <s v="Skirt"/>
    <n v="66.72"/>
    <s v="Winter"/>
    <s v="Card"/>
    <n v="4.8"/>
    <x v="3"/>
    <n v="5"/>
    <n v="83.399999999999991"/>
    <n v="16.679999999999993"/>
    <x v="0"/>
    <n v="1"/>
  </r>
  <r>
    <n v="3461"/>
    <n v="70"/>
    <s v="Male"/>
    <s v="Footwear"/>
    <s v="Sandals"/>
    <n v="216.39"/>
    <s v="Summer"/>
    <s v="Card"/>
    <n v="4.5"/>
    <x v="4"/>
    <n v="2"/>
    <n v="251.61627906976744"/>
    <n v="35.226279069767457"/>
    <x v="2"/>
    <n v="1"/>
  </r>
  <r>
    <n v="3462"/>
    <n v="55"/>
    <s v="Female"/>
    <s v="Footwear"/>
    <s v="Formal Shoes"/>
    <n v="166.18"/>
    <s v="Summer"/>
    <s v="Card"/>
    <n v="4.0999999999999996"/>
    <x v="16"/>
    <n v="3"/>
    <n v="176.78723404255322"/>
    <n v="10.607234042553216"/>
    <x v="4"/>
    <n v="1"/>
  </r>
  <r>
    <n v="3463"/>
    <n v="24"/>
    <s v="Male"/>
    <s v="Footwear"/>
    <s v="Sandals"/>
    <n v="74.739999999999995"/>
    <s v="Summer"/>
    <s v="Cash on Delivery"/>
    <n v="4.0999999999999996"/>
    <x v="4"/>
    <n v="7"/>
    <n v="86.906976744186039"/>
    <n v="12.166976744186044"/>
    <x v="3"/>
    <n v="1"/>
  </r>
  <r>
    <n v="3464"/>
    <n v="34"/>
    <s v="Female"/>
    <s v="Womens Clothing"/>
    <s v="Skirt"/>
    <n v="77.55"/>
    <s v="Spring"/>
    <s v="Cash on Delivery"/>
    <n v="4.2"/>
    <x v="7"/>
    <n v="5"/>
    <n v="86.166666666666657"/>
    <n v="8.61666666666666"/>
    <x v="5"/>
    <n v="1"/>
  </r>
  <r>
    <n v="3465"/>
    <n v="45"/>
    <s v="Female"/>
    <s v="Footwear"/>
    <s v="Sneakers"/>
    <n v="66.040000000000006"/>
    <s v="Spring"/>
    <s v="Card"/>
    <n v="3.7"/>
    <x v="2"/>
    <n v="3"/>
    <n v="74.202247191011239"/>
    <n v="8.1622471910112324"/>
    <x v="1"/>
    <n v="1"/>
  </r>
  <r>
    <n v="3466"/>
    <n v="49"/>
    <s v="Male"/>
    <s v="Footwear"/>
    <s v="Formal Shoes"/>
    <n v="101"/>
    <s v="Autumn"/>
    <s v="Card"/>
    <n v="4.5999999999999996"/>
    <x v="0"/>
    <n v="9"/>
    <n v="123.17073170731706"/>
    <n v="22.17073170731706"/>
    <x v="4"/>
    <n v="1"/>
  </r>
  <r>
    <n v="3467"/>
    <n v="68"/>
    <s v="Female"/>
    <s v="Beauty"/>
    <s v="Perfume"/>
    <n v="110.3"/>
    <s v="Spring"/>
    <s v="Card"/>
    <n v="2.8"/>
    <x v="4"/>
    <n v="7"/>
    <n v="128.25581395348837"/>
    <n v="17.955813953488374"/>
    <x v="2"/>
    <n v="1"/>
  </r>
  <r>
    <n v="3468"/>
    <n v="26"/>
    <s v="Female"/>
    <s v="Beauty"/>
    <s v="Skincare Kit"/>
    <n v="101.16"/>
    <s v="Summer"/>
    <s v="Card"/>
    <n v="4.0999999999999996"/>
    <x v="6"/>
    <n v="3"/>
    <n v="120.42857142857143"/>
    <n v="19.268571428571434"/>
    <x v="5"/>
    <n v="1"/>
  </r>
  <r>
    <n v="3469"/>
    <n v="52"/>
    <s v="Female"/>
    <s v="Footwear"/>
    <s v="Sneakers"/>
    <n v="236.38"/>
    <s v="Spring"/>
    <s v="Card"/>
    <n v="3.6"/>
    <x v="2"/>
    <n v="3"/>
    <n v="265.59550561797749"/>
    <n v="29.215505617977499"/>
    <x v="4"/>
    <n v="1"/>
  </r>
  <r>
    <n v="3470"/>
    <n v="66"/>
    <s v="Male"/>
    <s v="Mens Clothing"/>
    <s v="T-Shirt"/>
    <n v="164.23"/>
    <s v="Summer"/>
    <s v="Card"/>
    <n v="4.0999999999999996"/>
    <x v="14"/>
    <n v="6"/>
    <n v="197.86746987951807"/>
    <n v="33.637469879518079"/>
    <x v="2"/>
    <n v="1"/>
  </r>
  <r>
    <n v="3471"/>
    <n v="53"/>
    <s v="Male"/>
    <s v="Sports"/>
    <s v="Dumbbells"/>
    <n v="205.45"/>
    <s v="Summer"/>
    <s v="Card"/>
    <n v="4.2"/>
    <x v="8"/>
    <n v="6"/>
    <n v="233.46590909090907"/>
    <n v="28.015909090909076"/>
    <x v="4"/>
    <n v="1"/>
  </r>
  <r>
    <n v="3472"/>
    <n v="44"/>
    <s v="Female"/>
    <s v="Womens Clothing"/>
    <s v="Dress"/>
    <n v="61.41"/>
    <s v="Winter"/>
    <s v="Card"/>
    <n v="4.5999999999999996"/>
    <x v="10"/>
    <n v="6"/>
    <n v="78.730769230769226"/>
    <n v="17.32076923076923"/>
    <x v="1"/>
    <n v="1"/>
  </r>
  <r>
    <n v="3473"/>
    <n v="44"/>
    <s v="Female"/>
    <s v="Accessories"/>
    <s v="Sunglasses"/>
    <n v="79.900000000000006"/>
    <s v="Winter"/>
    <s v="Card"/>
    <n v="3.2"/>
    <x v="6"/>
    <n v="3"/>
    <n v="95.119047619047635"/>
    <n v="15.219047619047629"/>
    <x v="1"/>
    <n v="1"/>
  </r>
  <r>
    <n v="3474"/>
    <n v="37"/>
    <s v="Male"/>
    <s v="Sports"/>
    <s v="Dumbbells"/>
    <n v="228.81"/>
    <s v="Winter"/>
    <s v="Card"/>
    <n v="3.9"/>
    <x v="10"/>
    <n v="6"/>
    <n v="293.34615384615381"/>
    <n v="64.536153846153809"/>
    <x v="1"/>
    <n v="1"/>
  </r>
  <r>
    <n v="3475"/>
    <n v="30"/>
    <s v="Female"/>
    <s v="Beauty"/>
    <s v="Makeup Set"/>
    <n v="146.26"/>
    <s v="Winter"/>
    <s v="Card"/>
    <n v="3.4"/>
    <x v="5"/>
    <n v="4"/>
    <n v="158.97826086956519"/>
    <n v="12.718260869565199"/>
    <x v="5"/>
    <n v="1"/>
  </r>
  <r>
    <n v="3476"/>
    <n v="58"/>
    <s v="Female"/>
    <s v="Beauty"/>
    <s v="Perfume"/>
    <n v="58.29"/>
    <s v="Summer"/>
    <s v="Cash on Delivery"/>
    <n v="1.9"/>
    <x v="5"/>
    <n v="4"/>
    <n v="63.358695652173907"/>
    <n v="5.0686956521739077"/>
    <x v="0"/>
    <n v="1"/>
  </r>
  <r>
    <n v="3477"/>
    <n v="42"/>
    <s v="Male"/>
    <s v="Home"/>
    <s v="Curtains"/>
    <n v="61.68"/>
    <s v="Winter"/>
    <s v="Card"/>
    <n v="5"/>
    <x v="14"/>
    <n v="6"/>
    <n v="74.313253012048193"/>
    <n v="12.633253012048193"/>
    <x v="1"/>
    <n v="1"/>
  </r>
  <r>
    <n v="3478"/>
    <n v="46"/>
    <s v="Male"/>
    <s v="Mens Clothing"/>
    <s v="Shirt"/>
    <n v="76.22"/>
    <s v="Winter"/>
    <s v="Cash on Delivery"/>
    <n v="4.7"/>
    <x v="6"/>
    <n v="8"/>
    <n v="90.738095238095241"/>
    <n v="14.518095238095242"/>
    <x v="4"/>
    <n v="1"/>
  </r>
  <r>
    <n v="3479"/>
    <n v="23"/>
    <s v="Female"/>
    <s v="Womens Clothing"/>
    <s v="Skirt"/>
    <n v="93.3"/>
    <s v="Autumn"/>
    <s v="Card"/>
    <n v="3.6"/>
    <x v="4"/>
    <n v="2"/>
    <n v="108.48837209302326"/>
    <n v="15.188372093023261"/>
    <x v="3"/>
    <n v="1"/>
  </r>
  <r>
    <n v="3480"/>
    <n v="41"/>
    <s v="Male"/>
    <s v="Sports"/>
    <s v="Dumbbells"/>
    <n v="50.96"/>
    <s v="Summer"/>
    <s v="Card"/>
    <n v="3.7"/>
    <x v="10"/>
    <n v="6"/>
    <n v="65.333333333333329"/>
    <n v="14.373333333333328"/>
    <x v="1"/>
    <n v="1"/>
  </r>
  <r>
    <n v="3481"/>
    <n v="29"/>
    <s v="Male"/>
    <s v="Mens Clothing"/>
    <s v="T-Shirt"/>
    <n v="88.61"/>
    <s v="Winter"/>
    <s v="Cash on Delivery"/>
    <n v="2.7"/>
    <x v="19"/>
    <n v="5"/>
    <n v="104.24705882352941"/>
    <n v="15.637058823529415"/>
    <x v="5"/>
    <n v="1"/>
  </r>
  <r>
    <n v="3482"/>
    <n v="38"/>
    <s v="Male"/>
    <s v="Footwear"/>
    <s v="Sneakers"/>
    <n v="128.69"/>
    <s v="Spring"/>
    <s v="Card"/>
    <n v="4.0999999999999996"/>
    <x v="8"/>
    <n v="6"/>
    <n v="146.23863636363637"/>
    <n v="17.548636363636376"/>
    <x v="1"/>
    <n v="1"/>
  </r>
  <r>
    <n v="3483"/>
    <n v="61"/>
    <s v="Female"/>
    <s v="Footwear"/>
    <s v="Formal Shoes"/>
    <n v="58.31"/>
    <s v="Summer"/>
    <s v="Cash on Delivery"/>
    <n v="4.3"/>
    <x v="10"/>
    <n v="6"/>
    <n v="74.756410256410263"/>
    <n v="16.44641025641026"/>
    <x v="0"/>
    <n v="1"/>
  </r>
  <r>
    <n v="3484"/>
    <n v="33"/>
    <s v="Female"/>
    <s v="Home"/>
    <s v="Kitchen Set"/>
    <n v="144.94999999999999"/>
    <s v="Winter"/>
    <s v="Card"/>
    <n v="3.6"/>
    <x v="8"/>
    <n v="1"/>
    <n v="164.71590909090907"/>
    <n v="19.765909090909076"/>
    <x v="5"/>
    <n v="1"/>
  </r>
  <r>
    <n v="3485"/>
    <n v="61"/>
    <s v="Male"/>
    <s v="Mens Clothing"/>
    <s v="Shirt"/>
    <n v="160.36000000000001"/>
    <s v="Winter"/>
    <s v="Card"/>
    <n v="2.7"/>
    <x v="16"/>
    <n v="3"/>
    <n v="170.59574468085108"/>
    <n v="10.23574468085107"/>
    <x v="0"/>
    <n v="1"/>
  </r>
  <r>
    <n v="3486"/>
    <n v="42"/>
    <s v="Female"/>
    <s v="Footwear"/>
    <s v="Formal Shoes"/>
    <n v="225.91"/>
    <s v="Winter"/>
    <s v="Card"/>
    <n v="3.7"/>
    <x v="7"/>
    <n v="5"/>
    <n v="251.01111111111109"/>
    <n v="25.101111111111095"/>
    <x v="1"/>
    <n v="1"/>
  </r>
  <r>
    <n v="3487"/>
    <n v="28"/>
    <s v="Female"/>
    <s v="Womens Clothing"/>
    <s v="Jeans"/>
    <n v="57.14"/>
    <s v="Summer"/>
    <s v="Cash on Delivery"/>
    <n v="3.1"/>
    <x v="1"/>
    <n v="4"/>
    <n v="65.678160919540232"/>
    <n v="8.5381609195402319"/>
    <x v="5"/>
    <n v="1"/>
  </r>
  <r>
    <n v="3488"/>
    <n v="53"/>
    <s v="Male"/>
    <s v="Mens Clothing"/>
    <s v="T-Shirt"/>
    <n v="133.94"/>
    <s v="Autumn"/>
    <s v="Card"/>
    <n v="4.3"/>
    <x v="0"/>
    <n v="4"/>
    <n v="163.34146341463412"/>
    <n v="29.401463414634122"/>
    <x v="4"/>
    <n v="1"/>
  </r>
  <r>
    <n v="3489"/>
    <n v="64"/>
    <s v="Female"/>
    <s v="Beauty"/>
    <s v="Perfume"/>
    <n v="57.54"/>
    <s v="Summer"/>
    <s v="Card"/>
    <n v="5"/>
    <x v="0"/>
    <n v="4"/>
    <n v="70.17073170731706"/>
    <n v="12.630731707317061"/>
    <x v="0"/>
    <n v="1"/>
  </r>
  <r>
    <n v="3490"/>
    <n v="64"/>
    <s v="Male"/>
    <s v="Mens Clothing"/>
    <s v="Shirt"/>
    <n v="76.87"/>
    <s v="Summer"/>
    <s v="Card"/>
    <n v="3.9"/>
    <x v="16"/>
    <n v="3"/>
    <n v="81.776595744680861"/>
    <n v="4.9065957446808568"/>
    <x v="0"/>
    <n v="1"/>
  </r>
  <r>
    <n v="3491"/>
    <n v="68"/>
    <s v="Male"/>
    <s v="Sports"/>
    <s v="Football"/>
    <n v="32.729999999999997"/>
    <s v="Spring"/>
    <s v="Cash on Delivery"/>
    <n v="3.9"/>
    <x v="0"/>
    <n v="9"/>
    <n v="39.914634146341456"/>
    <n v="7.1846341463414589"/>
    <x v="2"/>
    <n v="1"/>
  </r>
  <r>
    <n v="3492"/>
    <n v="34"/>
    <s v="Male"/>
    <s v="Mens Clothing"/>
    <s v="T-Shirt"/>
    <n v="56.59"/>
    <s v="Spring"/>
    <s v="Cash on Delivery"/>
    <n v="3.9"/>
    <x v="0"/>
    <n v="4"/>
    <n v="69.012195121951223"/>
    <n v="12.422195121951219"/>
    <x v="5"/>
    <n v="1"/>
  </r>
  <r>
    <n v="3493"/>
    <n v="57"/>
    <s v="Female"/>
    <s v="Womens Clothing"/>
    <s v="Jeans"/>
    <n v="113.82"/>
    <s v="Autumn"/>
    <s v="Card"/>
    <n v="3.1"/>
    <x v="5"/>
    <n v="4"/>
    <n v="123.71739130434781"/>
    <n v="9.8973913043478206"/>
    <x v="0"/>
    <n v="1"/>
  </r>
  <r>
    <n v="3494"/>
    <n v="50"/>
    <s v="Female"/>
    <s v="Womens Clothing"/>
    <s v="Jeans"/>
    <n v="34.270000000000003"/>
    <s v="Summer"/>
    <s v="Card"/>
    <n v="4.2"/>
    <x v="21"/>
    <n v="8"/>
    <n v="43.379746835443036"/>
    <n v="9.1097468354430333"/>
    <x v="4"/>
    <n v="1"/>
  </r>
  <r>
    <n v="3495"/>
    <n v="45"/>
    <s v="Male"/>
    <s v="Electronics"/>
    <s v="Laptop"/>
    <n v="1460.58"/>
    <s v="Winter"/>
    <s v="Card"/>
    <n v="4.3"/>
    <x v="5"/>
    <n v="4"/>
    <n v="1587.586956521739"/>
    <n v="127.00695652173908"/>
    <x v="1"/>
    <n v="1"/>
  </r>
  <r>
    <n v="3496"/>
    <n v="23"/>
    <s v="Male"/>
    <s v="Sports"/>
    <s v="Yoga Mat"/>
    <n v="207.34"/>
    <s v="Summer"/>
    <s v="Card"/>
    <n v="4.4000000000000004"/>
    <x v="6"/>
    <n v="8"/>
    <n v="246.83333333333334"/>
    <n v="39.493333333333339"/>
    <x v="3"/>
    <n v="1"/>
  </r>
  <r>
    <n v="3497"/>
    <n v="33"/>
    <s v="Female"/>
    <s v="Womens Clothing"/>
    <s v="Jeans"/>
    <n v="79.55"/>
    <s v="Spring"/>
    <s v="Card"/>
    <n v="4.4000000000000004"/>
    <x v="3"/>
    <n v="5"/>
    <n v="99.437499999999986"/>
    <n v="19.887499999999989"/>
    <x v="5"/>
    <n v="1"/>
  </r>
  <r>
    <n v="3498"/>
    <n v="38"/>
    <s v="Male"/>
    <s v="Footwear"/>
    <s v="Sandals"/>
    <n v="171"/>
    <s v="Autumn"/>
    <s v="Card"/>
    <n v="2.7"/>
    <x v="8"/>
    <n v="6"/>
    <n v="194.31818181818181"/>
    <n v="23.318181818181813"/>
    <x v="1"/>
    <n v="1"/>
  </r>
  <r>
    <n v="3499"/>
    <n v="50"/>
    <s v="Female"/>
    <s v="Footwear"/>
    <s v="Sandals"/>
    <n v="109.47"/>
    <s v="Autumn"/>
    <s v="Card"/>
    <n v="3.9"/>
    <x v="19"/>
    <n v="5"/>
    <n v="128.78823529411764"/>
    <n v="19.318235294117642"/>
    <x v="4"/>
    <n v="1"/>
  </r>
  <r>
    <n v="3500"/>
    <n v="33"/>
    <s v="Male"/>
    <s v="Electronics"/>
    <s v="Mobile Phone"/>
    <n v="2664.84"/>
    <s v="Winter"/>
    <s v="Card"/>
    <n v="5"/>
    <x v="10"/>
    <n v="6"/>
    <n v="3416.4615384615386"/>
    <n v="751.62153846153842"/>
    <x v="5"/>
    <n v="1"/>
  </r>
  <r>
    <n v="3501"/>
    <n v="38"/>
    <s v="Female"/>
    <s v="Accessories"/>
    <s v="Sunglasses"/>
    <n v="126.81"/>
    <s v="Spring"/>
    <s v="Card"/>
    <n v="4.0999999999999996"/>
    <x v="19"/>
    <n v="5"/>
    <n v="149.18823529411765"/>
    <n v="22.378235294117644"/>
    <x v="1"/>
    <n v="1"/>
  </r>
  <r>
    <n v="3502"/>
    <n v="40"/>
    <s v="Male"/>
    <s v="Sports"/>
    <s v="Yoga Mat"/>
    <n v="200.09"/>
    <s v="Summer"/>
    <s v="Card"/>
    <n v="3.7"/>
    <x v="3"/>
    <n v="5"/>
    <n v="250.11249999999998"/>
    <n v="50.02249999999998"/>
    <x v="1"/>
    <n v="1"/>
  </r>
  <r>
    <n v="3503"/>
    <n v="37"/>
    <s v="Female"/>
    <s v="Footwear"/>
    <s v="Sneakers"/>
    <n v="163.18"/>
    <s v="Autumn"/>
    <s v="Card"/>
    <n v="4.4000000000000004"/>
    <x v="3"/>
    <n v="5"/>
    <n v="203.97499999999999"/>
    <n v="40.794999999999987"/>
    <x v="1"/>
    <n v="1"/>
  </r>
  <r>
    <n v="3504"/>
    <n v="50"/>
    <s v="Male"/>
    <s v="Sports"/>
    <s v="Football"/>
    <n v="112.61"/>
    <s v="Winter"/>
    <s v="Card"/>
    <n v="4.5"/>
    <x v="14"/>
    <n v="6"/>
    <n v="135.67469879518072"/>
    <n v="23.064698795180718"/>
    <x v="4"/>
    <n v="1"/>
  </r>
  <r>
    <n v="3505"/>
    <n v="47"/>
    <s v="Female"/>
    <s v="Groceries"/>
    <s v="Snacks"/>
    <n v="73.2"/>
    <s v="Summer"/>
    <s v="Cash on Delivery"/>
    <n v="3.6"/>
    <x v="10"/>
    <n v="6"/>
    <n v="93.84615384615384"/>
    <n v="20.646153846153837"/>
    <x v="4"/>
    <n v="1"/>
  </r>
  <r>
    <n v="3506"/>
    <n v="49"/>
    <s v="Female"/>
    <s v="Accessories"/>
    <s v="Sunglasses"/>
    <n v="41.27"/>
    <s v="Autumn"/>
    <s v="Card"/>
    <n v="2.1"/>
    <x v="17"/>
    <n v="2"/>
    <n v="42.989583333333336"/>
    <n v="1.7195833333333326"/>
    <x v="4"/>
    <n v="1"/>
  </r>
  <r>
    <n v="3507"/>
    <n v="70"/>
    <s v="Male"/>
    <s v="Electronics"/>
    <s v="Smart Watch"/>
    <n v="2742.82"/>
    <s v="Summer"/>
    <s v="Card"/>
    <n v="4"/>
    <x v="10"/>
    <n v="6"/>
    <n v="3516.4358974358975"/>
    <n v="773.6158974358973"/>
    <x v="2"/>
    <n v="1"/>
  </r>
  <r>
    <n v="3508"/>
    <n v="32"/>
    <s v="Female"/>
    <s v="Groceries"/>
    <s v="Beverages"/>
    <n v="9.6999999999999993"/>
    <s v="Spring"/>
    <s v="Card"/>
    <n v="4.4000000000000004"/>
    <x v="7"/>
    <n v="5"/>
    <n v="10.777777777777777"/>
    <n v="1.0777777777777775"/>
    <x v="5"/>
    <n v="1"/>
  </r>
  <r>
    <n v="3509"/>
    <n v="65"/>
    <s v="Female"/>
    <s v="Accessories"/>
    <s v="Sunglasses"/>
    <n v="34.49"/>
    <s v="Spring"/>
    <s v="Card"/>
    <n v="3.1"/>
    <x v="10"/>
    <n v="6"/>
    <n v="44.217948717948723"/>
    <n v="9.7279487179487205"/>
    <x v="0"/>
    <n v="1"/>
  </r>
  <r>
    <n v="3510"/>
    <n v="39"/>
    <s v="Male"/>
    <s v="Mens Clothing"/>
    <s v="Jeans"/>
    <n v="84.03"/>
    <s v="Winter"/>
    <s v="Cash on Delivery"/>
    <n v="4"/>
    <x v="2"/>
    <n v="3"/>
    <n v="94.415730337078656"/>
    <n v="10.385730337078655"/>
    <x v="1"/>
    <n v="1"/>
  </r>
  <r>
    <n v="3511"/>
    <n v="58"/>
    <s v="Male"/>
    <s v="Mens Clothing"/>
    <s v="Shirt"/>
    <n v="147.16999999999999"/>
    <s v="Winter"/>
    <s v="Card"/>
    <n v="4.5"/>
    <x v="16"/>
    <n v="3"/>
    <n v="156.56382978723403"/>
    <n v="9.3938297872340399"/>
    <x v="0"/>
    <n v="1"/>
  </r>
  <r>
    <n v="3512"/>
    <n v="44"/>
    <s v="Female"/>
    <s v="Groceries"/>
    <s v="Cooking Oil"/>
    <n v="29.29"/>
    <s v="Summer"/>
    <s v="Cash on Delivery"/>
    <n v="4.8"/>
    <x v="13"/>
    <n v="2"/>
    <n v="32.186813186813183"/>
    <n v="2.8968131868131834"/>
    <x v="1"/>
    <n v="1"/>
  </r>
  <r>
    <n v="3513"/>
    <n v="38"/>
    <s v="Male"/>
    <s v="Home"/>
    <s v="Lamp"/>
    <n v="180.38"/>
    <s v="Autumn"/>
    <s v="Card"/>
    <n v="2.9"/>
    <x v="4"/>
    <n v="7"/>
    <n v="209.74418604651163"/>
    <n v="29.364186046511634"/>
    <x v="1"/>
    <n v="1"/>
  </r>
  <r>
    <n v="3514"/>
    <n v="65"/>
    <s v="Male"/>
    <s v="Electronics"/>
    <s v="Headphones"/>
    <n v="1279.3"/>
    <s v="Autumn"/>
    <s v="Card"/>
    <n v="4.4000000000000004"/>
    <x v="2"/>
    <n v="3"/>
    <n v="1437.4157303370787"/>
    <n v="158.11573033707873"/>
    <x v="0"/>
    <n v="1"/>
  </r>
  <r>
    <n v="3515"/>
    <n v="23"/>
    <s v="Female"/>
    <s v="Womens Clothing"/>
    <s v="Skirt"/>
    <n v="31.4"/>
    <s v="Summer"/>
    <s v="Cash on Delivery"/>
    <n v="3"/>
    <x v="5"/>
    <n v="4"/>
    <n v="34.130434782608695"/>
    <n v="2.7304347826086968"/>
    <x v="3"/>
    <n v="1"/>
  </r>
  <r>
    <n v="3516"/>
    <n v="20"/>
    <s v="Female"/>
    <s v="Groceries"/>
    <s v="Beverages"/>
    <n v="47.95"/>
    <s v="Spring"/>
    <s v="Card"/>
    <n v="4.3"/>
    <x v="18"/>
    <n v="7"/>
    <n v="63.092105263157897"/>
    <n v="15.142105263157895"/>
    <x v="3"/>
    <n v="1"/>
  </r>
  <r>
    <n v="3517"/>
    <n v="36"/>
    <s v="Female"/>
    <s v="Womens Clothing"/>
    <s v="Top"/>
    <n v="98.93"/>
    <s v="Spring"/>
    <s v="Card"/>
    <n v="4.4000000000000004"/>
    <x v="7"/>
    <n v="5"/>
    <n v="109.92222222222223"/>
    <n v="10.992222222222225"/>
    <x v="1"/>
    <n v="1"/>
  </r>
  <r>
    <n v="3518"/>
    <n v="46"/>
    <s v="Female"/>
    <s v="Womens Clothing"/>
    <s v="Top"/>
    <n v="84.09"/>
    <s v="Summer"/>
    <s v="Card"/>
    <n v="3.4"/>
    <x v="17"/>
    <n v="2"/>
    <n v="87.59375"/>
    <n v="3.5037499999999966"/>
    <x v="4"/>
    <n v="1"/>
  </r>
  <r>
    <n v="3519"/>
    <n v="45"/>
    <s v="Male"/>
    <s v="Footwear"/>
    <s v="Sandals"/>
    <n v="174.22"/>
    <s v="Summer"/>
    <s v="Card"/>
    <n v="4"/>
    <x v="1"/>
    <n v="4"/>
    <n v="200.2528735632184"/>
    <n v="26.032873563218402"/>
    <x v="1"/>
    <n v="1"/>
  </r>
  <r>
    <n v="3520"/>
    <n v="62"/>
    <s v="Male"/>
    <s v="Sports"/>
    <s v="Yoga Mat"/>
    <n v="50.18"/>
    <s v="Spring"/>
    <s v="Card"/>
    <n v="3.4"/>
    <x v="18"/>
    <n v="7"/>
    <n v="66.026315789473685"/>
    <n v="15.846315789473685"/>
    <x v="0"/>
    <n v="1"/>
  </r>
  <r>
    <n v="3521"/>
    <n v="66"/>
    <s v="Male"/>
    <s v="Electronics"/>
    <s v="Smart Watch"/>
    <n v="2988.75"/>
    <s v="Spring"/>
    <s v="Card"/>
    <n v="4.0999999999999996"/>
    <x v="5"/>
    <n v="4"/>
    <n v="3248.641304347826"/>
    <n v="259.89130434782601"/>
    <x v="2"/>
    <n v="1"/>
  </r>
  <r>
    <n v="3522"/>
    <n v="25"/>
    <s v="Male"/>
    <s v="Footwear"/>
    <s v="Sandals"/>
    <n v="91.39"/>
    <s v="Winter"/>
    <s v="Cash on Delivery"/>
    <n v="4.5999999999999996"/>
    <x v="21"/>
    <n v="8"/>
    <n v="115.68354430379746"/>
    <n v="24.293544303797461"/>
    <x v="3"/>
    <n v="1"/>
  </r>
  <r>
    <n v="3523"/>
    <n v="63"/>
    <s v="Male"/>
    <s v="Footwear"/>
    <s v="Formal Shoes"/>
    <n v="148.77000000000001"/>
    <s v="Winter"/>
    <s v="Card"/>
    <n v="3.7"/>
    <x v="17"/>
    <n v="2"/>
    <n v="154.96875000000003"/>
    <n v="6.1987500000000182"/>
    <x v="0"/>
    <n v="1"/>
  </r>
  <r>
    <n v="3524"/>
    <n v="68"/>
    <s v="Female"/>
    <s v="Sports"/>
    <s v="Dumbbells"/>
    <n v="208.26"/>
    <s v="Autumn"/>
    <s v="Card"/>
    <n v="3.3"/>
    <x v="16"/>
    <n v="3"/>
    <n v="221.55319148936169"/>
    <n v="13.293191489361703"/>
    <x v="2"/>
    <n v="1"/>
  </r>
  <r>
    <n v="3525"/>
    <n v="41"/>
    <s v="Male"/>
    <s v="Groceries"/>
    <s v="Snacks"/>
    <n v="75.680000000000007"/>
    <s v="Autumn"/>
    <s v="Cash on Delivery"/>
    <n v="4.7"/>
    <x v="8"/>
    <n v="1"/>
    <n v="86.000000000000014"/>
    <n v="10.320000000000007"/>
    <x v="1"/>
    <n v="1"/>
  </r>
  <r>
    <n v="3526"/>
    <n v="42"/>
    <s v="Female"/>
    <s v="Womens Clothing"/>
    <s v="Top"/>
    <n v="195.75"/>
    <s v="Summer"/>
    <s v="Card"/>
    <n v="2.7"/>
    <x v="19"/>
    <n v="5"/>
    <n v="230.29411764705884"/>
    <n v="34.54411764705884"/>
    <x v="1"/>
    <n v="1"/>
  </r>
  <r>
    <n v="3527"/>
    <n v="20"/>
    <s v="Female"/>
    <s v="Womens Clothing"/>
    <s v="Skirt"/>
    <n v="101.76"/>
    <s v="Autumn"/>
    <s v="Card"/>
    <n v="3.6"/>
    <x v="17"/>
    <n v="2"/>
    <n v="106.00000000000001"/>
    <n v="4.2400000000000091"/>
    <x v="3"/>
    <n v="1"/>
  </r>
  <r>
    <n v="3528"/>
    <n v="62"/>
    <s v="Male"/>
    <s v="Footwear"/>
    <s v="Formal Shoes"/>
    <n v="162.80000000000001"/>
    <s v="Autumn"/>
    <s v="Card"/>
    <n v="4.3"/>
    <x v="10"/>
    <n v="6"/>
    <n v="208.71794871794873"/>
    <n v="45.917948717948718"/>
    <x v="0"/>
    <n v="1"/>
  </r>
  <r>
    <n v="3529"/>
    <n v="67"/>
    <s v="Female"/>
    <s v="Womens Clothing"/>
    <s v="Dress"/>
    <n v="184.18"/>
    <s v="Autumn"/>
    <s v="Card"/>
    <n v="3.2"/>
    <x v="4"/>
    <n v="2"/>
    <n v="214.16279069767444"/>
    <n v="29.982790697674432"/>
    <x v="2"/>
    <n v="1"/>
  </r>
  <r>
    <n v="3530"/>
    <n v="27"/>
    <s v="Female"/>
    <s v="Beauty"/>
    <s v="Skincare Kit"/>
    <n v="92.28"/>
    <s v="Winter"/>
    <s v="Cash on Delivery"/>
    <n v="4.2"/>
    <x v="4"/>
    <n v="2"/>
    <n v="107.30232558139535"/>
    <n v="15.02232558139535"/>
    <x v="5"/>
    <n v="1"/>
  </r>
  <r>
    <n v="3531"/>
    <n v="27"/>
    <s v="Male"/>
    <s v="Home"/>
    <s v="Lamp"/>
    <n v="90.91"/>
    <s v="Spring"/>
    <s v="Card"/>
    <n v="3.6"/>
    <x v="7"/>
    <n v="5"/>
    <n v="101.01111111111111"/>
    <n v="10.101111111111109"/>
    <x v="5"/>
    <n v="1"/>
  </r>
  <r>
    <n v="3532"/>
    <n v="69"/>
    <s v="Male"/>
    <s v="Sports"/>
    <s v="Yoga Mat"/>
    <n v="213.7"/>
    <s v="Summer"/>
    <s v="Card"/>
    <n v="3.7"/>
    <x v="16"/>
    <n v="3"/>
    <n v="227.34042553191489"/>
    <n v="13.6404255319149"/>
    <x v="2"/>
    <n v="1"/>
  </r>
  <r>
    <n v="3533"/>
    <n v="40"/>
    <s v="Male"/>
    <s v="Electronics"/>
    <s v="Laptop"/>
    <n v="2397"/>
    <s v="Winter"/>
    <s v="Card"/>
    <n v="4"/>
    <x v="20"/>
    <n v="11"/>
    <n v="3525.0000000000005"/>
    <n v="1128.0000000000005"/>
    <x v="1"/>
    <n v="1"/>
  </r>
  <r>
    <n v="3534"/>
    <n v="64"/>
    <s v="Female"/>
    <s v="Accessories"/>
    <s v="Handbag"/>
    <n v="174.66"/>
    <s v="Autumn"/>
    <s v="Card"/>
    <n v="5"/>
    <x v="18"/>
    <n v="7"/>
    <n v="229.81578947368419"/>
    <n v="55.155789473684194"/>
    <x v="0"/>
    <n v="1"/>
  </r>
  <r>
    <n v="3535"/>
    <n v="34"/>
    <s v="Male"/>
    <s v="Electronics"/>
    <s v="Smart Watch"/>
    <n v="2047.74"/>
    <s v="Autumn"/>
    <s v="Card"/>
    <n v="4"/>
    <x v="10"/>
    <n v="6"/>
    <n v="2625.3076923076924"/>
    <n v="577.56769230769237"/>
    <x v="5"/>
    <n v="1"/>
  </r>
  <r>
    <n v="3536"/>
    <n v="67"/>
    <s v="Female"/>
    <s v="Womens Clothing"/>
    <s v="Skirt"/>
    <n v="148.32"/>
    <s v="Spring"/>
    <s v="Card"/>
    <n v="4.5"/>
    <x v="3"/>
    <n v="5"/>
    <n v="185.39999999999998"/>
    <n v="37.079999999999984"/>
    <x v="2"/>
    <n v="1"/>
  </r>
  <r>
    <n v="3537"/>
    <n v="27"/>
    <s v="Male"/>
    <s v="Sports"/>
    <s v="Football"/>
    <n v="118.03"/>
    <s v="Spring"/>
    <s v="Card"/>
    <n v="4"/>
    <x v="12"/>
    <n v="7"/>
    <n v="145.71604938271605"/>
    <n v="27.68604938271605"/>
    <x v="5"/>
    <n v="1"/>
  </r>
  <r>
    <n v="3538"/>
    <n v="33"/>
    <s v="Female"/>
    <s v="Beauty"/>
    <s v="Skincare Kit"/>
    <n v="55.18"/>
    <s v="Winter"/>
    <s v="Card"/>
    <n v="3.4"/>
    <x v="1"/>
    <n v="4"/>
    <n v="63.425287356321839"/>
    <n v="8.245287356321839"/>
    <x v="5"/>
    <n v="1"/>
  </r>
  <r>
    <n v="3539"/>
    <n v="57"/>
    <s v="Female"/>
    <s v="Accessories"/>
    <s v="Wallet"/>
    <n v="39.68"/>
    <s v="Summer"/>
    <s v="Cash on Delivery"/>
    <n v="3.4"/>
    <x v="7"/>
    <n v="5"/>
    <n v="44.088888888888889"/>
    <n v="4.4088888888888889"/>
    <x v="0"/>
    <n v="1"/>
  </r>
  <r>
    <n v="3540"/>
    <n v="47"/>
    <s v="Male"/>
    <s v="Footwear"/>
    <s v="Formal Shoes"/>
    <n v="138.35"/>
    <s v="Autumn"/>
    <s v="Card"/>
    <n v="4.5999999999999996"/>
    <x v="19"/>
    <n v="5"/>
    <n v="162.76470588235293"/>
    <n v="24.414705882352933"/>
    <x v="4"/>
    <n v="1"/>
  </r>
  <r>
    <n v="3541"/>
    <n v="20"/>
    <s v="Female"/>
    <s v="Footwear"/>
    <s v="Formal Shoes"/>
    <n v="80.11"/>
    <s v="Winter"/>
    <s v="Card"/>
    <n v="4.5999999999999996"/>
    <x v="7"/>
    <n v="5"/>
    <n v="89.011111111111106"/>
    <n v="8.9011111111111063"/>
    <x v="3"/>
    <n v="1"/>
  </r>
  <r>
    <n v="3542"/>
    <n v="58"/>
    <s v="Female"/>
    <s v="Accessories"/>
    <s v="Handbag"/>
    <n v="97.52"/>
    <s v="Spring"/>
    <s v="Cash on Delivery"/>
    <n v="2.8"/>
    <x v="7"/>
    <n v="5"/>
    <n v="108.35555555555555"/>
    <n v="10.835555555555558"/>
    <x v="0"/>
    <n v="1"/>
  </r>
  <r>
    <n v="3543"/>
    <n v="29"/>
    <s v="Female"/>
    <s v="Accessories"/>
    <s v="Wallet"/>
    <n v="135.41999999999999"/>
    <s v="Spring"/>
    <s v="Card"/>
    <n v="3.7"/>
    <x v="7"/>
    <n v="5"/>
    <n v="150.46666666666664"/>
    <n v="15.046666666666653"/>
    <x v="5"/>
    <n v="1"/>
  </r>
  <r>
    <n v="3544"/>
    <n v="68"/>
    <s v="Male"/>
    <s v="Mens Clothing"/>
    <s v="Shirt"/>
    <n v="95.18"/>
    <s v="Autumn"/>
    <s v="Card"/>
    <n v="4.4000000000000004"/>
    <x v="14"/>
    <n v="6"/>
    <n v="114.67469879518073"/>
    <n v="19.494698795180724"/>
    <x v="2"/>
    <n v="1"/>
  </r>
  <r>
    <n v="3545"/>
    <n v="50"/>
    <s v="Female"/>
    <s v="Beauty"/>
    <s v="Skincare Kit"/>
    <n v="121.73"/>
    <s v="Winter"/>
    <s v="Card"/>
    <n v="4.0999999999999996"/>
    <x v="24"/>
    <n v="9"/>
    <n v="169.06944444444446"/>
    <n v="47.339444444444453"/>
    <x v="4"/>
    <n v="1"/>
  </r>
  <r>
    <n v="3546"/>
    <n v="21"/>
    <s v="Female"/>
    <s v="Womens Clothing"/>
    <s v="Dress"/>
    <n v="155.07"/>
    <s v="Summer"/>
    <s v="Card"/>
    <n v="3"/>
    <x v="1"/>
    <n v="4"/>
    <n v="178.24137931034483"/>
    <n v="23.171379310344832"/>
    <x v="3"/>
    <n v="1"/>
  </r>
  <r>
    <n v="3547"/>
    <n v="65"/>
    <s v="Male"/>
    <s v="Mens Clothing"/>
    <s v="Shirt"/>
    <n v="146.36000000000001"/>
    <s v="Summer"/>
    <s v="Card"/>
    <n v="2.5"/>
    <x v="15"/>
    <n v="1"/>
    <n v="149.34693877551021"/>
    <n v="2.9869387755101968"/>
    <x v="0"/>
    <n v="1"/>
  </r>
  <r>
    <n v="3548"/>
    <n v="67"/>
    <s v="Male"/>
    <s v="Sports"/>
    <s v="Yoga Mat"/>
    <n v="222.83"/>
    <s v="Summer"/>
    <s v="Card"/>
    <n v="4.8"/>
    <x v="1"/>
    <n v="4"/>
    <n v="256.12643678160919"/>
    <n v="33.296436781609174"/>
    <x v="2"/>
    <n v="1"/>
  </r>
  <r>
    <n v="3549"/>
    <n v="28"/>
    <s v="Female"/>
    <s v="Footwear"/>
    <s v="Sandals"/>
    <n v="237.96"/>
    <s v="Autumn"/>
    <s v="Card"/>
    <n v="4.7"/>
    <x v="13"/>
    <n v="2"/>
    <n v="261.49450549450552"/>
    <n v="23.53450549450551"/>
    <x v="5"/>
    <n v="1"/>
  </r>
  <r>
    <n v="3550"/>
    <n v="53"/>
    <s v="Female"/>
    <s v="Womens Clothing"/>
    <s v="Dress"/>
    <n v="182.1"/>
    <s v="Autumn"/>
    <s v="Card"/>
    <n v="2.8"/>
    <x v="1"/>
    <n v="4"/>
    <n v="209.31034482758619"/>
    <n v="27.210344827586198"/>
    <x v="4"/>
    <n v="1"/>
  </r>
  <r>
    <n v="3551"/>
    <n v="53"/>
    <s v="Male"/>
    <s v="Electronics"/>
    <s v="Headphones"/>
    <n v="2807.25"/>
    <s v="Summer"/>
    <s v="Card"/>
    <n v="2.7"/>
    <x v="10"/>
    <n v="6"/>
    <n v="3599.0384615384614"/>
    <n v="791.78846153846143"/>
    <x v="4"/>
    <n v="1"/>
  </r>
  <r>
    <n v="3552"/>
    <n v="24"/>
    <s v="Male"/>
    <s v="Sports"/>
    <s v="Dumbbells"/>
    <n v="140.57"/>
    <s v="Autumn"/>
    <s v="Card"/>
    <n v="4.0999999999999996"/>
    <x v="7"/>
    <n v="5"/>
    <n v="156.18888888888887"/>
    <n v="15.618888888888875"/>
    <x v="3"/>
    <n v="1"/>
  </r>
  <r>
    <n v="3553"/>
    <n v="68"/>
    <s v="Male"/>
    <s v="Groceries"/>
    <s v="Beverages"/>
    <n v="77.77"/>
    <s v="Winter"/>
    <s v="Cash on Delivery"/>
    <n v="3.6"/>
    <x v="7"/>
    <n v="5"/>
    <n v="86.411111111111111"/>
    <n v="8.6411111111111154"/>
    <x v="2"/>
    <n v="1"/>
  </r>
  <r>
    <n v="3554"/>
    <n v="70"/>
    <s v="Female"/>
    <s v="Footwear"/>
    <s v="Formal Shoes"/>
    <n v="165.35"/>
    <s v="Autumn"/>
    <s v="Card"/>
    <n v="4.0999999999999996"/>
    <x v="16"/>
    <n v="3"/>
    <n v="175.90425531914894"/>
    <n v="10.55425531914895"/>
    <x v="2"/>
    <n v="1"/>
  </r>
  <r>
    <n v="3555"/>
    <n v="43"/>
    <s v="Male"/>
    <s v="Sports"/>
    <s v="Yoga Mat"/>
    <n v="246.24"/>
    <s v="Winter"/>
    <s v="Card"/>
    <n v="4.5"/>
    <x v="4"/>
    <n v="2"/>
    <n v="286.32558139534888"/>
    <n v="40.085581395348868"/>
    <x v="1"/>
    <n v="1"/>
  </r>
  <r>
    <n v="3556"/>
    <n v="26"/>
    <s v="Female"/>
    <s v="Beauty"/>
    <s v="Makeup Set"/>
    <n v="121.85"/>
    <s v="Summer"/>
    <s v="Card"/>
    <n v="4.0999999999999996"/>
    <x v="2"/>
    <n v="3"/>
    <n v="136.91011235955057"/>
    <n v="15.060112359550573"/>
    <x v="5"/>
    <n v="1"/>
  </r>
  <r>
    <n v="3557"/>
    <n v="21"/>
    <s v="Male"/>
    <s v="Sports"/>
    <s v="Dumbbells"/>
    <n v="244.91"/>
    <s v="Winter"/>
    <s v="Card"/>
    <n v="2.9"/>
    <x v="16"/>
    <n v="3"/>
    <n v="260.54255319148939"/>
    <n v="15.632553191489393"/>
    <x v="3"/>
    <n v="1"/>
  </r>
  <r>
    <n v="3558"/>
    <n v="68"/>
    <s v="Female"/>
    <s v="Beauty"/>
    <s v="Makeup Set"/>
    <n v="116.21"/>
    <s v="Autumn"/>
    <s v="Card"/>
    <n v="3.3"/>
    <x v="24"/>
    <n v="9"/>
    <n v="161.40277777777777"/>
    <n v="45.192777777777778"/>
    <x v="2"/>
    <n v="1"/>
  </r>
  <r>
    <n v="3559"/>
    <n v="65"/>
    <s v="Male"/>
    <s v="Groceries"/>
    <s v="Cooking Oil"/>
    <n v="31.66"/>
    <s v="Autumn"/>
    <s v="Cash on Delivery"/>
    <n v="2.4"/>
    <x v="4"/>
    <n v="7"/>
    <n v="36.813953488372093"/>
    <n v="5.1539534883720926"/>
    <x v="0"/>
    <n v="1"/>
  </r>
  <r>
    <n v="3560"/>
    <n v="42"/>
    <s v="Male"/>
    <s v="Sports"/>
    <s v="Dumbbells"/>
    <n v="150.72"/>
    <s v="Summer"/>
    <s v="Card"/>
    <n v="4.3"/>
    <x v="14"/>
    <n v="6"/>
    <n v="181.59036144578315"/>
    <n v="30.870361445783146"/>
    <x v="1"/>
    <n v="1"/>
  </r>
  <r>
    <n v="3561"/>
    <n v="40"/>
    <s v="Female"/>
    <s v="Footwear"/>
    <s v="Sandals"/>
    <n v="169.6"/>
    <s v="Summer"/>
    <s v="Card"/>
    <n v="3"/>
    <x v="1"/>
    <n v="4"/>
    <n v="194.94252873563218"/>
    <n v="25.342528735632186"/>
    <x v="1"/>
    <n v="1"/>
  </r>
  <r>
    <n v="3562"/>
    <n v="47"/>
    <s v="Female"/>
    <s v="Sports"/>
    <s v="Football"/>
    <n v="58.39"/>
    <s v="Autumn"/>
    <s v="Cash on Delivery"/>
    <n v="4.4000000000000004"/>
    <x v="6"/>
    <n v="3"/>
    <n v="69.511904761904759"/>
    <n v="11.121904761904759"/>
    <x v="4"/>
    <n v="1"/>
  </r>
  <r>
    <n v="3563"/>
    <n v="53"/>
    <s v="Female"/>
    <s v="Beauty"/>
    <s v="Skincare Kit"/>
    <n v="68.14"/>
    <s v="Autumn"/>
    <s v="Cash on Delivery"/>
    <n v="3.3"/>
    <x v="7"/>
    <n v="5"/>
    <n v="75.711111111111109"/>
    <n v="7.571111111111108"/>
    <x v="4"/>
    <n v="1"/>
  </r>
  <r>
    <n v="3564"/>
    <n v="48"/>
    <s v="Male"/>
    <s v="Footwear"/>
    <s v="Sneakers"/>
    <n v="179.68"/>
    <s v="Autumn"/>
    <s v="Card"/>
    <n v="4.9000000000000004"/>
    <x v="24"/>
    <n v="9"/>
    <n v="249.55555555555557"/>
    <n v="69.875555555555565"/>
    <x v="4"/>
    <n v="1"/>
  </r>
  <r>
    <n v="3565"/>
    <n v="33"/>
    <s v="Male"/>
    <s v="Electronics"/>
    <s v="Laptop"/>
    <n v="2844.72"/>
    <s v="Summer"/>
    <s v="Card"/>
    <n v="3.9"/>
    <x v="5"/>
    <n v="4"/>
    <n v="3092.0869565217386"/>
    <n v="247.36695652173876"/>
    <x v="5"/>
    <n v="1"/>
  </r>
  <r>
    <n v="3566"/>
    <n v="42"/>
    <s v="Female"/>
    <s v="Footwear"/>
    <s v="Sneakers"/>
    <n v="125.92"/>
    <s v="Summer"/>
    <s v="Card"/>
    <n v="2.8"/>
    <x v="7"/>
    <n v="5"/>
    <n v="139.9111111111111"/>
    <n v="13.991111111111096"/>
    <x v="1"/>
    <n v="1"/>
  </r>
  <r>
    <n v="3567"/>
    <n v="45"/>
    <s v="Female"/>
    <s v="Beauty"/>
    <s v="Skincare Kit"/>
    <n v="21.56"/>
    <s v="Spring"/>
    <s v="Cash on Delivery"/>
    <n v="3.4"/>
    <x v="13"/>
    <n v="2"/>
    <n v="23.69230769230769"/>
    <n v="2.1323076923076911"/>
    <x v="1"/>
    <n v="1"/>
  </r>
  <r>
    <n v="3568"/>
    <n v="42"/>
    <s v="Male"/>
    <s v="Groceries"/>
    <s v="Beverages"/>
    <n v="65.64"/>
    <s v="Winter"/>
    <s v="Cash on Delivery"/>
    <n v="2.8"/>
    <x v="7"/>
    <n v="5"/>
    <n v="72.933333333333337"/>
    <n v="7.2933333333333366"/>
    <x v="1"/>
    <n v="1"/>
  </r>
  <r>
    <n v="3569"/>
    <n v="56"/>
    <s v="Female"/>
    <s v="Accessories"/>
    <s v="Wallet"/>
    <n v="110.86"/>
    <s v="Autumn"/>
    <s v="Card"/>
    <n v="4"/>
    <x v="10"/>
    <n v="6"/>
    <n v="142.12820512820511"/>
    <n v="31.268205128205111"/>
    <x v="0"/>
    <n v="1"/>
  </r>
  <r>
    <n v="3570"/>
    <n v="37"/>
    <s v="Female"/>
    <s v="Accessories"/>
    <s v="Handbag"/>
    <n v="35.340000000000003"/>
    <s v="Autumn"/>
    <s v="Cash on Delivery"/>
    <n v="3.5"/>
    <x v="1"/>
    <n v="4"/>
    <n v="40.62068965517242"/>
    <n v="5.2806896551724165"/>
    <x v="1"/>
    <n v="1"/>
  </r>
  <r>
    <n v="3571"/>
    <n v="34"/>
    <s v="Female"/>
    <s v="Footwear"/>
    <s v="Sandals"/>
    <n v="41.87"/>
    <s v="Spring"/>
    <s v="Card"/>
    <n v="4"/>
    <x v="5"/>
    <n v="4"/>
    <n v="45.510869565217384"/>
    <n v="3.6408695652173861"/>
    <x v="5"/>
    <n v="1"/>
  </r>
  <r>
    <n v="3572"/>
    <n v="61"/>
    <s v="Male"/>
    <s v="Sports"/>
    <s v="Football"/>
    <n v="43.84"/>
    <s v="Summer"/>
    <s v="Cash on Delivery"/>
    <n v="3.3"/>
    <x v="3"/>
    <n v="5"/>
    <n v="54.800000000000004"/>
    <n v="10.96"/>
    <x v="0"/>
    <n v="1"/>
  </r>
  <r>
    <n v="3573"/>
    <n v="34"/>
    <s v="Male"/>
    <s v="Footwear"/>
    <s v="Sandals"/>
    <n v="186.06"/>
    <s v="Autumn"/>
    <s v="Card"/>
    <n v="3.8"/>
    <x v="6"/>
    <n v="3"/>
    <n v="221.5"/>
    <n v="35.44"/>
    <x v="5"/>
    <n v="1"/>
  </r>
  <r>
    <n v="3574"/>
    <n v="42"/>
    <s v="Male"/>
    <s v="Mens Clothing"/>
    <s v="Jacket"/>
    <n v="183.14"/>
    <s v="Winter"/>
    <s v="Card"/>
    <n v="3.1"/>
    <x v="8"/>
    <n v="6"/>
    <n v="208.11363636363635"/>
    <n v="24.973636363636359"/>
    <x v="1"/>
    <n v="1"/>
  </r>
  <r>
    <n v="3575"/>
    <n v="38"/>
    <s v="Female"/>
    <s v="Accessories"/>
    <s v="Wallet"/>
    <n v="114.51"/>
    <s v="Spring"/>
    <s v="Card"/>
    <n v="2.7"/>
    <x v="12"/>
    <n v="7"/>
    <n v="141.37037037037038"/>
    <n v="26.860370370370376"/>
    <x v="1"/>
    <n v="1"/>
  </r>
  <r>
    <n v="3576"/>
    <n v="58"/>
    <s v="Female"/>
    <s v="Footwear"/>
    <s v="Formal Shoes"/>
    <n v="201.39"/>
    <s v="Spring"/>
    <s v="Card"/>
    <n v="3.7"/>
    <x v="4"/>
    <n v="7"/>
    <n v="234.17441860465115"/>
    <n v="32.784418604651165"/>
    <x v="0"/>
    <n v="1"/>
  </r>
  <r>
    <n v="3577"/>
    <n v="31"/>
    <s v="Male"/>
    <s v="Footwear"/>
    <s v="Formal Shoes"/>
    <n v="141.51"/>
    <s v="Winter"/>
    <s v="Card"/>
    <n v="3.7"/>
    <x v="25"/>
    <n v="10"/>
    <n v="202.15714285714284"/>
    <n v="60.647142857142853"/>
    <x v="5"/>
    <n v="1"/>
  </r>
  <r>
    <n v="3578"/>
    <n v="22"/>
    <s v="Male"/>
    <s v="Mens Clothing"/>
    <s v="Shirt"/>
    <n v="61.09"/>
    <s v="Autumn"/>
    <s v="Card"/>
    <n v="3.2"/>
    <x v="5"/>
    <n v="4"/>
    <n v="66.402173913043484"/>
    <n v="5.3121739130434804"/>
    <x v="3"/>
    <n v="1"/>
  </r>
  <r>
    <n v="3579"/>
    <n v="54"/>
    <s v="Female"/>
    <s v="Womens Clothing"/>
    <s v="Top"/>
    <n v="80.7"/>
    <s v="Summer"/>
    <s v="Cash on Delivery"/>
    <n v="3.7"/>
    <x v="21"/>
    <n v="8"/>
    <n v="102.15189873417721"/>
    <n v="21.451898734177206"/>
    <x v="4"/>
    <n v="1"/>
  </r>
  <r>
    <n v="3580"/>
    <n v="63"/>
    <s v="Female"/>
    <s v="Accessories"/>
    <s v="Sunglasses"/>
    <n v="88.07"/>
    <s v="Autumn"/>
    <s v="Cash on Delivery"/>
    <n v="3.4"/>
    <x v="24"/>
    <n v="9"/>
    <n v="122.31944444444444"/>
    <n v="34.24944444444445"/>
    <x v="0"/>
    <n v="1"/>
  </r>
  <r>
    <n v="3581"/>
    <n v="47"/>
    <s v="Male"/>
    <s v="Electronics"/>
    <s v="Headphones"/>
    <n v="1425.23"/>
    <s v="Autumn"/>
    <s v="Card"/>
    <n v="3.5"/>
    <x v="18"/>
    <n v="7"/>
    <n v="1875.3026315789473"/>
    <n v="450.07263157894727"/>
    <x v="4"/>
    <n v="1"/>
  </r>
  <r>
    <n v="3582"/>
    <n v="36"/>
    <s v="Male"/>
    <s v="Mens Clothing"/>
    <s v="Jacket"/>
    <n v="76.67"/>
    <s v="Autumn"/>
    <s v="Cash on Delivery"/>
    <n v="2.8"/>
    <x v="8"/>
    <n v="6"/>
    <n v="87.125"/>
    <n v="10.454999999999998"/>
    <x v="1"/>
    <n v="1"/>
  </r>
  <r>
    <n v="3583"/>
    <n v="47"/>
    <s v="Female"/>
    <s v="Groceries"/>
    <s v="Rice Pack"/>
    <n v="46.13"/>
    <s v="Autumn"/>
    <s v="Card"/>
    <n v="3.4"/>
    <x v="4"/>
    <n v="7"/>
    <n v="53.639534883720934"/>
    <n v="7.5095348837209315"/>
    <x v="4"/>
    <n v="1"/>
  </r>
  <r>
    <n v="3584"/>
    <n v="54"/>
    <s v="Male"/>
    <s v="Mens Clothing"/>
    <s v="Jeans"/>
    <n v="42.34"/>
    <s v="Autumn"/>
    <s v="Card"/>
    <n v="4.2"/>
    <x v="10"/>
    <n v="6"/>
    <n v="54.282051282051285"/>
    <n v="11.942051282051281"/>
    <x v="4"/>
    <n v="1"/>
  </r>
  <r>
    <n v="3585"/>
    <n v="46"/>
    <s v="Male"/>
    <s v="Sports"/>
    <s v="Football"/>
    <n v="62.68"/>
    <s v="Spring"/>
    <s v="Card"/>
    <n v="2.2999999999999998"/>
    <x v="1"/>
    <n v="4"/>
    <n v="72.045977011494259"/>
    <n v="9.3659770114942589"/>
    <x v="4"/>
    <n v="1"/>
  </r>
  <r>
    <n v="3586"/>
    <n v="38"/>
    <s v="Male"/>
    <s v="Electronics"/>
    <s v="Smart Watch"/>
    <n v="2478.7399999999998"/>
    <s v="Spring"/>
    <s v="Card"/>
    <n v="4.9000000000000004"/>
    <x v="20"/>
    <n v="11"/>
    <n v="3645.205882352941"/>
    <n v="1166.4658823529412"/>
    <x v="1"/>
    <n v="1"/>
  </r>
  <r>
    <n v="3587"/>
    <n v="25"/>
    <s v="Female"/>
    <s v="Accessories"/>
    <s v="Wallet"/>
    <n v="84.07"/>
    <s v="Spring"/>
    <s v="Cash on Delivery"/>
    <n v="3.7"/>
    <x v="3"/>
    <n v="5"/>
    <n v="105.08749999999999"/>
    <n v="21.017499999999998"/>
    <x v="3"/>
    <n v="1"/>
  </r>
  <r>
    <n v="3588"/>
    <n v="68"/>
    <s v="Male"/>
    <s v="Electronics"/>
    <s v="Headphones"/>
    <n v="2454.39"/>
    <s v="Autumn"/>
    <s v="Card"/>
    <n v="4.0999999999999996"/>
    <x v="3"/>
    <n v="5"/>
    <n v="3067.9874999999997"/>
    <n v="613.59749999999985"/>
    <x v="2"/>
    <n v="1"/>
  </r>
  <r>
    <n v="3589"/>
    <n v="56"/>
    <s v="Male"/>
    <s v="Electronics"/>
    <s v="Smart Watch"/>
    <n v="1041.3399999999999"/>
    <s v="Autumn"/>
    <s v="Card"/>
    <n v="3.4"/>
    <x v="19"/>
    <n v="5"/>
    <n v="1225.1058823529411"/>
    <n v="183.76588235294116"/>
    <x v="0"/>
    <n v="1"/>
  </r>
  <r>
    <n v="3590"/>
    <n v="56"/>
    <s v="Male"/>
    <s v="Sports"/>
    <s v="Dumbbells"/>
    <n v="235.44"/>
    <s v="Summer"/>
    <s v="Card"/>
    <n v="2.4"/>
    <x v="19"/>
    <n v="5"/>
    <n v="276.98823529411766"/>
    <n v="41.54823529411766"/>
    <x v="0"/>
    <n v="1"/>
  </r>
  <r>
    <n v="3591"/>
    <n v="35"/>
    <s v="Female"/>
    <s v="Beauty"/>
    <s v="Makeup Set"/>
    <n v="35.72"/>
    <s v="Autumn"/>
    <s v="Card"/>
    <n v="4.3"/>
    <x v="5"/>
    <n v="4"/>
    <n v="38.826086956521735"/>
    <n v="3.1060869565217359"/>
    <x v="5"/>
    <n v="1"/>
  </r>
  <r>
    <n v="3592"/>
    <n v="27"/>
    <s v="Male"/>
    <s v="Mens Clothing"/>
    <s v="Shirt"/>
    <n v="134.71"/>
    <s v="Spring"/>
    <s v="Card"/>
    <n v="3.2"/>
    <x v="6"/>
    <n v="3"/>
    <n v="160.36904761904762"/>
    <n v="25.659047619047612"/>
    <x v="5"/>
    <n v="1"/>
  </r>
  <r>
    <n v="3593"/>
    <n v="33"/>
    <s v="Female"/>
    <s v="Footwear"/>
    <s v="Sandals"/>
    <n v="148.91999999999999"/>
    <s v="Winter"/>
    <s v="Card"/>
    <n v="4.0999999999999996"/>
    <x v="17"/>
    <n v="2"/>
    <n v="155.125"/>
    <n v="6.2050000000000125"/>
    <x v="5"/>
    <n v="1"/>
  </r>
  <r>
    <n v="3594"/>
    <n v="30"/>
    <s v="Male"/>
    <s v="Mens Clothing"/>
    <s v="Jacket"/>
    <n v="104.95"/>
    <s v="Summer"/>
    <s v="Card"/>
    <n v="3.9"/>
    <x v="10"/>
    <n v="6"/>
    <n v="134.55128205128204"/>
    <n v="29.601282051282041"/>
    <x v="5"/>
    <n v="1"/>
  </r>
  <r>
    <n v="3595"/>
    <n v="49"/>
    <s v="Female"/>
    <s v="Accessories"/>
    <s v="Handbag"/>
    <n v="103.47"/>
    <s v="Summer"/>
    <s v="Card"/>
    <n v="3.5"/>
    <x v="11"/>
    <n v="8"/>
    <n v="139.82432432432432"/>
    <n v="36.354324324324324"/>
    <x v="4"/>
    <n v="1"/>
  </r>
  <r>
    <n v="3596"/>
    <n v="55"/>
    <s v="Female"/>
    <s v="Home"/>
    <s v="Lamp"/>
    <n v="298.60000000000002"/>
    <s v="Autumn"/>
    <s v="Card"/>
    <n v="4.7"/>
    <x v="14"/>
    <n v="6"/>
    <n v="359.75903614457837"/>
    <n v="61.159036144578351"/>
    <x v="4"/>
    <n v="1"/>
  </r>
  <r>
    <n v="3597"/>
    <n v="51"/>
    <s v="Male"/>
    <s v="Sports"/>
    <s v="Yoga Mat"/>
    <n v="39.06"/>
    <s v="Spring"/>
    <s v="Card"/>
    <n v="3.7"/>
    <x v="3"/>
    <n v="5"/>
    <n v="48.825000000000003"/>
    <n v="9.7650000000000006"/>
    <x v="4"/>
    <n v="1"/>
  </r>
  <r>
    <n v="3598"/>
    <n v="40"/>
    <s v="Male"/>
    <s v="Mens Clothing"/>
    <s v="Shirt"/>
    <n v="133.24"/>
    <s v="Summer"/>
    <s v="Card"/>
    <n v="3.8"/>
    <x v="14"/>
    <n v="6"/>
    <n v="160.53012048192772"/>
    <n v="27.290120481927715"/>
    <x v="1"/>
    <n v="1"/>
  </r>
  <r>
    <n v="3599"/>
    <n v="42"/>
    <s v="Male"/>
    <s v="Electronics"/>
    <s v="Mobile Phone"/>
    <n v="897.41"/>
    <s v="Autumn"/>
    <s v="Card"/>
    <n v="3.8"/>
    <x v="12"/>
    <n v="7"/>
    <n v="1107.9135802469134"/>
    <n v="210.50358024691343"/>
    <x v="1"/>
    <n v="1"/>
  </r>
  <r>
    <n v="3600"/>
    <n v="52"/>
    <s v="Male"/>
    <s v="Footwear"/>
    <s v="Sneakers"/>
    <n v="86.48"/>
    <s v="Winter"/>
    <s v="Cash on Delivery"/>
    <n v="3.2"/>
    <x v="10"/>
    <n v="6"/>
    <n v="110.87179487179488"/>
    <n v="24.391794871794872"/>
    <x v="4"/>
    <n v="1"/>
  </r>
  <r>
    <n v="3601"/>
    <n v="56"/>
    <s v="Female"/>
    <s v="Footwear"/>
    <s v="Sandals"/>
    <n v="125.07"/>
    <s v="Autumn"/>
    <s v="Card"/>
    <n v="2.8"/>
    <x v="0"/>
    <n v="4"/>
    <n v="152.52439024390242"/>
    <n v="27.454390243902424"/>
    <x v="0"/>
    <n v="1"/>
  </r>
  <r>
    <n v="3602"/>
    <n v="46"/>
    <s v="Male"/>
    <s v="Sports"/>
    <s v="Yoga Mat"/>
    <n v="216.22"/>
    <s v="Winter"/>
    <s v="Card"/>
    <n v="3.2"/>
    <x v="10"/>
    <n v="6"/>
    <n v="277.20512820512818"/>
    <n v="60.985128205128177"/>
    <x v="4"/>
    <n v="1"/>
  </r>
  <r>
    <n v="3603"/>
    <n v="55"/>
    <s v="Female"/>
    <s v="Beauty"/>
    <s v="Makeup Set"/>
    <n v="29.52"/>
    <s v="Spring"/>
    <s v="Cash on Delivery"/>
    <n v="3.8"/>
    <x v="17"/>
    <n v="2"/>
    <n v="30.75"/>
    <n v="1.2300000000000004"/>
    <x v="4"/>
    <n v="1"/>
  </r>
  <r>
    <n v="3604"/>
    <n v="39"/>
    <s v="Female"/>
    <s v="Womens Clothing"/>
    <s v="Top"/>
    <n v="174.95"/>
    <s v="Autumn"/>
    <s v="Card"/>
    <n v="2.9"/>
    <x v="1"/>
    <n v="4"/>
    <n v="201.09195402298849"/>
    <n v="26.1419540229885"/>
    <x v="1"/>
    <n v="1"/>
  </r>
  <r>
    <n v="3605"/>
    <n v="49"/>
    <s v="Male"/>
    <s v="Mens Clothing"/>
    <s v="Shirt"/>
    <n v="101.38"/>
    <s v="Spring"/>
    <s v="Card"/>
    <n v="3.3"/>
    <x v="8"/>
    <n v="6"/>
    <n v="115.20454545454545"/>
    <n v="13.824545454545458"/>
    <x v="4"/>
    <n v="1"/>
  </r>
  <r>
    <n v="3606"/>
    <n v="53"/>
    <s v="Male"/>
    <s v="Sports"/>
    <s v="Dumbbells"/>
    <n v="61.95"/>
    <s v="Winter"/>
    <s v="Card"/>
    <n v="5"/>
    <x v="24"/>
    <n v="9"/>
    <n v="86.041666666666671"/>
    <n v="24.091666666666669"/>
    <x v="4"/>
    <n v="1"/>
  </r>
  <r>
    <n v="3607"/>
    <n v="34"/>
    <s v="Female"/>
    <s v="Sports"/>
    <s v="Dumbbells"/>
    <n v="117.57"/>
    <s v="Autumn"/>
    <s v="Card"/>
    <n v="4.4000000000000004"/>
    <x v="6"/>
    <n v="3"/>
    <n v="139.96428571428572"/>
    <n v="22.394285714285729"/>
    <x v="5"/>
    <n v="1"/>
  </r>
  <r>
    <n v="3608"/>
    <n v="70"/>
    <s v="Female"/>
    <s v="Beauty"/>
    <s v="Perfume"/>
    <n v="130.01"/>
    <s v="Spring"/>
    <s v="Card"/>
    <n v="4.3"/>
    <x v="19"/>
    <n v="5"/>
    <n v="152.95294117647057"/>
    <n v="22.942941176470583"/>
    <x v="2"/>
    <n v="1"/>
  </r>
  <r>
    <n v="3609"/>
    <n v="69"/>
    <s v="Male"/>
    <s v="Sports"/>
    <s v="Yoga Mat"/>
    <n v="225.9"/>
    <s v="Winter"/>
    <s v="Card"/>
    <n v="3.8"/>
    <x v="10"/>
    <n v="6"/>
    <n v="289.61538461538458"/>
    <n v="63.715384615384579"/>
    <x v="2"/>
    <n v="1"/>
  </r>
  <r>
    <n v="3610"/>
    <n v="27"/>
    <s v="Male"/>
    <s v="Sports"/>
    <s v="Dumbbells"/>
    <n v="165.66"/>
    <s v="Summer"/>
    <s v="Card"/>
    <n v="3.4"/>
    <x v="4"/>
    <n v="2"/>
    <n v="192.62790697674419"/>
    <n v="26.967906976744189"/>
    <x v="5"/>
    <n v="1"/>
  </r>
  <r>
    <n v="3611"/>
    <n v="30"/>
    <s v="Male"/>
    <s v="Footwear"/>
    <s v="Sneakers"/>
    <n v="197.71"/>
    <s v="Spring"/>
    <s v="Card"/>
    <n v="3.3"/>
    <x v="14"/>
    <n v="6"/>
    <n v="238.20481927710844"/>
    <n v="40.494819277108434"/>
    <x v="5"/>
    <n v="1"/>
  </r>
  <r>
    <n v="3612"/>
    <n v="58"/>
    <s v="Male"/>
    <s v="Mens Clothing"/>
    <s v="Jacket"/>
    <n v="104.05"/>
    <s v="Autumn"/>
    <s v="Card"/>
    <n v="2.8"/>
    <x v="16"/>
    <n v="3"/>
    <n v="110.69148936170212"/>
    <n v="6.6414893617021278"/>
    <x v="0"/>
    <n v="1"/>
  </r>
  <r>
    <n v="3613"/>
    <n v="32"/>
    <s v="Male"/>
    <s v="Groceries"/>
    <s v="Snacks"/>
    <n v="77.81"/>
    <s v="Autumn"/>
    <s v="Card"/>
    <n v="4.2"/>
    <x v="5"/>
    <n v="4"/>
    <n v="84.576086956521735"/>
    <n v="6.7660869565217325"/>
    <x v="5"/>
    <n v="1"/>
  </r>
  <r>
    <n v="3614"/>
    <n v="43"/>
    <s v="Female"/>
    <s v="Footwear"/>
    <s v="Sneakers"/>
    <n v="117.91"/>
    <s v="Spring"/>
    <s v="Card"/>
    <n v="4"/>
    <x v="8"/>
    <n v="1"/>
    <n v="133.98863636363635"/>
    <n v="16.078636363636349"/>
    <x v="1"/>
    <n v="1"/>
  </r>
  <r>
    <n v="3615"/>
    <n v="26"/>
    <s v="Male"/>
    <s v="Groceries"/>
    <s v="Cooking Oil"/>
    <n v="70.44"/>
    <s v="Winter"/>
    <s v="Card"/>
    <n v="2.5"/>
    <x v="12"/>
    <n v="7"/>
    <n v="86.962962962962948"/>
    <n v="16.52296296296295"/>
    <x v="5"/>
    <n v="1"/>
  </r>
  <r>
    <n v="3616"/>
    <n v="60"/>
    <s v="Female"/>
    <s v="Accessories"/>
    <s v="Wallet"/>
    <n v="104.64"/>
    <s v="Autumn"/>
    <s v="Card"/>
    <n v="3.7"/>
    <x v="14"/>
    <n v="6"/>
    <n v="126.07228915662651"/>
    <n v="21.43228915662651"/>
    <x v="0"/>
    <n v="1"/>
  </r>
  <r>
    <n v="3617"/>
    <n v="64"/>
    <s v="Female"/>
    <s v="Beauty"/>
    <s v="Makeup Set"/>
    <n v="71.510000000000005"/>
    <s v="Winter"/>
    <s v="Cash on Delivery"/>
    <n v="2.9"/>
    <x v="24"/>
    <n v="9"/>
    <n v="99.319444444444457"/>
    <n v="27.809444444444452"/>
    <x v="0"/>
    <n v="1"/>
  </r>
  <r>
    <n v="3618"/>
    <n v="53"/>
    <s v="Female"/>
    <s v="Beauty"/>
    <s v="Skincare Kit"/>
    <n v="51.04"/>
    <s v="Autumn"/>
    <s v="Card"/>
    <n v="4.4000000000000004"/>
    <x v="12"/>
    <n v="7"/>
    <n v="63.012345679012341"/>
    <n v="11.972345679012342"/>
    <x v="4"/>
    <n v="1"/>
  </r>
  <r>
    <n v="3619"/>
    <n v="23"/>
    <s v="Male"/>
    <s v="Mens Clothing"/>
    <s v="Jeans"/>
    <n v="76.95"/>
    <s v="Winter"/>
    <s v="Card"/>
    <n v="3.8"/>
    <x v="5"/>
    <n v="4"/>
    <n v="83.641304347826093"/>
    <n v="6.6913043478260903"/>
    <x v="3"/>
    <n v="1"/>
  </r>
  <r>
    <n v="3620"/>
    <n v="32"/>
    <s v="Male"/>
    <s v="Mens Clothing"/>
    <s v="Jeans"/>
    <n v="81.88"/>
    <s v="Summer"/>
    <s v="Card"/>
    <n v="3.9"/>
    <x v="5"/>
    <n v="4"/>
    <n v="88.999999999999986"/>
    <n v="7.1199999999999903"/>
    <x v="5"/>
    <n v="1"/>
  </r>
  <r>
    <n v="3621"/>
    <n v="66"/>
    <s v="Male"/>
    <s v="Sports"/>
    <s v="Dumbbells"/>
    <n v="65.33"/>
    <s v="Spring"/>
    <s v="Card"/>
    <n v="3.2"/>
    <x v="3"/>
    <n v="5"/>
    <n v="81.662499999999994"/>
    <n v="16.332499999999996"/>
    <x v="2"/>
    <n v="1"/>
  </r>
  <r>
    <n v="3622"/>
    <n v="47"/>
    <s v="Female"/>
    <s v="Womens Clothing"/>
    <s v="Top"/>
    <n v="52.4"/>
    <s v="Winter"/>
    <s v="Cash on Delivery"/>
    <n v="3.7"/>
    <x v="18"/>
    <n v="7"/>
    <n v="68.94736842105263"/>
    <n v="16.547368421052632"/>
    <x v="4"/>
    <n v="1"/>
  </r>
  <r>
    <n v="3623"/>
    <n v="20"/>
    <s v="Male"/>
    <s v="Footwear"/>
    <s v="Formal Shoes"/>
    <n v="205.07"/>
    <s v="Spring"/>
    <s v="Card"/>
    <n v="4.2"/>
    <x v="14"/>
    <n v="6"/>
    <n v="247.07228915662651"/>
    <n v="42.002289156626517"/>
    <x v="3"/>
    <n v="1"/>
  </r>
  <r>
    <n v="3624"/>
    <n v="50"/>
    <s v="Female"/>
    <s v="Beauty"/>
    <s v="Skincare Kit"/>
    <n v="29.83"/>
    <s v="Winter"/>
    <s v="Card"/>
    <n v="2.4"/>
    <x v="0"/>
    <n v="4"/>
    <n v="36.378048780487802"/>
    <n v="6.5480487804878038"/>
    <x v="4"/>
    <n v="1"/>
  </r>
  <r>
    <n v="3625"/>
    <n v="68"/>
    <s v="Female"/>
    <s v="Sports"/>
    <s v="Football"/>
    <n v="151.76"/>
    <s v="Autumn"/>
    <s v="Card"/>
    <n v="4.0999999999999996"/>
    <x v="4"/>
    <n v="7"/>
    <n v="176.46511627906975"/>
    <n v="24.705116279069756"/>
    <x v="2"/>
    <n v="1"/>
  </r>
  <r>
    <n v="3626"/>
    <n v="47"/>
    <s v="Male"/>
    <s v="Groceries"/>
    <s v="Beverages"/>
    <n v="56.84"/>
    <s v="Summer"/>
    <s v="Card"/>
    <n v="3.7"/>
    <x v="7"/>
    <n v="5"/>
    <n v="63.155555555555559"/>
    <n v="6.3155555555555551"/>
    <x v="4"/>
    <n v="1"/>
  </r>
  <r>
    <n v="3627"/>
    <n v="66"/>
    <s v="Female"/>
    <s v="Footwear"/>
    <s v="Sandals"/>
    <n v="228.84"/>
    <s v="Spring"/>
    <s v="Card"/>
    <n v="4.0999999999999996"/>
    <x v="4"/>
    <n v="2"/>
    <n v="266.09302325581399"/>
    <n v="37.253023255813986"/>
    <x v="2"/>
    <n v="1"/>
  </r>
  <r>
    <n v="3628"/>
    <n v="53"/>
    <s v="Female"/>
    <s v="Footwear"/>
    <s v="Sneakers"/>
    <n v="130.81"/>
    <s v="Summer"/>
    <s v="Card"/>
    <n v="3.8"/>
    <x v="6"/>
    <n v="8"/>
    <n v="155.72619047619048"/>
    <n v="24.916190476190479"/>
    <x v="4"/>
    <n v="1"/>
  </r>
  <r>
    <n v="3629"/>
    <n v="57"/>
    <s v="Male"/>
    <s v="Footwear"/>
    <s v="Formal Shoes"/>
    <n v="65.53"/>
    <s v="Summer"/>
    <s v="Cash on Delivery"/>
    <n v="3.9"/>
    <x v="14"/>
    <n v="6"/>
    <n v="78.951807228915669"/>
    <n v="13.421807228915668"/>
    <x v="0"/>
    <n v="1"/>
  </r>
  <r>
    <n v="3630"/>
    <n v="60"/>
    <s v="Female"/>
    <s v="Accessories"/>
    <s v="Sunglasses"/>
    <n v="86.31"/>
    <s v="Spring"/>
    <s v="Card"/>
    <n v="4.4000000000000004"/>
    <x v="1"/>
    <n v="4"/>
    <n v="99.206896551724142"/>
    <n v="12.89689655172414"/>
    <x v="0"/>
    <n v="1"/>
  </r>
  <r>
    <n v="3631"/>
    <n v="31"/>
    <s v="Male"/>
    <s v="Sports"/>
    <s v="Yoga Mat"/>
    <n v="204.19"/>
    <s v="Winter"/>
    <s v="Card"/>
    <n v="3.4"/>
    <x v="0"/>
    <n v="4"/>
    <n v="249.01219512195121"/>
    <n v="44.822195121951211"/>
    <x v="5"/>
    <n v="1"/>
  </r>
  <r>
    <n v="3632"/>
    <n v="68"/>
    <s v="Male"/>
    <s v="Home"/>
    <s v="Curtains"/>
    <n v="289.19"/>
    <s v="Winter"/>
    <s v="Card"/>
    <n v="3.5"/>
    <x v="13"/>
    <n v="2"/>
    <n v="317.79120879120876"/>
    <n v="28.601208791208762"/>
    <x v="2"/>
    <n v="1"/>
  </r>
  <r>
    <n v="3633"/>
    <n v="54"/>
    <s v="Male"/>
    <s v="Sports"/>
    <s v="Football"/>
    <n v="158.37"/>
    <s v="Summer"/>
    <s v="Card"/>
    <n v="2.2999999999999998"/>
    <x v="8"/>
    <n v="6"/>
    <n v="179.96590909090909"/>
    <n v="21.595909090909089"/>
    <x v="4"/>
    <n v="1"/>
  </r>
  <r>
    <n v="3634"/>
    <n v="47"/>
    <s v="Female"/>
    <s v="Womens Clothing"/>
    <s v="Dress"/>
    <n v="71.25"/>
    <s v="Summer"/>
    <s v="Cash on Delivery"/>
    <n v="3.8"/>
    <x v="11"/>
    <n v="8"/>
    <n v="96.28378378378379"/>
    <n v="25.03378378378379"/>
    <x v="4"/>
    <n v="1"/>
  </r>
  <r>
    <n v="3635"/>
    <n v="62"/>
    <s v="Female"/>
    <s v="Accessories"/>
    <s v="Handbag"/>
    <n v="176.49"/>
    <s v="Autumn"/>
    <s v="Card"/>
    <n v="3.4"/>
    <x v="6"/>
    <n v="8"/>
    <n v="210.10714285714289"/>
    <n v="33.617142857142881"/>
    <x v="0"/>
    <n v="1"/>
  </r>
  <r>
    <n v="3636"/>
    <n v="33"/>
    <s v="Female"/>
    <s v="Footwear"/>
    <s v="Sandals"/>
    <n v="60.85"/>
    <s v="Autumn"/>
    <s v="Cash on Delivery"/>
    <n v="3.3"/>
    <x v="8"/>
    <n v="6"/>
    <n v="69.14772727272728"/>
    <n v="8.2977272727272791"/>
    <x v="5"/>
    <n v="1"/>
  </r>
  <r>
    <n v="3637"/>
    <n v="40"/>
    <s v="Male"/>
    <s v="Footwear"/>
    <s v="Formal Shoes"/>
    <n v="235.85"/>
    <s v="Autumn"/>
    <s v="Card"/>
    <n v="4.0999999999999996"/>
    <x v="25"/>
    <n v="10"/>
    <n v="336.92857142857144"/>
    <n v="101.07857142857145"/>
    <x v="1"/>
    <n v="1"/>
  </r>
  <r>
    <n v="3638"/>
    <n v="66"/>
    <s v="Male"/>
    <s v="Electronics"/>
    <s v="Smart Watch"/>
    <n v="1417.24"/>
    <s v="Winter"/>
    <s v="Card"/>
    <n v="3.3"/>
    <x v="22"/>
    <n v="9"/>
    <n v="1840.5714285714284"/>
    <n v="423.33142857142843"/>
    <x v="2"/>
    <n v="1"/>
  </r>
  <r>
    <n v="3639"/>
    <n v="39"/>
    <s v="Female"/>
    <s v="Womens Clothing"/>
    <s v="Jeans"/>
    <n v="119.67"/>
    <s v="Winter"/>
    <s v="Card"/>
    <n v="4.3"/>
    <x v="1"/>
    <n v="4"/>
    <n v="137.55172413793105"/>
    <n v="17.881724137931045"/>
    <x v="1"/>
    <n v="1"/>
  </r>
  <r>
    <n v="3640"/>
    <n v="63"/>
    <s v="Female"/>
    <s v="Womens Clothing"/>
    <s v="Dress"/>
    <n v="77.59"/>
    <s v="Summer"/>
    <s v="Card"/>
    <n v="4.5"/>
    <x v="0"/>
    <n v="4"/>
    <n v="94.621951219512198"/>
    <n v="17.031951219512194"/>
    <x v="0"/>
    <n v="1"/>
  </r>
  <r>
    <n v="3641"/>
    <n v="57"/>
    <s v="Female"/>
    <s v="Footwear"/>
    <s v="Sneakers"/>
    <n v="176.39"/>
    <s v="Winter"/>
    <s v="Card"/>
    <n v="5"/>
    <x v="16"/>
    <n v="3"/>
    <n v="187.64893617021275"/>
    <n v="11.258936170212763"/>
    <x v="0"/>
    <n v="1"/>
  </r>
  <r>
    <n v="3642"/>
    <n v="50"/>
    <s v="Male"/>
    <s v="Electronics"/>
    <s v="Headphones"/>
    <n v="2463.27"/>
    <s v="Autumn"/>
    <s v="Card"/>
    <n v="3.7"/>
    <x v="3"/>
    <n v="5"/>
    <n v="3079.0874999999996"/>
    <n v="615.81749999999965"/>
    <x v="4"/>
    <n v="1"/>
  </r>
  <r>
    <n v="3643"/>
    <n v="65"/>
    <s v="Male"/>
    <s v="Sports"/>
    <s v="Football"/>
    <n v="210.26"/>
    <s v="Summer"/>
    <s v="Card"/>
    <n v="4.5"/>
    <x v="12"/>
    <n v="7"/>
    <n v="259.5802469135802"/>
    <n v="49.320246913580206"/>
    <x v="0"/>
    <n v="1"/>
  </r>
  <r>
    <n v="3644"/>
    <n v="43"/>
    <s v="Male"/>
    <s v="Footwear"/>
    <s v="Sneakers"/>
    <n v="43.08"/>
    <s v="Autumn"/>
    <s v="Cash on Delivery"/>
    <n v="3.3"/>
    <x v="18"/>
    <n v="7"/>
    <n v="56.684210526315788"/>
    <n v="13.604210526315789"/>
    <x v="1"/>
    <n v="1"/>
  </r>
  <r>
    <n v="3645"/>
    <n v="66"/>
    <s v="Male"/>
    <s v="Electronics"/>
    <s v="Laptop"/>
    <n v="2061.67"/>
    <s v="Winter"/>
    <s v="Card"/>
    <n v="3.8"/>
    <x v="2"/>
    <n v="3"/>
    <n v="2316.4831460674159"/>
    <n v="254.8131460674158"/>
    <x v="2"/>
    <n v="1"/>
  </r>
  <r>
    <n v="3646"/>
    <n v="54"/>
    <s v="Female"/>
    <s v="Beauty"/>
    <s v="Skincare Kit"/>
    <n v="116.1"/>
    <s v="Autumn"/>
    <s v="Card"/>
    <n v="3.3"/>
    <x v="2"/>
    <n v="3"/>
    <n v="130.44943820224719"/>
    <n v="14.3494382022472"/>
    <x v="4"/>
    <n v="1"/>
  </r>
  <r>
    <n v="3647"/>
    <n v="21"/>
    <s v="Female"/>
    <s v="Accessories"/>
    <s v="Wallet"/>
    <n v="74.010000000000005"/>
    <s v="Autumn"/>
    <s v="Card"/>
    <n v="4.0999999999999996"/>
    <x v="10"/>
    <n v="6"/>
    <n v="94.884615384615387"/>
    <n v="20.874615384615382"/>
    <x v="3"/>
    <n v="1"/>
  </r>
  <r>
    <n v="3648"/>
    <n v="49"/>
    <s v="Female"/>
    <s v="Groceries"/>
    <s v="Snacks"/>
    <n v="63.04"/>
    <s v="Winter"/>
    <s v="Card"/>
    <n v="3.5"/>
    <x v="10"/>
    <n v="6"/>
    <n v="80.820512820512818"/>
    <n v="17.780512820512818"/>
    <x v="4"/>
    <n v="1"/>
  </r>
  <r>
    <n v="3649"/>
    <n v="41"/>
    <s v="Male"/>
    <s v="Mens Clothing"/>
    <s v="Jeans"/>
    <n v="52.63"/>
    <s v="Winter"/>
    <s v="Cash on Delivery"/>
    <n v="4.4000000000000004"/>
    <x v="6"/>
    <n v="3"/>
    <n v="62.654761904761912"/>
    <n v="10.02476190476191"/>
    <x v="1"/>
    <n v="1"/>
  </r>
  <r>
    <n v="3650"/>
    <n v="51"/>
    <s v="Male"/>
    <s v="Mens Clothing"/>
    <s v="Shirt"/>
    <n v="159.5"/>
    <s v="Spring"/>
    <s v="Card"/>
    <n v="4.3"/>
    <x v="10"/>
    <n v="6"/>
    <n v="204.48717948717947"/>
    <n v="44.987179487179475"/>
    <x v="4"/>
    <n v="1"/>
  </r>
  <r>
    <n v="3651"/>
    <n v="63"/>
    <s v="Female"/>
    <s v="Womens Clothing"/>
    <s v="Skirt"/>
    <n v="128.85"/>
    <s v="Winter"/>
    <s v="Card"/>
    <n v="2.9"/>
    <x v="2"/>
    <n v="3"/>
    <n v="144.77528089887639"/>
    <n v="15.925280898876395"/>
    <x v="0"/>
    <n v="1"/>
  </r>
  <r>
    <n v="3652"/>
    <n v="29"/>
    <s v="Male"/>
    <s v="Sports"/>
    <s v="Dumbbells"/>
    <n v="206.04"/>
    <s v="Summer"/>
    <s v="Card"/>
    <n v="3.5"/>
    <x v="3"/>
    <n v="5"/>
    <n v="257.54999999999995"/>
    <n v="51.509999999999962"/>
    <x v="5"/>
    <n v="1"/>
  </r>
  <r>
    <n v="3653"/>
    <n v="68"/>
    <s v="Female"/>
    <s v="Footwear"/>
    <s v="Sandals"/>
    <n v="86.55"/>
    <s v="Summer"/>
    <s v="Card"/>
    <n v="5"/>
    <x v="24"/>
    <n v="9"/>
    <n v="120.20833333333333"/>
    <n v="33.658333333333331"/>
    <x v="2"/>
    <n v="1"/>
  </r>
  <r>
    <n v="3654"/>
    <n v="63"/>
    <s v="Male"/>
    <s v="Sports"/>
    <s v="Yoga Mat"/>
    <n v="138.76"/>
    <s v="Spring"/>
    <s v="Card"/>
    <n v="3.5"/>
    <x v="14"/>
    <n v="6"/>
    <n v="167.18072289156626"/>
    <n v="28.420722891566271"/>
    <x v="0"/>
    <n v="1"/>
  </r>
  <r>
    <n v="3655"/>
    <n v="49"/>
    <s v="Female"/>
    <s v="Womens Clothing"/>
    <s v="Skirt"/>
    <n v="45.93"/>
    <s v="Spring"/>
    <s v="Card"/>
    <n v="5"/>
    <x v="10"/>
    <n v="6"/>
    <n v="58.88461538461538"/>
    <n v="12.95461538461538"/>
    <x v="4"/>
    <n v="1"/>
  </r>
  <r>
    <n v="3656"/>
    <n v="56"/>
    <s v="Female"/>
    <s v="Womens Clothing"/>
    <s v="Jeans"/>
    <n v="80.56"/>
    <s v="Autumn"/>
    <s v="Card"/>
    <n v="3.5"/>
    <x v="4"/>
    <n v="7"/>
    <n v="93.674418604651166"/>
    <n v="13.114418604651163"/>
    <x v="0"/>
    <n v="1"/>
  </r>
  <r>
    <n v="3657"/>
    <n v="42"/>
    <s v="Male"/>
    <s v="Home"/>
    <s v="Kitchen Set"/>
    <n v="133.91"/>
    <s v="Summer"/>
    <s v="Card"/>
    <n v="3.9"/>
    <x v="0"/>
    <n v="4"/>
    <n v="163.30487804878047"/>
    <n v="29.39487804878047"/>
    <x v="1"/>
    <n v="1"/>
  </r>
  <r>
    <n v="3658"/>
    <n v="34"/>
    <s v="Male"/>
    <s v="Electronics"/>
    <s v="Laptop"/>
    <n v="739.02"/>
    <s v="Autumn"/>
    <s v="Card"/>
    <n v="4.3"/>
    <x v="25"/>
    <n v="10"/>
    <n v="1055.7428571428572"/>
    <n v="316.72285714285726"/>
    <x v="5"/>
    <n v="1"/>
  </r>
  <r>
    <n v="3659"/>
    <n v="49"/>
    <s v="Male"/>
    <s v="Sports"/>
    <s v="Football"/>
    <n v="245.64"/>
    <s v="Winter"/>
    <s v="Card"/>
    <n v="4.0999999999999996"/>
    <x v="19"/>
    <n v="5"/>
    <n v="288.98823529411766"/>
    <n v="43.348235294117671"/>
    <x v="4"/>
    <n v="1"/>
  </r>
  <r>
    <n v="3660"/>
    <n v="38"/>
    <s v="Male"/>
    <s v="Mens Clothing"/>
    <s v="Jeans"/>
    <n v="75.67"/>
    <s v="Winter"/>
    <s v="Cash on Delivery"/>
    <n v="3.8"/>
    <x v="19"/>
    <n v="5"/>
    <n v="89.023529411764713"/>
    <n v="13.353529411764711"/>
    <x v="1"/>
    <n v="1"/>
  </r>
  <r>
    <n v="3661"/>
    <n v="51"/>
    <s v="Female"/>
    <s v="Accessories"/>
    <s v="Wallet"/>
    <n v="102.13"/>
    <s v="Summer"/>
    <s v="Card"/>
    <n v="4.0999999999999996"/>
    <x v="8"/>
    <n v="6"/>
    <n v="116.05681818181817"/>
    <n v="13.926818181818177"/>
    <x v="4"/>
    <n v="1"/>
  </r>
  <r>
    <n v="3662"/>
    <n v="50"/>
    <s v="Female"/>
    <s v="Womens Clothing"/>
    <s v="Jeans"/>
    <n v="193.62"/>
    <s v="Autumn"/>
    <s v="Card"/>
    <n v="2.9"/>
    <x v="12"/>
    <n v="7"/>
    <n v="239.03703703703704"/>
    <n v="45.417037037037034"/>
    <x v="4"/>
    <n v="1"/>
  </r>
  <r>
    <n v="3663"/>
    <n v="27"/>
    <s v="Male"/>
    <s v="Mens Clothing"/>
    <s v="Jacket"/>
    <n v="154.24"/>
    <s v="Summer"/>
    <s v="Card"/>
    <n v="4.2"/>
    <x v="10"/>
    <n v="6"/>
    <n v="197.74358974358975"/>
    <n v="43.503589743589743"/>
    <x v="5"/>
    <n v="1"/>
  </r>
  <r>
    <n v="3664"/>
    <n v="40"/>
    <s v="Male"/>
    <s v="Footwear"/>
    <s v="Formal Shoes"/>
    <n v="70.38"/>
    <s v="Summer"/>
    <s v="Card"/>
    <n v="4.3"/>
    <x v="21"/>
    <n v="8"/>
    <n v="89.088607594936704"/>
    <n v="18.708607594936709"/>
    <x v="1"/>
    <n v="1"/>
  </r>
  <r>
    <n v="3665"/>
    <n v="43"/>
    <s v="Female"/>
    <s v="Groceries"/>
    <s v="Cooking Oil"/>
    <n v="42.5"/>
    <s v="Summer"/>
    <s v="Cash on Delivery"/>
    <n v="2.4"/>
    <x v="13"/>
    <n v="2"/>
    <n v="46.703296703296701"/>
    <n v="4.2032967032967008"/>
    <x v="1"/>
    <n v="1"/>
  </r>
  <r>
    <n v="3666"/>
    <n v="57"/>
    <s v="Female"/>
    <s v="Footwear"/>
    <s v="Sneakers"/>
    <n v="185.73"/>
    <s v="Spring"/>
    <s v="Card"/>
    <n v="5"/>
    <x v="14"/>
    <n v="6"/>
    <n v="223.77108433734941"/>
    <n v="38.041084337349417"/>
    <x v="0"/>
    <n v="1"/>
  </r>
  <r>
    <n v="3667"/>
    <n v="20"/>
    <s v="Male"/>
    <s v="Electronics"/>
    <s v="Laptop"/>
    <n v="1838.94"/>
    <s v="Winter"/>
    <s v="Card"/>
    <n v="3.8"/>
    <x v="7"/>
    <n v="5"/>
    <n v="2043.2666666666667"/>
    <n v="204.3266666666666"/>
    <x v="3"/>
    <n v="1"/>
  </r>
  <r>
    <n v="3668"/>
    <n v="25"/>
    <s v="Male"/>
    <s v="Sports"/>
    <s v="Yoga Mat"/>
    <n v="224.19"/>
    <s v="Autumn"/>
    <s v="Card"/>
    <n v="3.3"/>
    <x v="0"/>
    <n v="4"/>
    <n v="273.40243902439022"/>
    <n v="49.212439024390221"/>
    <x v="3"/>
    <n v="1"/>
  </r>
  <r>
    <n v="3669"/>
    <n v="64"/>
    <s v="Male"/>
    <s v="Mens Clothing"/>
    <s v="Jacket"/>
    <n v="64.53"/>
    <s v="Summer"/>
    <s v="Cash on Delivery"/>
    <n v="3.8"/>
    <x v="10"/>
    <n v="6"/>
    <n v="82.730769230769226"/>
    <n v="18.200769230769225"/>
    <x v="0"/>
    <n v="1"/>
  </r>
  <r>
    <n v="3670"/>
    <n v="43"/>
    <s v="Male"/>
    <s v="Electronics"/>
    <s v="Headphones"/>
    <n v="907.49"/>
    <s v="Winter"/>
    <s v="Card"/>
    <n v="4.3"/>
    <x v="5"/>
    <n v="4"/>
    <n v="986.4021739130435"/>
    <n v="78.912173913043489"/>
    <x v="1"/>
    <n v="1"/>
  </r>
  <r>
    <n v="3671"/>
    <n v="56"/>
    <s v="Female"/>
    <s v="Beauty"/>
    <s v="Makeup Set"/>
    <n v="91.75"/>
    <s v="Autumn"/>
    <s v="Card"/>
    <n v="3.3"/>
    <x v="1"/>
    <n v="4"/>
    <n v="105.45977011494253"/>
    <n v="13.709770114942529"/>
    <x v="0"/>
    <n v="1"/>
  </r>
  <r>
    <n v="3672"/>
    <n v="67"/>
    <s v="Male"/>
    <s v="Mens Clothing"/>
    <s v="Jacket"/>
    <n v="51.17"/>
    <s v="Summer"/>
    <s v="Cash on Delivery"/>
    <n v="4"/>
    <x v="4"/>
    <n v="2"/>
    <n v="59.5"/>
    <n v="8.3299999999999983"/>
    <x v="2"/>
    <n v="1"/>
  </r>
  <r>
    <n v="3673"/>
    <n v="60"/>
    <s v="Female"/>
    <s v="Accessories"/>
    <s v="Handbag"/>
    <n v="58.89"/>
    <s v="Summer"/>
    <s v="Card"/>
    <n v="4.9000000000000004"/>
    <x v="8"/>
    <n v="1"/>
    <n v="66.920454545454547"/>
    <n v="8.0304545454545462"/>
    <x v="0"/>
    <n v="1"/>
  </r>
  <r>
    <n v="3674"/>
    <n v="35"/>
    <s v="Male"/>
    <s v="Home"/>
    <s v="Kitchen Set"/>
    <n v="118.44"/>
    <s v="Winter"/>
    <s v="Card"/>
    <n v="4.7"/>
    <x v="24"/>
    <n v="9"/>
    <n v="164.5"/>
    <n v="46.06"/>
    <x v="5"/>
    <n v="1"/>
  </r>
  <r>
    <n v="3675"/>
    <n v="35"/>
    <s v="Female"/>
    <s v="Accessories"/>
    <s v="Handbag"/>
    <n v="130.35"/>
    <s v="Spring"/>
    <s v="Card"/>
    <n v="3.8"/>
    <x v="18"/>
    <n v="7"/>
    <n v="171.51315789473682"/>
    <n v="41.163157894736827"/>
    <x v="5"/>
    <n v="1"/>
  </r>
  <r>
    <n v="3676"/>
    <n v="44"/>
    <s v="Female"/>
    <s v="Groceries"/>
    <s v="Rice Pack"/>
    <n v="53.11"/>
    <s v="Winter"/>
    <s v="Cash on Delivery"/>
    <n v="3.9"/>
    <x v="19"/>
    <n v="5"/>
    <n v="62.482352941176472"/>
    <n v="9.372352941176473"/>
    <x v="1"/>
    <n v="1"/>
  </r>
  <r>
    <n v="3677"/>
    <n v="47"/>
    <s v="Female"/>
    <s v="Accessories"/>
    <s v="Handbag"/>
    <n v="72"/>
    <s v="Spring"/>
    <s v="Cash on Delivery"/>
    <n v="4.2"/>
    <x v="6"/>
    <n v="8"/>
    <n v="85.714285714285722"/>
    <n v="13.714285714285722"/>
    <x v="4"/>
    <n v="1"/>
  </r>
  <r>
    <n v="3678"/>
    <n v="54"/>
    <s v="Male"/>
    <s v="Sports"/>
    <s v="Dumbbells"/>
    <n v="97.9"/>
    <s v="Winter"/>
    <s v="Card"/>
    <n v="3.7"/>
    <x v="7"/>
    <n v="5"/>
    <n v="108.77777777777779"/>
    <n v="10.87777777777778"/>
    <x v="4"/>
    <n v="1"/>
  </r>
  <r>
    <n v="3679"/>
    <n v="70"/>
    <s v="Female"/>
    <s v="Womens Clothing"/>
    <s v="Top"/>
    <n v="131.93"/>
    <s v="Autumn"/>
    <s v="Card"/>
    <n v="3.3"/>
    <x v="6"/>
    <n v="3"/>
    <n v="157.05952380952382"/>
    <n v="25.129523809523818"/>
    <x v="2"/>
    <n v="1"/>
  </r>
  <r>
    <n v="3680"/>
    <n v="56"/>
    <s v="Female"/>
    <s v="Womens Clothing"/>
    <s v="Jeans"/>
    <n v="184.09"/>
    <s v="Autumn"/>
    <s v="Card"/>
    <n v="3.4"/>
    <x v="10"/>
    <n v="6"/>
    <n v="236.0128205128205"/>
    <n v="51.922820512820493"/>
    <x v="0"/>
    <n v="1"/>
  </r>
  <r>
    <n v="3681"/>
    <n v="20"/>
    <s v="Female"/>
    <s v="Beauty"/>
    <s v="Perfume"/>
    <n v="58.16"/>
    <s v="Spring"/>
    <s v="Cash on Delivery"/>
    <n v="4.5"/>
    <x v="2"/>
    <n v="3"/>
    <n v="65.348314606741567"/>
    <n v="7.1883146067415709"/>
    <x v="3"/>
    <n v="1"/>
  </r>
  <r>
    <n v="3682"/>
    <n v="25"/>
    <s v="Female"/>
    <s v="Accessories"/>
    <s v="Sunglasses"/>
    <n v="20.67"/>
    <s v="Summer"/>
    <s v="Card"/>
    <n v="5"/>
    <x v="5"/>
    <n v="4"/>
    <n v="22.467391304347828"/>
    <n v="1.7973913043478262"/>
    <x v="3"/>
    <n v="1"/>
  </r>
  <r>
    <n v="3683"/>
    <n v="57"/>
    <s v="Female"/>
    <s v="Beauty"/>
    <s v="Perfume"/>
    <n v="93.07"/>
    <s v="Spring"/>
    <s v="Card"/>
    <n v="3.4"/>
    <x v="4"/>
    <n v="2"/>
    <n v="108.22093023255813"/>
    <n v="15.150930232558139"/>
    <x v="0"/>
    <n v="1"/>
  </r>
  <r>
    <n v="3684"/>
    <n v="30"/>
    <s v="Female"/>
    <s v="Accessories"/>
    <s v="Sunglasses"/>
    <n v="95.38"/>
    <s v="Spring"/>
    <s v="Card"/>
    <n v="5"/>
    <x v="7"/>
    <n v="5"/>
    <n v="105.97777777777777"/>
    <n v="10.597777777777779"/>
    <x v="5"/>
    <n v="1"/>
  </r>
  <r>
    <n v="3685"/>
    <n v="20"/>
    <s v="Male"/>
    <s v="Sports"/>
    <s v="Football"/>
    <n v="167.54"/>
    <s v="Winter"/>
    <s v="Card"/>
    <n v="3.8"/>
    <x v="3"/>
    <n v="5"/>
    <n v="209.42499999999998"/>
    <n v="41.884999999999991"/>
    <x v="3"/>
    <n v="1"/>
  </r>
  <r>
    <n v="3686"/>
    <n v="70"/>
    <s v="Male"/>
    <s v="Mens Clothing"/>
    <s v="Jacket"/>
    <n v="78.89"/>
    <s v="Summer"/>
    <s v="Card"/>
    <n v="3.9"/>
    <x v="5"/>
    <n v="4"/>
    <n v="85.75"/>
    <n v="6.8599999999999994"/>
    <x v="2"/>
    <n v="1"/>
  </r>
  <r>
    <n v="3687"/>
    <n v="28"/>
    <s v="Male"/>
    <s v="Sports"/>
    <s v="Football"/>
    <n v="39.159999999999997"/>
    <s v="Summer"/>
    <s v="Cash on Delivery"/>
    <n v="3.9"/>
    <x v="1"/>
    <n v="4"/>
    <n v="45.011494252873561"/>
    <n v="5.8514942528735645"/>
    <x v="5"/>
    <n v="1"/>
  </r>
  <r>
    <n v="3688"/>
    <n v="35"/>
    <s v="Female"/>
    <s v="Home"/>
    <s v="Curtains"/>
    <n v="299.25"/>
    <s v="Winter"/>
    <s v="Card"/>
    <n v="3.4"/>
    <x v="7"/>
    <n v="5"/>
    <n v="332.5"/>
    <n v="33.25"/>
    <x v="5"/>
    <n v="1"/>
  </r>
  <r>
    <n v="3689"/>
    <n v="29"/>
    <s v="Female"/>
    <s v="Groceries"/>
    <s v="Snacks"/>
    <n v="70.760000000000005"/>
    <s v="Autumn"/>
    <s v="Card"/>
    <n v="3.8"/>
    <x v="1"/>
    <n v="4"/>
    <n v="81.333333333333343"/>
    <n v="10.573333333333338"/>
    <x v="5"/>
    <n v="1"/>
  </r>
  <r>
    <n v="3690"/>
    <n v="40"/>
    <s v="Female"/>
    <s v="Womens Clothing"/>
    <s v="Skirt"/>
    <n v="191.37"/>
    <s v="Spring"/>
    <s v="Card"/>
    <n v="4.0999999999999996"/>
    <x v="6"/>
    <n v="3"/>
    <n v="227.82142857142858"/>
    <n v="36.451428571428579"/>
    <x v="1"/>
    <n v="1"/>
  </r>
  <r>
    <n v="3691"/>
    <n v="34"/>
    <s v="Female"/>
    <s v="Footwear"/>
    <s v="Sneakers"/>
    <n v="240.46"/>
    <s v="Summer"/>
    <s v="Card"/>
    <n v="5"/>
    <x v="0"/>
    <n v="9"/>
    <n v="293.2439024390244"/>
    <n v="52.783902439024388"/>
    <x v="5"/>
    <n v="1"/>
  </r>
  <r>
    <n v="3692"/>
    <n v="57"/>
    <s v="Female"/>
    <s v="Beauty"/>
    <s v="Makeup Set"/>
    <n v="134.16"/>
    <s v="Summer"/>
    <s v="Card"/>
    <n v="4"/>
    <x v="8"/>
    <n v="6"/>
    <n v="152.45454545454544"/>
    <n v="18.294545454545442"/>
    <x v="0"/>
    <n v="1"/>
  </r>
  <r>
    <n v="3693"/>
    <n v="50"/>
    <s v="Female"/>
    <s v="Beauty"/>
    <s v="Skincare Kit"/>
    <n v="92.73"/>
    <s v="Autumn"/>
    <s v="Card"/>
    <n v="4.2"/>
    <x v="11"/>
    <n v="8"/>
    <n v="125.31081081081082"/>
    <n v="32.580810810810817"/>
    <x v="4"/>
    <n v="1"/>
  </r>
  <r>
    <n v="3694"/>
    <n v="60"/>
    <s v="Female"/>
    <s v="Womens Clothing"/>
    <s v="Top"/>
    <n v="169.58"/>
    <s v="Autumn"/>
    <s v="Card"/>
    <n v="4.8"/>
    <x v="22"/>
    <n v="9"/>
    <n v="220.23376623376623"/>
    <n v="50.65376623376622"/>
    <x v="0"/>
    <n v="1"/>
  </r>
  <r>
    <n v="3695"/>
    <n v="70"/>
    <s v="Female"/>
    <s v="Womens Clothing"/>
    <s v="Skirt"/>
    <n v="51.99"/>
    <s v="Autumn"/>
    <s v="Cash on Delivery"/>
    <n v="3.4"/>
    <x v="18"/>
    <n v="7"/>
    <n v="68.40789473684211"/>
    <n v="16.417894736842108"/>
    <x v="2"/>
    <n v="1"/>
  </r>
  <r>
    <n v="3696"/>
    <n v="35"/>
    <s v="Female"/>
    <s v="Footwear"/>
    <s v="Sandals"/>
    <n v="220.75"/>
    <s v="Summer"/>
    <s v="Card"/>
    <n v="3.7"/>
    <x v="4"/>
    <n v="7"/>
    <n v="256.68604651162792"/>
    <n v="35.936046511627922"/>
    <x v="5"/>
    <n v="1"/>
  </r>
  <r>
    <n v="3697"/>
    <n v="31"/>
    <s v="Female"/>
    <s v="Home"/>
    <s v="Curtains"/>
    <n v="86.63"/>
    <s v="Autumn"/>
    <s v="Cash on Delivery"/>
    <n v="4.5"/>
    <x v="3"/>
    <n v="10"/>
    <n v="108.28749999999999"/>
    <n v="21.657499999999999"/>
    <x v="5"/>
    <n v="1"/>
  </r>
  <r>
    <n v="3698"/>
    <n v="37"/>
    <s v="Male"/>
    <s v="Groceries"/>
    <s v="Rice Pack"/>
    <n v="43.63"/>
    <s v="Autumn"/>
    <s v="Card"/>
    <n v="4.5999999999999996"/>
    <x v="6"/>
    <n v="3"/>
    <n v="51.940476190476197"/>
    <n v="8.3104761904761943"/>
    <x v="1"/>
    <n v="1"/>
  </r>
  <r>
    <n v="3699"/>
    <n v="63"/>
    <s v="Male"/>
    <s v="Footwear"/>
    <s v="Sneakers"/>
    <n v="173.53"/>
    <s v="Spring"/>
    <s v="Card"/>
    <n v="4.4000000000000004"/>
    <x v="6"/>
    <n v="3"/>
    <n v="206.58333333333334"/>
    <n v="33.053333333333342"/>
    <x v="0"/>
    <n v="1"/>
  </r>
  <r>
    <n v="3700"/>
    <n v="46"/>
    <s v="Male"/>
    <s v="Home"/>
    <s v="Curtains"/>
    <n v="162.93"/>
    <s v="Autumn"/>
    <s v="Card"/>
    <n v="4.7"/>
    <x v="0"/>
    <n v="4"/>
    <n v="198.69512195121951"/>
    <n v="35.765121951219498"/>
    <x v="4"/>
    <n v="1"/>
  </r>
  <r>
    <n v="3701"/>
    <n v="35"/>
    <s v="Female"/>
    <s v="Beauty"/>
    <s v="Skincare Kit"/>
    <n v="75.510000000000005"/>
    <s v="Spring"/>
    <s v="Card"/>
    <n v="4.0999999999999996"/>
    <x v="14"/>
    <n v="6"/>
    <n v="90.975903614457849"/>
    <n v="15.465903614457844"/>
    <x v="5"/>
    <n v="1"/>
  </r>
  <r>
    <n v="3702"/>
    <n v="42"/>
    <s v="Female"/>
    <s v="Footwear"/>
    <s v="Sneakers"/>
    <n v="148.02000000000001"/>
    <s v="Winter"/>
    <s v="Card"/>
    <n v="2.7"/>
    <x v="8"/>
    <n v="6"/>
    <n v="168.20454545454547"/>
    <n v="20.184545454545457"/>
    <x v="1"/>
    <n v="1"/>
  </r>
  <r>
    <n v="3703"/>
    <n v="47"/>
    <s v="Female"/>
    <s v="Beauty"/>
    <s v="Makeup Set"/>
    <n v="31.89"/>
    <s v="Winter"/>
    <s v="Cash on Delivery"/>
    <n v="4.3"/>
    <x v="1"/>
    <n v="4"/>
    <n v="36.655172413793103"/>
    <n v="4.7651724137931026"/>
    <x v="4"/>
    <n v="1"/>
  </r>
  <r>
    <n v="3704"/>
    <n v="62"/>
    <s v="Male"/>
    <s v="Home"/>
    <s v="Lamp"/>
    <n v="36.04"/>
    <s v="Winter"/>
    <s v="Cash on Delivery"/>
    <n v="3.7"/>
    <x v="0"/>
    <n v="4"/>
    <n v="43.951219512195117"/>
    <n v="7.9112195121951174"/>
    <x v="0"/>
    <n v="1"/>
  </r>
  <r>
    <n v="3705"/>
    <n v="47"/>
    <s v="Female"/>
    <s v="Beauty"/>
    <s v="Makeup Set"/>
    <n v="110.64"/>
    <s v="Winter"/>
    <s v="Card"/>
    <n v="4.0999999999999996"/>
    <x v="7"/>
    <n v="5"/>
    <n v="122.93333333333334"/>
    <n v="12.293333333333337"/>
    <x v="4"/>
    <n v="1"/>
  </r>
  <r>
    <n v="3706"/>
    <n v="70"/>
    <s v="Female"/>
    <s v="Womens Clothing"/>
    <s v="Skirt"/>
    <n v="166.68"/>
    <s v="Spring"/>
    <s v="Card"/>
    <n v="3.5"/>
    <x v="15"/>
    <n v="1"/>
    <n v="170.08163265306123"/>
    <n v="3.4016326530612275"/>
    <x v="2"/>
    <n v="1"/>
  </r>
  <r>
    <n v="3707"/>
    <n v="56"/>
    <s v="Female"/>
    <s v="Footwear"/>
    <s v="Formal Shoes"/>
    <n v="239.19"/>
    <s v="Spring"/>
    <s v="Card"/>
    <n v="5"/>
    <x v="3"/>
    <n v="5"/>
    <n v="298.98749999999995"/>
    <n v="59.797499999999957"/>
    <x v="0"/>
    <n v="1"/>
  </r>
  <r>
    <n v="3708"/>
    <n v="38"/>
    <s v="Male"/>
    <s v="Mens Clothing"/>
    <s v="Shirt"/>
    <n v="51.09"/>
    <s v="Summer"/>
    <s v="Cash on Delivery"/>
    <n v="4.5999999999999996"/>
    <x v="16"/>
    <n v="3"/>
    <n v="54.351063829787243"/>
    <n v="3.2610638297872399"/>
    <x v="1"/>
    <n v="1"/>
  </r>
  <r>
    <n v="3709"/>
    <n v="67"/>
    <s v="Male"/>
    <s v="Electronics"/>
    <s v="Laptop"/>
    <n v="2033.97"/>
    <s v="Autumn"/>
    <s v="Card"/>
    <n v="4.3"/>
    <x v="3"/>
    <n v="5"/>
    <n v="2542.4625000000001"/>
    <n v="508.49250000000006"/>
    <x v="2"/>
    <n v="1"/>
  </r>
  <r>
    <n v="3710"/>
    <n v="32"/>
    <s v="Female"/>
    <s v="Beauty"/>
    <s v="Perfume"/>
    <n v="25.5"/>
    <s v="Spring"/>
    <s v="Card"/>
    <n v="4.3"/>
    <x v="21"/>
    <n v="8"/>
    <n v="32.278481012658226"/>
    <n v="6.7784810126582258"/>
    <x v="5"/>
    <n v="1"/>
  </r>
  <r>
    <n v="3711"/>
    <n v="41"/>
    <s v="Female"/>
    <s v="Footwear"/>
    <s v="Sandals"/>
    <n v="194.63"/>
    <s v="Autumn"/>
    <s v="Card"/>
    <n v="3.6"/>
    <x v="19"/>
    <n v="5"/>
    <n v="228.97647058823529"/>
    <n v="34.346470588235292"/>
    <x v="1"/>
    <n v="1"/>
  </r>
  <r>
    <n v="3712"/>
    <n v="65"/>
    <s v="Male"/>
    <s v="Groceries"/>
    <s v="Beverages"/>
    <n v="56.5"/>
    <s v="Summer"/>
    <s v="Card"/>
    <n v="3.4"/>
    <x v="3"/>
    <n v="5"/>
    <n v="70.625"/>
    <n v="14.125"/>
    <x v="0"/>
    <n v="1"/>
  </r>
  <r>
    <n v="3713"/>
    <n v="46"/>
    <s v="Female"/>
    <s v="Accessories"/>
    <s v="Wallet"/>
    <n v="118.52"/>
    <s v="Spring"/>
    <s v="Card"/>
    <n v="5"/>
    <x v="11"/>
    <n v="8"/>
    <n v="160.16216216216216"/>
    <n v="41.642162162162165"/>
    <x v="4"/>
    <n v="1"/>
  </r>
  <r>
    <n v="3714"/>
    <n v="50"/>
    <s v="Male"/>
    <s v="Groceries"/>
    <s v="Beverages"/>
    <n v="30.62"/>
    <s v="Autumn"/>
    <s v="Card"/>
    <n v="4.2"/>
    <x v="11"/>
    <n v="8"/>
    <n v="41.378378378378379"/>
    <n v="10.758378378378378"/>
    <x v="4"/>
    <n v="1"/>
  </r>
  <r>
    <n v="3715"/>
    <n v="21"/>
    <s v="Female"/>
    <s v="Footwear"/>
    <s v="Sandals"/>
    <n v="225.81"/>
    <s v="Winter"/>
    <s v="Card"/>
    <n v="3.2"/>
    <x v="14"/>
    <n v="6"/>
    <n v="272.06024096385545"/>
    <n v="46.250240963855447"/>
    <x v="3"/>
    <n v="1"/>
  </r>
  <r>
    <n v="3716"/>
    <n v="38"/>
    <s v="Male"/>
    <s v="Sports"/>
    <s v="Yoga Mat"/>
    <n v="42.08"/>
    <s v="Autumn"/>
    <s v="Cash on Delivery"/>
    <n v="4.0999999999999996"/>
    <x v="16"/>
    <n v="3"/>
    <n v="44.765957446808514"/>
    <n v="2.6859574468085157"/>
    <x v="1"/>
    <n v="1"/>
  </r>
  <r>
    <n v="3717"/>
    <n v="22"/>
    <s v="Male"/>
    <s v="Sports"/>
    <s v="Dumbbells"/>
    <n v="78.2"/>
    <s v="Spring"/>
    <s v="Cash on Delivery"/>
    <n v="4.0999999999999996"/>
    <x v="19"/>
    <n v="5"/>
    <n v="92"/>
    <n v="13.799999999999997"/>
    <x v="3"/>
    <n v="1"/>
  </r>
  <r>
    <n v="3718"/>
    <n v="51"/>
    <s v="Male"/>
    <s v="Sports"/>
    <s v="Yoga Mat"/>
    <n v="238.8"/>
    <s v="Winter"/>
    <s v="Card"/>
    <n v="3.2"/>
    <x v="7"/>
    <n v="5"/>
    <n v="265.33333333333331"/>
    <n v="26.533333333333303"/>
    <x v="4"/>
    <n v="1"/>
  </r>
  <r>
    <n v="3719"/>
    <n v="29"/>
    <s v="Female"/>
    <s v="Footwear"/>
    <s v="Formal Shoes"/>
    <n v="232.13"/>
    <s v="Autumn"/>
    <s v="Card"/>
    <n v="3.8"/>
    <x v="6"/>
    <n v="8"/>
    <n v="276.34523809523807"/>
    <n v="44.215238095238078"/>
    <x v="5"/>
    <n v="1"/>
  </r>
  <r>
    <n v="3720"/>
    <n v="43"/>
    <s v="Male"/>
    <s v="Mens Clothing"/>
    <s v="Shirt"/>
    <n v="63.05"/>
    <s v="Winter"/>
    <s v="Card"/>
    <n v="3.6"/>
    <x v="13"/>
    <n v="2"/>
    <n v="69.285714285714278"/>
    <n v="6.2357142857142804"/>
    <x v="1"/>
    <n v="1"/>
  </r>
  <r>
    <n v="3721"/>
    <n v="58"/>
    <s v="Male"/>
    <s v="Sports"/>
    <s v="Football"/>
    <n v="103.55"/>
    <s v="Autumn"/>
    <s v="Card"/>
    <n v="3.3"/>
    <x v="2"/>
    <n v="3"/>
    <n v="116.34831460674157"/>
    <n v="12.79831460674157"/>
    <x v="0"/>
    <n v="1"/>
  </r>
  <r>
    <n v="3722"/>
    <n v="62"/>
    <s v="Male"/>
    <s v="Groceries"/>
    <s v="Cooking Oil"/>
    <n v="21.14"/>
    <s v="Autumn"/>
    <s v="Cash on Delivery"/>
    <n v="4.0999999999999996"/>
    <x v="2"/>
    <n v="3"/>
    <n v="23.752808988764045"/>
    <n v="2.6128089887640442"/>
    <x v="0"/>
    <n v="1"/>
  </r>
  <r>
    <n v="3723"/>
    <n v="69"/>
    <s v="Female"/>
    <s v="Accessories"/>
    <s v="Sunglasses"/>
    <n v="175.97"/>
    <s v="Winter"/>
    <s v="Card"/>
    <n v="3.4"/>
    <x v="5"/>
    <n v="4"/>
    <n v="191.27173913043478"/>
    <n v="15.301739130434783"/>
    <x v="2"/>
    <n v="1"/>
  </r>
  <r>
    <n v="3724"/>
    <n v="37"/>
    <s v="Female"/>
    <s v="Accessories"/>
    <s v="Sunglasses"/>
    <n v="175.84"/>
    <s v="Spring"/>
    <s v="Card"/>
    <n v="3.9"/>
    <x v="19"/>
    <n v="5"/>
    <n v="206.87058823529412"/>
    <n v="31.030588235294118"/>
    <x v="1"/>
    <n v="1"/>
  </r>
  <r>
    <n v="3725"/>
    <n v="44"/>
    <s v="Male"/>
    <s v="Footwear"/>
    <s v="Sandals"/>
    <n v="199.68"/>
    <s v="Summer"/>
    <s v="Card"/>
    <n v="4.5999999999999996"/>
    <x v="8"/>
    <n v="6"/>
    <n v="226.90909090909091"/>
    <n v="27.2290909090909"/>
    <x v="1"/>
    <n v="1"/>
  </r>
  <r>
    <n v="3726"/>
    <n v="56"/>
    <s v="Female"/>
    <s v="Accessories"/>
    <s v="Wallet"/>
    <n v="121.61"/>
    <s v="Winter"/>
    <s v="Card"/>
    <n v="3.8"/>
    <x v="5"/>
    <n v="4"/>
    <n v="132.18478260869566"/>
    <n v="10.574782608695656"/>
    <x v="0"/>
    <n v="1"/>
  </r>
  <r>
    <n v="3727"/>
    <n v="35"/>
    <s v="Male"/>
    <s v="Electronics"/>
    <s v="Smart Watch"/>
    <n v="2019.58"/>
    <s v="Autumn"/>
    <s v="Card"/>
    <n v="3"/>
    <x v="14"/>
    <n v="6"/>
    <n v="2433.2289156626507"/>
    <n v="413.64891566265078"/>
    <x v="5"/>
    <n v="1"/>
  </r>
  <r>
    <n v="3728"/>
    <n v="35"/>
    <s v="Female"/>
    <s v="Beauty"/>
    <s v="Skincare Kit"/>
    <n v="53.04"/>
    <s v="Spring"/>
    <s v="Card"/>
    <n v="3.5"/>
    <x v="3"/>
    <n v="5"/>
    <n v="66.3"/>
    <n v="13.259999999999998"/>
    <x v="5"/>
    <n v="1"/>
  </r>
  <r>
    <n v="3729"/>
    <n v="62"/>
    <s v="Female"/>
    <s v="Womens Clothing"/>
    <s v="Top"/>
    <n v="149.16"/>
    <s v="Autumn"/>
    <s v="Card"/>
    <n v="3.5"/>
    <x v="3"/>
    <n v="5"/>
    <n v="186.45"/>
    <n v="37.289999999999992"/>
    <x v="0"/>
    <n v="1"/>
  </r>
  <r>
    <n v="3730"/>
    <n v="48"/>
    <s v="Female"/>
    <s v="Footwear"/>
    <s v="Sandals"/>
    <n v="165.93"/>
    <s v="Autumn"/>
    <s v="Card"/>
    <n v="3"/>
    <x v="6"/>
    <n v="3"/>
    <n v="197.53571428571431"/>
    <n v="31.605714285714299"/>
    <x v="4"/>
    <n v="1"/>
  </r>
  <r>
    <n v="3731"/>
    <n v="38"/>
    <s v="Female"/>
    <s v="Footwear"/>
    <s v="Sandals"/>
    <n v="138.47"/>
    <s v="Autumn"/>
    <s v="Card"/>
    <n v="4.0999999999999996"/>
    <x v="3"/>
    <n v="5"/>
    <n v="173.08749999999998"/>
    <n v="34.617499999999978"/>
    <x v="1"/>
    <n v="1"/>
  </r>
  <r>
    <n v="3732"/>
    <n v="49"/>
    <s v="Female"/>
    <s v="Womens Clothing"/>
    <s v="Jeans"/>
    <n v="61.75"/>
    <s v="Summer"/>
    <s v="Cash on Delivery"/>
    <n v="2.9"/>
    <x v="17"/>
    <n v="2"/>
    <n v="64.322916666666671"/>
    <n v="2.5729166666666714"/>
    <x v="4"/>
    <n v="1"/>
  </r>
  <r>
    <n v="3733"/>
    <n v="25"/>
    <s v="Male"/>
    <s v="Mens Clothing"/>
    <s v="T-Shirt"/>
    <n v="186.83"/>
    <s v="Summer"/>
    <s v="Card"/>
    <n v="3.3"/>
    <x v="3"/>
    <n v="5"/>
    <n v="233.53749999999999"/>
    <n v="46.707499999999982"/>
    <x v="3"/>
    <n v="1"/>
  </r>
  <r>
    <n v="3734"/>
    <n v="32"/>
    <s v="Female"/>
    <s v="Home"/>
    <s v="Lamp"/>
    <n v="161.13"/>
    <s v="Autumn"/>
    <s v="Card"/>
    <n v="4.5999999999999996"/>
    <x v="18"/>
    <n v="7"/>
    <n v="212.01315789473682"/>
    <n v="50.883157894736826"/>
    <x v="5"/>
    <n v="1"/>
  </r>
  <r>
    <n v="3735"/>
    <n v="24"/>
    <s v="Female"/>
    <s v="Groceries"/>
    <s v="Snacks"/>
    <n v="34.75"/>
    <s v="Winter"/>
    <s v="Cash on Delivery"/>
    <n v="3.1"/>
    <x v="3"/>
    <n v="5"/>
    <n v="43.4375"/>
    <n v="8.6875"/>
    <x v="3"/>
    <n v="1"/>
  </r>
  <r>
    <n v="3736"/>
    <n v="52"/>
    <s v="Male"/>
    <s v="Sports"/>
    <s v="Dumbbells"/>
    <n v="40.54"/>
    <s v="Autumn"/>
    <s v="Card"/>
    <n v="5"/>
    <x v="19"/>
    <n v="5"/>
    <n v="47.694117647058825"/>
    <n v="7.1541176470588255"/>
    <x v="4"/>
    <n v="1"/>
  </r>
  <r>
    <n v="3737"/>
    <n v="38"/>
    <s v="Male"/>
    <s v="Mens Clothing"/>
    <s v="T-Shirt"/>
    <n v="156.15"/>
    <s v="Winter"/>
    <s v="Card"/>
    <n v="4.9000000000000004"/>
    <x v="0"/>
    <n v="4"/>
    <n v="190.42682926829266"/>
    <n v="34.276829268292659"/>
    <x v="1"/>
    <n v="1"/>
  </r>
  <r>
    <n v="3738"/>
    <n v="30"/>
    <s v="Female"/>
    <s v="Womens Clothing"/>
    <s v="Top"/>
    <n v="53.27"/>
    <s v="Autumn"/>
    <s v="Cash on Delivery"/>
    <n v="3.2"/>
    <x v="10"/>
    <n v="6"/>
    <n v="68.294871794871796"/>
    <n v="15.024871794871792"/>
    <x v="5"/>
    <n v="1"/>
  </r>
  <r>
    <n v="3739"/>
    <n v="70"/>
    <s v="Female"/>
    <s v="Womens Clothing"/>
    <s v="Skirt"/>
    <n v="90.81"/>
    <s v="Spring"/>
    <s v="Cash on Delivery"/>
    <n v="4"/>
    <x v="5"/>
    <n v="4"/>
    <n v="98.706521739130437"/>
    <n v="7.896521739130435"/>
    <x v="2"/>
    <n v="1"/>
  </r>
  <r>
    <n v="3740"/>
    <n v="23"/>
    <s v="Female"/>
    <s v="Womens Clothing"/>
    <s v="Top"/>
    <n v="101.78"/>
    <s v="Winter"/>
    <s v="Card"/>
    <n v="2.4"/>
    <x v="6"/>
    <n v="3"/>
    <n v="121.16666666666667"/>
    <n v="19.38666666666667"/>
    <x v="3"/>
    <n v="1"/>
  </r>
  <r>
    <n v="3741"/>
    <n v="52"/>
    <s v="Male"/>
    <s v="Footwear"/>
    <s v="Formal Shoes"/>
    <n v="83.51"/>
    <s v="Autumn"/>
    <s v="Card"/>
    <n v="3.5"/>
    <x v="19"/>
    <n v="5"/>
    <n v="98.247058823529414"/>
    <n v="14.737058823529409"/>
    <x v="4"/>
    <n v="1"/>
  </r>
  <r>
    <n v="3742"/>
    <n v="35"/>
    <s v="Female"/>
    <s v="Womens Clothing"/>
    <s v="Top"/>
    <n v="156.25"/>
    <s v="Summer"/>
    <s v="Card"/>
    <n v="4.0999999999999996"/>
    <x v="19"/>
    <n v="5"/>
    <n v="183.82352941176472"/>
    <n v="27.573529411764724"/>
    <x v="5"/>
    <n v="1"/>
  </r>
  <r>
    <n v="3743"/>
    <n v="61"/>
    <s v="Female"/>
    <s v="Footwear"/>
    <s v="Sandals"/>
    <n v="240.97"/>
    <s v="Spring"/>
    <s v="Card"/>
    <n v="4"/>
    <x v="11"/>
    <n v="8"/>
    <n v="325.63513513513516"/>
    <n v="84.665135135135159"/>
    <x v="0"/>
    <n v="1"/>
  </r>
  <r>
    <n v="3744"/>
    <n v="25"/>
    <s v="Female"/>
    <s v="Footwear"/>
    <s v="Sneakers"/>
    <n v="161.52000000000001"/>
    <s v="Summer"/>
    <s v="Card"/>
    <n v="4.2"/>
    <x v="7"/>
    <n v="5"/>
    <n v="179.46666666666667"/>
    <n v="17.946666666666658"/>
    <x v="3"/>
    <n v="1"/>
  </r>
  <r>
    <n v="3745"/>
    <n v="60"/>
    <s v="Male"/>
    <s v="Home"/>
    <s v="Lamp"/>
    <n v="52.07"/>
    <s v="Winter"/>
    <s v="Card"/>
    <n v="5"/>
    <x v="0"/>
    <n v="4"/>
    <n v="63.499999999999993"/>
    <n v="11.429999999999993"/>
    <x v="0"/>
    <n v="1"/>
  </r>
  <r>
    <n v="3746"/>
    <n v="21"/>
    <s v="Female"/>
    <s v="Beauty"/>
    <s v="Skincare Kit"/>
    <n v="41.3"/>
    <s v="Autumn"/>
    <s v="Cash on Delivery"/>
    <n v="3.8"/>
    <x v="5"/>
    <n v="4"/>
    <n v="44.891304347826079"/>
    <n v="3.5913043478260818"/>
    <x v="3"/>
    <n v="1"/>
  </r>
  <r>
    <n v="3747"/>
    <n v="59"/>
    <s v="Female"/>
    <s v="Accessories"/>
    <s v="Sunglasses"/>
    <n v="77.78"/>
    <s v="Summer"/>
    <s v="Cash on Delivery"/>
    <n v="4"/>
    <x v="1"/>
    <n v="4"/>
    <n v="89.402298850574709"/>
    <n v="11.622298850574708"/>
    <x v="0"/>
    <n v="1"/>
  </r>
  <r>
    <n v="3748"/>
    <n v="51"/>
    <s v="Female"/>
    <s v="Home"/>
    <s v="Curtains"/>
    <n v="74.72"/>
    <s v="Spring"/>
    <s v="Card"/>
    <n v="4"/>
    <x v="5"/>
    <n v="4"/>
    <n v="81.217391304347828"/>
    <n v="6.4973913043478291"/>
    <x v="4"/>
    <n v="1"/>
  </r>
  <r>
    <n v="3749"/>
    <n v="39"/>
    <s v="Female"/>
    <s v="Footwear"/>
    <s v="Formal Shoes"/>
    <n v="88.03"/>
    <s v="Autumn"/>
    <s v="Cash on Delivery"/>
    <n v="4"/>
    <x v="7"/>
    <n v="5"/>
    <n v="97.811111111111103"/>
    <n v="9.7811111111111018"/>
    <x v="1"/>
    <n v="1"/>
  </r>
  <r>
    <n v="3750"/>
    <n v="23"/>
    <s v="Female"/>
    <s v="Womens Clothing"/>
    <s v="Jeans"/>
    <n v="83.7"/>
    <s v="Spring"/>
    <s v="Cash on Delivery"/>
    <n v="3.3"/>
    <x v="3"/>
    <n v="5"/>
    <n v="104.625"/>
    <n v="20.924999999999997"/>
    <x v="3"/>
    <n v="1"/>
  </r>
  <r>
    <n v="3751"/>
    <n v="43"/>
    <s v="Female"/>
    <s v="Womens Clothing"/>
    <s v="Dress"/>
    <n v="87.63"/>
    <s v="Autumn"/>
    <s v="Cash on Delivery"/>
    <n v="4.5999999999999996"/>
    <x v="17"/>
    <n v="2"/>
    <n v="91.28125"/>
    <n v="3.6512500000000045"/>
    <x v="1"/>
    <n v="1"/>
  </r>
  <r>
    <n v="3752"/>
    <n v="53"/>
    <s v="Female"/>
    <s v="Beauty"/>
    <s v="Perfume"/>
    <n v="78.650000000000006"/>
    <s v="Autumn"/>
    <s v="Card"/>
    <n v="3.6"/>
    <x v="8"/>
    <n v="6"/>
    <n v="89.375"/>
    <n v="10.724999999999994"/>
    <x v="4"/>
    <n v="1"/>
  </r>
  <r>
    <n v="3753"/>
    <n v="37"/>
    <s v="Female"/>
    <s v="Accessories"/>
    <s v="Wallet"/>
    <n v="29.21"/>
    <s v="Summer"/>
    <s v="Card"/>
    <n v="4.0999999999999996"/>
    <x v="2"/>
    <n v="3"/>
    <n v="32.820224719101127"/>
    <n v="3.6102247191011259"/>
    <x v="1"/>
    <n v="1"/>
  </r>
  <r>
    <n v="3754"/>
    <n v="54"/>
    <s v="Female"/>
    <s v="Sports"/>
    <s v="Dumbbells"/>
    <n v="107.34"/>
    <s v="Summer"/>
    <s v="Card"/>
    <n v="3.5"/>
    <x v="12"/>
    <n v="7"/>
    <n v="132.5185185185185"/>
    <n v="25.178518518518501"/>
    <x v="4"/>
    <n v="1"/>
  </r>
  <r>
    <n v="3755"/>
    <n v="56"/>
    <s v="Male"/>
    <s v="Footwear"/>
    <s v="Sneakers"/>
    <n v="241.91"/>
    <s v="Summer"/>
    <s v="Card"/>
    <n v="3.5"/>
    <x v="6"/>
    <n v="3"/>
    <n v="287.98809523809524"/>
    <n v="46.078095238095244"/>
    <x v="0"/>
    <n v="1"/>
  </r>
  <r>
    <n v="3756"/>
    <n v="31"/>
    <s v="Female"/>
    <s v="Beauty"/>
    <s v="Skincare Kit"/>
    <n v="105.94"/>
    <s v="Summer"/>
    <s v="Card"/>
    <n v="3.3"/>
    <x v="6"/>
    <n v="3"/>
    <n v="126.11904761904762"/>
    <n v="20.179047619047623"/>
    <x v="5"/>
    <n v="1"/>
  </r>
  <r>
    <n v="3757"/>
    <n v="47"/>
    <s v="Male"/>
    <s v="Mens Clothing"/>
    <s v="Jacket"/>
    <n v="100.06"/>
    <s v="Autumn"/>
    <s v="Card"/>
    <n v="3.7"/>
    <x v="0"/>
    <n v="4"/>
    <n v="122.02439024390243"/>
    <n v="21.964390243902429"/>
    <x v="4"/>
    <n v="1"/>
  </r>
  <r>
    <n v="3758"/>
    <n v="41"/>
    <s v="Female"/>
    <s v="Sports"/>
    <s v="Dumbbells"/>
    <n v="53.69"/>
    <s v="Spring"/>
    <s v="Cash on Delivery"/>
    <n v="3.7"/>
    <x v="21"/>
    <n v="8"/>
    <n v="67.962025316455694"/>
    <n v="14.272025316455696"/>
    <x v="1"/>
    <n v="1"/>
  </r>
  <r>
    <n v="3759"/>
    <n v="69"/>
    <s v="Male"/>
    <s v="Mens Clothing"/>
    <s v="Jacket"/>
    <n v="95.85"/>
    <s v="Autumn"/>
    <s v="Card"/>
    <n v="4.3"/>
    <x v="8"/>
    <n v="6"/>
    <n v="108.92045454545453"/>
    <n v="13.070454545454538"/>
    <x v="2"/>
    <n v="1"/>
  </r>
  <r>
    <n v="3760"/>
    <n v="25"/>
    <s v="Female"/>
    <s v="Accessories"/>
    <s v="Handbag"/>
    <n v="177.89"/>
    <s v="Spring"/>
    <s v="Card"/>
    <n v="3.7"/>
    <x v="6"/>
    <n v="8"/>
    <n v="211.77380952380952"/>
    <n v="33.883809523809532"/>
    <x v="3"/>
    <n v="1"/>
  </r>
  <r>
    <n v="3761"/>
    <n v="57"/>
    <s v="Female"/>
    <s v="Accessories"/>
    <s v="Sunglasses"/>
    <n v="97"/>
    <s v="Winter"/>
    <s v="Cash on Delivery"/>
    <n v="4.0999999999999996"/>
    <x v="18"/>
    <n v="7"/>
    <n v="127.63157894736842"/>
    <n v="30.631578947368425"/>
    <x v="0"/>
    <n v="1"/>
  </r>
  <r>
    <n v="3762"/>
    <n v="43"/>
    <s v="Male"/>
    <s v="Footwear"/>
    <s v="Sneakers"/>
    <n v="135.26"/>
    <s v="Spring"/>
    <s v="Card"/>
    <n v="4.3"/>
    <x v="24"/>
    <n v="9"/>
    <n v="187.86111111111111"/>
    <n v="52.601111111111123"/>
    <x v="1"/>
    <n v="1"/>
  </r>
  <r>
    <n v="3763"/>
    <n v="55"/>
    <s v="Male"/>
    <s v="Sports"/>
    <s v="Dumbbells"/>
    <n v="153.94999999999999"/>
    <s v="Spring"/>
    <s v="Card"/>
    <n v="3.4"/>
    <x v="1"/>
    <n v="4"/>
    <n v="176.95402298850573"/>
    <n v="23.004022988505739"/>
    <x v="4"/>
    <n v="1"/>
  </r>
  <r>
    <n v="3764"/>
    <n v="55"/>
    <s v="Male"/>
    <s v="Sports"/>
    <s v="Dumbbells"/>
    <n v="73.22"/>
    <s v="Spring"/>
    <s v="Cash on Delivery"/>
    <n v="3"/>
    <x v="14"/>
    <n v="6"/>
    <n v="88.216867469879517"/>
    <n v="14.996867469879518"/>
    <x v="4"/>
    <n v="1"/>
  </r>
  <r>
    <n v="3765"/>
    <n v="59"/>
    <s v="Female"/>
    <s v="Womens Clothing"/>
    <s v="Skirt"/>
    <n v="78.739999999999995"/>
    <s v="Autumn"/>
    <s v="Card"/>
    <n v="3.9"/>
    <x v="14"/>
    <n v="6"/>
    <n v="94.867469879518069"/>
    <n v="16.127469879518074"/>
    <x v="0"/>
    <n v="1"/>
  </r>
  <r>
    <n v="3766"/>
    <n v="59"/>
    <s v="Male"/>
    <s v="Sports"/>
    <s v="Dumbbells"/>
    <n v="193.24"/>
    <s v="Autumn"/>
    <s v="Card"/>
    <n v="4.0999999999999996"/>
    <x v="5"/>
    <n v="4"/>
    <n v="210.04347826086956"/>
    <n v="16.803478260869554"/>
    <x v="0"/>
    <n v="1"/>
  </r>
  <r>
    <n v="3767"/>
    <n v="58"/>
    <s v="Female"/>
    <s v="Womens Clothing"/>
    <s v="Dress"/>
    <n v="123.99"/>
    <s v="Summer"/>
    <s v="Card"/>
    <n v="4.3"/>
    <x v="8"/>
    <n v="6"/>
    <n v="140.89772727272725"/>
    <n v="16.907727272727257"/>
    <x v="0"/>
    <n v="1"/>
  </r>
  <r>
    <n v="3768"/>
    <n v="31"/>
    <s v="Female"/>
    <s v="Accessories"/>
    <s v="Handbag"/>
    <n v="127.18"/>
    <s v="Summer"/>
    <s v="Card"/>
    <n v="3.3"/>
    <x v="7"/>
    <n v="5"/>
    <n v="141.3111111111111"/>
    <n v="14.131111111111096"/>
    <x v="5"/>
    <n v="1"/>
  </r>
  <r>
    <n v="3769"/>
    <n v="42"/>
    <s v="Male"/>
    <s v="Electronics"/>
    <s v="Laptop"/>
    <n v="2662.7"/>
    <s v="Summer"/>
    <s v="Card"/>
    <n v="3.6"/>
    <x v="12"/>
    <n v="7"/>
    <n v="3287.2839506172836"/>
    <n v="624.58395061728379"/>
    <x v="1"/>
    <n v="1"/>
  </r>
  <r>
    <n v="3770"/>
    <n v="68"/>
    <s v="Male"/>
    <s v="Footwear"/>
    <s v="Formal Shoes"/>
    <n v="207"/>
    <s v="Summer"/>
    <s v="Card"/>
    <n v="5"/>
    <x v="11"/>
    <n v="8"/>
    <n v="279.72972972972974"/>
    <n v="72.72972972972974"/>
    <x v="2"/>
    <n v="1"/>
  </r>
  <r>
    <n v="3771"/>
    <n v="54"/>
    <s v="Female"/>
    <s v="Accessories"/>
    <s v="Handbag"/>
    <n v="148.96"/>
    <s v="Autumn"/>
    <s v="Card"/>
    <n v="4"/>
    <x v="10"/>
    <n v="6"/>
    <n v="190.97435897435898"/>
    <n v="42.01435897435897"/>
    <x v="4"/>
    <n v="1"/>
  </r>
  <r>
    <n v="3772"/>
    <n v="33"/>
    <s v="Male"/>
    <s v="Mens Clothing"/>
    <s v="Jacket"/>
    <n v="91.42"/>
    <s v="Autumn"/>
    <s v="Cash on Delivery"/>
    <n v="4.5"/>
    <x v="4"/>
    <n v="2"/>
    <n v="106.30232558139535"/>
    <n v="14.882325581395349"/>
    <x v="5"/>
    <n v="1"/>
  </r>
  <r>
    <n v="3773"/>
    <n v="45"/>
    <s v="Female"/>
    <s v="Footwear"/>
    <s v="Sandals"/>
    <n v="153.68"/>
    <s v="Spring"/>
    <s v="Card"/>
    <n v="4"/>
    <x v="3"/>
    <n v="5"/>
    <n v="192.1"/>
    <n v="38.419999999999987"/>
    <x v="1"/>
    <n v="1"/>
  </r>
  <r>
    <n v="3774"/>
    <n v="68"/>
    <s v="Male"/>
    <s v="Sports"/>
    <s v="Dumbbells"/>
    <n v="110.62"/>
    <s v="Autumn"/>
    <s v="Card"/>
    <n v="3.9"/>
    <x v="19"/>
    <n v="5"/>
    <n v="130.14117647058825"/>
    <n v="19.521176470588244"/>
    <x v="2"/>
    <n v="1"/>
  </r>
  <r>
    <n v="3775"/>
    <n v="43"/>
    <s v="Female"/>
    <s v="Accessories"/>
    <s v="Wallet"/>
    <n v="178.57"/>
    <s v="Autumn"/>
    <s v="Card"/>
    <n v="3.2"/>
    <x v="6"/>
    <n v="3"/>
    <n v="212.58333333333334"/>
    <n v="34.01333333333335"/>
    <x v="1"/>
    <n v="1"/>
  </r>
  <r>
    <n v="3776"/>
    <n v="23"/>
    <s v="Male"/>
    <s v="Mens Clothing"/>
    <s v="Jacket"/>
    <n v="84.91"/>
    <s v="Winter"/>
    <s v="Card"/>
    <n v="2.6"/>
    <x v="0"/>
    <n v="9"/>
    <n v="103.54878048780486"/>
    <n v="18.638780487804866"/>
    <x v="3"/>
    <n v="1"/>
  </r>
  <r>
    <n v="3777"/>
    <n v="59"/>
    <s v="Female"/>
    <s v="Accessories"/>
    <s v="Sunglasses"/>
    <n v="95.39"/>
    <s v="Autumn"/>
    <s v="Card"/>
    <n v="5"/>
    <x v="13"/>
    <n v="2"/>
    <n v="104.82417582417582"/>
    <n v="9.4341758241758242"/>
    <x v="0"/>
    <n v="1"/>
  </r>
  <r>
    <n v="3778"/>
    <n v="21"/>
    <s v="Male"/>
    <s v="Electronics"/>
    <s v="Smart Watch"/>
    <n v="1512.5"/>
    <s v="Spring"/>
    <s v="Card"/>
    <n v="4"/>
    <x v="19"/>
    <n v="5"/>
    <n v="1779.4117647058824"/>
    <n v="266.91176470588243"/>
    <x v="3"/>
    <n v="1"/>
  </r>
  <r>
    <n v="3779"/>
    <n v="35"/>
    <s v="Female"/>
    <s v="Footwear"/>
    <s v="Sandals"/>
    <n v="68.790000000000006"/>
    <s v="Spring"/>
    <s v="Cash on Delivery"/>
    <n v="5"/>
    <x v="3"/>
    <n v="5"/>
    <n v="85.987499999999997"/>
    <n v="17.197499999999991"/>
    <x v="5"/>
    <n v="1"/>
  </r>
  <r>
    <n v="3780"/>
    <n v="26"/>
    <s v="Female"/>
    <s v="Beauty"/>
    <s v="Skincare Kit"/>
    <n v="30.17"/>
    <s v="Spring"/>
    <s v="Card"/>
    <n v="2.8"/>
    <x v="1"/>
    <n v="4"/>
    <n v="34.678160919540232"/>
    <n v="4.5081609195402308"/>
    <x v="5"/>
    <n v="1"/>
  </r>
  <r>
    <n v="3781"/>
    <n v="40"/>
    <s v="Male"/>
    <s v="Sports"/>
    <s v="Yoga Mat"/>
    <n v="199.87"/>
    <s v="Autumn"/>
    <s v="Card"/>
    <n v="3.1"/>
    <x v="23"/>
    <n v="1"/>
    <n v="214.91397849462368"/>
    <n v="15.043978494623673"/>
    <x v="1"/>
    <n v="1"/>
  </r>
  <r>
    <n v="3782"/>
    <n v="24"/>
    <s v="Female"/>
    <s v="Beauty"/>
    <s v="Skincare Kit"/>
    <n v="47.98"/>
    <s v="Summer"/>
    <s v="Card"/>
    <n v="4.5999999999999996"/>
    <x v="17"/>
    <n v="2"/>
    <n v="49.979166666666664"/>
    <n v="1.9991666666666674"/>
    <x v="3"/>
    <n v="1"/>
  </r>
  <r>
    <n v="3783"/>
    <n v="68"/>
    <s v="Female"/>
    <s v="Womens Clothing"/>
    <s v="Top"/>
    <n v="184.65"/>
    <s v="Summer"/>
    <s v="Card"/>
    <n v="3.4"/>
    <x v="4"/>
    <n v="2"/>
    <n v="214.7093023255814"/>
    <n v="30.059302325581399"/>
    <x v="2"/>
    <n v="1"/>
  </r>
  <r>
    <n v="3784"/>
    <n v="39"/>
    <s v="Female"/>
    <s v="Sports"/>
    <s v="Football"/>
    <n v="101.5"/>
    <s v="Summer"/>
    <s v="Card"/>
    <n v="4.5"/>
    <x v="3"/>
    <n v="5"/>
    <n v="126.875"/>
    <n v="25.375"/>
    <x v="1"/>
    <n v="1"/>
  </r>
  <r>
    <n v="3785"/>
    <n v="27"/>
    <s v="Male"/>
    <s v="Electronics"/>
    <s v="Mobile Phone"/>
    <n v="502.45"/>
    <s v="Winter"/>
    <s v="Card"/>
    <n v="5"/>
    <x v="6"/>
    <n v="3"/>
    <n v="598.15476190476193"/>
    <n v="95.704761904761938"/>
    <x v="5"/>
    <n v="1"/>
  </r>
  <r>
    <n v="3786"/>
    <n v="29"/>
    <s v="Female"/>
    <s v="Beauty"/>
    <s v="Skincare Kit"/>
    <n v="137"/>
    <s v="Autumn"/>
    <s v="Card"/>
    <n v="4.7"/>
    <x v="10"/>
    <n v="6"/>
    <n v="175.64102564102564"/>
    <n v="38.641025641025635"/>
    <x v="5"/>
    <n v="1"/>
  </r>
  <r>
    <n v="3787"/>
    <n v="21"/>
    <s v="Male"/>
    <s v="Sports"/>
    <s v="Dumbbells"/>
    <n v="137.18"/>
    <s v="Summer"/>
    <s v="Card"/>
    <n v="2.8"/>
    <x v="8"/>
    <n v="6"/>
    <n v="155.88636363636365"/>
    <n v="18.706363636363648"/>
    <x v="3"/>
    <n v="1"/>
  </r>
  <r>
    <n v="3788"/>
    <n v="52"/>
    <s v="Female"/>
    <s v="Sports"/>
    <s v="Football"/>
    <n v="129.61000000000001"/>
    <s v="Autumn"/>
    <s v="Card"/>
    <n v="3.8"/>
    <x v="2"/>
    <n v="3"/>
    <n v="145.62921348314609"/>
    <n v="16.019213483146075"/>
    <x v="4"/>
    <n v="1"/>
  </r>
  <r>
    <n v="3789"/>
    <n v="39"/>
    <s v="Female"/>
    <s v="Footwear"/>
    <s v="Sneakers"/>
    <n v="129.19"/>
    <s v="Spring"/>
    <s v="Card"/>
    <n v="3.5"/>
    <x v="2"/>
    <n v="3"/>
    <n v="145.15730337078651"/>
    <n v="15.96730337078651"/>
    <x v="1"/>
    <n v="1"/>
  </r>
  <r>
    <n v="3790"/>
    <n v="65"/>
    <s v="Male"/>
    <s v="Sports"/>
    <s v="Football"/>
    <n v="154.65"/>
    <s v="Winter"/>
    <s v="Card"/>
    <n v="3.1"/>
    <x v="0"/>
    <n v="4"/>
    <n v="188.59756097560975"/>
    <n v="33.947560975609747"/>
    <x v="0"/>
    <n v="1"/>
  </r>
  <r>
    <n v="3791"/>
    <n v="67"/>
    <s v="Female"/>
    <s v="Womens Clothing"/>
    <s v="Jeans"/>
    <n v="54.55"/>
    <s v="Autumn"/>
    <s v="Card"/>
    <n v="4.7"/>
    <x v="12"/>
    <n v="7"/>
    <n v="67.34567901234567"/>
    <n v="12.795679012345673"/>
    <x v="2"/>
    <n v="1"/>
  </r>
  <r>
    <n v="3792"/>
    <n v="21"/>
    <s v="Male"/>
    <s v="Sports"/>
    <s v="Yoga Mat"/>
    <n v="77.209999999999994"/>
    <s v="Spring"/>
    <s v="Card"/>
    <n v="4.3"/>
    <x v="12"/>
    <n v="7"/>
    <n v="95.320987654320973"/>
    <n v="18.110987654320979"/>
    <x v="3"/>
    <n v="1"/>
  </r>
  <r>
    <n v="3793"/>
    <n v="62"/>
    <s v="Male"/>
    <s v="Electronics"/>
    <s v="Laptop"/>
    <n v="1865.21"/>
    <s v="Winter"/>
    <s v="Card"/>
    <n v="3.9"/>
    <x v="4"/>
    <n v="2"/>
    <n v="2168.8488372093025"/>
    <n v="303.63883720930244"/>
    <x v="0"/>
    <n v="1"/>
  </r>
  <r>
    <n v="3794"/>
    <n v="52"/>
    <s v="Female"/>
    <s v="Beauty"/>
    <s v="Skincare Kit"/>
    <n v="97.56"/>
    <s v="Summer"/>
    <s v="Card"/>
    <n v="3.6"/>
    <x v="19"/>
    <n v="5"/>
    <n v="114.7764705882353"/>
    <n v="17.216470588235296"/>
    <x v="4"/>
    <n v="1"/>
  </r>
  <r>
    <n v="3795"/>
    <n v="28"/>
    <s v="Male"/>
    <s v="Electronics"/>
    <s v="Smart Watch"/>
    <n v="2248.23"/>
    <s v="Spring"/>
    <s v="Card"/>
    <n v="3.6"/>
    <x v="22"/>
    <n v="9"/>
    <n v="2919.7792207792209"/>
    <n v="671.54922077922083"/>
    <x v="5"/>
    <n v="1"/>
  </r>
  <r>
    <n v="3796"/>
    <n v="59"/>
    <s v="Female"/>
    <s v="Groceries"/>
    <s v="Cooking Oil"/>
    <n v="26.78"/>
    <s v="Winter"/>
    <s v="Card"/>
    <n v="5"/>
    <x v="12"/>
    <n v="7"/>
    <n v="33.061728395061728"/>
    <n v="6.2817283950617266"/>
    <x v="0"/>
    <n v="1"/>
  </r>
  <r>
    <n v="3797"/>
    <n v="67"/>
    <s v="Female"/>
    <s v="Beauty"/>
    <s v="Perfume"/>
    <n v="99.35"/>
    <s v="Autumn"/>
    <s v="Cash on Delivery"/>
    <n v="4"/>
    <x v="19"/>
    <n v="5"/>
    <n v="116.88235294117646"/>
    <n v="17.53235294117647"/>
    <x v="2"/>
    <n v="1"/>
  </r>
  <r>
    <n v="3798"/>
    <n v="35"/>
    <s v="Male"/>
    <s v="Electronics"/>
    <s v="Smart Watch"/>
    <n v="1797.25"/>
    <s v="Winter"/>
    <s v="Card"/>
    <n v="4.5"/>
    <x v="5"/>
    <n v="4"/>
    <n v="1953.532608695652"/>
    <n v="156.28260869565202"/>
    <x v="5"/>
    <n v="1"/>
  </r>
  <r>
    <n v="3799"/>
    <n v="68"/>
    <s v="Male"/>
    <s v="Electronics"/>
    <s v="Headphones"/>
    <n v="2202.2600000000002"/>
    <s v="Spring"/>
    <s v="Card"/>
    <n v="3.9"/>
    <x v="19"/>
    <n v="5"/>
    <n v="2590.8941176470594"/>
    <n v="388.63411764705916"/>
    <x v="2"/>
    <n v="1"/>
  </r>
  <r>
    <n v="3800"/>
    <n v="43"/>
    <s v="Female"/>
    <s v="Accessories"/>
    <s v="Wallet"/>
    <n v="109.12"/>
    <s v="Winter"/>
    <s v="Card"/>
    <n v="3.6"/>
    <x v="6"/>
    <n v="3"/>
    <n v="129.90476190476193"/>
    <n v="20.784761904761922"/>
    <x v="1"/>
    <n v="1"/>
  </r>
  <r>
    <n v="3801"/>
    <n v="21"/>
    <s v="Female"/>
    <s v="Beauty"/>
    <s v="Skincare Kit"/>
    <n v="76.900000000000006"/>
    <s v="Spring"/>
    <s v="Card"/>
    <n v="4.9000000000000004"/>
    <x v="14"/>
    <n v="6"/>
    <n v="92.650602409638566"/>
    <n v="15.75060240963856"/>
    <x v="3"/>
    <n v="1"/>
  </r>
  <r>
    <n v="3802"/>
    <n v="51"/>
    <s v="Female"/>
    <s v="Accessories"/>
    <s v="Wallet"/>
    <n v="99.61"/>
    <s v="Winter"/>
    <s v="Card"/>
    <n v="3.8"/>
    <x v="3"/>
    <n v="10"/>
    <n v="124.51249999999999"/>
    <n v="24.902499999999989"/>
    <x v="4"/>
    <n v="1"/>
  </r>
  <r>
    <n v="3803"/>
    <n v="64"/>
    <s v="Female"/>
    <s v="Beauty"/>
    <s v="Perfume"/>
    <n v="81.88"/>
    <s v="Autumn"/>
    <s v="Cash on Delivery"/>
    <n v="4.5999999999999996"/>
    <x v="0"/>
    <n v="4"/>
    <n v="99.853658536585357"/>
    <n v="17.973658536585361"/>
    <x v="0"/>
    <n v="1"/>
  </r>
  <r>
    <n v="3804"/>
    <n v="38"/>
    <s v="Female"/>
    <s v="Sports"/>
    <s v="Yoga Mat"/>
    <n v="211.85"/>
    <s v="Summer"/>
    <s v="Card"/>
    <n v="4.5"/>
    <x v="15"/>
    <n v="1"/>
    <n v="216.17346938775509"/>
    <n v="4.3234693877550967"/>
    <x v="1"/>
    <n v="1"/>
  </r>
  <r>
    <n v="3805"/>
    <n v="60"/>
    <s v="Female"/>
    <s v="Beauty"/>
    <s v="Makeup Set"/>
    <n v="72.84"/>
    <s v="Spring"/>
    <s v="Card"/>
    <n v="4.5"/>
    <x v="1"/>
    <n v="4"/>
    <n v="83.724137931034491"/>
    <n v="10.884137931034488"/>
    <x v="0"/>
    <n v="1"/>
  </r>
  <r>
    <n v="3806"/>
    <n v="33"/>
    <s v="Female"/>
    <s v="Accessories"/>
    <s v="Wallet"/>
    <n v="126.38"/>
    <s v="Winter"/>
    <s v="Card"/>
    <n v="2.8"/>
    <x v="8"/>
    <n v="6"/>
    <n v="143.61363636363635"/>
    <n v="17.23363636363635"/>
    <x v="5"/>
    <n v="1"/>
  </r>
  <r>
    <n v="3807"/>
    <n v="25"/>
    <s v="Female"/>
    <s v="Sports"/>
    <s v="Dumbbells"/>
    <n v="91.07"/>
    <s v="Summer"/>
    <s v="Card"/>
    <n v="4.0999999999999996"/>
    <x v="25"/>
    <n v="10"/>
    <n v="130.1"/>
    <n v="39.03"/>
    <x v="3"/>
    <n v="1"/>
  </r>
  <r>
    <n v="3808"/>
    <n v="42"/>
    <s v="Male"/>
    <s v="Mens Clothing"/>
    <s v="Jacket"/>
    <n v="104.3"/>
    <s v="Summer"/>
    <s v="Card"/>
    <n v="4.7"/>
    <x v="2"/>
    <n v="3"/>
    <n v="117.19101123595505"/>
    <n v="12.891011235955048"/>
    <x v="1"/>
    <n v="1"/>
  </r>
  <r>
    <n v="3809"/>
    <n v="36"/>
    <s v="Female"/>
    <s v="Footwear"/>
    <s v="Formal Shoes"/>
    <n v="142.78"/>
    <s v="Spring"/>
    <s v="Card"/>
    <n v="3.7"/>
    <x v="18"/>
    <n v="7"/>
    <n v="187.86842105263159"/>
    <n v="45.088421052631588"/>
    <x v="1"/>
    <n v="1"/>
  </r>
  <r>
    <n v="3810"/>
    <n v="64"/>
    <s v="Female"/>
    <s v="Womens Clothing"/>
    <s v="Skirt"/>
    <n v="152.88"/>
    <s v="Autumn"/>
    <s v="Card"/>
    <n v="4"/>
    <x v="8"/>
    <n v="6"/>
    <n v="173.72727272727272"/>
    <n v="20.847272727272724"/>
    <x v="0"/>
    <n v="1"/>
  </r>
  <r>
    <n v="3811"/>
    <n v="33"/>
    <s v="Female"/>
    <s v="Accessories"/>
    <s v="Wallet"/>
    <n v="92.62"/>
    <s v="Autumn"/>
    <s v="Card"/>
    <n v="3.4"/>
    <x v="7"/>
    <n v="5"/>
    <n v="102.91111111111111"/>
    <n v="10.291111111111107"/>
    <x v="5"/>
    <n v="1"/>
  </r>
  <r>
    <n v="3812"/>
    <n v="24"/>
    <s v="Female"/>
    <s v="Beauty"/>
    <s v="Makeup Set"/>
    <n v="35.21"/>
    <s v="Summer"/>
    <s v="Card"/>
    <n v="3.5"/>
    <x v="23"/>
    <n v="1"/>
    <n v="37.860215053763447"/>
    <n v="2.6502150537634463"/>
    <x v="3"/>
    <n v="1"/>
  </r>
  <r>
    <n v="3813"/>
    <n v="55"/>
    <s v="Female"/>
    <s v="Beauty"/>
    <s v="Makeup Set"/>
    <n v="63.85"/>
    <s v="Winter"/>
    <s v="Card"/>
    <n v="4"/>
    <x v="14"/>
    <n v="6"/>
    <n v="76.927710843373504"/>
    <n v="13.077710843373502"/>
    <x v="4"/>
    <n v="1"/>
  </r>
  <r>
    <n v="3814"/>
    <n v="31"/>
    <s v="Male"/>
    <s v="Electronics"/>
    <s v="Smart Watch"/>
    <n v="1015.78"/>
    <s v="Autumn"/>
    <s v="Card"/>
    <n v="3.7"/>
    <x v="8"/>
    <n v="6"/>
    <n v="1154.2954545454545"/>
    <n v="138.51545454545453"/>
    <x v="5"/>
    <n v="1"/>
  </r>
  <r>
    <n v="3815"/>
    <n v="49"/>
    <s v="Male"/>
    <s v="Mens Clothing"/>
    <s v="Jeans"/>
    <n v="60.79"/>
    <s v="Autumn"/>
    <s v="Card"/>
    <n v="3.9"/>
    <x v="17"/>
    <n v="2"/>
    <n v="63.322916666666671"/>
    <n v="2.5329166666666723"/>
    <x v="4"/>
    <n v="1"/>
  </r>
  <r>
    <n v="3816"/>
    <n v="61"/>
    <s v="Female"/>
    <s v="Womens Clothing"/>
    <s v="Dress"/>
    <n v="189.41"/>
    <s v="Winter"/>
    <s v="Card"/>
    <n v="3.2"/>
    <x v="16"/>
    <n v="3"/>
    <n v="201.5"/>
    <n v="12.090000000000003"/>
    <x v="0"/>
    <n v="1"/>
  </r>
  <r>
    <n v="3817"/>
    <n v="24"/>
    <s v="Male"/>
    <s v="Groceries"/>
    <s v="Beverages"/>
    <n v="38.06"/>
    <s v="Spring"/>
    <s v="Cash on Delivery"/>
    <n v="4.7"/>
    <x v="3"/>
    <n v="5"/>
    <n v="47.575000000000003"/>
    <n v="9.5150000000000006"/>
    <x v="3"/>
    <n v="1"/>
  </r>
  <r>
    <n v="3818"/>
    <n v="32"/>
    <s v="Female"/>
    <s v="Beauty"/>
    <s v="Skincare Kit"/>
    <n v="148.62"/>
    <s v="Autumn"/>
    <s v="Card"/>
    <n v="3.1"/>
    <x v="17"/>
    <n v="2"/>
    <n v="154.8125"/>
    <n v="6.1924999999999955"/>
    <x v="5"/>
    <n v="1"/>
  </r>
  <r>
    <n v="3819"/>
    <n v="39"/>
    <s v="Male"/>
    <s v="Groceries"/>
    <s v="Rice Pack"/>
    <n v="70.510000000000005"/>
    <s v="Summer"/>
    <s v="Card"/>
    <n v="4.0999999999999996"/>
    <x v="0"/>
    <n v="4"/>
    <n v="85.987804878048777"/>
    <n v="15.477804878048772"/>
    <x v="1"/>
    <n v="1"/>
  </r>
  <r>
    <n v="3820"/>
    <n v="47"/>
    <s v="Male"/>
    <s v="Mens Clothing"/>
    <s v="T-Shirt"/>
    <n v="86.22"/>
    <s v="Autumn"/>
    <s v="Cash on Delivery"/>
    <n v="5"/>
    <x v="24"/>
    <n v="9"/>
    <n v="119.75"/>
    <n v="33.53"/>
    <x v="4"/>
    <n v="1"/>
  </r>
  <r>
    <n v="3821"/>
    <n v="41"/>
    <s v="Male"/>
    <s v="Groceries"/>
    <s v="Cooking Oil"/>
    <n v="14.42"/>
    <s v="Summer"/>
    <s v="Cash on Delivery"/>
    <n v="3.8"/>
    <x v="6"/>
    <n v="3"/>
    <n v="17.166666666666668"/>
    <n v="2.7466666666666679"/>
    <x v="1"/>
    <n v="1"/>
  </r>
  <r>
    <n v="3822"/>
    <n v="70"/>
    <s v="Male"/>
    <s v="Mens Clothing"/>
    <s v="Jacket"/>
    <n v="189.46"/>
    <s v="Summer"/>
    <s v="Card"/>
    <n v="4.3"/>
    <x v="3"/>
    <n v="5"/>
    <n v="236.82499999999999"/>
    <n v="47.364999999999981"/>
    <x v="2"/>
    <n v="1"/>
  </r>
  <r>
    <n v="3823"/>
    <n v="56"/>
    <s v="Female"/>
    <s v="Beauty"/>
    <s v="Perfume"/>
    <n v="68.849999999999994"/>
    <s v="Autumn"/>
    <s v="Cash on Delivery"/>
    <n v="5"/>
    <x v="7"/>
    <n v="5"/>
    <n v="76.499999999999986"/>
    <n v="7.6499999999999915"/>
    <x v="0"/>
    <n v="1"/>
  </r>
  <r>
    <n v="3824"/>
    <n v="30"/>
    <s v="Male"/>
    <s v="Electronics"/>
    <s v="Mobile Phone"/>
    <n v="1289.45"/>
    <s v="Spring"/>
    <s v="Card"/>
    <n v="3.9"/>
    <x v="18"/>
    <n v="7"/>
    <n v="1696.6447368421052"/>
    <n v="407.19473684210516"/>
    <x v="5"/>
    <n v="1"/>
  </r>
  <r>
    <n v="3825"/>
    <n v="37"/>
    <s v="Male"/>
    <s v="Sports"/>
    <s v="Dumbbells"/>
    <n v="152.16"/>
    <s v="Autumn"/>
    <s v="Card"/>
    <n v="2.9"/>
    <x v="0"/>
    <n v="4"/>
    <n v="185.56097560975607"/>
    <n v="33.400975609756074"/>
    <x v="1"/>
    <n v="1"/>
  </r>
  <r>
    <n v="3826"/>
    <n v="37"/>
    <s v="Female"/>
    <s v="Accessories"/>
    <s v="Handbag"/>
    <n v="108.77"/>
    <s v="Summer"/>
    <s v="Card"/>
    <n v="4.2"/>
    <x v="8"/>
    <n v="6"/>
    <n v="123.60227272727272"/>
    <n v="14.832272727272724"/>
    <x v="1"/>
    <n v="1"/>
  </r>
  <r>
    <n v="3827"/>
    <n v="57"/>
    <s v="Male"/>
    <s v="Sports"/>
    <s v="Yoga Mat"/>
    <n v="102.42"/>
    <s v="Autumn"/>
    <s v="Card"/>
    <n v="3.5"/>
    <x v="15"/>
    <n v="1"/>
    <n v="104.51020408163265"/>
    <n v="2.090204081632649"/>
    <x v="0"/>
    <n v="1"/>
  </r>
  <r>
    <n v="3828"/>
    <n v="35"/>
    <s v="Female"/>
    <s v="Accessories"/>
    <s v="Wallet"/>
    <n v="89.77"/>
    <s v="Spring"/>
    <s v="Card"/>
    <n v="3.6"/>
    <x v="16"/>
    <n v="3"/>
    <n v="95.5"/>
    <n v="5.730000000000004"/>
    <x v="5"/>
    <n v="1"/>
  </r>
  <r>
    <n v="3829"/>
    <n v="66"/>
    <s v="Male"/>
    <s v="Electronics"/>
    <s v="Laptop"/>
    <n v="2342.16"/>
    <s v="Summer"/>
    <s v="Card"/>
    <n v="3.7"/>
    <x v="22"/>
    <n v="9"/>
    <n v="3041.7662337662337"/>
    <n v="699.6062337662338"/>
    <x v="2"/>
    <n v="1"/>
  </r>
  <r>
    <n v="3830"/>
    <n v="54"/>
    <s v="Female"/>
    <s v="Beauty"/>
    <s v="Makeup Set"/>
    <n v="101.65"/>
    <s v="Summer"/>
    <s v="Card"/>
    <n v="3.9"/>
    <x v="8"/>
    <n v="6"/>
    <n v="115.51136363636364"/>
    <n v="13.861363636363635"/>
    <x v="4"/>
    <n v="1"/>
  </r>
  <r>
    <n v="3831"/>
    <n v="57"/>
    <s v="Female"/>
    <s v="Sports"/>
    <s v="Dumbbells"/>
    <n v="194.84"/>
    <s v="Spring"/>
    <s v="Card"/>
    <n v="4.7"/>
    <x v="10"/>
    <n v="6"/>
    <n v="249.7948717948718"/>
    <n v="54.954871794871792"/>
    <x v="0"/>
    <n v="1"/>
  </r>
  <r>
    <n v="3832"/>
    <n v="27"/>
    <s v="Male"/>
    <s v="Electronics"/>
    <s v="Smart Watch"/>
    <n v="1483.08"/>
    <s v="Spring"/>
    <s v="Card"/>
    <n v="4.0999999999999996"/>
    <x v="6"/>
    <n v="3"/>
    <n v="1765.5714285714284"/>
    <n v="282.49142857142851"/>
    <x v="5"/>
    <n v="1"/>
  </r>
  <r>
    <n v="3833"/>
    <n v="66"/>
    <s v="Female"/>
    <s v="Groceries"/>
    <s v="Beverages"/>
    <n v="16.63"/>
    <s v="Spring"/>
    <s v="Cash on Delivery"/>
    <n v="3"/>
    <x v="19"/>
    <n v="5"/>
    <n v="19.564705882352939"/>
    <n v="2.9347058823529402"/>
    <x v="2"/>
    <n v="1"/>
  </r>
  <r>
    <n v="3834"/>
    <n v="45"/>
    <s v="Male"/>
    <s v="Sports"/>
    <s v="Football"/>
    <n v="191.91"/>
    <s v="Winter"/>
    <s v="Card"/>
    <n v="3"/>
    <x v="5"/>
    <n v="4"/>
    <n v="208.5978260869565"/>
    <n v="16.687826086956505"/>
    <x v="1"/>
    <n v="1"/>
  </r>
  <r>
    <n v="3835"/>
    <n v="48"/>
    <s v="Male"/>
    <s v="Mens Clothing"/>
    <s v="Jacket"/>
    <n v="114.46"/>
    <s v="Autumn"/>
    <s v="Card"/>
    <n v="3.5"/>
    <x v="23"/>
    <n v="1"/>
    <n v="123.0752688172043"/>
    <n v="8.6152688172043099"/>
    <x v="4"/>
    <n v="1"/>
  </r>
  <r>
    <n v="3836"/>
    <n v="44"/>
    <s v="Male"/>
    <s v="Home"/>
    <s v="Curtains"/>
    <n v="194.94"/>
    <s v="Autumn"/>
    <s v="Card"/>
    <n v="2.6"/>
    <x v="3"/>
    <n v="5"/>
    <n v="243.67499999999998"/>
    <n v="48.734999999999985"/>
    <x v="1"/>
    <n v="1"/>
  </r>
  <r>
    <n v="3837"/>
    <n v="42"/>
    <s v="Female"/>
    <s v="Womens Clothing"/>
    <s v="Dress"/>
    <n v="161.16999999999999"/>
    <s v="Spring"/>
    <s v="Card"/>
    <n v="3.2"/>
    <x v="7"/>
    <n v="5"/>
    <n v="179.07777777777775"/>
    <n v="17.907777777777767"/>
    <x v="1"/>
    <n v="1"/>
  </r>
  <r>
    <n v="3838"/>
    <n v="21"/>
    <s v="Female"/>
    <s v="Beauty"/>
    <s v="Makeup Set"/>
    <n v="128.63"/>
    <s v="Spring"/>
    <s v="Card"/>
    <n v="3.7"/>
    <x v="6"/>
    <n v="3"/>
    <n v="153.13095238095238"/>
    <n v="24.500952380952384"/>
    <x v="3"/>
    <n v="1"/>
  </r>
  <r>
    <n v="3839"/>
    <n v="42"/>
    <s v="Male"/>
    <s v="Electronics"/>
    <s v="Mobile Phone"/>
    <n v="1995.79"/>
    <s v="Summer"/>
    <s v="Card"/>
    <n v="3"/>
    <x v="17"/>
    <n v="2"/>
    <n v="2078.9479166666665"/>
    <n v="83.157916666666551"/>
    <x v="1"/>
    <n v="1"/>
  </r>
  <r>
    <n v="3840"/>
    <n v="57"/>
    <s v="Male"/>
    <s v="Footwear"/>
    <s v="Sneakers"/>
    <n v="184.11"/>
    <s v="Spring"/>
    <s v="Card"/>
    <n v="3.4"/>
    <x v="14"/>
    <n v="6"/>
    <n v="221.81927710843377"/>
    <n v="37.709277108433753"/>
    <x v="0"/>
    <n v="1"/>
  </r>
  <r>
    <n v="3841"/>
    <n v="31"/>
    <s v="Female"/>
    <s v="Womens Clothing"/>
    <s v="Top"/>
    <n v="42.28"/>
    <s v="Autumn"/>
    <s v="Card"/>
    <n v="4.2"/>
    <x v="5"/>
    <n v="4"/>
    <n v="45.956521739130437"/>
    <n v="3.6765217391304361"/>
    <x v="5"/>
    <n v="1"/>
  </r>
  <r>
    <n v="3842"/>
    <n v="34"/>
    <s v="Female"/>
    <s v="Groceries"/>
    <s v="Rice Pack"/>
    <n v="32.97"/>
    <s v="Spring"/>
    <s v="Cash on Delivery"/>
    <n v="2.2000000000000002"/>
    <x v="10"/>
    <n v="6"/>
    <n v="42.269230769230766"/>
    <n v="9.2992307692307676"/>
    <x v="5"/>
    <n v="1"/>
  </r>
  <r>
    <n v="3843"/>
    <n v="36"/>
    <s v="Male"/>
    <s v="Mens Clothing"/>
    <s v="Jeans"/>
    <n v="177.58"/>
    <s v="Autumn"/>
    <s v="Card"/>
    <n v="5"/>
    <x v="3"/>
    <n v="5"/>
    <n v="221.97499999999999"/>
    <n v="44.394999999999982"/>
    <x v="1"/>
    <n v="1"/>
  </r>
  <r>
    <n v="3844"/>
    <n v="52"/>
    <s v="Male"/>
    <s v="Groceries"/>
    <s v="Rice Pack"/>
    <n v="28.33"/>
    <s v="Summer"/>
    <s v="Card"/>
    <n v="2.6"/>
    <x v="7"/>
    <n v="5"/>
    <n v="31.477777777777774"/>
    <n v="3.147777777777776"/>
    <x v="4"/>
    <n v="1"/>
  </r>
  <r>
    <n v="3845"/>
    <n v="56"/>
    <s v="Male"/>
    <s v="Electronics"/>
    <s v="Headphones"/>
    <n v="1509.77"/>
    <s v="Spring"/>
    <s v="Card"/>
    <n v="4.0999999999999996"/>
    <x v="5"/>
    <n v="4"/>
    <n v="1641.0543478260868"/>
    <n v="131.28434782608679"/>
    <x v="0"/>
    <n v="1"/>
  </r>
  <r>
    <n v="3846"/>
    <n v="22"/>
    <s v="Male"/>
    <s v="Footwear"/>
    <s v="Formal Shoes"/>
    <n v="221.34"/>
    <s v="Summer"/>
    <s v="Card"/>
    <n v="3"/>
    <x v="13"/>
    <n v="2"/>
    <n v="243.23076923076923"/>
    <n v="21.890769230769223"/>
    <x v="3"/>
    <n v="1"/>
  </r>
  <r>
    <n v="3847"/>
    <n v="25"/>
    <s v="Male"/>
    <s v="Footwear"/>
    <s v="Formal Shoes"/>
    <n v="129.19999999999999"/>
    <s v="Winter"/>
    <s v="Card"/>
    <n v="3.8"/>
    <x v="2"/>
    <n v="3"/>
    <n v="145.16853932584269"/>
    <n v="15.968539325842698"/>
    <x v="3"/>
    <n v="1"/>
  </r>
  <r>
    <n v="3848"/>
    <n v="33"/>
    <s v="Female"/>
    <s v="Beauty"/>
    <s v="Makeup Set"/>
    <n v="33.51"/>
    <s v="Winter"/>
    <s v="Card"/>
    <n v="3.8"/>
    <x v="6"/>
    <n v="8"/>
    <n v="39.892857142857139"/>
    <n v="6.3828571428571408"/>
    <x v="5"/>
    <n v="1"/>
  </r>
  <r>
    <n v="3849"/>
    <n v="60"/>
    <s v="Female"/>
    <s v="Womens Clothing"/>
    <s v="Jeans"/>
    <n v="73.260000000000005"/>
    <s v="Winter"/>
    <s v="Card"/>
    <n v="3"/>
    <x v="13"/>
    <n v="2"/>
    <n v="80.505494505494511"/>
    <n v="7.2454945054945057"/>
    <x v="0"/>
    <n v="1"/>
  </r>
  <r>
    <n v="3850"/>
    <n v="22"/>
    <s v="Male"/>
    <s v="Electronics"/>
    <s v="Headphones"/>
    <n v="2440.87"/>
    <s v="Summer"/>
    <s v="Card"/>
    <n v="3.7"/>
    <x v="10"/>
    <n v="6"/>
    <n v="3129.3205128205127"/>
    <n v="688.45051282051281"/>
    <x v="3"/>
    <n v="1"/>
  </r>
  <r>
    <n v="3851"/>
    <n v="35"/>
    <s v="Female"/>
    <s v="Home"/>
    <s v="Kitchen Set"/>
    <n v="164.39"/>
    <s v="Summer"/>
    <s v="Card"/>
    <n v="3.9"/>
    <x v="19"/>
    <n v="5"/>
    <n v="193.39999999999998"/>
    <n v="29.009999999999991"/>
    <x v="5"/>
    <n v="1"/>
  </r>
  <r>
    <n v="3852"/>
    <n v="35"/>
    <s v="Female"/>
    <s v="Accessories"/>
    <s v="Handbag"/>
    <n v="72.819999999999993"/>
    <s v="Spring"/>
    <s v="Cash on Delivery"/>
    <n v="5"/>
    <x v="18"/>
    <n v="7"/>
    <n v="95.815789473684205"/>
    <n v="22.995789473684212"/>
    <x v="5"/>
    <n v="1"/>
  </r>
  <r>
    <n v="3853"/>
    <n v="22"/>
    <s v="Female"/>
    <s v="Footwear"/>
    <s v="Sandals"/>
    <n v="195.2"/>
    <s v="Summer"/>
    <s v="Card"/>
    <n v="3.6"/>
    <x v="14"/>
    <n v="6"/>
    <n v="235.18072289156626"/>
    <n v="39.980722891566273"/>
    <x v="3"/>
    <n v="1"/>
  </r>
  <r>
    <n v="3854"/>
    <n v="52"/>
    <s v="Female"/>
    <s v="Footwear"/>
    <s v="Sandals"/>
    <n v="165.9"/>
    <s v="Spring"/>
    <s v="Card"/>
    <n v="3.3"/>
    <x v="23"/>
    <n v="1"/>
    <n v="178.38709677419357"/>
    <n v="12.48709677419356"/>
    <x v="4"/>
    <n v="1"/>
  </r>
  <r>
    <n v="3855"/>
    <n v="57"/>
    <s v="Male"/>
    <s v="Sports"/>
    <s v="Yoga Mat"/>
    <n v="53.33"/>
    <s v="Autumn"/>
    <s v="Card"/>
    <n v="3.7"/>
    <x v="19"/>
    <n v="5"/>
    <n v="62.741176470588236"/>
    <n v="9.4111764705882379"/>
    <x v="0"/>
    <n v="1"/>
  </r>
  <r>
    <n v="3856"/>
    <n v="43"/>
    <s v="Male"/>
    <s v="Sports"/>
    <s v="Yoga Mat"/>
    <n v="186.13"/>
    <s v="Summer"/>
    <s v="Card"/>
    <n v="2.7"/>
    <x v="5"/>
    <n v="4"/>
    <n v="202.31521739130434"/>
    <n v="16.185217391304349"/>
    <x v="1"/>
    <n v="1"/>
  </r>
  <r>
    <n v="3857"/>
    <n v="51"/>
    <s v="Male"/>
    <s v="Mens Clothing"/>
    <s v="T-Shirt"/>
    <n v="71.650000000000006"/>
    <s v="Summer"/>
    <s v="Cash on Delivery"/>
    <n v="4.2"/>
    <x v="12"/>
    <n v="7"/>
    <n v="88.456790123456798"/>
    <n v="16.806790123456793"/>
    <x v="4"/>
    <n v="1"/>
  </r>
  <r>
    <n v="3858"/>
    <n v="55"/>
    <s v="Male"/>
    <s v="Sports"/>
    <s v="Yoga Mat"/>
    <n v="128.66999999999999"/>
    <s v="Spring"/>
    <s v="Card"/>
    <n v="4.0999999999999996"/>
    <x v="3"/>
    <n v="5"/>
    <n v="160.83749999999998"/>
    <n v="32.16749999999999"/>
    <x v="4"/>
    <n v="1"/>
  </r>
  <r>
    <n v="3859"/>
    <n v="68"/>
    <s v="Female"/>
    <s v="Beauty"/>
    <s v="Makeup Set"/>
    <n v="72.5"/>
    <s v="Autumn"/>
    <s v="Cash on Delivery"/>
    <n v="3"/>
    <x v="24"/>
    <n v="9"/>
    <n v="100.69444444444444"/>
    <n v="28.194444444444443"/>
    <x v="2"/>
    <n v="1"/>
  </r>
  <r>
    <n v="3860"/>
    <n v="61"/>
    <s v="Female"/>
    <s v="Groceries"/>
    <s v="Cooking Oil"/>
    <n v="25.6"/>
    <s v="Spring"/>
    <s v="Cash on Delivery"/>
    <n v="4"/>
    <x v="1"/>
    <n v="4"/>
    <n v="29.425287356321842"/>
    <n v="3.8252873563218408"/>
    <x v="0"/>
    <n v="1"/>
  </r>
  <r>
    <n v="3861"/>
    <n v="54"/>
    <s v="Female"/>
    <s v="Womens Clothing"/>
    <s v="Jeans"/>
    <n v="48.92"/>
    <s v="Summer"/>
    <s v="Card"/>
    <n v="4.2"/>
    <x v="10"/>
    <n v="6"/>
    <n v="62.717948717948715"/>
    <n v="13.797948717948714"/>
    <x v="4"/>
    <n v="1"/>
  </r>
  <r>
    <n v="3862"/>
    <n v="65"/>
    <s v="Female"/>
    <s v="Accessories"/>
    <s v="Handbag"/>
    <n v="82.14"/>
    <s v="Summer"/>
    <s v="Cash on Delivery"/>
    <n v="3.3"/>
    <x v="14"/>
    <n v="6"/>
    <n v="98.963855421686759"/>
    <n v="16.823855421686758"/>
    <x v="0"/>
    <n v="1"/>
  </r>
  <r>
    <n v="3863"/>
    <n v="42"/>
    <s v="Male"/>
    <s v="Footwear"/>
    <s v="Formal Shoes"/>
    <n v="74.959999999999994"/>
    <s v="Winter"/>
    <s v="Cash on Delivery"/>
    <n v="2.4"/>
    <x v="10"/>
    <n v="6"/>
    <n v="96.102564102564088"/>
    <n v="21.142564102564094"/>
    <x v="1"/>
    <n v="1"/>
  </r>
  <r>
    <n v="3864"/>
    <n v="53"/>
    <s v="Female"/>
    <s v="Groceries"/>
    <s v="Rice Pack"/>
    <n v="36.549999999999997"/>
    <s v="Spring"/>
    <s v="Card"/>
    <n v="3.8"/>
    <x v="19"/>
    <n v="5"/>
    <n v="43"/>
    <n v="6.4500000000000028"/>
    <x v="4"/>
    <n v="1"/>
  </r>
  <r>
    <n v="3865"/>
    <n v="25"/>
    <s v="Male"/>
    <s v="Sports"/>
    <s v="Football"/>
    <n v="162.61000000000001"/>
    <s v="Winter"/>
    <s v="Card"/>
    <n v="4.7"/>
    <x v="6"/>
    <n v="3"/>
    <n v="193.58333333333334"/>
    <n v="30.973333333333329"/>
    <x v="3"/>
    <n v="1"/>
  </r>
  <r>
    <n v="3866"/>
    <n v="49"/>
    <s v="Male"/>
    <s v="Sports"/>
    <s v="Football"/>
    <n v="75.87"/>
    <s v="Spring"/>
    <s v="Cash on Delivery"/>
    <n v="3"/>
    <x v="2"/>
    <n v="3"/>
    <n v="85.247191011235955"/>
    <n v="9.3771910112359507"/>
    <x v="4"/>
    <n v="1"/>
  </r>
  <r>
    <n v="3867"/>
    <n v="59"/>
    <s v="Female"/>
    <s v="Groceries"/>
    <s v="Rice Pack"/>
    <n v="16.71"/>
    <s v="Summer"/>
    <s v="Card"/>
    <n v="3.9"/>
    <x v="14"/>
    <n v="6"/>
    <n v="20.132530120481931"/>
    <n v="3.4225301204819303"/>
    <x v="0"/>
    <n v="1"/>
  </r>
  <r>
    <n v="3868"/>
    <n v="66"/>
    <s v="Female"/>
    <s v="Accessories"/>
    <s v="Handbag"/>
    <n v="118.57"/>
    <s v="Autumn"/>
    <s v="Card"/>
    <n v="2.9"/>
    <x v="19"/>
    <n v="5"/>
    <n v="139.49411764705883"/>
    <n v="20.924117647058836"/>
    <x v="2"/>
    <n v="1"/>
  </r>
  <r>
    <n v="3869"/>
    <n v="26"/>
    <s v="Female"/>
    <s v="Womens Clothing"/>
    <s v="Jeans"/>
    <n v="71.72"/>
    <s v="Spring"/>
    <s v="Card"/>
    <n v="3.5"/>
    <x v="21"/>
    <n v="8"/>
    <n v="90.784810126582272"/>
    <n v="19.064810126582273"/>
    <x v="5"/>
    <n v="1"/>
  </r>
  <r>
    <n v="3870"/>
    <n v="64"/>
    <s v="Female"/>
    <s v="Home"/>
    <s v="Kitchen Set"/>
    <n v="280.58999999999997"/>
    <s v="Summer"/>
    <s v="Card"/>
    <n v="4.9000000000000004"/>
    <x v="14"/>
    <n v="6"/>
    <n v="338.06024096385539"/>
    <n v="57.470240963855417"/>
    <x v="0"/>
    <n v="1"/>
  </r>
  <r>
    <n v="3871"/>
    <n v="46"/>
    <s v="Female"/>
    <s v="Womens Clothing"/>
    <s v="Jeans"/>
    <n v="121.97"/>
    <s v="Summer"/>
    <s v="Card"/>
    <n v="4.5999999999999996"/>
    <x v="11"/>
    <n v="8"/>
    <n v="164.82432432432432"/>
    <n v="42.854324324324324"/>
    <x v="4"/>
    <n v="1"/>
  </r>
  <r>
    <n v="3872"/>
    <n v="62"/>
    <s v="Male"/>
    <s v="Sports"/>
    <s v="Dumbbells"/>
    <n v="125.84"/>
    <s v="Autumn"/>
    <s v="Card"/>
    <n v="3.9"/>
    <x v="5"/>
    <n v="4"/>
    <n v="136.78260869565216"/>
    <n v="10.942608695652154"/>
    <x v="0"/>
    <n v="1"/>
  </r>
  <r>
    <n v="3873"/>
    <n v="43"/>
    <s v="Male"/>
    <s v="Sports"/>
    <s v="Dumbbells"/>
    <n v="199.76"/>
    <s v="Summer"/>
    <s v="Card"/>
    <n v="2.4"/>
    <x v="18"/>
    <n v="7"/>
    <n v="262.84210526315786"/>
    <n v="63.082105263157871"/>
    <x v="1"/>
    <n v="1"/>
  </r>
  <r>
    <n v="3874"/>
    <n v="63"/>
    <s v="Male"/>
    <s v="Sports"/>
    <s v="Football"/>
    <n v="245.47"/>
    <s v="Spring"/>
    <s v="Card"/>
    <n v="4.0999999999999996"/>
    <x v="8"/>
    <n v="6"/>
    <n v="278.94318181818181"/>
    <n v="33.473181818181814"/>
    <x v="0"/>
    <n v="1"/>
  </r>
  <r>
    <n v="3875"/>
    <n v="36"/>
    <s v="Female"/>
    <s v="Beauty"/>
    <s v="Makeup Set"/>
    <n v="63.27"/>
    <s v="Summer"/>
    <s v="Card"/>
    <n v="2.8"/>
    <x v="8"/>
    <n v="6"/>
    <n v="71.89772727272728"/>
    <n v="8.6277272727272774"/>
    <x v="1"/>
    <n v="1"/>
  </r>
  <r>
    <n v="3876"/>
    <n v="48"/>
    <s v="Female"/>
    <s v="Footwear"/>
    <s v="Sandals"/>
    <n v="71.12"/>
    <s v="Autumn"/>
    <s v="Card"/>
    <n v="4.2"/>
    <x v="0"/>
    <n v="4"/>
    <n v="86.731707317073173"/>
    <n v="15.611707317073169"/>
    <x v="4"/>
    <n v="1"/>
  </r>
  <r>
    <n v="3877"/>
    <n v="52"/>
    <s v="Female"/>
    <s v="Home"/>
    <s v="Lamp"/>
    <n v="71.95"/>
    <s v="Summer"/>
    <s v="Cash on Delivery"/>
    <n v="3.6"/>
    <x v="21"/>
    <n v="8"/>
    <n v="91.075949367088612"/>
    <n v="19.125949367088609"/>
    <x v="4"/>
    <n v="1"/>
  </r>
  <r>
    <n v="3878"/>
    <n v="34"/>
    <s v="Male"/>
    <s v="Home"/>
    <s v="Kitchen Set"/>
    <n v="199.66"/>
    <s v="Winter"/>
    <s v="Card"/>
    <n v="3.3"/>
    <x v="5"/>
    <n v="4"/>
    <n v="217.02173913043478"/>
    <n v="17.361739130434785"/>
    <x v="5"/>
    <n v="1"/>
  </r>
  <r>
    <n v="3879"/>
    <n v="46"/>
    <s v="Female"/>
    <s v="Accessories"/>
    <s v="Handbag"/>
    <n v="52.31"/>
    <s v="Winter"/>
    <s v="Cash on Delivery"/>
    <n v="5"/>
    <x v="10"/>
    <n v="6"/>
    <n v="67.064102564102569"/>
    <n v="14.754102564102567"/>
    <x v="4"/>
    <n v="1"/>
  </r>
  <r>
    <n v="3880"/>
    <n v="35"/>
    <s v="Female"/>
    <s v="Beauty"/>
    <s v="Skincare Kit"/>
    <n v="92"/>
    <s v="Summer"/>
    <s v="Cash on Delivery"/>
    <n v="4.8"/>
    <x v="25"/>
    <n v="10"/>
    <n v="131.42857142857144"/>
    <n v="39.428571428571445"/>
    <x v="5"/>
    <n v="1"/>
  </r>
  <r>
    <n v="3881"/>
    <n v="39"/>
    <s v="Female"/>
    <s v="Accessories"/>
    <s v="Wallet"/>
    <n v="41.86"/>
    <s v="Spring"/>
    <s v="Card"/>
    <n v="2.8"/>
    <x v="0"/>
    <n v="4"/>
    <n v="51.048780487804876"/>
    <n v="9.1887804878048769"/>
    <x v="1"/>
    <n v="1"/>
  </r>
  <r>
    <n v="3882"/>
    <n v="67"/>
    <s v="Female"/>
    <s v="Footwear"/>
    <s v="Sneakers"/>
    <n v="134.68"/>
    <s v="Summer"/>
    <s v="Card"/>
    <n v="4.0999999999999996"/>
    <x v="19"/>
    <n v="5"/>
    <n v="158.44705882352943"/>
    <n v="23.767058823529425"/>
    <x v="2"/>
    <n v="1"/>
  </r>
  <r>
    <n v="3883"/>
    <n v="52"/>
    <s v="Male"/>
    <s v="Sports"/>
    <s v="Football"/>
    <n v="91.41"/>
    <s v="Autumn"/>
    <s v="Cash on Delivery"/>
    <n v="2.9"/>
    <x v="16"/>
    <n v="3"/>
    <n v="97.244680851063833"/>
    <n v="5.8346808510638368"/>
    <x v="4"/>
    <n v="1"/>
  </r>
  <r>
    <n v="3884"/>
    <n v="29"/>
    <s v="Female"/>
    <s v="Groceries"/>
    <s v="Rice Pack"/>
    <n v="29.99"/>
    <s v="Summer"/>
    <s v="Card"/>
    <n v="4.5"/>
    <x v="14"/>
    <n v="6"/>
    <n v="36.132530120481924"/>
    <n v="6.1425301204819256"/>
    <x v="5"/>
    <n v="1"/>
  </r>
  <r>
    <n v="3885"/>
    <n v="55"/>
    <s v="Male"/>
    <s v="Home"/>
    <s v="Lamp"/>
    <n v="261.19"/>
    <s v="Spring"/>
    <s v="Card"/>
    <n v="3.2"/>
    <x v="18"/>
    <n v="7"/>
    <n v="343.67105263157896"/>
    <n v="82.481052631578962"/>
    <x v="4"/>
    <n v="1"/>
  </r>
  <r>
    <n v="3886"/>
    <n v="70"/>
    <s v="Male"/>
    <s v="Footwear"/>
    <s v="Sandals"/>
    <n v="87.98"/>
    <s v="Spring"/>
    <s v="Card"/>
    <n v="3.2"/>
    <x v="8"/>
    <n v="6"/>
    <n v="99.977272727272734"/>
    <n v="11.99727272727273"/>
    <x v="2"/>
    <n v="1"/>
  </r>
  <r>
    <n v="3887"/>
    <n v="41"/>
    <s v="Male"/>
    <s v="Mens Clothing"/>
    <s v="T-Shirt"/>
    <n v="152.87"/>
    <s v="Summer"/>
    <s v="Card"/>
    <n v="4.5"/>
    <x v="8"/>
    <n v="6"/>
    <n v="173.71590909090909"/>
    <n v="20.845909090909089"/>
    <x v="1"/>
    <n v="1"/>
  </r>
  <r>
    <n v="3888"/>
    <n v="24"/>
    <s v="Male"/>
    <s v="Home"/>
    <s v="Kitchen Set"/>
    <n v="160.16999999999999"/>
    <s v="Spring"/>
    <s v="Card"/>
    <n v="3.7"/>
    <x v="0"/>
    <n v="4"/>
    <n v="195.32926829268288"/>
    <n v="35.159268292682896"/>
    <x v="3"/>
    <n v="1"/>
  </r>
  <r>
    <n v="3889"/>
    <n v="61"/>
    <s v="Male"/>
    <s v="Sports"/>
    <s v="Football"/>
    <n v="92.21"/>
    <s v="Spring"/>
    <s v="Card"/>
    <n v="4.2"/>
    <x v="7"/>
    <n v="5"/>
    <n v="102.45555555555555"/>
    <n v="10.245555555555555"/>
    <x v="0"/>
    <n v="1"/>
  </r>
  <r>
    <n v="3890"/>
    <n v="55"/>
    <s v="Female"/>
    <s v="Womens Clothing"/>
    <s v="Dress"/>
    <n v="68.75"/>
    <s v="Summer"/>
    <s v="Card"/>
    <n v="4.9000000000000004"/>
    <x v="13"/>
    <n v="2"/>
    <n v="75.54945054945054"/>
    <n v="6.7994505494505404"/>
    <x v="4"/>
    <n v="1"/>
  </r>
  <r>
    <n v="3891"/>
    <n v="36"/>
    <s v="Male"/>
    <s v="Electronics"/>
    <s v="Smart Watch"/>
    <n v="2199.9299999999998"/>
    <s v="Winter"/>
    <s v="Card"/>
    <n v="4.3"/>
    <x v="14"/>
    <n v="6"/>
    <n v="2650.5180722891564"/>
    <n v="450.58807228915657"/>
    <x v="1"/>
    <n v="1"/>
  </r>
  <r>
    <n v="3892"/>
    <n v="67"/>
    <s v="Female"/>
    <s v="Footwear"/>
    <s v="Sandals"/>
    <n v="191.36"/>
    <s v="Winter"/>
    <s v="Card"/>
    <n v="4.0999999999999996"/>
    <x v="0"/>
    <n v="4"/>
    <n v="233.36585365853659"/>
    <n v="42.00585365853658"/>
    <x v="2"/>
    <n v="1"/>
  </r>
  <r>
    <n v="3893"/>
    <n v="50"/>
    <s v="Male"/>
    <s v="Home"/>
    <s v="Kitchen Set"/>
    <n v="55.82"/>
    <s v="Spring"/>
    <s v="Cash on Delivery"/>
    <n v="3.7"/>
    <x v="6"/>
    <n v="3"/>
    <n v="66.452380952380949"/>
    <n v="10.632380952380949"/>
    <x v="4"/>
    <n v="1"/>
  </r>
  <r>
    <n v="3894"/>
    <n v="33"/>
    <s v="Female"/>
    <s v="Footwear"/>
    <s v="Formal Shoes"/>
    <n v="222.12"/>
    <s v="Winter"/>
    <s v="Card"/>
    <n v="4.0999999999999996"/>
    <x v="7"/>
    <n v="5"/>
    <n v="246.8"/>
    <n v="24.680000000000007"/>
    <x v="5"/>
    <n v="1"/>
  </r>
  <r>
    <n v="3895"/>
    <n v="33"/>
    <s v="Female"/>
    <s v="Groceries"/>
    <s v="Rice Pack"/>
    <n v="78.680000000000007"/>
    <s v="Summer"/>
    <s v="Card"/>
    <n v="3.4"/>
    <x v="16"/>
    <n v="3"/>
    <n v="83.702127659574487"/>
    <n v="5.0221276595744797"/>
    <x v="5"/>
    <n v="1"/>
  </r>
  <r>
    <n v="3896"/>
    <n v="53"/>
    <s v="Female"/>
    <s v="Footwear"/>
    <s v="Formal Shoes"/>
    <n v="151.9"/>
    <s v="Summer"/>
    <s v="Card"/>
    <n v="3.5"/>
    <x v="23"/>
    <n v="1"/>
    <n v="163.33333333333334"/>
    <n v="11.433333333333337"/>
    <x v="4"/>
    <n v="1"/>
  </r>
  <r>
    <n v="3897"/>
    <n v="41"/>
    <s v="Female"/>
    <s v="Womens Clothing"/>
    <s v="Top"/>
    <n v="34.340000000000003"/>
    <s v="Autumn"/>
    <s v="Cash on Delivery"/>
    <n v="3.7"/>
    <x v="18"/>
    <n v="7"/>
    <n v="45.184210526315795"/>
    <n v="10.844210526315791"/>
    <x v="1"/>
    <n v="1"/>
  </r>
  <r>
    <n v="3898"/>
    <n v="44"/>
    <s v="Male"/>
    <s v="Home"/>
    <s v="Kitchen Set"/>
    <n v="193.78"/>
    <s v="Autumn"/>
    <s v="Card"/>
    <n v="3.9"/>
    <x v="2"/>
    <n v="3"/>
    <n v="217.73033707865167"/>
    <n v="23.950337078651671"/>
    <x v="1"/>
    <n v="1"/>
  </r>
  <r>
    <n v="3899"/>
    <n v="44"/>
    <s v="Female"/>
    <s v="Footwear"/>
    <s v="Sneakers"/>
    <n v="165.49"/>
    <s v="Winter"/>
    <s v="Card"/>
    <n v="3.8"/>
    <x v="3"/>
    <n v="5"/>
    <n v="206.86250000000001"/>
    <n v="41.372500000000002"/>
    <x v="1"/>
    <n v="1"/>
  </r>
  <r>
    <n v="3900"/>
    <n v="26"/>
    <s v="Female"/>
    <s v="Womens Clothing"/>
    <s v="Dress"/>
    <n v="98.13"/>
    <s v="Summer"/>
    <s v="Cash on Delivery"/>
    <n v="3"/>
    <x v="19"/>
    <n v="5"/>
    <n v="115.4470588235294"/>
    <n v="17.317058823529408"/>
    <x v="5"/>
    <n v="1"/>
  </r>
  <r>
    <n v="3901"/>
    <n v="60"/>
    <s v="Male"/>
    <s v="Mens Clothing"/>
    <s v="Shirt"/>
    <n v="101.85"/>
    <s v="Winter"/>
    <s v="Card"/>
    <n v="4.4000000000000004"/>
    <x v="7"/>
    <n v="5"/>
    <n v="113.16666666666666"/>
    <n v="11.316666666666663"/>
    <x v="0"/>
    <n v="1"/>
  </r>
  <r>
    <n v="3902"/>
    <n v="20"/>
    <s v="Female"/>
    <s v="Beauty"/>
    <s v="Skincare Kit"/>
    <n v="140.1"/>
    <s v="Summer"/>
    <s v="Card"/>
    <n v="3.7"/>
    <x v="17"/>
    <n v="2"/>
    <n v="145.9375"/>
    <n v="5.8375000000000057"/>
    <x v="3"/>
    <n v="1"/>
  </r>
  <r>
    <n v="3903"/>
    <n v="45"/>
    <s v="Male"/>
    <s v="Groceries"/>
    <s v="Rice Pack"/>
    <n v="8.33"/>
    <s v="Spring"/>
    <s v="Card"/>
    <n v="2.7"/>
    <x v="8"/>
    <n v="6"/>
    <n v="9.4659090909090917"/>
    <n v="1.1359090909090916"/>
    <x v="1"/>
    <n v="1"/>
  </r>
  <r>
    <n v="3904"/>
    <n v="41"/>
    <s v="Male"/>
    <s v="Electronics"/>
    <s v="Mobile Phone"/>
    <n v="2137.8000000000002"/>
    <s v="Winter"/>
    <s v="Card"/>
    <n v="2.9"/>
    <x v="2"/>
    <n v="3"/>
    <n v="2402.0224719101125"/>
    <n v="264.22247191011229"/>
    <x v="1"/>
    <n v="1"/>
  </r>
  <r>
    <n v="3905"/>
    <n v="24"/>
    <s v="Male"/>
    <s v="Electronics"/>
    <s v="Laptop"/>
    <n v="1012.48"/>
    <s v="Winter"/>
    <s v="Card"/>
    <n v="5"/>
    <x v="8"/>
    <n v="6"/>
    <n v="1150.5454545454545"/>
    <n v="138.06545454545449"/>
    <x v="3"/>
    <n v="1"/>
  </r>
  <r>
    <n v="3906"/>
    <n v="23"/>
    <s v="Male"/>
    <s v="Footwear"/>
    <s v="Formal Shoes"/>
    <n v="159.02000000000001"/>
    <s v="Spring"/>
    <s v="Card"/>
    <n v="3.4"/>
    <x v="16"/>
    <n v="3"/>
    <n v="169.17021276595747"/>
    <n v="10.150212765957463"/>
    <x v="3"/>
    <n v="1"/>
  </r>
  <r>
    <n v="3907"/>
    <n v="70"/>
    <s v="Female"/>
    <s v="Beauty"/>
    <s v="Perfume"/>
    <n v="65.099999999999994"/>
    <s v="Winter"/>
    <s v="Cash on Delivery"/>
    <n v="3.5"/>
    <x v="2"/>
    <n v="3"/>
    <n v="73.146067415730329"/>
    <n v="8.0460674157303345"/>
    <x v="2"/>
    <n v="1"/>
  </r>
  <r>
    <n v="3908"/>
    <n v="45"/>
    <s v="Male"/>
    <s v="Electronics"/>
    <s v="Headphones"/>
    <n v="1162.1500000000001"/>
    <s v="Spring"/>
    <s v="Card"/>
    <n v="3.9"/>
    <x v="13"/>
    <n v="2"/>
    <n v="1277.0879120879122"/>
    <n v="114.93791208791208"/>
    <x v="1"/>
    <n v="1"/>
  </r>
  <r>
    <n v="3909"/>
    <n v="51"/>
    <s v="Male"/>
    <s v="Footwear"/>
    <s v="Formal Shoes"/>
    <n v="226.35"/>
    <s v="Summer"/>
    <s v="Card"/>
    <n v="4.2"/>
    <x v="3"/>
    <n v="10"/>
    <n v="282.9375"/>
    <n v="56.587500000000006"/>
    <x v="4"/>
    <n v="1"/>
  </r>
  <r>
    <n v="3910"/>
    <n v="38"/>
    <s v="Male"/>
    <s v="Electronics"/>
    <s v="Laptop"/>
    <n v="1523"/>
    <s v="Summer"/>
    <s v="Card"/>
    <n v="5"/>
    <x v="20"/>
    <n v="11"/>
    <n v="2239.7058823529414"/>
    <n v="716.70588235294144"/>
    <x v="1"/>
    <n v="1"/>
  </r>
  <r>
    <n v="3911"/>
    <n v="59"/>
    <s v="Male"/>
    <s v="Home"/>
    <s v="Kitchen Set"/>
    <n v="152.75"/>
    <s v="Autumn"/>
    <s v="Card"/>
    <n v="3.6"/>
    <x v="25"/>
    <n v="10"/>
    <n v="218.21428571428572"/>
    <n v="65.464285714285722"/>
    <x v="0"/>
    <n v="1"/>
  </r>
  <r>
    <n v="3912"/>
    <n v="42"/>
    <s v="Male"/>
    <s v="Sports"/>
    <s v="Yoga Mat"/>
    <n v="243.12"/>
    <s v="Autumn"/>
    <s v="Card"/>
    <n v="5"/>
    <x v="4"/>
    <n v="7"/>
    <n v="282.69767441860466"/>
    <n v="39.577674418604659"/>
    <x v="1"/>
    <n v="1"/>
  </r>
  <r>
    <n v="3913"/>
    <n v="64"/>
    <s v="Male"/>
    <s v="Groceries"/>
    <s v="Snacks"/>
    <n v="11.97"/>
    <s v="Summer"/>
    <s v="Card"/>
    <n v="4"/>
    <x v="13"/>
    <n v="2"/>
    <n v="13.153846153846153"/>
    <n v="1.1838461538461527"/>
    <x v="0"/>
    <n v="1"/>
  </r>
  <r>
    <n v="3914"/>
    <n v="23"/>
    <s v="Male"/>
    <s v="Footwear"/>
    <s v="Sandals"/>
    <n v="75.64"/>
    <s v="Autumn"/>
    <s v="Card"/>
    <n v="2.8"/>
    <x v="10"/>
    <n v="6"/>
    <n v="96.974358974358978"/>
    <n v="21.334358974358977"/>
    <x v="3"/>
    <n v="1"/>
  </r>
  <r>
    <n v="3915"/>
    <n v="31"/>
    <s v="Male"/>
    <s v="Sports"/>
    <s v="Football"/>
    <n v="107.78"/>
    <s v="Autumn"/>
    <s v="Card"/>
    <n v="3.5"/>
    <x v="19"/>
    <n v="5"/>
    <n v="126.80000000000001"/>
    <n v="19.02000000000001"/>
    <x v="5"/>
    <n v="1"/>
  </r>
  <r>
    <n v="3916"/>
    <n v="64"/>
    <s v="Male"/>
    <s v="Sports"/>
    <s v="Football"/>
    <n v="170.99"/>
    <s v="Summer"/>
    <s v="Card"/>
    <n v="3.7"/>
    <x v="4"/>
    <n v="7"/>
    <n v="198.82558139534885"/>
    <n v="27.835581395348839"/>
    <x v="0"/>
    <n v="1"/>
  </r>
  <r>
    <n v="3917"/>
    <n v="61"/>
    <s v="Female"/>
    <s v="Accessories"/>
    <s v="Wallet"/>
    <n v="171.53"/>
    <s v="Summer"/>
    <s v="Card"/>
    <n v="3.5"/>
    <x v="6"/>
    <n v="3"/>
    <n v="204.20238095238096"/>
    <n v="32.672380952380962"/>
    <x v="0"/>
    <n v="1"/>
  </r>
  <r>
    <n v="3918"/>
    <n v="27"/>
    <s v="Female"/>
    <s v="Beauty"/>
    <s v="Skincare Kit"/>
    <n v="76.489999999999995"/>
    <s v="Spring"/>
    <s v="Card"/>
    <n v="4.3"/>
    <x v="13"/>
    <n v="2"/>
    <n v="84.054945054945051"/>
    <n v="7.5649450549450563"/>
    <x v="5"/>
    <n v="1"/>
  </r>
  <r>
    <n v="3919"/>
    <n v="22"/>
    <s v="Female"/>
    <s v="Womens Clothing"/>
    <s v="Jeans"/>
    <n v="180.68"/>
    <s v="Winter"/>
    <s v="Card"/>
    <n v="4.5"/>
    <x v="21"/>
    <n v="8"/>
    <n v="228.70886075949366"/>
    <n v="48.028860759493654"/>
    <x v="3"/>
    <n v="1"/>
  </r>
  <r>
    <n v="3920"/>
    <n v="69"/>
    <s v="Male"/>
    <s v="Sports"/>
    <s v="Dumbbells"/>
    <n v="51.3"/>
    <s v="Autumn"/>
    <s v="Cash on Delivery"/>
    <n v="2.5"/>
    <x v="13"/>
    <n v="2"/>
    <n v="56.373626373626365"/>
    <n v="5.073626373626368"/>
    <x v="2"/>
    <n v="1"/>
  </r>
  <r>
    <n v="3921"/>
    <n v="66"/>
    <s v="Male"/>
    <s v="Mens Clothing"/>
    <s v="Jeans"/>
    <n v="40.06"/>
    <s v="Summer"/>
    <s v="Cash on Delivery"/>
    <n v="3.1"/>
    <x v="3"/>
    <n v="5"/>
    <n v="50.075000000000003"/>
    <n v="10.015000000000001"/>
    <x v="2"/>
    <n v="1"/>
  </r>
  <r>
    <n v="3922"/>
    <n v="39"/>
    <s v="Male"/>
    <s v="Sports"/>
    <s v="Dumbbells"/>
    <n v="149.28"/>
    <s v="Winter"/>
    <s v="Card"/>
    <n v="2.9"/>
    <x v="19"/>
    <n v="5"/>
    <n v="175.62352941176471"/>
    <n v="26.343529411764706"/>
    <x v="1"/>
    <n v="1"/>
  </r>
  <r>
    <n v="3923"/>
    <n v="22"/>
    <s v="Male"/>
    <s v="Footwear"/>
    <s v="Sandals"/>
    <n v="168.49"/>
    <s v="Spring"/>
    <s v="Card"/>
    <n v="4.9000000000000004"/>
    <x v="12"/>
    <n v="7"/>
    <n v="208.01234567901236"/>
    <n v="39.522345679012346"/>
    <x v="3"/>
    <n v="1"/>
  </r>
  <r>
    <n v="3924"/>
    <n v="53"/>
    <s v="Female"/>
    <s v="Footwear"/>
    <s v="Sandals"/>
    <n v="141.58000000000001"/>
    <s v="Spring"/>
    <s v="Card"/>
    <n v="1.7"/>
    <x v="7"/>
    <n v="5"/>
    <n v="157.31111111111113"/>
    <n v="15.731111111111119"/>
    <x v="4"/>
    <n v="1"/>
  </r>
  <r>
    <n v="3925"/>
    <n v="50"/>
    <s v="Female"/>
    <s v="Footwear"/>
    <s v="Sandals"/>
    <n v="227.28"/>
    <s v="Spring"/>
    <s v="Card"/>
    <n v="3.8"/>
    <x v="6"/>
    <n v="3"/>
    <n v="270.57142857142856"/>
    <n v="43.291428571428554"/>
    <x v="4"/>
    <n v="1"/>
  </r>
  <r>
    <n v="3926"/>
    <n v="45"/>
    <s v="Male"/>
    <s v="Mens Clothing"/>
    <s v="Shirt"/>
    <n v="49.65"/>
    <s v="Summer"/>
    <s v="Card"/>
    <n v="4.9000000000000004"/>
    <x v="11"/>
    <n v="8"/>
    <n v="67.094594594594597"/>
    <n v="17.444594594594598"/>
    <x v="1"/>
    <n v="1"/>
  </r>
  <r>
    <n v="3927"/>
    <n v="54"/>
    <s v="Male"/>
    <s v="Mens Clothing"/>
    <s v="Jacket"/>
    <n v="48.95"/>
    <s v="Winter"/>
    <s v="Card"/>
    <n v="2.6"/>
    <x v="1"/>
    <n v="4"/>
    <n v="56.264367816091955"/>
    <n v="7.3143678160919521"/>
    <x v="4"/>
    <n v="1"/>
  </r>
  <r>
    <n v="3928"/>
    <n v="38"/>
    <s v="Female"/>
    <s v="Home"/>
    <s v="Lamp"/>
    <n v="289.17"/>
    <s v="Winter"/>
    <s v="Card"/>
    <n v="3.9"/>
    <x v="16"/>
    <n v="3"/>
    <n v="307.62765957446811"/>
    <n v="18.457659574468096"/>
    <x v="1"/>
    <n v="1"/>
  </r>
  <r>
    <n v="3929"/>
    <n v="45"/>
    <s v="Female"/>
    <s v="Accessories"/>
    <s v="Wallet"/>
    <n v="51.88"/>
    <s v="Winter"/>
    <s v="Card"/>
    <n v="4.5999999999999996"/>
    <x v="5"/>
    <n v="4"/>
    <n v="56.391304347826086"/>
    <n v="4.5113043478260835"/>
    <x v="1"/>
    <n v="1"/>
  </r>
  <r>
    <n v="3930"/>
    <n v="36"/>
    <s v="Female"/>
    <s v="Womens Clothing"/>
    <s v="Top"/>
    <n v="70.98"/>
    <s v="Winter"/>
    <s v="Cash on Delivery"/>
    <n v="3.4"/>
    <x v="16"/>
    <n v="3"/>
    <n v="75.510638297872347"/>
    <n v="4.5306382978723434"/>
    <x v="1"/>
    <n v="1"/>
  </r>
  <r>
    <n v="3931"/>
    <n v="34"/>
    <s v="Male"/>
    <s v="Mens Clothing"/>
    <s v="T-Shirt"/>
    <n v="63.17"/>
    <s v="Summer"/>
    <s v="Card"/>
    <n v="3.6"/>
    <x v="3"/>
    <n v="10"/>
    <n v="78.962499999999991"/>
    <n v="15.79249999999999"/>
    <x v="5"/>
    <n v="1"/>
  </r>
  <r>
    <n v="3932"/>
    <n v="69"/>
    <s v="Male"/>
    <s v="Sports"/>
    <s v="Yoga Mat"/>
    <n v="235.79"/>
    <s v="Winter"/>
    <s v="Card"/>
    <n v="3.7"/>
    <x v="2"/>
    <n v="3"/>
    <n v="264.93258426966293"/>
    <n v="29.142584269662933"/>
    <x v="2"/>
    <n v="1"/>
  </r>
  <r>
    <n v="3933"/>
    <n v="25"/>
    <s v="Male"/>
    <s v="Sports"/>
    <s v="Dumbbells"/>
    <n v="156.57"/>
    <s v="Winter"/>
    <s v="Card"/>
    <n v="3.5"/>
    <x v="14"/>
    <n v="6"/>
    <n v="188.63855421686748"/>
    <n v="32.068554216867483"/>
    <x v="3"/>
    <n v="1"/>
  </r>
  <r>
    <n v="3934"/>
    <n v="70"/>
    <s v="Female"/>
    <s v="Groceries"/>
    <s v="Snacks"/>
    <n v="58.72"/>
    <s v="Spring"/>
    <s v="Card"/>
    <n v="4.5"/>
    <x v="11"/>
    <n v="8"/>
    <n v="79.351351351351354"/>
    <n v="20.631351351351356"/>
    <x v="2"/>
    <n v="1"/>
  </r>
  <r>
    <n v="3935"/>
    <n v="26"/>
    <s v="Male"/>
    <s v="Mens Clothing"/>
    <s v="Jeans"/>
    <n v="148.72999999999999"/>
    <s v="Winter"/>
    <s v="Card"/>
    <n v="3.5"/>
    <x v="3"/>
    <n v="5"/>
    <n v="185.91249999999997"/>
    <n v="37.182499999999976"/>
    <x v="5"/>
    <n v="1"/>
  </r>
  <r>
    <n v="3936"/>
    <n v="41"/>
    <s v="Male"/>
    <s v="Electronics"/>
    <s v="Headphones"/>
    <n v="560.16"/>
    <s v="Autumn"/>
    <s v="Card"/>
    <n v="3.4"/>
    <x v="5"/>
    <n v="4"/>
    <n v="608.86956521739125"/>
    <n v="48.709565217391287"/>
    <x v="1"/>
    <n v="1"/>
  </r>
  <r>
    <n v="3937"/>
    <n v="70"/>
    <s v="Female"/>
    <s v="Beauty"/>
    <s v="Makeup Set"/>
    <n v="57.57"/>
    <s v="Spring"/>
    <s v="Card"/>
    <n v="4.2"/>
    <x v="24"/>
    <n v="9"/>
    <n v="79.958333333333343"/>
    <n v="22.388333333333343"/>
    <x v="2"/>
    <n v="1"/>
  </r>
  <r>
    <n v="3938"/>
    <n v="67"/>
    <s v="Male"/>
    <s v="Sports"/>
    <s v="Football"/>
    <n v="177.81"/>
    <s v="Summer"/>
    <s v="Card"/>
    <n v="4.4000000000000004"/>
    <x v="18"/>
    <n v="7"/>
    <n v="233.96052631578948"/>
    <n v="56.150526315789477"/>
    <x v="2"/>
    <n v="1"/>
  </r>
  <r>
    <n v="3939"/>
    <n v="51"/>
    <s v="Female"/>
    <s v="Sports"/>
    <s v="Football"/>
    <n v="184.15"/>
    <s v="Autumn"/>
    <s v="Card"/>
    <n v="4.5"/>
    <x v="12"/>
    <n v="7"/>
    <n v="227.34567901234567"/>
    <n v="43.195679012345664"/>
    <x v="4"/>
    <n v="1"/>
  </r>
  <r>
    <n v="3940"/>
    <n v="57"/>
    <s v="Female"/>
    <s v="Beauty"/>
    <s v="Makeup Set"/>
    <n v="113.42"/>
    <s v="Winter"/>
    <s v="Card"/>
    <n v="5"/>
    <x v="18"/>
    <n v="7"/>
    <n v="149.23684210526315"/>
    <n v="35.816842105263149"/>
    <x v="0"/>
    <n v="1"/>
  </r>
  <r>
    <n v="3941"/>
    <n v="43"/>
    <s v="Male"/>
    <s v="Mens Clothing"/>
    <s v="Shirt"/>
    <n v="73.540000000000006"/>
    <s v="Autumn"/>
    <s v="Cash on Delivery"/>
    <n v="2.4"/>
    <x v="2"/>
    <n v="3"/>
    <n v="82.629213483146074"/>
    <n v="9.089213483146068"/>
    <x v="1"/>
    <n v="1"/>
  </r>
  <r>
    <n v="3942"/>
    <n v="63"/>
    <s v="Female"/>
    <s v="Accessories"/>
    <s v="Handbag"/>
    <n v="83.01"/>
    <s v="Summer"/>
    <s v="Card"/>
    <n v="2.9"/>
    <x v="3"/>
    <n v="5"/>
    <n v="103.7625"/>
    <n v="20.752499999999998"/>
    <x v="0"/>
    <n v="1"/>
  </r>
  <r>
    <n v="3943"/>
    <n v="42"/>
    <s v="Female"/>
    <s v="Accessories"/>
    <s v="Wallet"/>
    <n v="136.71"/>
    <s v="Winter"/>
    <s v="Card"/>
    <n v="2.2999999999999998"/>
    <x v="6"/>
    <n v="3"/>
    <n v="162.75000000000003"/>
    <n v="26.04000000000002"/>
    <x v="1"/>
    <n v="1"/>
  </r>
  <r>
    <n v="3944"/>
    <n v="46"/>
    <s v="Male"/>
    <s v="Electronics"/>
    <s v="Smart Watch"/>
    <n v="1464.71"/>
    <s v="Autumn"/>
    <s v="Card"/>
    <n v="2.2999999999999998"/>
    <x v="8"/>
    <n v="6"/>
    <n v="1664.4431818181818"/>
    <n v="199.73318181818172"/>
    <x v="4"/>
    <n v="1"/>
  </r>
  <r>
    <n v="3945"/>
    <n v="69"/>
    <s v="Male"/>
    <s v="Mens Clothing"/>
    <s v="Jacket"/>
    <n v="173.52"/>
    <s v="Summer"/>
    <s v="Card"/>
    <n v="3.2"/>
    <x v="7"/>
    <n v="5"/>
    <n v="192.8"/>
    <n v="19.28"/>
    <x v="2"/>
    <n v="1"/>
  </r>
  <r>
    <n v="3946"/>
    <n v="49"/>
    <s v="Male"/>
    <s v="Electronics"/>
    <s v="Headphones"/>
    <n v="1875.63"/>
    <s v="Winter"/>
    <s v="Card"/>
    <n v="3.5"/>
    <x v="0"/>
    <n v="4"/>
    <n v="2287.3536585365855"/>
    <n v="411.72365853658539"/>
    <x v="4"/>
    <n v="1"/>
  </r>
  <r>
    <n v="3947"/>
    <n v="36"/>
    <s v="Female"/>
    <s v="Beauty"/>
    <s v="Skincare Kit"/>
    <n v="149.27000000000001"/>
    <s v="Winter"/>
    <s v="Card"/>
    <n v="3.2"/>
    <x v="16"/>
    <n v="3"/>
    <n v="158.79787234042556"/>
    <n v="9.5278723404255459"/>
    <x v="1"/>
    <n v="1"/>
  </r>
  <r>
    <n v="3948"/>
    <n v="37"/>
    <s v="Female"/>
    <s v="Footwear"/>
    <s v="Sandals"/>
    <n v="116.16"/>
    <s v="Autumn"/>
    <s v="Card"/>
    <n v="4.7"/>
    <x v="3"/>
    <n v="5"/>
    <n v="145.19999999999999"/>
    <n v="29.039999999999992"/>
    <x v="1"/>
    <n v="1"/>
  </r>
  <r>
    <n v="3949"/>
    <n v="21"/>
    <s v="Female"/>
    <s v="Accessories"/>
    <s v="Handbag"/>
    <n v="159.82"/>
    <s v="Autumn"/>
    <s v="Card"/>
    <n v="3.9"/>
    <x v="17"/>
    <n v="2"/>
    <n v="166.47916666666666"/>
    <n v="6.659166666666664"/>
    <x v="3"/>
    <n v="1"/>
  </r>
  <r>
    <n v="3950"/>
    <n v="70"/>
    <s v="Female"/>
    <s v="Womens Clothing"/>
    <s v="Top"/>
    <n v="53.66"/>
    <s v="Summer"/>
    <s v="Cash on Delivery"/>
    <n v="2.6"/>
    <x v="3"/>
    <n v="5"/>
    <n v="67.074999999999989"/>
    <n v="13.414999999999992"/>
    <x v="2"/>
    <n v="1"/>
  </r>
  <r>
    <n v="3951"/>
    <n v="40"/>
    <s v="Female"/>
    <s v="Womens Clothing"/>
    <s v="Skirt"/>
    <n v="180.23"/>
    <s v="Spring"/>
    <s v="Card"/>
    <n v="3.8"/>
    <x v="1"/>
    <n v="4"/>
    <n v="207.16091954022988"/>
    <n v="26.930919540229894"/>
    <x v="1"/>
    <n v="1"/>
  </r>
  <r>
    <n v="3952"/>
    <n v="65"/>
    <s v="Male"/>
    <s v="Sports"/>
    <s v="Dumbbells"/>
    <n v="177.72"/>
    <s v="Winter"/>
    <s v="Card"/>
    <n v="3.6"/>
    <x v="21"/>
    <n v="8"/>
    <n v="224.96202531645568"/>
    <n v="47.242025316455681"/>
    <x v="0"/>
    <n v="1"/>
  </r>
  <r>
    <n v="3953"/>
    <n v="65"/>
    <s v="Male"/>
    <s v="Electronics"/>
    <s v="Smart Watch"/>
    <n v="2849.33"/>
    <s v="Spring"/>
    <s v="Card"/>
    <n v="4.5999999999999996"/>
    <x v="0"/>
    <n v="4"/>
    <n v="3474.792682926829"/>
    <n v="625.46268292682907"/>
    <x v="0"/>
    <n v="1"/>
  </r>
  <r>
    <n v="3954"/>
    <n v="34"/>
    <s v="Male"/>
    <s v="Groceries"/>
    <s v="Beverages"/>
    <n v="5.92"/>
    <s v="Spring"/>
    <s v="Card"/>
    <n v="4.2"/>
    <x v="19"/>
    <n v="5"/>
    <n v="6.9647058823529413"/>
    <n v="1.0447058823529414"/>
    <x v="5"/>
    <n v="1"/>
  </r>
  <r>
    <n v="3955"/>
    <n v="37"/>
    <s v="Male"/>
    <s v="Sports"/>
    <s v="Football"/>
    <n v="120"/>
    <s v="Spring"/>
    <s v="Card"/>
    <n v="2.8"/>
    <x v="19"/>
    <n v="5"/>
    <n v="141.1764705882353"/>
    <n v="21.176470588235304"/>
    <x v="1"/>
    <n v="1"/>
  </r>
  <r>
    <n v="3956"/>
    <n v="35"/>
    <s v="Male"/>
    <s v="Footwear"/>
    <s v="Formal Shoes"/>
    <n v="151.72999999999999"/>
    <s v="Summer"/>
    <s v="Card"/>
    <n v="3.3"/>
    <x v="5"/>
    <n v="4"/>
    <n v="164.92391304347825"/>
    <n v="13.193913043478261"/>
    <x v="5"/>
    <n v="1"/>
  </r>
  <r>
    <n v="3957"/>
    <n v="66"/>
    <s v="Male"/>
    <s v="Mens Clothing"/>
    <s v="T-Shirt"/>
    <n v="188.31"/>
    <s v="Winter"/>
    <s v="Card"/>
    <n v="5"/>
    <x v="16"/>
    <n v="3"/>
    <n v="200.32978723404256"/>
    <n v="12.019787234042553"/>
    <x v="2"/>
    <n v="1"/>
  </r>
  <r>
    <n v="3958"/>
    <n v="63"/>
    <s v="Female"/>
    <s v="Home"/>
    <s v="Kitchen Set"/>
    <n v="96.14"/>
    <s v="Spring"/>
    <s v="Cash on Delivery"/>
    <n v="4.9000000000000004"/>
    <x v="18"/>
    <n v="7"/>
    <n v="126.5"/>
    <n v="30.36"/>
    <x v="0"/>
    <n v="1"/>
  </r>
  <r>
    <n v="3959"/>
    <n v="68"/>
    <s v="Female"/>
    <s v="Sports"/>
    <s v="Dumbbells"/>
    <n v="57.13"/>
    <s v="Autumn"/>
    <s v="Cash on Delivery"/>
    <n v="3.9"/>
    <x v="0"/>
    <n v="9"/>
    <n v="69.670731707317074"/>
    <n v="12.540731707317072"/>
    <x v="2"/>
    <n v="1"/>
  </r>
  <r>
    <n v="3960"/>
    <n v="58"/>
    <s v="Male"/>
    <s v="Home"/>
    <s v="Kitchen Set"/>
    <n v="53.9"/>
    <s v="Winter"/>
    <s v="Cash on Delivery"/>
    <n v="4.4000000000000004"/>
    <x v="18"/>
    <n v="7"/>
    <n v="70.921052631578945"/>
    <n v="17.021052631578947"/>
    <x v="0"/>
    <n v="1"/>
  </r>
  <r>
    <n v="3961"/>
    <n v="48"/>
    <s v="Female"/>
    <s v="Womens Clothing"/>
    <s v="Dress"/>
    <n v="108.03"/>
    <s v="Spring"/>
    <s v="Card"/>
    <n v="2.9"/>
    <x v="1"/>
    <n v="4"/>
    <n v="124.17241379310344"/>
    <n v="16.142413793103444"/>
    <x v="4"/>
    <n v="1"/>
  </r>
  <r>
    <n v="3962"/>
    <n v="33"/>
    <s v="Female"/>
    <s v="Accessories"/>
    <s v="Handbag"/>
    <n v="37.950000000000003"/>
    <s v="Winter"/>
    <s v="Cash on Delivery"/>
    <n v="4.5"/>
    <x v="4"/>
    <n v="7"/>
    <n v="44.127906976744192"/>
    <n v="6.1779069767441896"/>
    <x v="5"/>
    <n v="1"/>
  </r>
  <r>
    <n v="3963"/>
    <n v="61"/>
    <s v="Male"/>
    <s v="Sports"/>
    <s v="Dumbbells"/>
    <n v="105.24"/>
    <s v="Summer"/>
    <s v="Card"/>
    <n v="4.5999999999999996"/>
    <x v="8"/>
    <n v="6"/>
    <n v="119.59090909090908"/>
    <n v="14.350909090909084"/>
    <x v="0"/>
    <n v="1"/>
  </r>
  <r>
    <n v="3964"/>
    <n v="39"/>
    <s v="Male"/>
    <s v="Electronics"/>
    <s v="Laptop"/>
    <n v="1041.0999999999999"/>
    <s v="Winter"/>
    <s v="Card"/>
    <n v="3.4"/>
    <x v="12"/>
    <n v="7"/>
    <n v="1285.3086419753085"/>
    <n v="244.20864197530864"/>
    <x v="1"/>
    <n v="1"/>
  </r>
  <r>
    <n v="3965"/>
    <n v="41"/>
    <s v="Male"/>
    <s v="Sports"/>
    <s v="Dumbbells"/>
    <n v="171.63"/>
    <s v="Winter"/>
    <s v="Card"/>
    <n v="4.4000000000000004"/>
    <x v="6"/>
    <n v="3"/>
    <n v="204.32142857142858"/>
    <n v="32.691428571428588"/>
    <x v="1"/>
    <n v="1"/>
  </r>
  <r>
    <n v="3966"/>
    <n v="60"/>
    <s v="Female"/>
    <s v="Footwear"/>
    <s v="Sneakers"/>
    <n v="234.84"/>
    <s v="Summer"/>
    <s v="Card"/>
    <n v="5"/>
    <x v="28"/>
    <n v="12"/>
    <n v="330.76056338028172"/>
    <n v="95.92056338028172"/>
    <x v="0"/>
    <n v="1"/>
  </r>
  <r>
    <n v="3967"/>
    <n v="38"/>
    <s v="Female"/>
    <s v="Footwear"/>
    <s v="Sandals"/>
    <n v="68.16"/>
    <s v="Winter"/>
    <s v="Card"/>
    <n v="4.3"/>
    <x v="10"/>
    <n v="6"/>
    <n v="87.384615384615373"/>
    <n v="19.224615384615376"/>
    <x v="1"/>
    <n v="1"/>
  </r>
  <r>
    <n v="3968"/>
    <n v="21"/>
    <s v="Male"/>
    <s v="Footwear"/>
    <s v="Formal Shoes"/>
    <n v="245.4"/>
    <s v="Winter"/>
    <s v="Card"/>
    <n v="3.9"/>
    <x v="17"/>
    <n v="2"/>
    <n v="255.62500000000003"/>
    <n v="10.225000000000023"/>
    <x v="3"/>
    <n v="1"/>
  </r>
  <r>
    <n v="3969"/>
    <n v="56"/>
    <s v="Female"/>
    <s v="Beauty"/>
    <s v="Perfume"/>
    <n v="79.16"/>
    <s v="Winter"/>
    <s v="Cash on Delivery"/>
    <n v="3"/>
    <x v="13"/>
    <n v="2"/>
    <n v="86.989010989010978"/>
    <n v="7.8290109890109818"/>
    <x v="0"/>
    <n v="1"/>
  </r>
  <r>
    <n v="3970"/>
    <n v="51"/>
    <s v="Female"/>
    <s v="Footwear"/>
    <s v="Sandals"/>
    <n v="88.4"/>
    <s v="Autumn"/>
    <s v="Cash on Delivery"/>
    <n v="4"/>
    <x v="16"/>
    <n v="3"/>
    <n v="94.042553191489375"/>
    <n v="5.6425531914893696"/>
    <x v="4"/>
    <n v="1"/>
  </r>
  <r>
    <n v="3971"/>
    <n v="27"/>
    <s v="Female"/>
    <s v="Home"/>
    <s v="Curtains"/>
    <n v="271.83999999999997"/>
    <s v="Spring"/>
    <s v="Card"/>
    <n v="3.5"/>
    <x v="8"/>
    <n v="6"/>
    <n v="308.90909090909088"/>
    <n v="37.069090909090903"/>
    <x v="5"/>
    <n v="1"/>
  </r>
  <r>
    <n v="3972"/>
    <n v="68"/>
    <s v="Female"/>
    <s v="Accessories"/>
    <s v="Handbag"/>
    <n v="119.54"/>
    <s v="Winter"/>
    <s v="Card"/>
    <n v="3.8"/>
    <x v="17"/>
    <n v="2"/>
    <n v="124.52083333333334"/>
    <n v="4.9808333333333366"/>
    <x v="2"/>
    <n v="1"/>
  </r>
  <r>
    <n v="3973"/>
    <n v="20"/>
    <s v="Male"/>
    <s v="Footwear"/>
    <s v="Sneakers"/>
    <n v="99.98"/>
    <s v="Autumn"/>
    <s v="Cash on Delivery"/>
    <n v="4.3"/>
    <x v="17"/>
    <n v="2"/>
    <n v="104.14583333333334"/>
    <n v="4.1658333333333388"/>
    <x v="3"/>
    <n v="1"/>
  </r>
  <r>
    <n v="3974"/>
    <n v="51"/>
    <s v="Female"/>
    <s v="Beauty"/>
    <s v="Perfume"/>
    <n v="98.45"/>
    <s v="Winter"/>
    <s v="Cash on Delivery"/>
    <n v="4"/>
    <x v="3"/>
    <n v="5"/>
    <n v="123.0625"/>
    <n v="24.612499999999997"/>
    <x v="4"/>
    <n v="1"/>
  </r>
  <r>
    <n v="3975"/>
    <n v="52"/>
    <s v="Male"/>
    <s v="Footwear"/>
    <s v="Formal Shoes"/>
    <n v="152.72"/>
    <s v="Autumn"/>
    <s v="Card"/>
    <n v="3.6"/>
    <x v="12"/>
    <n v="7"/>
    <n v="188.54320987654319"/>
    <n v="35.823209876543189"/>
    <x v="4"/>
    <n v="1"/>
  </r>
  <r>
    <n v="3976"/>
    <n v="36"/>
    <s v="Male"/>
    <s v="Footwear"/>
    <s v="Sandals"/>
    <n v="149.22999999999999"/>
    <s v="Winter"/>
    <s v="Card"/>
    <n v="4.2"/>
    <x v="1"/>
    <n v="4"/>
    <n v="171.5287356321839"/>
    <n v="22.298735632183906"/>
    <x v="1"/>
    <n v="1"/>
  </r>
  <r>
    <n v="3977"/>
    <n v="57"/>
    <s v="Female"/>
    <s v="Footwear"/>
    <s v="Formal Shoes"/>
    <n v="222.63"/>
    <s v="Autumn"/>
    <s v="Card"/>
    <n v="3.9"/>
    <x v="4"/>
    <n v="2"/>
    <n v="258.87209302325579"/>
    <n v="36.242093023255791"/>
    <x v="0"/>
    <n v="1"/>
  </r>
  <r>
    <n v="3978"/>
    <n v="60"/>
    <s v="Female"/>
    <s v="Footwear"/>
    <s v="Sneakers"/>
    <n v="180.72"/>
    <s v="Summer"/>
    <s v="Card"/>
    <n v="3.7"/>
    <x v="17"/>
    <n v="2"/>
    <n v="188.25"/>
    <n v="7.5300000000000011"/>
    <x v="0"/>
    <n v="1"/>
  </r>
  <r>
    <n v="3979"/>
    <n v="61"/>
    <s v="Male"/>
    <s v="Footwear"/>
    <s v="Sandals"/>
    <n v="223.63"/>
    <s v="Spring"/>
    <s v="Card"/>
    <n v="2.4"/>
    <x v="7"/>
    <n v="5"/>
    <n v="248.47777777777776"/>
    <n v="24.847777777777765"/>
    <x v="0"/>
    <n v="1"/>
  </r>
  <r>
    <n v="3980"/>
    <n v="43"/>
    <s v="Male"/>
    <s v="Electronics"/>
    <s v="Mobile Phone"/>
    <n v="2843.54"/>
    <s v="Autumn"/>
    <s v="Card"/>
    <n v="4.7"/>
    <x v="8"/>
    <n v="6"/>
    <n v="3231.2954545454545"/>
    <n v="387.75545454545454"/>
    <x v="1"/>
    <n v="1"/>
  </r>
  <r>
    <n v="3981"/>
    <n v="21"/>
    <s v="Male"/>
    <s v="Sports"/>
    <s v="Football"/>
    <n v="84.88"/>
    <s v="Autumn"/>
    <s v="Cash on Delivery"/>
    <n v="3.5"/>
    <x v="8"/>
    <n v="6"/>
    <n v="96.454545454545453"/>
    <n v="11.574545454545458"/>
    <x v="3"/>
    <n v="1"/>
  </r>
  <r>
    <n v="3982"/>
    <n v="31"/>
    <s v="Male"/>
    <s v="Electronics"/>
    <s v="Mobile Phone"/>
    <n v="2371.4899999999998"/>
    <s v="Winter"/>
    <s v="Card"/>
    <n v="4.5"/>
    <x v="5"/>
    <n v="4"/>
    <n v="2577.70652173913"/>
    <n v="206.21652173913026"/>
    <x v="5"/>
    <n v="1"/>
  </r>
  <r>
    <n v="3983"/>
    <n v="62"/>
    <s v="Male"/>
    <s v="Sports"/>
    <s v="Dumbbells"/>
    <n v="150.02000000000001"/>
    <s v="Autumn"/>
    <s v="Card"/>
    <n v="3.8"/>
    <x v="3"/>
    <n v="10"/>
    <n v="187.52500000000001"/>
    <n v="37.504999999999995"/>
    <x v="0"/>
    <n v="1"/>
  </r>
  <r>
    <n v="3984"/>
    <n v="63"/>
    <s v="Male"/>
    <s v="Mens Clothing"/>
    <s v="Jeans"/>
    <n v="136.77000000000001"/>
    <s v="Winter"/>
    <s v="Card"/>
    <n v="4.5"/>
    <x v="4"/>
    <n v="2"/>
    <n v="159.03488372093025"/>
    <n v="22.264883720930243"/>
    <x v="0"/>
    <n v="1"/>
  </r>
  <r>
    <n v="3985"/>
    <n v="66"/>
    <s v="Male"/>
    <s v="Electronics"/>
    <s v="Smart Watch"/>
    <n v="2709.03"/>
    <s v="Summer"/>
    <s v="Card"/>
    <n v="2"/>
    <x v="3"/>
    <n v="10"/>
    <n v="3386.2874999999999"/>
    <n v="677.25749999999971"/>
    <x v="2"/>
    <n v="1"/>
  </r>
  <r>
    <n v="3986"/>
    <n v="31"/>
    <s v="Female"/>
    <s v="Womens Clothing"/>
    <s v="Skirt"/>
    <n v="147.94999999999999"/>
    <s v="Spring"/>
    <s v="Card"/>
    <n v="3.5"/>
    <x v="14"/>
    <n v="6"/>
    <n v="178.25301204819277"/>
    <n v="30.303012048192784"/>
    <x v="5"/>
    <n v="1"/>
  </r>
  <r>
    <n v="3987"/>
    <n v="42"/>
    <s v="Male"/>
    <s v="Sports"/>
    <s v="Football"/>
    <n v="114.5"/>
    <s v="Spring"/>
    <s v="Card"/>
    <n v="2.8"/>
    <x v="4"/>
    <n v="2"/>
    <n v="133.13953488372093"/>
    <n v="18.639534883720927"/>
    <x v="1"/>
    <n v="1"/>
  </r>
  <r>
    <n v="3988"/>
    <n v="34"/>
    <s v="Male"/>
    <s v="Sports"/>
    <s v="Dumbbells"/>
    <n v="238.61"/>
    <s v="Summer"/>
    <s v="Card"/>
    <n v="3.9"/>
    <x v="2"/>
    <n v="3"/>
    <n v="268.10112359550561"/>
    <n v="29.491123595505599"/>
    <x v="5"/>
    <n v="1"/>
  </r>
  <r>
    <n v="3989"/>
    <n v="61"/>
    <s v="Male"/>
    <s v="Electronics"/>
    <s v="Mobile Phone"/>
    <n v="2513.3200000000002"/>
    <s v="Winter"/>
    <s v="Card"/>
    <n v="3.6"/>
    <x v="16"/>
    <n v="3"/>
    <n v="2673.744680851064"/>
    <n v="160.42468085106384"/>
    <x v="0"/>
    <n v="1"/>
  </r>
  <r>
    <n v="3990"/>
    <n v="47"/>
    <s v="Male"/>
    <s v="Sports"/>
    <s v="Yoga Mat"/>
    <n v="221.85"/>
    <s v="Spring"/>
    <s v="Card"/>
    <n v="4.4000000000000004"/>
    <x v="6"/>
    <n v="3"/>
    <n v="264.10714285714283"/>
    <n v="42.257142857142838"/>
    <x v="4"/>
    <n v="1"/>
  </r>
  <r>
    <n v="3991"/>
    <n v="39"/>
    <s v="Male"/>
    <s v="Footwear"/>
    <s v="Sneakers"/>
    <n v="217.91"/>
    <s v="Spring"/>
    <s v="Card"/>
    <n v="3"/>
    <x v="3"/>
    <n v="5"/>
    <n v="272.38749999999999"/>
    <n v="54.477499999999992"/>
    <x v="1"/>
    <n v="1"/>
  </r>
  <r>
    <n v="3992"/>
    <n v="29"/>
    <s v="Male"/>
    <s v="Footwear"/>
    <s v="Sneakers"/>
    <n v="88.9"/>
    <s v="Summer"/>
    <s v="Cash on Delivery"/>
    <n v="2.8"/>
    <x v="19"/>
    <n v="5"/>
    <n v="104.58823529411765"/>
    <n v="15.688235294117646"/>
    <x v="5"/>
    <n v="1"/>
  </r>
  <r>
    <n v="3993"/>
    <n v="49"/>
    <s v="Female"/>
    <s v="Home"/>
    <s v="Curtains"/>
    <n v="248.98"/>
    <s v="Spring"/>
    <s v="Card"/>
    <n v="3.8"/>
    <x v="22"/>
    <n v="9"/>
    <n v="323.35064935064935"/>
    <n v="74.370649350649359"/>
    <x v="4"/>
    <n v="1"/>
  </r>
  <r>
    <n v="3994"/>
    <n v="28"/>
    <s v="Female"/>
    <s v="Home"/>
    <s v="Curtains"/>
    <n v="225.31"/>
    <s v="Winter"/>
    <s v="Card"/>
    <n v="3.9"/>
    <x v="7"/>
    <n v="5"/>
    <n v="250.34444444444443"/>
    <n v="25.034444444444432"/>
    <x v="5"/>
    <n v="1"/>
  </r>
  <r>
    <n v="3995"/>
    <n v="23"/>
    <s v="Female"/>
    <s v="Accessories"/>
    <s v="Handbag"/>
    <n v="163.88"/>
    <s v="Spring"/>
    <s v="Card"/>
    <n v="4.7"/>
    <x v="8"/>
    <n v="6"/>
    <n v="186.22727272727272"/>
    <n v="22.347272727272724"/>
    <x v="3"/>
    <n v="1"/>
  </r>
  <r>
    <n v="3996"/>
    <n v="28"/>
    <s v="Female"/>
    <s v="Accessories"/>
    <s v="Handbag"/>
    <n v="139.87"/>
    <s v="Summer"/>
    <s v="Card"/>
    <n v="4.8"/>
    <x v="19"/>
    <n v="5"/>
    <n v="164.5529411764706"/>
    <n v="24.682941176470592"/>
    <x v="5"/>
    <n v="1"/>
  </r>
  <r>
    <n v="3997"/>
    <n v="67"/>
    <s v="Female"/>
    <s v="Accessories"/>
    <s v="Handbag"/>
    <n v="133.21"/>
    <s v="Summer"/>
    <s v="Card"/>
    <n v="4.5999999999999996"/>
    <x v="8"/>
    <n v="6"/>
    <n v="151.375"/>
    <n v="18.164999999999992"/>
    <x v="2"/>
    <n v="1"/>
  </r>
  <r>
    <n v="3998"/>
    <n v="63"/>
    <s v="Female"/>
    <s v="Accessories"/>
    <s v="Handbag"/>
    <n v="138.94"/>
    <s v="Summer"/>
    <s v="Card"/>
    <n v="3.8"/>
    <x v="0"/>
    <n v="9"/>
    <n v="169.43902439024387"/>
    <n v="30.499024390243875"/>
    <x v="0"/>
    <n v="1"/>
  </r>
  <r>
    <n v="3999"/>
    <n v="38"/>
    <s v="Female"/>
    <s v="Sports"/>
    <s v="Dumbbells"/>
    <n v="52.35"/>
    <s v="Spring"/>
    <s v="Card"/>
    <n v="4.0999999999999996"/>
    <x v="21"/>
    <n v="8"/>
    <n v="66.265822784810126"/>
    <n v="13.915822784810125"/>
    <x v="1"/>
    <n v="1"/>
  </r>
  <r>
    <n v="4000"/>
    <n v="41"/>
    <s v="Male"/>
    <s v="Mens Clothing"/>
    <s v="Jeans"/>
    <n v="36.25"/>
    <s v="Autumn"/>
    <s v="Cash on Delivery"/>
    <n v="4.5999999999999996"/>
    <x v="0"/>
    <n v="4"/>
    <n v="44.207317073170728"/>
    <n v="7.9573170731707279"/>
    <x v="1"/>
    <n v="1"/>
  </r>
  <r>
    <n v="4001"/>
    <n v="50"/>
    <s v="Male"/>
    <s v="Mens Clothing"/>
    <s v="T-Shirt"/>
    <n v="96.94"/>
    <s v="Summer"/>
    <s v="Cash on Delivery"/>
    <n v="3.6"/>
    <x v="16"/>
    <n v="3"/>
    <n v="103.12765957446808"/>
    <n v="6.1876595744680856"/>
    <x v="4"/>
    <n v="1"/>
  </r>
  <r>
    <n v="4002"/>
    <n v="65"/>
    <s v="Female"/>
    <s v="Womens Clothing"/>
    <s v="Jeans"/>
    <n v="170.25"/>
    <s v="Autumn"/>
    <s v="Card"/>
    <n v="4.7"/>
    <x v="11"/>
    <n v="8"/>
    <n v="230.06756756756758"/>
    <n v="59.817567567567579"/>
    <x v="0"/>
    <n v="1"/>
  </r>
  <r>
    <n v="4003"/>
    <n v="49"/>
    <s v="Male"/>
    <s v="Sports"/>
    <s v="Dumbbells"/>
    <n v="190.85"/>
    <s v="Spring"/>
    <s v="Card"/>
    <n v="4"/>
    <x v="4"/>
    <n v="7"/>
    <n v="221.91860465116278"/>
    <n v="31.068604651162786"/>
    <x v="4"/>
    <n v="1"/>
  </r>
  <r>
    <n v="4004"/>
    <n v="41"/>
    <s v="Male"/>
    <s v="Mens Clothing"/>
    <s v="Shirt"/>
    <n v="106.08"/>
    <s v="Autumn"/>
    <s v="Card"/>
    <n v="4.0999999999999996"/>
    <x v="13"/>
    <n v="2"/>
    <n v="116.57142857142857"/>
    <n v="10.491428571428571"/>
    <x v="1"/>
    <n v="1"/>
  </r>
  <r>
    <n v="4005"/>
    <n v="24"/>
    <s v="Female"/>
    <s v="Beauty"/>
    <s v="Makeup Set"/>
    <n v="124.83"/>
    <s v="Winter"/>
    <s v="Card"/>
    <n v="2.6"/>
    <x v="8"/>
    <n v="1"/>
    <n v="141.85227272727272"/>
    <n v="17.022272727272721"/>
    <x v="3"/>
    <n v="1"/>
  </r>
  <r>
    <n v="4006"/>
    <n v="27"/>
    <s v="Female"/>
    <s v="Beauty"/>
    <s v="Skincare Kit"/>
    <n v="140.07"/>
    <s v="Summer"/>
    <s v="Card"/>
    <n v="3.2"/>
    <x v="2"/>
    <n v="3"/>
    <n v="157.38202247191009"/>
    <n v="17.312022471910097"/>
    <x v="5"/>
    <n v="1"/>
  </r>
  <r>
    <n v="4007"/>
    <n v="50"/>
    <s v="Female"/>
    <s v="Groceries"/>
    <s v="Snacks"/>
    <n v="72.930000000000007"/>
    <s v="Winter"/>
    <s v="Cash on Delivery"/>
    <n v="3.8"/>
    <x v="7"/>
    <n v="5"/>
    <n v="81.033333333333346"/>
    <n v="8.1033333333333388"/>
    <x v="4"/>
    <n v="1"/>
  </r>
  <r>
    <n v="4008"/>
    <n v="36"/>
    <s v="Female"/>
    <s v="Beauty"/>
    <s v="Makeup Set"/>
    <n v="122.19"/>
    <s v="Winter"/>
    <s v="Card"/>
    <n v="3.8"/>
    <x v="8"/>
    <n v="6"/>
    <n v="138.85227272727272"/>
    <n v="16.662272727272722"/>
    <x v="1"/>
    <n v="1"/>
  </r>
  <r>
    <n v="4009"/>
    <n v="52"/>
    <s v="Male"/>
    <s v="Electronics"/>
    <s v="Smart Watch"/>
    <n v="1169.3900000000001"/>
    <s v="Summer"/>
    <s v="Card"/>
    <n v="3"/>
    <x v="3"/>
    <n v="10"/>
    <n v="1461.7375"/>
    <n v="292.34749999999985"/>
    <x v="4"/>
    <n v="1"/>
  </r>
  <r>
    <n v="4010"/>
    <n v="66"/>
    <s v="Female"/>
    <s v="Sports"/>
    <s v="Football"/>
    <n v="195.24"/>
    <s v="Winter"/>
    <s v="Card"/>
    <n v="5"/>
    <x v="0"/>
    <n v="4"/>
    <n v="238.09756097560975"/>
    <n v="42.857560975609744"/>
    <x v="2"/>
    <n v="1"/>
  </r>
  <r>
    <n v="4011"/>
    <n v="70"/>
    <s v="Female"/>
    <s v="Womens Clothing"/>
    <s v="Skirt"/>
    <n v="199.98"/>
    <s v="Spring"/>
    <s v="Card"/>
    <n v="4"/>
    <x v="1"/>
    <n v="4"/>
    <n v="229.86206896551724"/>
    <n v="29.882068965517249"/>
    <x v="2"/>
    <n v="1"/>
  </r>
  <r>
    <n v="4012"/>
    <n v="44"/>
    <s v="Female"/>
    <s v="Womens Clothing"/>
    <s v="Skirt"/>
    <n v="81.96"/>
    <s v="Autumn"/>
    <s v="Cash on Delivery"/>
    <n v="2.7"/>
    <x v="7"/>
    <n v="5"/>
    <n v="91.066666666666663"/>
    <n v="9.1066666666666691"/>
    <x v="1"/>
    <n v="1"/>
  </r>
  <r>
    <n v="4013"/>
    <n v="64"/>
    <s v="Female"/>
    <s v="Womens Clothing"/>
    <s v="Top"/>
    <n v="168.24"/>
    <s v="Winter"/>
    <s v="Card"/>
    <n v="3.1"/>
    <x v="17"/>
    <n v="2"/>
    <n v="175.25000000000003"/>
    <n v="7.0100000000000193"/>
    <x v="0"/>
    <n v="1"/>
  </r>
  <r>
    <n v="4014"/>
    <n v="37"/>
    <s v="Female"/>
    <s v="Beauty"/>
    <s v="Perfume"/>
    <n v="38"/>
    <s v="Autumn"/>
    <s v="Card"/>
    <n v="4"/>
    <x v="6"/>
    <n v="8"/>
    <n v="45.238095238095241"/>
    <n v="7.2380952380952408"/>
    <x v="1"/>
    <n v="1"/>
  </r>
  <r>
    <n v="4015"/>
    <n v="36"/>
    <s v="Male"/>
    <s v="Sports"/>
    <s v="Football"/>
    <n v="37.32"/>
    <s v="Winter"/>
    <s v="Card"/>
    <n v="5"/>
    <x v="22"/>
    <n v="9"/>
    <n v="48.467532467532465"/>
    <n v="11.147532467532464"/>
    <x v="1"/>
    <n v="1"/>
  </r>
  <r>
    <n v="4016"/>
    <n v="58"/>
    <s v="Female"/>
    <s v="Accessories"/>
    <s v="Wallet"/>
    <n v="152.99"/>
    <s v="Summer"/>
    <s v="Card"/>
    <n v="3.2"/>
    <x v="14"/>
    <n v="6"/>
    <n v="184.32530120481928"/>
    <n v="31.335301204819274"/>
    <x v="0"/>
    <n v="1"/>
  </r>
  <r>
    <n v="4017"/>
    <n v="65"/>
    <s v="Female"/>
    <s v="Accessories"/>
    <s v="Wallet"/>
    <n v="88.31"/>
    <s v="Autumn"/>
    <s v="Card"/>
    <n v="3.8"/>
    <x v="0"/>
    <n v="4"/>
    <n v="107.69512195121951"/>
    <n v="19.385121951219503"/>
    <x v="0"/>
    <n v="1"/>
  </r>
  <r>
    <n v="4018"/>
    <n v="35"/>
    <s v="Male"/>
    <s v="Mens Clothing"/>
    <s v="Shirt"/>
    <n v="49.5"/>
    <s v="Spring"/>
    <s v="Cash on Delivery"/>
    <n v="4.5999999999999996"/>
    <x v="0"/>
    <n v="4"/>
    <n v="60.365853658536579"/>
    <n v="10.865853658536579"/>
    <x v="5"/>
    <n v="1"/>
  </r>
  <r>
    <n v="4019"/>
    <n v="41"/>
    <s v="Male"/>
    <s v="Sports"/>
    <s v="Football"/>
    <n v="201"/>
    <s v="Summer"/>
    <s v="Card"/>
    <n v="4.5999999999999996"/>
    <x v="17"/>
    <n v="2"/>
    <n v="209.375"/>
    <n v="8.375"/>
    <x v="1"/>
    <n v="1"/>
  </r>
  <r>
    <n v="4020"/>
    <n v="52"/>
    <s v="Female"/>
    <s v="Accessories"/>
    <s v="Wallet"/>
    <n v="85.67"/>
    <s v="Summer"/>
    <s v="Cash on Delivery"/>
    <n v="2.7"/>
    <x v="5"/>
    <n v="4"/>
    <n v="93.119565217391298"/>
    <n v="7.4495652173912958"/>
    <x v="4"/>
    <n v="1"/>
  </r>
  <r>
    <n v="4021"/>
    <n v="41"/>
    <s v="Male"/>
    <s v="Groceries"/>
    <s v="Snacks"/>
    <n v="35.58"/>
    <s v="Winter"/>
    <s v="Card"/>
    <n v="4.4000000000000004"/>
    <x v="18"/>
    <n v="7"/>
    <n v="46.815789473684205"/>
    <n v="11.235789473684207"/>
    <x v="1"/>
    <n v="1"/>
  </r>
  <r>
    <n v="4022"/>
    <n v="28"/>
    <s v="Female"/>
    <s v="Beauty"/>
    <s v="Skincare Kit"/>
    <n v="132.91"/>
    <s v="Spring"/>
    <s v="Card"/>
    <n v="3.4"/>
    <x v="7"/>
    <n v="5"/>
    <n v="147.67777777777778"/>
    <n v="14.767777777777781"/>
    <x v="5"/>
    <n v="1"/>
  </r>
  <r>
    <n v="4023"/>
    <n v="54"/>
    <s v="Female"/>
    <s v="Womens Clothing"/>
    <s v="Jeans"/>
    <n v="41.9"/>
    <s v="Spring"/>
    <s v="Cash on Delivery"/>
    <n v="3.3"/>
    <x v="4"/>
    <n v="2"/>
    <n v="48.720930232558139"/>
    <n v="6.8209302325581405"/>
    <x v="4"/>
    <n v="1"/>
  </r>
  <r>
    <n v="4024"/>
    <n v="62"/>
    <s v="Male"/>
    <s v="Footwear"/>
    <s v="Formal Shoes"/>
    <n v="237.74"/>
    <s v="Spring"/>
    <s v="Card"/>
    <n v="3.1"/>
    <x v="6"/>
    <n v="8"/>
    <n v="283.02380952380952"/>
    <n v="45.283809523809509"/>
    <x v="0"/>
    <n v="1"/>
  </r>
  <r>
    <n v="4025"/>
    <n v="66"/>
    <s v="Female"/>
    <s v="Beauty"/>
    <s v="Skincare Kit"/>
    <n v="66.59"/>
    <s v="Autumn"/>
    <s v="Card"/>
    <n v="3.4"/>
    <x v="10"/>
    <n v="6"/>
    <n v="85.371794871794876"/>
    <n v="18.781794871794872"/>
    <x v="2"/>
    <n v="1"/>
  </r>
  <r>
    <n v="4026"/>
    <n v="35"/>
    <s v="Female"/>
    <s v="Sports"/>
    <s v="Dumbbells"/>
    <n v="127.31"/>
    <s v="Autumn"/>
    <s v="Card"/>
    <n v="3.1"/>
    <x v="14"/>
    <n v="6"/>
    <n v="153.3855421686747"/>
    <n v="26.075542168674701"/>
    <x v="5"/>
    <n v="1"/>
  </r>
  <r>
    <n v="4027"/>
    <n v="59"/>
    <s v="Female"/>
    <s v="Home"/>
    <s v="Curtains"/>
    <n v="123.5"/>
    <s v="Summer"/>
    <s v="Card"/>
    <n v="3.3"/>
    <x v="10"/>
    <n v="11"/>
    <n v="158.33333333333331"/>
    <n v="34.833333333333314"/>
    <x v="0"/>
    <n v="1"/>
  </r>
  <r>
    <n v="4028"/>
    <n v="65"/>
    <s v="Female"/>
    <s v="Footwear"/>
    <s v="Sandals"/>
    <n v="187.64"/>
    <s v="Summer"/>
    <s v="Card"/>
    <n v="4.0999999999999996"/>
    <x v="11"/>
    <n v="8"/>
    <n v="253.56756756756755"/>
    <n v="65.927567567567564"/>
    <x v="0"/>
    <n v="1"/>
  </r>
  <r>
    <n v="4029"/>
    <n v="33"/>
    <s v="Male"/>
    <s v="Footwear"/>
    <s v="Sneakers"/>
    <n v="156.02000000000001"/>
    <s v="Spring"/>
    <s v="Card"/>
    <n v="4.5999999999999996"/>
    <x v="1"/>
    <n v="4"/>
    <n v="179.33333333333334"/>
    <n v="23.313333333333333"/>
    <x v="5"/>
    <n v="1"/>
  </r>
  <r>
    <n v="4030"/>
    <n v="37"/>
    <s v="Female"/>
    <s v="Beauty"/>
    <s v="Perfume"/>
    <n v="21.66"/>
    <s v="Winter"/>
    <s v="Card"/>
    <n v="2.9"/>
    <x v="7"/>
    <n v="5"/>
    <n v="24.066666666666666"/>
    <n v="2.4066666666666663"/>
    <x v="1"/>
    <n v="1"/>
  </r>
  <r>
    <n v="4031"/>
    <n v="66"/>
    <s v="Female"/>
    <s v="Accessories"/>
    <s v="Sunglasses"/>
    <n v="155.30000000000001"/>
    <s v="Autumn"/>
    <s v="Card"/>
    <n v="2.8"/>
    <x v="7"/>
    <n v="5"/>
    <n v="172.55555555555557"/>
    <n v="17.25555555555556"/>
    <x v="2"/>
    <n v="1"/>
  </r>
  <r>
    <n v="4032"/>
    <n v="62"/>
    <s v="Female"/>
    <s v="Footwear"/>
    <s v="Sneakers"/>
    <n v="112.89"/>
    <s v="Spring"/>
    <s v="Card"/>
    <n v="3.8"/>
    <x v="3"/>
    <n v="10"/>
    <n v="141.11249999999998"/>
    <n v="28.222499999999982"/>
    <x v="0"/>
    <n v="1"/>
  </r>
  <r>
    <n v="4033"/>
    <n v="22"/>
    <s v="Female"/>
    <s v="Accessories"/>
    <s v="Handbag"/>
    <n v="66.64"/>
    <s v="Winter"/>
    <s v="Cash on Delivery"/>
    <n v="3"/>
    <x v="19"/>
    <n v="5"/>
    <n v="78.400000000000006"/>
    <n v="11.760000000000005"/>
    <x v="3"/>
    <n v="1"/>
  </r>
  <r>
    <n v="4034"/>
    <n v="29"/>
    <s v="Male"/>
    <s v="Footwear"/>
    <s v="Sandals"/>
    <n v="139.43"/>
    <s v="Spring"/>
    <s v="Card"/>
    <n v="3.3"/>
    <x v="1"/>
    <n v="4"/>
    <n v="160.26436781609198"/>
    <n v="20.834367816091969"/>
    <x v="5"/>
    <n v="1"/>
  </r>
  <r>
    <n v="4035"/>
    <n v="52"/>
    <s v="Female"/>
    <s v="Beauty"/>
    <s v="Skincare Kit"/>
    <n v="106.44"/>
    <s v="Summer"/>
    <s v="Card"/>
    <n v="4.5"/>
    <x v="0"/>
    <n v="4"/>
    <n v="129.80487804878047"/>
    <n v="23.364878048780469"/>
    <x v="4"/>
    <n v="1"/>
  </r>
  <r>
    <n v="4036"/>
    <n v="47"/>
    <s v="Female"/>
    <s v="Womens Clothing"/>
    <s v="Top"/>
    <n v="79.709999999999994"/>
    <s v="Autumn"/>
    <s v="Cash on Delivery"/>
    <n v="3.3"/>
    <x v="16"/>
    <n v="3"/>
    <n v="84.797872340425528"/>
    <n v="5.0878723404255339"/>
    <x v="4"/>
    <n v="1"/>
  </r>
  <r>
    <n v="4037"/>
    <n v="67"/>
    <s v="Male"/>
    <s v="Mens Clothing"/>
    <s v="T-Shirt"/>
    <n v="188.64"/>
    <s v="Winter"/>
    <s v="Card"/>
    <n v="4.5"/>
    <x v="3"/>
    <n v="5"/>
    <n v="235.79999999999998"/>
    <n v="47.16"/>
    <x v="2"/>
    <n v="1"/>
  </r>
  <r>
    <n v="4038"/>
    <n v="34"/>
    <s v="Male"/>
    <s v="Home"/>
    <s v="Kitchen Set"/>
    <n v="136.71"/>
    <s v="Winter"/>
    <s v="Card"/>
    <n v="4"/>
    <x v="4"/>
    <n v="7"/>
    <n v="158.96511627906978"/>
    <n v="22.255116279069767"/>
    <x v="5"/>
    <n v="1"/>
  </r>
  <r>
    <n v="4039"/>
    <n v="42"/>
    <s v="Female"/>
    <s v="Footwear"/>
    <s v="Formal Shoes"/>
    <n v="211.73"/>
    <s v="Winter"/>
    <s v="Card"/>
    <n v="4.5999999999999996"/>
    <x v="14"/>
    <n v="6"/>
    <n v="255.09638554216866"/>
    <n v="43.366385542168672"/>
    <x v="1"/>
    <n v="1"/>
  </r>
  <r>
    <n v="4040"/>
    <n v="51"/>
    <s v="Female"/>
    <s v="Beauty"/>
    <s v="Skincare Kit"/>
    <n v="86.9"/>
    <s v="Summer"/>
    <s v="Card"/>
    <n v="4"/>
    <x v="6"/>
    <n v="8"/>
    <n v="103.45238095238096"/>
    <n v="16.552380952380958"/>
    <x v="4"/>
    <n v="1"/>
  </r>
  <r>
    <n v="4041"/>
    <n v="51"/>
    <s v="Female"/>
    <s v="Footwear"/>
    <s v="Sneakers"/>
    <n v="80.319999999999993"/>
    <s v="Summer"/>
    <s v="Cash on Delivery"/>
    <n v="4"/>
    <x v="27"/>
    <n v="10"/>
    <n v="107.09333333333332"/>
    <n v="26.773333333333326"/>
    <x v="4"/>
    <n v="1"/>
  </r>
  <r>
    <n v="4042"/>
    <n v="50"/>
    <s v="Female"/>
    <s v="Womens Clothing"/>
    <s v="Dress"/>
    <n v="110.41"/>
    <s v="Winter"/>
    <s v="Card"/>
    <n v="3"/>
    <x v="14"/>
    <n v="6"/>
    <n v="133.02409638554218"/>
    <n v="22.614096385542183"/>
    <x v="4"/>
    <n v="1"/>
  </r>
  <r>
    <n v="4043"/>
    <n v="62"/>
    <s v="Female"/>
    <s v="Accessories"/>
    <s v="Wallet"/>
    <n v="173.41"/>
    <s v="Winter"/>
    <s v="Card"/>
    <n v="3.9"/>
    <x v="1"/>
    <n v="4"/>
    <n v="199.32183908045977"/>
    <n v="25.911839080459771"/>
    <x v="0"/>
    <n v="1"/>
  </r>
  <r>
    <n v="4044"/>
    <n v="41"/>
    <s v="Male"/>
    <s v="Footwear"/>
    <s v="Formal Shoes"/>
    <n v="227.74"/>
    <s v="Winter"/>
    <s v="Card"/>
    <n v="3.6"/>
    <x v="5"/>
    <n v="4"/>
    <n v="247.54347826086956"/>
    <n v="19.803478260869554"/>
    <x v="1"/>
    <n v="1"/>
  </r>
  <r>
    <n v="4045"/>
    <n v="59"/>
    <s v="Male"/>
    <s v="Sports"/>
    <s v="Yoga Mat"/>
    <n v="63.64"/>
    <s v="Winter"/>
    <s v="Cash on Delivery"/>
    <n v="3.9"/>
    <x v="10"/>
    <n v="6"/>
    <n v="81.589743589743591"/>
    <n v="17.949743589743591"/>
    <x v="0"/>
    <n v="1"/>
  </r>
  <r>
    <n v="4046"/>
    <n v="39"/>
    <s v="Male"/>
    <s v="Electronics"/>
    <s v="Headphones"/>
    <n v="2936.44"/>
    <s v="Spring"/>
    <s v="Card"/>
    <n v="4.3"/>
    <x v="13"/>
    <n v="2"/>
    <n v="3226.8571428571427"/>
    <n v="290.41714285714261"/>
    <x v="1"/>
    <n v="1"/>
  </r>
  <r>
    <n v="4047"/>
    <n v="48"/>
    <s v="Female"/>
    <s v="Womens Clothing"/>
    <s v="Dress"/>
    <n v="85.77"/>
    <s v="Autumn"/>
    <s v="Cash on Delivery"/>
    <n v="4.2"/>
    <x v="19"/>
    <n v="5"/>
    <n v="100.90588235294118"/>
    <n v="15.135882352941181"/>
    <x v="4"/>
    <n v="1"/>
  </r>
  <r>
    <n v="4048"/>
    <n v="42"/>
    <s v="Female"/>
    <s v="Womens Clothing"/>
    <s v="Jeans"/>
    <n v="149.1"/>
    <s v="Winter"/>
    <s v="Card"/>
    <n v="4.5999999999999996"/>
    <x v="20"/>
    <n v="11"/>
    <n v="219.26470588235296"/>
    <n v="70.164705882352962"/>
    <x v="1"/>
    <n v="1"/>
  </r>
  <r>
    <n v="4049"/>
    <n v="54"/>
    <s v="Male"/>
    <s v="Sports"/>
    <s v="Football"/>
    <n v="231.13"/>
    <s v="Summer"/>
    <s v="Card"/>
    <n v="4.5999999999999996"/>
    <x v="21"/>
    <n v="8"/>
    <n v="292.56962025316454"/>
    <n v="61.439620253164549"/>
    <x v="4"/>
    <n v="1"/>
  </r>
  <r>
    <n v="4050"/>
    <n v="36"/>
    <s v="Male"/>
    <s v="Sports"/>
    <s v="Yoga Mat"/>
    <n v="193.53"/>
    <s v="Autumn"/>
    <s v="Card"/>
    <n v="2.2000000000000002"/>
    <x v="7"/>
    <n v="5"/>
    <n v="215.03333333333333"/>
    <n v="21.50333333333333"/>
    <x v="1"/>
    <n v="1"/>
  </r>
  <r>
    <n v="4051"/>
    <n v="30"/>
    <s v="Male"/>
    <s v="Mens Clothing"/>
    <s v="Jeans"/>
    <n v="47.15"/>
    <s v="Autumn"/>
    <s v="Cash on Delivery"/>
    <n v="4.9000000000000004"/>
    <x v="18"/>
    <n v="7"/>
    <n v="62.03947368421052"/>
    <n v="14.889473684210522"/>
    <x v="5"/>
    <n v="1"/>
  </r>
  <r>
    <n v="4052"/>
    <n v="38"/>
    <s v="Male"/>
    <s v="Electronics"/>
    <s v="Laptop"/>
    <n v="824.08"/>
    <s v="Spring"/>
    <s v="Card"/>
    <n v="4.9000000000000004"/>
    <x v="8"/>
    <n v="6"/>
    <n v="936.4545454545455"/>
    <n v="112.37454545454545"/>
    <x v="1"/>
    <n v="1"/>
  </r>
  <r>
    <n v="4053"/>
    <n v="47"/>
    <s v="Female"/>
    <s v="Womens Clothing"/>
    <s v="Top"/>
    <n v="86.68"/>
    <s v="Autumn"/>
    <s v="Card"/>
    <n v="4.9000000000000004"/>
    <x v="6"/>
    <n v="3"/>
    <n v="103.1904761904762"/>
    <n v="16.510476190476197"/>
    <x v="4"/>
    <n v="1"/>
  </r>
  <r>
    <n v="4054"/>
    <n v="37"/>
    <s v="Male"/>
    <s v="Sports"/>
    <s v="Dumbbells"/>
    <n v="218.43"/>
    <s v="Autumn"/>
    <s v="Card"/>
    <n v="4.0999999999999996"/>
    <x v="3"/>
    <n v="5"/>
    <n v="273.03749999999997"/>
    <n v="54.607499999999959"/>
    <x v="1"/>
    <n v="1"/>
  </r>
  <r>
    <n v="4055"/>
    <n v="68"/>
    <s v="Male"/>
    <s v="Groceries"/>
    <s v="Rice Pack"/>
    <n v="21.72"/>
    <s v="Winter"/>
    <s v="Cash on Delivery"/>
    <n v="3.1"/>
    <x v="0"/>
    <n v="4"/>
    <n v="26.487804878048777"/>
    <n v="4.7678048780487785"/>
    <x v="2"/>
    <n v="1"/>
  </r>
  <r>
    <n v="4056"/>
    <n v="21"/>
    <s v="Female"/>
    <s v="Beauty"/>
    <s v="Perfume"/>
    <n v="23.57"/>
    <s v="Summer"/>
    <s v="Cash on Delivery"/>
    <n v="4.3"/>
    <x v="10"/>
    <n v="6"/>
    <n v="30.217948717948719"/>
    <n v="6.6479487179487187"/>
    <x v="3"/>
    <n v="1"/>
  </r>
  <r>
    <n v="4057"/>
    <n v="70"/>
    <s v="Male"/>
    <s v="Home"/>
    <s v="Curtains"/>
    <n v="177.36"/>
    <s v="Autumn"/>
    <s v="Card"/>
    <n v="3.2"/>
    <x v="10"/>
    <n v="6"/>
    <n v="227.38461538461539"/>
    <n v="50.024615384615373"/>
    <x v="2"/>
    <n v="1"/>
  </r>
  <r>
    <n v="4058"/>
    <n v="49"/>
    <s v="Female"/>
    <s v="Womens Clothing"/>
    <s v="Dress"/>
    <n v="125.76"/>
    <s v="Spring"/>
    <s v="Card"/>
    <n v="3.6"/>
    <x v="6"/>
    <n v="3"/>
    <n v="149.71428571428572"/>
    <n v="23.954285714285717"/>
    <x v="4"/>
    <n v="1"/>
  </r>
  <r>
    <n v="4059"/>
    <n v="70"/>
    <s v="Male"/>
    <s v="Home"/>
    <s v="Curtains"/>
    <n v="118.9"/>
    <s v="Autumn"/>
    <s v="Card"/>
    <n v="4.5"/>
    <x v="5"/>
    <n v="4"/>
    <n v="129.2391304347826"/>
    <n v="10.339130434782589"/>
    <x v="2"/>
    <n v="1"/>
  </r>
  <r>
    <n v="4060"/>
    <n v="60"/>
    <s v="Male"/>
    <s v="Sports"/>
    <s v="Yoga Mat"/>
    <n v="103.3"/>
    <s v="Winter"/>
    <s v="Card"/>
    <n v="3.2"/>
    <x v="11"/>
    <n v="8"/>
    <n v="139.59459459459458"/>
    <n v="36.294594594594585"/>
    <x v="0"/>
    <n v="1"/>
  </r>
  <r>
    <n v="4061"/>
    <n v="22"/>
    <s v="Female"/>
    <s v="Womens Clothing"/>
    <s v="Skirt"/>
    <n v="34.979999999999997"/>
    <s v="Spring"/>
    <s v="Card"/>
    <n v="3.9"/>
    <x v="17"/>
    <n v="2"/>
    <n v="36.4375"/>
    <n v="1.4575000000000031"/>
    <x v="3"/>
    <n v="1"/>
  </r>
  <r>
    <n v="4062"/>
    <n v="44"/>
    <s v="Male"/>
    <s v="Mens Clothing"/>
    <s v="Jacket"/>
    <n v="193.69"/>
    <s v="Summer"/>
    <s v="Card"/>
    <n v="2.8"/>
    <x v="14"/>
    <n v="6"/>
    <n v="233.36144578313255"/>
    <n v="39.671445783132555"/>
    <x v="1"/>
    <n v="1"/>
  </r>
  <r>
    <n v="4063"/>
    <n v="29"/>
    <s v="Male"/>
    <s v="Sports"/>
    <s v="Dumbbells"/>
    <n v="40.36"/>
    <s v="Winter"/>
    <s v="Cash on Delivery"/>
    <n v="3.5"/>
    <x v="23"/>
    <n v="1"/>
    <n v="43.397849462365592"/>
    <n v="3.0378494623655925"/>
    <x v="5"/>
    <n v="1"/>
  </r>
  <r>
    <n v="4064"/>
    <n v="66"/>
    <s v="Male"/>
    <s v="Electronics"/>
    <s v="Mobile Phone"/>
    <n v="1248.04"/>
    <s v="Summer"/>
    <s v="Card"/>
    <n v="3.8"/>
    <x v="3"/>
    <n v="5"/>
    <n v="1560.05"/>
    <n v="312.01"/>
    <x v="2"/>
    <n v="1"/>
  </r>
  <r>
    <n v="4065"/>
    <n v="64"/>
    <s v="Male"/>
    <s v="Sports"/>
    <s v="Dumbbells"/>
    <n v="176.11"/>
    <s v="Autumn"/>
    <s v="Card"/>
    <n v="3.5"/>
    <x v="7"/>
    <n v="5"/>
    <n v="195.67777777777778"/>
    <n v="19.567777777777764"/>
    <x v="0"/>
    <n v="1"/>
  </r>
  <r>
    <n v="4066"/>
    <n v="56"/>
    <s v="Male"/>
    <s v="Sports"/>
    <s v="Football"/>
    <n v="165.49"/>
    <s v="Autumn"/>
    <s v="Card"/>
    <n v="3.8"/>
    <x v="10"/>
    <n v="6"/>
    <n v="212.16666666666666"/>
    <n v="46.676666666666648"/>
    <x v="0"/>
    <n v="1"/>
  </r>
  <r>
    <n v="4067"/>
    <n v="65"/>
    <s v="Male"/>
    <s v="Sports"/>
    <s v="Yoga Mat"/>
    <n v="147.71"/>
    <s v="Autumn"/>
    <s v="Card"/>
    <n v="3.4"/>
    <x v="1"/>
    <n v="4"/>
    <n v="169.7816091954023"/>
    <n v="22.071609195402289"/>
    <x v="0"/>
    <n v="1"/>
  </r>
  <r>
    <n v="4068"/>
    <n v="26"/>
    <s v="Female"/>
    <s v="Footwear"/>
    <s v="Sandals"/>
    <n v="167.62"/>
    <s v="Summer"/>
    <s v="Card"/>
    <n v="3.4"/>
    <x v="25"/>
    <n v="10"/>
    <n v="239.45714285714288"/>
    <n v="71.837142857142879"/>
    <x v="5"/>
    <n v="1"/>
  </r>
  <r>
    <n v="4069"/>
    <n v="53"/>
    <s v="Male"/>
    <s v="Home"/>
    <s v="Kitchen Set"/>
    <n v="103.21"/>
    <s v="Winter"/>
    <s v="Card"/>
    <n v="3.3"/>
    <x v="2"/>
    <n v="3"/>
    <n v="115.96629213483145"/>
    <n v="12.756292134831455"/>
    <x v="4"/>
    <n v="1"/>
  </r>
  <r>
    <n v="4070"/>
    <n v="70"/>
    <s v="Male"/>
    <s v="Footwear"/>
    <s v="Sneakers"/>
    <n v="56.28"/>
    <s v="Summer"/>
    <s v="Card"/>
    <n v="2.9"/>
    <x v="7"/>
    <n v="5"/>
    <n v="62.533333333333331"/>
    <n v="6.2533333333333303"/>
    <x v="2"/>
    <n v="1"/>
  </r>
  <r>
    <n v="4071"/>
    <n v="48"/>
    <s v="Male"/>
    <s v="Sports"/>
    <s v="Yoga Mat"/>
    <n v="136.24"/>
    <s v="Summer"/>
    <s v="Card"/>
    <n v="3.3"/>
    <x v="4"/>
    <n v="7"/>
    <n v="158.41860465116281"/>
    <n v="22.1786046511628"/>
    <x v="4"/>
    <n v="1"/>
  </r>
  <r>
    <n v="4072"/>
    <n v="53"/>
    <s v="Female"/>
    <s v="Beauty"/>
    <s v="Skincare Kit"/>
    <n v="125.77"/>
    <s v="Spring"/>
    <s v="Card"/>
    <n v="3.4"/>
    <x v="7"/>
    <n v="5"/>
    <n v="139.74444444444444"/>
    <n v="13.974444444444444"/>
    <x v="4"/>
    <n v="1"/>
  </r>
  <r>
    <n v="4073"/>
    <n v="26"/>
    <s v="Female"/>
    <s v="Accessories"/>
    <s v="Sunglasses"/>
    <n v="62.53"/>
    <s v="Summer"/>
    <s v="Cash on Delivery"/>
    <n v="3.8"/>
    <x v="6"/>
    <n v="8"/>
    <n v="74.44047619047619"/>
    <n v="11.910476190476189"/>
    <x v="5"/>
    <n v="1"/>
  </r>
  <r>
    <n v="4074"/>
    <n v="28"/>
    <s v="Female"/>
    <s v="Footwear"/>
    <s v="Sneakers"/>
    <n v="205.3"/>
    <s v="Autumn"/>
    <s v="Card"/>
    <n v="4.8"/>
    <x v="7"/>
    <n v="5"/>
    <n v="228.11111111111111"/>
    <n v="22.811111111111103"/>
    <x v="5"/>
    <n v="1"/>
  </r>
  <r>
    <n v="4075"/>
    <n v="39"/>
    <s v="Female"/>
    <s v="Beauty"/>
    <s v="Makeup Set"/>
    <n v="99.04"/>
    <s v="Autumn"/>
    <s v="Card"/>
    <n v="4.5"/>
    <x v="11"/>
    <n v="8"/>
    <n v="133.83783783783784"/>
    <n v="34.797837837837832"/>
    <x v="1"/>
    <n v="1"/>
  </r>
  <r>
    <n v="4076"/>
    <n v="33"/>
    <s v="Male"/>
    <s v="Sports"/>
    <s v="Yoga Mat"/>
    <n v="123.12"/>
    <s v="Winter"/>
    <s v="Card"/>
    <n v="4"/>
    <x v="0"/>
    <n v="9"/>
    <n v="150.14634146341461"/>
    <n v="27.02634146341461"/>
    <x v="5"/>
    <n v="1"/>
  </r>
  <r>
    <n v="4077"/>
    <n v="40"/>
    <s v="Male"/>
    <s v="Electronics"/>
    <s v="Laptop"/>
    <n v="1512.28"/>
    <s v="Spring"/>
    <s v="Card"/>
    <n v="3.8"/>
    <x v="19"/>
    <n v="5"/>
    <n v="1779.1529411764707"/>
    <n v="266.8729411764707"/>
    <x v="1"/>
    <n v="1"/>
  </r>
  <r>
    <n v="4078"/>
    <n v="62"/>
    <s v="Male"/>
    <s v="Mens Clothing"/>
    <s v="T-Shirt"/>
    <n v="71.94"/>
    <s v="Summer"/>
    <s v="Card"/>
    <n v="4.9000000000000004"/>
    <x v="14"/>
    <n v="6"/>
    <n v="86.674698795180731"/>
    <n v="14.734698795180734"/>
    <x v="0"/>
    <n v="1"/>
  </r>
  <r>
    <n v="4079"/>
    <n v="28"/>
    <s v="Male"/>
    <s v="Sports"/>
    <s v="Football"/>
    <n v="153.12"/>
    <s v="Winter"/>
    <s v="Card"/>
    <n v="4.4000000000000004"/>
    <x v="13"/>
    <n v="2"/>
    <n v="168.26373626373626"/>
    <n v="15.143736263736258"/>
    <x v="5"/>
    <n v="1"/>
  </r>
  <r>
    <n v="4080"/>
    <n v="43"/>
    <s v="Female"/>
    <s v="Accessories"/>
    <s v="Sunglasses"/>
    <n v="74.33"/>
    <s v="Autumn"/>
    <s v="Card"/>
    <n v="3.6"/>
    <x v="2"/>
    <n v="3"/>
    <n v="83.516853932584269"/>
    <n v="9.1868539325842704"/>
    <x v="1"/>
    <n v="1"/>
  </r>
  <r>
    <n v="4081"/>
    <n v="22"/>
    <s v="Female"/>
    <s v="Accessories"/>
    <s v="Sunglasses"/>
    <n v="100.98"/>
    <s v="Spring"/>
    <s v="Card"/>
    <n v="4.3"/>
    <x v="1"/>
    <n v="4"/>
    <n v="116.06896551724138"/>
    <n v="15.088965517241377"/>
    <x v="3"/>
    <n v="1"/>
  </r>
  <r>
    <n v="4082"/>
    <n v="51"/>
    <s v="Male"/>
    <s v="Electronics"/>
    <s v="Laptop"/>
    <n v="2199.5100000000002"/>
    <s v="Spring"/>
    <s v="Card"/>
    <n v="3.6"/>
    <x v="19"/>
    <n v="5"/>
    <n v="2587.6588235294121"/>
    <n v="388.14882352941186"/>
    <x v="4"/>
    <n v="1"/>
  </r>
  <r>
    <n v="4083"/>
    <n v="53"/>
    <s v="Male"/>
    <s v="Sports"/>
    <s v="Dumbbells"/>
    <n v="74.23"/>
    <s v="Winter"/>
    <s v="Card"/>
    <n v="2.2000000000000002"/>
    <x v="12"/>
    <n v="7"/>
    <n v="91.641975308641975"/>
    <n v="17.411975308641971"/>
    <x v="4"/>
    <n v="1"/>
  </r>
  <r>
    <n v="4084"/>
    <n v="36"/>
    <s v="Male"/>
    <s v="Electronics"/>
    <s v="Laptop"/>
    <n v="2049.23"/>
    <s v="Spring"/>
    <s v="Card"/>
    <n v="3"/>
    <x v="10"/>
    <n v="6"/>
    <n v="2627.2179487179487"/>
    <n v="577.98794871794871"/>
    <x v="1"/>
    <n v="1"/>
  </r>
  <r>
    <n v="4085"/>
    <n v="68"/>
    <s v="Male"/>
    <s v="Electronics"/>
    <s v="Mobile Phone"/>
    <n v="2813.71"/>
    <s v="Summer"/>
    <s v="Card"/>
    <n v="4.0999999999999996"/>
    <x v="1"/>
    <n v="4"/>
    <n v="3234.1494252873563"/>
    <n v="420.43942528735624"/>
    <x v="2"/>
    <n v="1"/>
  </r>
  <r>
    <n v="4086"/>
    <n v="53"/>
    <s v="Female"/>
    <s v="Womens Clothing"/>
    <s v="Skirt"/>
    <n v="81.17"/>
    <s v="Winter"/>
    <s v="Cash on Delivery"/>
    <n v="5"/>
    <x v="3"/>
    <n v="5"/>
    <n v="101.46249999999999"/>
    <n v="20.29249999999999"/>
    <x v="4"/>
    <n v="1"/>
  </r>
  <r>
    <n v="4087"/>
    <n v="46"/>
    <s v="Male"/>
    <s v="Mens Clothing"/>
    <s v="Jeans"/>
    <n v="30.78"/>
    <s v="Winter"/>
    <s v="Card"/>
    <n v="5"/>
    <x v="8"/>
    <n v="6"/>
    <n v="34.977272727272727"/>
    <n v="4.1972727272727255"/>
    <x v="4"/>
    <n v="1"/>
  </r>
  <r>
    <n v="4088"/>
    <n v="66"/>
    <s v="Male"/>
    <s v="Sports"/>
    <s v="Dumbbells"/>
    <n v="181.35"/>
    <s v="Spring"/>
    <s v="Card"/>
    <n v="4"/>
    <x v="22"/>
    <n v="9"/>
    <n v="235.51948051948051"/>
    <n v="54.169480519480516"/>
    <x v="2"/>
    <n v="1"/>
  </r>
  <r>
    <n v="4089"/>
    <n v="68"/>
    <s v="Male"/>
    <s v="Electronics"/>
    <s v="Laptop"/>
    <n v="2171.9299999999998"/>
    <s v="Spring"/>
    <s v="Card"/>
    <n v="3.8"/>
    <x v="4"/>
    <n v="2"/>
    <n v="2525.5"/>
    <n v="353.57000000000016"/>
    <x v="2"/>
    <n v="1"/>
  </r>
  <r>
    <n v="4090"/>
    <n v="24"/>
    <s v="Female"/>
    <s v="Sports"/>
    <s v="Yoga Mat"/>
    <n v="164.57"/>
    <s v="Spring"/>
    <s v="Card"/>
    <n v="3"/>
    <x v="4"/>
    <n v="7"/>
    <n v="191.36046511627907"/>
    <n v="26.79046511627908"/>
    <x v="3"/>
    <n v="1"/>
  </r>
  <r>
    <n v="4091"/>
    <n v="37"/>
    <s v="Male"/>
    <s v="Groceries"/>
    <s v="Cooking Oil"/>
    <n v="18.23"/>
    <s v="Autumn"/>
    <s v="Card"/>
    <n v="3.5"/>
    <x v="7"/>
    <n v="5"/>
    <n v="20.255555555555556"/>
    <n v="2.025555555555556"/>
    <x v="1"/>
    <n v="1"/>
  </r>
  <r>
    <n v="4092"/>
    <n v="64"/>
    <s v="Female"/>
    <s v="Beauty"/>
    <s v="Skincare Kit"/>
    <n v="73.92"/>
    <s v="Winter"/>
    <s v="Card"/>
    <n v="3.1"/>
    <x v="23"/>
    <n v="1"/>
    <n v="79.483870967741936"/>
    <n v="5.5638709677419342"/>
    <x v="0"/>
    <n v="1"/>
  </r>
  <r>
    <n v="4093"/>
    <n v="43"/>
    <s v="Male"/>
    <s v="Sports"/>
    <s v="Football"/>
    <n v="221.83"/>
    <s v="Autumn"/>
    <s v="Card"/>
    <n v="4.3"/>
    <x v="21"/>
    <n v="8"/>
    <n v="280.79746835443041"/>
    <n v="58.967468354430395"/>
    <x v="1"/>
    <n v="1"/>
  </r>
  <r>
    <n v="4094"/>
    <n v="68"/>
    <s v="Female"/>
    <s v="Beauty"/>
    <s v="Makeup Set"/>
    <n v="100.18"/>
    <s v="Autumn"/>
    <s v="Card"/>
    <n v="3.3"/>
    <x v="0"/>
    <n v="4"/>
    <n v="122.17073170731707"/>
    <n v="21.990731707317067"/>
    <x v="2"/>
    <n v="1"/>
  </r>
  <r>
    <n v="4095"/>
    <n v="41"/>
    <s v="Male"/>
    <s v="Sports"/>
    <s v="Football"/>
    <n v="70.849999999999994"/>
    <s v="Summer"/>
    <s v="Cash on Delivery"/>
    <n v="5"/>
    <x v="0"/>
    <n v="4"/>
    <n v="86.402439024390233"/>
    <n v="15.552439024390239"/>
    <x v="1"/>
    <n v="1"/>
  </r>
  <r>
    <n v="4096"/>
    <n v="26"/>
    <s v="Female"/>
    <s v="Home"/>
    <s v="Curtains"/>
    <n v="209.2"/>
    <s v="Spring"/>
    <s v="Card"/>
    <n v="4.3"/>
    <x v="16"/>
    <n v="3"/>
    <n v="222.55319148936169"/>
    <n v="13.353191489361706"/>
    <x v="5"/>
    <n v="1"/>
  </r>
  <r>
    <n v="4097"/>
    <n v="30"/>
    <s v="Female"/>
    <s v="Womens Clothing"/>
    <s v="Skirt"/>
    <n v="186.87"/>
    <s v="Winter"/>
    <s v="Card"/>
    <n v="2.6"/>
    <x v="17"/>
    <n v="2"/>
    <n v="194.65625"/>
    <n v="7.7862499999999955"/>
    <x v="5"/>
    <n v="1"/>
  </r>
  <r>
    <n v="4098"/>
    <n v="68"/>
    <s v="Female"/>
    <s v="Accessories"/>
    <s v="Wallet"/>
    <n v="150.12"/>
    <s v="Winter"/>
    <s v="Card"/>
    <n v="2.9"/>
    <x v="16"/>
    <n v="3"/>
    <n v="159.70212765957447"/>
    <n v="9.5821276595744678"/>
    <x v="2"/>
    <n v="1"/>
  </r>
  <r>
    <n v="4099"/>
    <n v="26"/>
    <s v="Male"/>
    <s v="Mens Clothing"/>
    <s v="Jeans"/>
    <n v="119.13"/>
    <s v="Autumn"/>
    <s v="Card"/>
    <n v="4.5"/>
    <x v="16"/>
    <n v="3"/>
    <n v="126.73404255319149"/>
    <n v="7.6040425531914906"/>
    <x v="5"/>
    <n v="1"/>
  </r>
  <r>
    <n v="4100"/>
    <n v="40"/>
    <s v="Male"/>
    <s v="Electronics"/>
    <s v="Laptop"/>
    <n v="2011.55"/>
    <s v="Winter"/>
    <s v="Card"/>
    <n v="3.8"/>
    <x v="7"/>
    <n v="5"/>
    <n v="2235.0555555555557"/>
    <n v="223.5055555555557"/>
    <x v="1"/>
    <n v="1"/>
  </r>
  <r>
    <n v="4101"/>
    <n v="65"/>
    <s v="Female"/>
    <s v="Accessories"/>
    <s v="Sunglasses"/>
    <n v="98.52"/>
    <s v="Summer"/>
    <s v="Cash on Delivery"/>
    <n v="5"/>
    <x v="8"/>
    <n v="6"/>
    <n v="111.95454545454545"/>
    <n v="13.434545454545457"/>
    <x v="0"/>
    <n v="1"/>
  </r>
  <r>
    <n v="4102"/>
    <n v="53"/>
    <s v="Male"/>
    <s v="Sports"/>
    <s v="Football"/>
    <n v="138.94"/>
    <s v="Autumn"/>
    <s v="Card"/>
    <n v="3.6"/>
    <x v="7"/>
    <n v="5"/>
    <n v="154.37777777777777"/>
    <n v="15.437777777777768"/>
    <x v="4"/>
    <n v="1"/>
  </r>
  <r>
    <n v="4103"/>
    <n v="60"/>
    <s v="Female"/>
    <s v="Accessories"/>
    <s v="Handbag"/>
    <n v="84.56"/>
    <s v="Spring"/>
    <s v="Cash on Delivery"/>
    <n v="3.5"/>
    <x v="10"/>
    <n v="6"/>
    <n v="108.41025641025641"/>
    <n v="23.850256410256407"/>
    <x v="0"/>
    <n v="1"/>
  </r>
  <r>
    <n v="4104"/>
    <n v="58"/>
    <s v="Female"/>
    <s v="Womens Clothing"/>
    <s v="Dress"/>
    <n v="71.760000000000005"/>
    <s v="Spring"/>
    <s v="Card"/>
    <n v="5"/>
    <x v="13"/>
    <n v="2"/>
    <n v="78.857142857142861"/>
    <n v="7.0971428571428561"/>
    <x v="0"/>
    <n v="1"/>
  </r>
  <r>
    <n v="4105"/>
    <n v="47"/>
    <s v="Male"/>
    <s v="Electronics"/>
    <s v="Laptop"/>
    <n v="2924.57"/>
    <s v="Winter"/>
    <s v="Card"/>
    <n v="3.5"/>
    <x v="1"/>
    <n v="4"/>
    <n v="3361.5747126436781"/>
    <n v="437.00471264367798"/>
    <x v="4"/>
    <n v="1"/>
  </r>
  <r>
    <n v="4106"/>
    <n v="57"/>
    <s v="Female"/>
    <s v="Accessories"/>
    <s v="Handbag"/>
    <n v="96.5"/>
    <s v="Spring"/>
    <s v="Card"/>
    <n v="2.9"/>
    <x v="1"/>
    <n v="4"/>
    <n v="110.91954022988506"/>
    <n v="14.419540229885058"/>
    <x v="0"/>
    <n v="1"/>
  </r>
  <r>
    <n v="4107"/>
    <n v="62"/>
    <s v="Female"/>
    <s v="Footwear"/>
    <s v="Sneakers"/>
    <n v="93.71"/>
    <s v="Summer"/>
    <s v="Card"/>
    <n v="3.4"/>
    <x v="4"/>
    <n v="7"/>
    <n v="108.96511627906976"/>
    <n v="15.255116279069767"/>
    <x v="0"/>
    <n v="1"/>
  </r>
  <r>
    <n v="4108"/>
    <n v="59"/>
    <s v="Female"/>
    <s v="Womens Clothing"/>
    <s v="Dress"/>
    <n v="107.94"/>
    <s v="Winter"/>
    <s v="Card"/>
    <n v="3.5"/>
    <x v="7"/>
    <n v="5"/>
    <n v="119.93333333333332"/>
    <n v="11.993333333333325"/>
    <x v="0"/>
    <n v="1"/>
  </r>
  <r>
    <n v="4109"/>
    <n v="29"/>
    <s v="Male"/>
    <s v="Footwear"/>
    <s v="Sneakers"/>
    <n v="75.989999999999995"/>
    <s v="Spring"/>
    <s v="Cash on Delivery"/>
    <n v="4.5999999999999996"/>
    <x v="0"/>
    <n v="4"/>
    <n v="92.67073170731706"/>
    <n v="16.680731707317065"/>
    <x v="5"/>
    <n v="1"/>
  </r>
  <r>
    <n v="4110"/>
    <n v="39"/>
    <s v="Female"/>
    <s v="Womens Clothing"/>
    <s v="Dress"/>
    <n v="154.16999999999999"/>
    <s v="Autumn"/>
    <s v="Card"/>
    <n v="4"/>
    <x v="22"/>
    <n v="9"/>
    <n v="200.22077922077921"/>
    <n v="46.050779220779219"/>
    <x v="1"/>
    <n v="1"/>
  </r>
  <r>
    <n v="4111"/>
    <n v="23"/>
    <s v="Female"/>
    <s v="Accessories"/>
    <s v="Handbag"/>
    <n v="100.67"/>
    <s v="Summer"/>
    <s v="Card"/>
    <n v="3.7"/>
    <x v="0"/>
    <n v="4"/>
    <n v="122.76829268292683"/>
    <n v="22.098292682926825"/>
    <x v="3"/>
    <n v="1"/>
  </r>
  <r>
    <n v="4112"/>
    <n v="63"/>
    <s v="Female"/>
    <s v="Footwear"/>
    <s v="Sandals"/>
    <n v="116.77"/>
    <s v="Summer"/>
    <s v="Card"/>
    <n v="4.3"/>
    <x v="11"/>
    <n v="8"/>
    <n v="157.79729729729729"/>
    <n v="41.027297297297295"/>
    <x v="0"/>
    <n v="1"/>
  </r>
  <r>
    <n v="4113"/>
    <n v="38"/>
    <s v="Male"/>
    <s v="Footwear"/>
    <s v="Sandals"/>
    <n v="157.97999999999999"/>
    <s v="Summer"/>
    <s v="Card"/>
    <n v="4.9000000000000004"/>
    <x v="10"/>
    <n v="6"/>
    <n v="202.53846153846152"/>
    <n v="44.558461538461529"/>
    <x v="1"/>
    <n v="1"/>
  </r>
  <r>
    <n v="4114"/>
    <n v="63"/>
    <s v="Female"/>
    <s v="Sports"/>
    <s v="Football"/>
    <n v="108.5"/>
    <s v="Autumn"/>
    <s v="Card"/>
    <n v="3.5"/>
    <x v="14"/>
    <n v="6"/>
    <n v="130.72289156626508"/>
    <n v="22.222891566265076"/>
    <x v="0"/>
    <n v="1"/>
  </r>
  <r>
    <n v="4115"/>
    <n v="44"/>
    <s v="Male"/>
    <s v="Footwear"/>
    <s v="Sneakers"/>
    <n v="45.36"/>
    <s v="Summer"/>
    <s v="Card"/>
    <n v="3"/>
    <x v="24"/>
    <n v="9"/>
    <n v="63"/>
    <n v="17.64"/>
    <x v="1"/>
    <n v="1"/>
  </r>
  <r>
    <n v="4116"/>
    <n v="68"/>
    <s v="Male"/>
    <s v="Mens Clothing"/>
    <s v="Jeans"/>
    <n v="185.02"/>
    <s v="Autumn"/>
    <s v="Card"/>
    <n v="3.8"/>
    <x v="4"/>
    <n v="2"/>
    <n v="215.13953488372096"/>
    <n v="30.119534883720945"/>
    <x v="2"/>
    <n v="1"/>
  </r>
  <r>
    <n v="4117"/>
    <n v="63"/>
    <s v="Female"/>
    <s v="Womens Clothing"/>
    <s v="Jeans"/>
    <n v="44.04"/>
    <s v="Winter"/>
    <s v="Card"/>
    <n v="5"/>
    <x v="6"/>
    <n v="3"/>
    <n v="52.428571428571431"/>
    <n v="8.3885714285714315"/>
    <x v="0"/>
    <n v="1"/>
  </r>
  <r>
    <n v="4118"/>
    <n v="27"/>
    <s v="Male"/>
    <s v="Sports"/>
    <s v="Dumbbells"/>
    <n v="100.08"/>
    <s v="Spring"/>
    <s v="Card"/>
    <n v="3.6"/>
    <x v="26"/>
    <n v="0"/>
    <n v="105.34736842105264"/>
    <n v="5.2673684210526375"/>
    <x v="5"/>
    <n v="1"/>
  </r>
  <r>
    <n v="4119"/>
    <n v="49"/>
    <s v="Female"/>
    <s v="Sports"/>
    <s v="Yoga Mat"/>
    <n v="107.29"/>
    <s v="Winter"/>
    <s v="Card"/>
    <n v="3.8"/>
    <x v="6"/>
    <n v="8"/>
    <n v="127.72619047619048"/>
    <n v="20.436190476190475"/>
    <x v="4"/>
    <n v="1"/>
  </r>
  <r>
    <n v="4120"/>
    <n v="43"/>
    <s v="Female"/>
    <s v="Home"/>
    <s v="Kitchen Set"/>
    <n v="163.18"/>
    <s v="Summer"/>
    <s v="Card"/>
    <n v="5"/>
    <x v="16"/>
    <n v="3"/>
    <n v="173.59574468085108"/>
    <n v="10.415744680851077"/>
    <x v="1"/>
    <n v="1"/>
  </r>
  <r>
    <n v="4121"/>
    <n v="67"/>
    <s v="Female"/>
    <s v="Beauty"/>
    <s v="Perfume"/>
    <n v="58.38"/>
    <s v="Summer"/>
    <s v="Card"/>
    <n v="4"/>
    <x v="8"/>
    <n v="6"/>
    <n v="66.340909090909093"/>
    <n v="7.9609090909090909"/>
    <x v="2"/>
    <n v="1"/>
  </r>
  <r>
    <n v="4122"/>
    <n v="69"/>
    <s v="Male"/>
    <s v="Sports"/>
    <s v="Football"/>
    <n v="169.84"/>
    <s v="Spring"/>
    <s v="Card"/>
    <n v="3.5"/>
    <x v="0"/>
    <n v="4"/>
    <n v="207.12195121951217"/>
    <n v="37.281951219512166"/>
    <x v="2"/>
    <n v="1"/>
  </r>
  <r>
    <n v="4123"/>
    <n v="20"/>
    <s v="Female"/>
    <s v="Accessories"/>
    <s v="Sunglasses"/>
    <n v="145.22"/>
    <s v="Autumn"/>
    <s v="Card"/>
    <n v="3.8"/>
    <x v="3"/>
    <n v="5"/>
    <n v="181.52499999999998"/>
    <n v="36.304999999999978"/>
    <x v="3"/>
    <n v="1"/>
  </r>
  <r>
    <n v="4124"/>
    <n v="31"/>
    <s v="Male"/>
    <s v="Sports"/>
    <s v="Football"/>
    <n v="117.9"/>
    <s v="Winter"/>
    <s v="Card"/>
    <n v="4.5999999999999996"/>
    <x v="18"/>
    <n v="7"/>
    <n v="155.13157894736844"/>
    <n v="37.231578947368433"/>
    <x v="5"/>
    <n v="1"/>
  </r>
  <r>
    <n v="4125"/>
    <n v="23"/>
    <s v="Female"/>
    <s v="Footwear"/>
    <s v="Sandals"/>
    <n v="92.07"/>
    <s v="Spring"/>
    <s v="Card"/>
    <n v="3.2"/>
    <x v="0"/>
    <n v="4"/>
    <n v="112.28048780487804"/>
    <n v="20.210487804878042"/>
    <x v="3"/>
    <n v="1"/>
  </r>
  <r>
    <n v="4126"/>
    <n v="33"/>
    <s v="Female"/>
    <s v="Womens Clothing"/>
    <s v="Skirt"/>
    <n v="133.31"/>
    <s v="Summer"/>
    <s v="Card"/>
    <n v="2.9"/>
    <x v="17"/>
    <n v="2"/>
    <n v="138.86458333333334"/>
    <n v="5.5545833333333405"/>
    <x v="5"/>
    <n v="1"/>
  </r>
  <r>
    <n v="4127"/>
    <n v="22"/>
    <s v="Female"/>
    <s v="Accessories"/>
    <s v="Wallet"/>
    <n v="77.069999999999993"/>
    <s v="Spring"/>
    <s v="Card"/>
    <n v="4.7"/>
    <x v="0"/>
    <n v="4"/>
    <n v="93.987804878048763"/>
    <n v="16.91780487804877"/>
    <x v="3"/>
    <n v="1"/>
  </r>
  <r>
    <n v="4128"/>
    <n v="45"/>
    <s v="Female"/>
    <s v="Groceries"/>
    <s v="Cooking Oil"/>
    <n v="60.2"/>
    <s v="Winter"/>
    <s v="Card"/>
    <n v="3.3"/>
    <x v="7"/>
    <n v="5"/>
    <n v="66.888888888888886"/>
    <n v="6.6888888888888829"/>
    <x v="1"/>
    <n v="1"/>
  </r>
  <r>
    <n v="4129"/>
    <n v="39"/>
    <s v="Female"/>
    <s v="Footwear"/>
    <s v="Formal Shoes"/>
    <n v="113.87"/>
    <s v="Spring"/>
    <s v="Card"/>
    <n v="4.3"/>
    <x v="5"/>
    <n v="4"/>
    <n v="123.77173913043478"/>
    <n v="9.9017391304347768"/>
    <x v="1"/>
    <n v="1"/>
  </r>
  <r>
    <n v="4130"/>
    <n v="43"/>
    <s v="Male"/>
    <s v="Mens Clothing"/>
    <s v="T-Shirt"/>
    <n v="143.99"/>
    <s v="Winter"/>
    <s v="Card"/>
    <n v="4"/>
    <x v="22"/>
    <n v="9"/>
    <n v="187"/>
    <n v="43.009999999999991"/>
    <x v="1"/>
    <n v="1"/>
  </r>
  <r>
    <n v="4131"/>
    <n v="50"/>
    <s v="Male"/>
    <s v="Mens Clothing"/>
    <s v="Shirt"/>
    <n v="131.03"/>
    <s v="Autumn"/>
    <s v="Card"/>
    <n v="3.3"/>
    <x v="18"/>
    <n v="7"/>
    <n v="172.40789473684211"/>
    <n v="41.377894736842109"/>
    <x v="4"/>
    <n v="1"/>
  </r>
  <r>
    <n v="4132"/>
    <n v="54"/>
    <s v="Female"/>
    <s v="Womens Clothing"/>
    <s v="Dress"/>
    <n v="197.73"/>
    <s v="Summer"/>
    <s v="Card"/>
    <n v="5"/>
    <x v="7"/>
    <n v="5"/>
    <n v="219.7"/>
    <n v="21.97"/>
    <x v="4"/>
    <n v="1"/>
  </r>
  <r>
    <n v="4133"/>
    <n v="46"/>
    <s v="Female"/>
    <s v="Footwear"/>
    <s v="Sandals"/>
    <n v="40.76"/>
    <s v="Autumn"/>
    <s v="Cash on Delivery"/>
    <n v="4.7"/>
    <x v="15"/>
    <n v="1"/>
    <n v="41.591836734693878"/>
    <n v="0.83183673469387998"/>
    <x v="4"/>
    <n v="1"/>
  </r>
  <r>
    <n v="4134"/>
    <n v="65"/>
    <s v="Female"/>
    <s v="Beauty"/>
    <s v="Makeup Set"/>
    <n v="74.680000000000007"/>
    <s v="Spring"/>
    <s v="Card"/>
    <n v="4.0999999999999996"/>
    <x v="0"/>
    <n v="9"/>
    <n v="91.073170731707322"/>
    <n v="16.393170731707315"/>
    <x v="0"/>
    <n v="1"/>
  </r>
  <r>
    <n v="4135"/>
    <n v="27"/>
    <s v="Female"/>
    <s v="Beauty"/>
    <s v="Makeup Set"/>
    <n v="117.55"/>
    <s v="Autumn"/>
    <s v="Card"/>
    <n v="3.2"/>
    <x v="2"/>
    <n v="3"/>
    <n v="132.07865168539325"/>
    <n v="14.528651685393257"/>
    <x v="5"/>
    <n v="1"/>
  </r>
  <r>
    <n v="4136"/>
    <n v="44"/>
    <s v="Female"/>
    <s v="Home"/>
    <s v="Curtains"/>
    <n v="211.32"/>
    <s v="Autumn"/>
    <s v="Card"/>
    <n v="4.5"/>
    <x v="6"/>
    <n v="8"/>
    <n v="251.57142857142858"/>
    <n v="40.25142857142859"/>
    <x v="1"/>
    <n v="1"/>
  </r>
  <r>
    <n v="4137"/>
    <n v="29"/>
    <s v="Male"/>
    <s v="Mens Clothing"/>
    <s v="T-Shirt"/>
    <n v="32.81"/>
    <s v="Spring"/>
    <s v="Cash on Delivery"/>
    <n v="3.8"/>
    <x v="13"/>
    <n v="2"/>
    <n v="36.054945054945058"/>
    <n v="3.244945054945056"/>
    <x v="5"/>
    <n v="1"/>
  </r>
  <r>
    <n v="4138"/>
    <n v="41"/>
    <s v="Male"/>
    <s v="Footwear"/>
    <s v="Formal Shoes"/>
    <n v="104.2"/>
    <s v="Winter"/>
    <s v="Card"/>
    <n v="4.0999999999999996"/>
    <x v="2"/>
    <n v="3"/>
    <n v="117.07865168539325"/>
    <n v="12.878651685393251"/>
    <x v="1"/>
    <n v="1"/>
  </r>
  <r>
    <n v="4139"/>
    <n v="25"/>
    <s v="Male"/>
    <s v="Electronics"/>
    <s v="Smart Watch"/>
    <n v="991.14"/>
    <s v="Winter"/>
    <s v="Card"/>
    <n v="2.1"/>
    <x v="17"/>
    <n v="2"/>
    <n v="1032.4375"/>
    <n v="41.297500000000014"/>
    <x v="3"/>
    <n v="1"/>
  </r>
  <r>
    <n v="4140"/>
    <n v="34"/>
    <s v="Female"/>
    <s v="Home"/>
    <s v="Kitchen Set"/>
    <n v="138.43"/>
    <s v="Winter"/>
    <s v="Card"/>
    <n v="4.0999999999999996"/>
    <x v="8"/>
    <n v="1"/>
    <n v="157.30681818181819"/>
    <n v="18.87681818181818"/>
    <x v="5"/>
    <n v="1"/>
  </r>
  <r>
    <n v="4141"/>
    <n v="61"/>
    <s v="Male"/>
    <s v="Sports"/>
    <s v="Dumbbells"/>
    <n v="176.45"/>
    <s v="Autumn"/>
    <s v="Card"/>
    <n v="3.9"/>
    <x v="16"/>
    <n v="3"/>
    <n v="187.71276595744681"/>
    <n v="11.262765957446817"/>
    <x v="0"/>
    <n v="1"/>
  </r>
  <r>
    <n v="4142"/>
    <n v="56"/>
    <s v="Male"/>
    <s v="Mens Clothing"/>
    <s v="T-Shirt"/>
    <n v="156.69"/>
    <s v="Summer"/>
    <s v="Card"/>
    <n v="3.7"/>
    <x v="2"/>
    <n v="3"/>
    <n v="176.0561797752809"/>
    <n v="19.366179775280898"/>
    <x v="0"/>
    <n v="1"/>
  </r>
  <r>
    <n v="4143"/>
    <n v="34"/>
    <s v="Male"/>
    <s v="Electronics"/>
    <s v="Headphones"/>
    <n v="1532.93"/>
    <s v="Winter"/>
    <s v="Card"/>
    <n v="3.8"/>
    <x v="18"/>
    <n v="7"/>
    <n v="2017.0131578947369"/>
    <n v="484.08315789473681"/>
    <x v="5"/>
    <n v="1"/>
  </r>
  <r>
    <n v="4144"/>
    <n v="24"/>
    <s v="Female"/>
    <s v="Beauty"/>
    <s v="Perfume"/>
    <n v="37.85"/>
    <s v="Spring"/>
    <s v="Cash on Delivery"/>
    <n v="3.7"/>
    <x v="0"/>
    <n v="4"/>
    <n v="46.158536585365852"/>
    <n v="8.3085365853658502"/>
    <x v="3"/>
    <n v="1"/>
  </r>
  <r>
    <n v="4145"/>
    <n v="49"/>
    <s v="Male"/>
    <s v="Mens Clothing"/>
    <s v="Jeans"/>
    <n v="132.37"/>
    <s v="Summer"/>
    <s v="Card"/>
    <n v="2.9"/>
    <x v="1"/>
    <n v="4"/>
    <n v="152.14942528735634"/>
    <n v="19.779425287356332"/>
    <x v="4"/>
    <n v="1"/>
  </r>
  <r>
    <n v="4146"/>
    <n v="40"/>
    <s v="Male"/>
    <s v="Sports"/>
    <s v="Football"/>
    <n v="42.76"/>
    <s v="Autumn"/>
    <s v="Cash on Delivery"/>
    <n v="2.7"/>
    <x v="5"/>
    <n v="4"/>
    <n v="46.478260869565212"/>
    <n v="3.7182608695652135"/>
    <x v="1"/>
    <n v="1"/>
  </r>
  <r>
    <n v="4147"/>
    <n v="39"/>
    <s v="Female"/>
    <s v="Beauty"/>
    <s v="Makeup Set"/>
    <n v="28.3"/>
    <s v="Spring"/>
    <s v="Card"/>
    <n v="3.9"/>
    <x v="24"/>
    <n v="9"/>
    <n v="39.305555555555557"/>
    <n v="11.005555555555556"/>
    <x v="1"/>
    <n v="1"/>
  </r>
  <r>
    <n v="4148"/>
    <n v="27"/>
    <s v="Male"/>
    <s v="Electronics"/>
    <s v="Laptop"/>
    <n v="2662.63"/>
    <s v="Spring"/>
    <s v="Card"/>
    <n v="3.4"/>
    <x v="19"/>
    <n v="5"/>
    <n v="3132.5058823529412"/>
    <n v="469.87588235294106"/>
    <x v="5"/>
    <n v="1"/>
  </r>
  <r>
    <n v="4149"/>
    <n v="63"/>
    <s v="Male"/>
    <s v="Electronics"/>
    <s v="Headphones"/>
    <n v="783.46"/>
    <s v="Spring"/>
    <s v="Card"/>
    <n v="2.9"/>
    <x v="6"/>
    <n v="8"/>
    <n v="932.69047619047626"/>
    <n v="149.23047619047622"/>
    <x v="0"/>
    <n v="1"/>
  </r>
  <r>
    <n v="4150"/>
    <n v="40"/>
    <s v="Female"/>
    <s v="Accessories"/>
    <s v="Sunglasses"/>
    <n v="28.71"/>
    <s v="Winter"/>
    <s v="Cash on Delivery"/>
    <n v="2.5"/>
    <x v="6"/>
    <n v="8"/>
    <n v="34.178571428571431"/>
    <n v="5.4685714285714297"/>
    <x v="1"/>
    <n v="1"/>
  </r>
  <r>
    <n v="4151"/>
    <n v="29"/>
    <s v="Male"/>
    <s v="Sports"/>
    <s v="Dumbbells"/>
    <n v="103"/>
    <s v="Summer"/>
    <s v="Card"/>
    <n v="2.9"/>
    <x v="22"/>
    <n v="9"/>
    <n v="133.76623376623377"/>
    <n v="30.766233766233768"/>
    <x v="5"/>
    <n v="1"/>
  </r>
  <r>
    <n v="4152"/>
    <n v="48"/>
    <s v="Male"/>
    <s v="Mens Clothing"/>
    <s v="Jacket"/>
    <n v="121.26"/>
    <s v="Summer"/>
    <s v="Card"/>
    <n v="1.9"/>
    <x v="8"/>
    <n v="6"/>
    <n v="137.79545454545456"/>
    <n v="16.535454545454556"/>
    <x v="4"/>
    <n v="1"/>
  </r>
  <r>
    <n v="4153"/>
    <n v="30"/>
    <s v="Male"/>
    <s v="Groceries"/>
    <s v="Beverages"/>
    <n v="5.89"/>
    <s v="Summer"/>
    <s v="Cash on Delivery"/>
    <n v="3.2"/>
    <x v="14"/>
    <n v="6"/>
    <n v="7.096385542168675"/>
    <n v="1.2063855421686753"/>
    <x v="5"/>
    <n v="1"/>
  </r>
  <r>
    <n v="4154"/>
    <n v="35"/>
    <s v="Male"/>
    <s v="Footwear"/>
    <s v="Sandals"/>
    <n v="240.97"/>
    <s v="Summer"/>
    <s v="Card"/>
    <n v="2.8"/>
    <x v="10"/>
    <n v="6"/>
    <n v="308.9358974358974"/>
    <n v="67.965897435897404"/>
    <x v="5"/>
    <n v="1"/>
  </r>
  <r>
    <n v="4155"/>
    <n v="62"/>
    <s v="Female"/>
    <s v="Beauty"/>
    <s v="Makeup Set"/>
    <n v="140.77000000000001"/>
    <s v="Summer"/>
    <s v="Card"/>
    <n v="2.7"/>
    <x v="16"/>
    <n v="3"/>
    <n v="149.7553191489362"/>
    <n v="8.9853191489361848"/>
    <x v="0"/>
    <n v="1"/>
  </r>
  <r>
    <n v="4156"/>
    <n v="21"/>
    <s v="Male"/>
    <s v="Electronics"/>
    <s v="Headphones"/>
    <n v="1584.57"/>
    <s v="Winter"/>
    <s v="Card"/>
    <n v="3.6"/>
    <x v="19"/>
    <n v="5"/>
    <n v="1864.2"/>
    <n v="279.63000000000011"/>
    <x v="3"/>
    <n v="1"/>
  </r>
  <r>
    <n v="4157"/>
    <n v="56"/>
    <s v="Female"/>
    <s v="Womens Clothing"/>
    <s v="Top"/>
    <n v="123.71"/>
    <s v="Autumn"/>
    <s v="Card"/>
    <n v="3.2"/>
    <x v="2"/>
    <n v="3"/>
    <n v="139"/>
    <n v="15.290000000000006"/>
    <x v="0"/>
    <n v="1"/>
  </r>
  <r>
    <n v="4158"/>
    <n v="20"/>
    <s v="Female"/>
    <s v="Accessories"/>
    <s v="Wallet"/>
    <n v="127.91"/>
    <s v="Spring"/>
    <s v="Card"/>
    <n v="2.9"/>
    <x v="14"/>
    <n v="6"/>
    <n v="154.10843373493975"/>
    <n v="26.198433734939755"/>
    <x v="3"/>
    <n v="1"/>
  </r>
  <r>
    <n v="4159"/>
    <n v="22"/>
    <s v="Female"/>
    <s v="Groceries"/>
    <s v="Snacks"/>
    <n v="23.75"/>
    <s v="Spring"/>
    <s v="Card"/>
    <n v="3.7"/>
    <x v="0"/>
    <n v="4"/>
    <n v="28.963414634146339"/>
    <n v="5.2134146341463392"/>
    <x v="3"/>
    <n v="1"/>
  </r>
  <r>
    <n v="4160"/>
    <n v="47"/>
    <s v="Male"/>
    <s v="Footwear"/>
    <s v="Sandals"/>
    <n v="71.63"/>
    <s v="Autumn"/>
    <s v="Cash on Delivery"/>
    <n v="3.2"/>
    <x v="19"/>
    <n v="5"/>
    <n v="84.270588235294113"/>
    <n v="12.640588235294118"/>
    <x v="4"/>
    <n v="1"/>
  </r>
  <r>
    <n v="4161"/>
    <n v="44"/>
    <s v="Female"/>
    <s v="Accessories"/>
    <s v="Wallet"/>
    <n v="132.41999999999999"/>
    <s v="Autumn"/>
    <s v="Card"/>
    <n v="3.7"/>
    <x v="19"/>
    <n v="5"/>
    <n v="155.78823529411764"/>
    <n v="23.368235294117653"/>
    <x v="1"/>
    <n v="1"/>
  </r>
  <r>
    <n v="4162"/>
    <n v="50"/>
    <s v="Female"/>
    <s v="Beauty"/>
    <s v="Skincare Kit"/>
    <n v="128.51"/>
    <s v="Spring"/>
    <s v="Card"/>
    <n v="3.8"/>
    <x v="6"/>
    <n v="8"/>
    <n v="152.98809523809524"/>
    <n v="24.47809523809525"/>
    <x v="4"/>
    <n v="1"/>
  </r>
  <r>
    <n v="4163"/>
    <n v="39"/>
    <s v="Male"/>
    <s v="Mens Clothing"/>
    <s v="Jacket"/>
    <n v="143.5"/>
    <s v="Winter"/>
    <s v="Card"/>
    <n v="4.9000000000000004"/>
    <x v="12"/>
    <n v="7"/>
    <n v="177.16049382716048"/>
    <n v="33.660493827160479"/>
    <x v="1"/>
    <n v="1"/>
  </r>
  <r>
    <n v="4164"/>
    <n v="64"/>
    <s v="Female"/>
    <s v="Footwear"/>
    <s v="Sneakers"/>
    <n v="162.31"/>
    <s v="Summer"/>
    <s v="Card"/>
    <n v="3.7"/>
    <x v="4"/>
    <n v="7"/>
    <n v="188.73255813953489"/>
    <n v="26.422558139534885"/>
    <x v="0"/>
    <n v="1"/>
  </r>
  <r>
    <n v="4165"/>
    <n v="67"/>
    <s v="Female"/>
    <s v="Footwear"/>
    <s v="Sandals"/>
    <n v="210.1"/>
    <s v="Autumn"/>
    <s v="Card"/>
    <n v="3.9"/>
    <x v="17"/>
    <n v="2"/>
    <n v="218.85416666666666"/>
    <n v="8.7541666666666629"/>
    <x v="2"/>
    <n v="1"/>
  </r>
  <r>
    <n v="4166"/>
    <n v="48"/>
    <s v="Male"/>
    <s v="Electronics"/>
    <s v="Mobile Phone"/>
    <n v="1794.93"/>
    <s v="Spring"/>
    <s v="Card"/>
    <n v="4.5999999999999996"/>
    <x v="6"/>
    <n v="8"/>
    <n v="2136.8214285714289"/>
    <n v="341.89142857142883"/>
    <x v="4"/>
    <n v="1"/>
  </r>
  <r>
    <n v="4167"/>
    <n v="26"/>
    <s v="Male"/>
    <s v="Mens Clothing"/>
    <s v="T-Shirt"/>
    <n v="52.64"/>
    <s v="Autumn"/>
    <s v="Cash on Delivery"/>
    <n v="4.5"/>
    <x v="13"/>
    <n v="2"/>
    <n v="57.846153846153847"/>
    <n v="5.2061538461538461"/>
    <x v="5"/>
    <n v="1"/>
  </r>
  <r>
    <n v="4168"/>
    <n v="46"/>
    <s v="Male"/>
    <s v="Sports"/>
    <s v="Dumbbells"/>
    <n v="119.62"/>
    <s v="Autumn"/>
    <s v="Card"/>
    <n v="4.5"/>
    <x v="19"/>
    <n v="5"/>
    <n v="140.7294117647059"/>
    <n v="21.109411764705897"/>
    <x v="4"/>
    <n v="1"/>
  </r>
  <r>
    <n v="4169"/>
    <n v="26"/>
    <s v="Female"/>
    <s v="Footwear"/>
    <s v="Sandals"/>
    <n v="230.19"/>
    <s v="Winter"/>
    <s v="Card"/>
    <n v="3.9"/>
    <x v="10"/>
    <n v="6"/>
    <n v="295.11538461538458"/>
    <n v="64.925384615384587"/>
    <x v="5"/>
    <n v="1"/>
  </r>
  <r>
    <n v="4170"/>
    <n v="50"/>
    <s v="Female"/>
    <s v="Home"/>
    <s v="Curtains"/>
    <n v="58.78"/>
    <s v="Winter"/>
    <s v="Cash on Delivery"/>
    <n v="4.8"/>
    <x v="6"/>
    <n v="3"/>
    <n v="69.976190476190482"/>
    <n v="11.19619047619048"/>
    <x v="4"/>
    <n v="1"/>
  </r>
  <r>
    <n v="4171"/>
    <n v="36"/>
    <s v="Male"/>
    <s v="Electronics"/>
    <s v="Headphones"/>
    <n v="2331.58"/>
    <s v="Winter"/>
    <s v="Card"/>
    <n v="3"/>
    <x v="5"/>
    <n v="4"/>
    <n v="2534.3260869565215"/>
    <n v="202.74608695652159"/>
    <x v="1"/>
    <n v="1"/>
  </r>
  <r>
    <n v="4172"/>
    <n v="36"/>
    <s v="Male"/>
    <s v="Sports"/>
    <s v="Dumbbells"/>
    <n v="149.44"/>
    <s v="Autumn"/>
    <s v="Card"/>
    <n v="3.6"/>
    <x v="3"/>
    <n v="5"/>
    <n v="186.79999999999998"/>
    <n v="37.359999999999985"/>
    <x v="1"/>
    <n v="1"/>
  </r>
  <r>
    <n v="4173"/>
    <n v="64"/>
    <s v="Male"/>
    <s v="Electronics"/>
    <s v="Headphones"/>
    <n v="2758.3"/>
    <s v="Spring"/>
    <s v="Card"/>
    <n v="3.4"/>
    <x v="14"/>
    <n v="6"/>
    <n v="3323.2530120481933"/>
    <n v="564.95301204819316"/>
    <x v="0"/>
    <n v="1"/>
  </r>
  <r>
    <n v="4174"/>
    <n v="69"/>
    <s v="Female"/>
    <s v="Beauty"/>
    <s v="Makeup Set"/>
    <n v="87.77"/>
    <s v="Autumn"/>
    <s v="Cash on Delivery"/>
    <n v="3.9"/>
    <x v="13"/>
    <n v="2"/>
    <n v="96.450549450549445"/>
    <n v="8.6805494505494494"/>
    <x v="2"/>
    <n v="1"/>
  </r>
  <r>
    <n v="4175"/>
    <n v="41"/>
    <s v="Male"/>
    <s v="Mens Clothing"/>
    <s v="Shirt"/>
    <n v="199.07"/>
    <s v="Winter"/>
    <s v="Card"/>
    <n v="3.1"/>
    <x v="16"/>
    <n v="3"/>
    <n v="211.77659574468086"/>
    <n v="12.706595744680868"/>
    <x v="1"/>
    <n v="1"/>
  </r>
  <r>
    <n v="4176"/>
    <n v="39"/>
    <s v="Male"/>
    <s v="Mens Clothing"/>
    <s v="Shirt"/>
    <n v="145.5"/>
    <s v="Autumn"/>
    <s v="Card"/>
    <n v="3.8"/>
    <x v="17"/>
    <n v="2"/>
    <n v="151.5625"/>
    <n v="6.0625"/>
    <x v="1"/>
    <n v="1"/>
  </r>
  <r>
    <n v="4177"/>
    <n v="62"/>
    <s v="Female"/>
    <s v="Beauty"/>
    <s v="Makeup Set"/>
    <n v="145.38999999999999"/>
    <s v="Summer"/>
    <s v="Card"/>
    <n v="3.8"/>
    <x v="1"/>
    <n v="4"/>
    <n v="167.11494252873561"/>
    <n v="21.724942528735625"/>
    <x v="0"/>
    <n v="1"/>
  </r>
  <r>
    <n v="4178"/>
    <n v="47"/>
    <s v="Male"/>
    <s v="Electronics"/>
    <s v="Mobile Phone"/>
    <n v="1665.59"/>
    <s v="Summer"/>
    <s v="Card"/>
    <n v="3.9"/>
    <x v="14"/>
    <n v="6"/>
    <n v="2006.7349397590363"/>
    <n v="341.14493975903633"/>
    <x v="4"/>
    <n v="1"/>
  </r>
  <r>
    <n v="4179"/>
    <n v="46"/>
    <s v="Female"/>
    <s v="Footwear"/>
    <s v="Sandals"/>
    <n v="89.47"/>
    <s v="Spring"/>
    <s v="Cash on Delivery"/>
    <n v="4.3"/>
    <x v="14"/>
    <n v="6"/>
    <n v="107.79518072289157"/>
    <n v="18.325180722891574"/>
    <x v="4"/>
    <n v="1"/>
  </r>
  <r>
    <n v="4180"/>
    <n v="56"/>
    <s v="Male"/>
    <s v="Mens Clothing"/>
    <s v="Shirt"/>
    <n v="153.46"/>
    <s v="Spring"/>
    <s v="Card"/>
    <n v="3.2"/>
    <x v="2"/>
    <n v="3"/>
    <n v="172.42696629213484"/>
    <n v="18.966966292134828"/>
    <x v="0"/>
    <n v="1"/>
  </r>
  <r>
    <n v="4181"/>
    <n v="32"/>
    <s v="Female"/>
    <s v="Accessories"/>
    <s v="Sunglasses"/>
    <n v="156.18"/>
    <s v="Winter"/>
    <s v="Card"/>
    <n v="2.6"/>
    <x v="8"/>
    <n v="6"/>
    <n v="177.47727272727275"/>
    <n v="21.297272727272741"/>
    <x v="5"/>
    <n v="1"/>
  </r>
  <r>
    <n v="4182"/>
    <n v="50"/>
    <s v="Male"/>
    <s v="Sports"/>
    <s v="Dumbbells"/>
    <n v="83.36"/>
    <s v="Summer"/>
    <s v="Card"/>
    <n v="3.4"/>
    <x v="7"/>
    <n v="5"/>
    <n v="92.62222222222222"/>
    <n v="9.2622222222222206"/>
    <x v="4"/>
    <n v="1"/>
  </r>
  <r>
    <n v="4183"/>
    <n v="58"/>
    <s v="Male"/>
    <s v="Mens Clothing"/>
    <s v="T-Shirt"/>
    <n v="171.56"/>
    <s v="Summer"/>
    <s v="Card"/>
    <n v="3.9"/>
    <x v="5"/>
    <n v="4"/>
    <n v="186.47826086956522"/>
    <n v="14.918260869565216"/>
    <x v="0"/>
    <n v="1"/>
  </r>
  <r>
    <n v="4184"/>
    <n v="26"/>
    <s v="Female"/>
    <s v="Womens Clothing"/>
    <s v="Top"/>
    <n v="31.99"/>
    <s v="Winter"/>
    <s v="Cash on Delivery"/>
    <n v="3.4"/>
    <x v="22"/>
    <n v="9"/>
    <n v="41.54545454545454"/>
    <n v="9.5554545454545412"/>
    <x v="5"/>
    <n v="1"/>
  </r>
  <r>
    <n v="4185"/>
    <n v="58"/>
    <s v="Female"/>
    <s v="Womens Clothing"/>
    <s v="Top"/>
    <n v="199.24"/>
    <s v="Winter"/>
    <s v="Card"/>
    <n v="3.3"/>
    <x v="19"/>
    <n v="5"/>
    <n v="234.4"/>
    <n v="35.159999999999997"/>
    <x v="0"/>
    <n v="1"/>
  </r>
  <r>
    <n v="4186"/>
    <n v="24"/>
    <s v="Female"/>
    <s v="Womens Clothing"/>
    <s v="Top"/>
    <n v="80.739999999999995"/>
    <s v="Spring"/>
    <s v="Card"/>
    <n v="3.4"/>
    <x v="18"/>
    <n v="7"/>
    <n v="106.23684210526315"/>
    <n v="25.496842105263156"/>
    <x v="3"/>
    <n v="1"/>
  </r>
  <r>
    <n v="4187"/>
    <n v="65"/>
    <s v="Female"/>
    <s v="Footwear"/>
    <s v="Sandals"/>
    <n v="231.77"/>
    <s v="Autumn"/>
    <s v="Card"/>
    <n v="3.5"/>
    <x v="10"/>
    <n v="6"/>
    <n v="297.14102564102564"/>
    <n v="65.371025641025625"/>
    <x v="0"/>
    <n v="1"/>
  </r>
  <r>
    <n v="4188"/>
    <n v="46"/>
    <s v="Male"/>
    <s v="Mens Clothing"/>
    <s v="T-Shirt"/>
    <n v="79.069999999999993"/>
    <s v="Autumn"/>
    <s v="Card"/>
    <n v="4.3"/>
    <x v="4"/>
    <n v="2"/>
    <n v="91.941860465116278"/>
    <n v="12.871860465116285"/>
    <x v="4"/>
    <n v="1"/>
  </r>
  <r>
    <n v="4189"/>
    <n v="57"/>
    <s v="Female"/>
    <s v="Groceries"/>
    <s v="Rice Pack"/>
    <n v="13.76"/>
    <s v="Winter"/>
    <s v="Card"/>
    <n v="4.4000000000000004"/>
    <x v="23"/>
    <n v="1"/>
    <n v="14.795698924731184"/>
    <n v="1.0356989247311841"/>
    <x v="0"/>
    <n v="1"/>
  </r>
  <r>
    <n v="4190"/>
    <n v="27"/>
    <s v="Female"/>
    <s v="Beauty"/>
    <s v="Perfume"/>
    <n v="113.95"/>
    <s v="Spring"/>
    <s v="Card"/>
    <n v="3.7"/>
    <x v="2"/>
    <n v="3"/>
    <n v="128.03370786516854"/>
    <n v="14.083707865168535"/>
    <x v="5"/>
    <n v="1"/>
  </r>
  <r>
    <n v="4191"/>
    <n v="41"/>
    <s v="Female"/>
    <s v="Footwear"/>
    <s v="Formal Shoes"/>
    <n v="216.85"/>
    <s v="Spring"/>
    <s v="Card"/>
    <n v="3.3"/>
    <x v="21"/>
    <n v="8"/>
    <n v="274.4936708860759"/>
    <n v="57.64367088607591"/>
    <x v="1"/>
    <n v="1"/>
  </r>
  <r>
    <n v="4192"/>
    <n v="40"/>
    <s v="Female"/>
    <s v="Beauty"/>
    <s v="Perfume"/>
    <n v="58.55"/>
    <s v="Spring"/>
    <s v="Cash on Delivery"/>
    <n v="4.8"/>
    <x v="16"/>
    <n v="3"/>
    <n v="62.287234042553195"/>
    <n v="3.7372340425531974"/>
    <x v="1"/>
    <n v="1"/>
  </r>
  <r>
    <n v="4193"/>
    <n v="43"/>
    <s v="Male"/>
    <s v="Sports"/>
    <s v="Yoga Mat"/>
    <n v="188.28"/>
    <s v="Winter"/>
    <s v="Card"/>
    <n v="4.4000000000000004"/>
    <x v="12"/>
    <n v="7"/>
    <n v="232.44444444444443"/>
    <n v="44.164444444444428"/>
    <x v="1"/>
    <n v="1"/>
  </r>
  <r>
    <n v="4194"/>
    <n v="37"/>
    <s v="Female"/>
    <s v="Womens Clothing"/>
    <s v="Skirt"/>
    <n v="116.17"/>
    <s v="Autumn"/>
    <s v="Card"/>
    <n v="4.4000000000000004"/>
    <x v="10"/>
    <n v="6"/>
    <n v="148.93589743589743"/>
    <n v="32.765897435897429"/>
    <x v="1"/>
    <n v="1"/>
  </r>
  <r>
    <n v="4195"/>
    <n v="34"/>
    <s v="Female"/>
    <s v="Home"/>
    <s v="Curtains"/>
    <n v="142.76"/>
    <s v="Summer"/>
    <s v="Card"/>
    <n v="4.5999999999999996"/>
    <x v="12"/>
    <n v="7"/>
    <n v="176.24691358024688"/>
    <n v="33.486913580246892"/>
    <x v="5"/>
    <n v="1"/>
  </r>
  <r>
    <n v="4196"/>
    <n v="43"/>
    <s v="Male"/>
    <s v="Footwear"/>
    <s v="Sneakers"/>
    <n v="158.75"/>
    <s v="Winter"/>
    <s v="Card"/>
    <n v="4.5"/>
    <x v="6"/>
    <n v="8"/>
    <n v="188.98809523809524"/>
    <n v="30.238095238095241"/>
    <x v="1"/>
    <n v="1"/>
  </r>
  <r>
    <n v="4197"/>
    <n v="49"/>
    <s v="Female"/>
    <s v="Groceries"/>
    <s v="Cooking Oil"/>
    <n v="43.81"/>
    <s v="Spring"/>
    <s v="Cash on Delivery"/>
    <n v="4"/>
    <x v="8"/>
    <n v="6"/>
    <n v="49.784090909090914"/>
    <n v="5.9740909090909113"/>
    <x v="4"/>
    <n v="1"/>
  </r>
  <r>
    <n v="4198"/>
    <n v="57"/>
    <s v="Male"/>
    <s v="Sports"/>
    <s v="Football"/>
    <n v="66.09"/>
    <s v="Spring"/>
    <s v="Cash on Delivery"/>
    <n v="3.6"/>
    <x v="2"/>
    <n v="3"/>
    <n v="74.258426966292134"/>
    <n v="8.1684269662921309"/>
    <x v="0"/>
    <n v="1"/>
  </r>
  <r>
    <n v="4199"/>
    <n v="60"/>
    <s v="Male"/>
    <s v="Electronics"/>
    <s v="Laptop"/>
    <n v="2585.88"/>
    <s v="Winter"/>
    <s v="Card"/>
    <n v="3.1"/>
    <x v="19"/>
    <n v="5"/>
    <n v="3042.2117647058826"/>
    <n v="456.33176470588251"/>
    <x v="0"/>
    <n v="1"/>
  </r>
  <r>
    <n v="4200"/>
    <n v="45"/>
    <s v="Male"/>
    <s v="Electronics"/>
    <s v="Laptop"/>
    <n v="2462.83"/>
    <s v="Spring"/>
    <s v="Card"/>
    <n v="4.5"/>
    <x v="8"/>
    <n v="6"/>
    <n v="2798.6704545454545"/>
    <n v="335.84045454545458"/>
    <x v="1"/>
    <n v="1"/>
  </r>
  <r>
    <n v="4201"/>
    <n v="38"/>
    <s v="Male"/>
    <s v="Sports"/>
    <s v="Yoga Mat"/>
    <n v="92.59"/>
    <s v="Spring"/>
    <s v="Card"/>
    <n v="4.5999999999999996"/>
    <x v="12"/>
    <n v="7"/>
    <n v="114.30864197530863"/>
    <n v="21.718641975308628"/>
    <x v="1"/>
    <n v="1"/>
  </r>
  <r>
    <n v="4202"/>
    <n v="52"/>
    <s v="Female"/>
    <s v="Womens Clothing"/>
    <s v="Jeans"/>
    <n v="132.66999999999999"/>
    <s v="Autumn"/>
    <s v="Card"/>
    <n v="5"/>
    <x v="1"/>
    <n v="4"/>
    <n v="152.4942528735632"/>
    <n v="19.824252873563211"/>
    <x v="4"/>
    <n v="1"/>
  </r>
  <r>
    <n v="4203"/>
    <n v="49"/>
    <s v="Female"/>
    <s v="Groceries"/>
    <s v="Cooking Oil"/>
    <n v="44.3"/>
    <s v="Winter"/>
    <s v="Card"/>
    <n v="4.3"/>
    <x v="14"/>
    <n v="6"/>
    <n v="53.373493975903614"/>
    <n v="9.0734939759036166"/>
    <x v="4"/>
    <n v="1"/>
  </r>
  <r>
    <n v="4204"/>
    <n v="26"/>
    <s v="Female"/>
    <s v="Beauty"/>
    <s v="Perfume"/>
    <n v="76.87"/>
    <s v="Spring"/>
    <s v="Card"/>
    <n v="3"/>
    <x v="7"/>
    <n v="5"/>
    <n v="85.411111111111111"/>
    <n v="8.5411111111111069"/>
    <x v="5"/>
    <n v="1"/>
  </r>
  <r>
    <n v="4205"/>
    <n v="58"/>
    <s v="Male"/>
    <s v="Mens Clothing"/>
    <s v="Jacket"/>
    <n v="53.51"/>
    <s v="Spring"/>
    <s v="Card"/>
    <n v="4.4000000000000004"/>
    <x v="8"/>
    <n v="6"/>
    <n v="60.80681818181818"/>
    <n v="7.2968181818181819"/>
    <x v="0"/>
    <n v="1"/>
  </r>
  <r>
    <n v="4206"/>
    <n v="52"/>
    <s v="Male"/>
    <s v="Sports"/>
    <s v="Dumbbells"/>
    <n v="103.02"/>
    <s v="Autumn"/>
    <s v="Card"/>
    <n v="3.6"/>
    <x v="4"/>
    <n v="7"/>
    <n v="119.7906976744186"/>
    <n v="16.770697674418599"/>
    <x v="4"/>
    <n v="1"/>
  </r>
  <r>
    <n v="4207"/>
    <n v="64"/>
    <s v="Male"/>
    <s v="Footwear"/>
    <s v="Sneakers"/>
    <n v="184.26"/>
    <s v="Winter"/>
    <s v="Card"/>
    <n v="4.5999999999999996"/>
    <x v="8"/>
    <n v="1"/>
    <n v="209.38636363636363"/>
    <n v="25.126363636363635"/>
    <x v="0"/>
    <n v="1"/>
  </r>
  <r>
    <n v="4208"/>
    <n v="55"/>
    <s v="Female"/>
    <s v="Footwear"/>
    <s v="Sneakers"/>
    <n v="171.05"/>
    <s v="Autumn"/>
    <s v="Card"/>
    <n v="3.8"/>
    <x v="8"/>
    <n v="6"/>
    <n v="194.375"/>
    <n v="23.324999999999989"/>
    <x v="4"/>
    <n v="1"/>
  </r>
  <r>
    <n v="4209"/>
    <n v="67"/>
    <s v="Female"/>
    <s v="Accessories"/>
    <s v="Wallet"/>
    <n v="37.770000000000003"/>
    <s v="Winter"/>
    <s v="Cash on Delivery"/>
    <n v="4.5"/>
    <x v="3"/>
    <n v="5"/>
    <n v="47.212499999999999"/>
    <n v="9.4424999999999955"/>
    <x v="2"/>
    <n v="1"/>
  </r>
  <r>
    <n v="4210"/>
    <n v="41"/>
    <s v="Male"/>
    <s v="Home"/>
    <s v="Lamp"/>
    <n v="170.89"/>
    <s v="Autumn"/>
    <s v="Card"/>
    <n v="4.7"/>
    <x v="18"/>
    <n v="7"/>
    <n v="224.85526315789471"/>
    <n v="53.965263157894725"/>
    <x v="1"/>
    <n v="1"/>
  </r>
  <r>
    <n v="4211"/>
    <n v="23"/>
    <s v="Male"/>
    <s v="Footwear"/>
    <s v="Formal Shoes"/>
    <n v="249.42"/>
    <s v="Spring"/>
    <s v="Card"/>
    <n v="2.7"/>
    <x v="22"/>
    <n v="9"/>
    <n v="323.9220779220779"/>
    <n v="74.502077922077916"/>
    <x v="3"/>
    <n v="1"/>
  </r>
  <r>
    <n v="4212"/>
    <n v="66"/>
    <s v="Female"/>
    <s v="Footwear"/>
    <s v="Sandals"/>
    <n v="167.08"/>
    <s v="Spring"/>
    <s v="Card"/>
    <n v="4.2"/>
    <x v="18"/>
    <n v="7"/>
    <n v="219.84210526315792"/>
    <n v="52.762105263157906"/>
    <x v="2"/>
    <n v="1"/>
  </r>
  <r>
    <n v="4213"/>
    <n v="26"/>
    <s v="Female"/>
    <s v="Groceries"/>
    <s v="Cooking Oil"/>
    <n v="59.78"/>
    <s v="Autumn"/>
    <s v="Card"/>
    <n v="4.3"/>
    <x v="19"/>
    <n v="5"/>
    <n v="70.329411764705881"/>
    <n v="10.54941176470588"/>
    <x v="5"/>
    <n v="1"/>
  </r>
  <r>
    <n v="4214"/>
    <n v="44"/>
    <s v="Female"/>
    <s v="Womens Clothing"/>
    <s v="Top"/>
    <n v="32"/>
    <s v="Autumn"/>
    <s v="Card"/>
    <n v="5"/>
    <x v="4"/>
    <n v="7"/>
    <n v="37.209302325581397"/>
    <n v="5.2093023255813975"/>
    <x v="1"/>
    <n v="1"/>
  </r>
  <r>
    <n v="4215"/>
    <n v="36"/>
    <s v="Male"/>
    <s v="Sports"/>
    <s v="Yoga Mat"/>
    <n v="46.99"/>
    <s v="Spring"/>
    <s v="Cash on Delivery"/>
    <n v="3.7"/>
    <x v="5"/>
    <n v="4"/>
    <n v="51.076086956521742"/>
    <n v="4.0860869565217399"/>
    <x v="1"/>
    <n v="1"/>
  </r>
  <r>
    <n v="4216"/>
    <n v="31"/>
    <s v="Male"/>
    <s v="Footwear"/>
    <s v="Sneakers"/>
    <n v="82.9"/>
    <s v="Winter"/>
    <s v="Card"/>
    <n v="4.2"/>
    <x v="6"/>
    <n v="3"/>
    <n v="98.690476190476204"/>
    <n v="15.790476190476198"/>
    <x v="5"/>
    <n v="1"/>
  </r>
  <r>
    <n v="4217"/>
    <n v="69"/>
    <s v="Male"/>
    <s v="Footwear"/>
    <s v="Sneakers"/>
    <n v="245.86"/>
    <s v="Winter"/>
    <s v="Card"/>
    <n v="4"/>
    <x v="19"/>
    <n v="5"/>
    <n v="289.24705882352941"/>
    <n v="43.387058823529401"/>
    <x v="2"/>
    <n v="1"/>
  </r>
  <r>
    <n v="4218"/>
    <n v="48"/>
    <s v="Female"/>
    <s v="Accessories"/>
    <s v="Handbag"/>
    <n v="94.05"/>
    <s v="Spring"/>
    <s v="Cash on Delivery"/>
    <n v="4.3"/>
    <x v="7"/>
    <n v="5"/>
    <n v="104.5"/>
    <n v="10.450000000000003"/>
    <x v="4"/>
    <n v="1"/>
  </r>
  <r>
    <n v="4219"/>
    <n v="31"/>
    <s v="Female"/>
    <s v="Groceries"/>
    <s v="Rice Pack"/>
    <n v="9.39"/>
    <s v="Autumn"/>
    <s v="Card"/>
    <n v="4.2"/>
    <x v="4"/>
    <n v="2"/>
    <n v="10.918604651162791"/>
    <n v="1.5286046511627909"/>
    <x v="5"/>
    <n v="1"/>
  </r>
  <r>
    <n v="4220"/>
    <n v="33"/>
    <s v="Female"/>
    <s v="Footwear"/>
    <s v="Formal Shoes"/>
    <n v="115.37"/>
    <s v="Winter"/>
    <s v="Card"/>
    <n v="2.8"/>
    <x v="16"/>
    <n v="3"/>
    <n v="122.7340425531915"/>
    <n v="7.3640425531914957"/>
    <x v="5"/>
    <n v="1"/>
  </r>
  <r>
    <n v="4221"/>
    <n v="42"/>
    <s v="Male"/>
    <s v="Home"/>
    <s v="Lamp"/>
    <n v="288.26"/>
    <s v="Spring"/>
    <s v="Card"/>
    <n v="4.0999999999999996"/>
    <x v="7"/>
    <n v="5"/>
    <n v="320.28888888888889"/>
    <n v="32.028888888888901"/>
    <x v="1"/>
    <n v="1"/>
  </r>
  <r>
    <n v="4222"/>
    <n v="61"/>
    <s v="Male"/>
    <s v="Electronics"/>
    <s v="Mobile Phone"/>
    <n v="2235.09"/>
    <s v="Winter"/>
    <s v="Card"/>
    <n v="4.4000000000000004"/>
    <x v="4"/>
    <n v="7"/>
    <n v="2598.9418604651164"/>
    <n v="363.85186046511626"/>
    <x v="0"/>
    <n v="1"/>
  </r>
  <r>
    <n v="4223"/>
    <n v="62"/>
    <s v="Male"/>
    <s v="Sports"/>
    <s v="Football"/>
    <n v="173.92"/>
    <s v="Summer"/>
    <s v="Card"/>
    <n v="4.2"/>
    <x v="5"/>
    <n v="4"/>
    <n v="189.04347826086953"/>
    <n v="15.123478260869547"/>
    <x v="0"/>
    <n v="1"/>
  </r>
  <r>
    <n v="4224"/>
    <n v="29"/>
    <s v="Female"/>
    <s v="Beauty"/>
    <s v="Perfume"/>
    <n v="20.49"/>
    <s v="Spring"/>
    <s v="Cash on Delivery"/>
    <n v="3.7"/>
    <x v="4"/>
    <n v="7"/>
    <n v="23.825581395348834"/>
    <n v="3.3355813953488358"/>
    <x v="5"/>
    <n v="1"/>
  </r>
  <r>
    <n v="4225"/>
    <n v="23"/>
    <s v="Female"/>
    <s v="Beauty"/>
    <s v="Skincare Kit"/>
    <n v="46.62"/>
    <s v="Winter"/>
    <s v="Cash on Delivery"/>
    <n v="5"/>
    <x v="10"/>
    <n v="6"/>
    <n v="59.769230769230766"/>
    <n v="13.149230769230769"/>
    <x v="3"/>
    <n v="1"/>
  </r>
  <r>
    <n v="4226"/>
    <n v="49"/>
    <s v="Male"/>
    <s v="Electronics"/>
    <s v="Mobile Phone"/>
    <n v="2552"/>
    <s v="Autumn"/>
    <s v="Card"/>
    <n v="4.5"/>
    <x v="0"/>
    <n v="4"/>
    <n v="3112.1951219512193"/>
    <n v="560.19512195121933"/>
    <x v="4"/>
    <n v="1"/>
  </r>
  <r>
    <n v="4227"/>
    <n v="67"/>
    <s v="Male"/>
    <s v="Sports"/>
    <s v="Yoga Mat"/>
    <n v="123.27"/>
    <s v="Summer"/>
    <s v="Card"/>
    <n v="4.0999999999999996"/>
    <x v="8"/>
    <n v="6"/>
    <n v="140.07954545454544"/>
    <n v="16.809545454545443"/>
    <x v="2"/>
    <n v="1"/>
  </r>
  <r>
    <n v="4228"/>
    <n v="65"/>
    <s v="Male"/>
    <s v="Footwear"/>
    <s v="Formal Shoes"/>
    <n v="92.07"/>
    <s v="Summer"/>
    <s v="Cash on Delivery"/>
    <n v="4.2"/>
    <x v="0"/>
    <n v="4"/>
    <n v="112.28048780487804"/>
    <n v="20.210487804878042"/>
    <x v="0"/>
    <n v="1"/>
  </r>
  <r>
    <n v="4229"/>
    <n v="30"/>
    <s v="Female"/>
    <s v="Accessories"/>
    <s v="Wallet"/>
    <n v="37.86"/>
    <s v="Spring"/>
    <s v="Cash on Delivery"/>
    <n v="4.9000000000000004"/>
    <x v="6"/>
    <n v="3"/>
    <n v="45.071428571428569"/>
    <n v="7.21142857142857"/>
    <x v="5"/>
    <n v="1"/>
  </r>
  <r>
    <n v="4230"/>
    <n v="52"/>
    <s v="Male"/>
    <s v="Electronics"/>
    <s v="Smart Watch"/>
    <n v="1075.98"/>
    <s v="Autumn"/>
    <s v="Card"/>
    <n v="4"/>
    <x v="17"/>
    <n v="2"/>
    <n v="1120.8125"/>
    <n v="44.832499999999982"/>
    <x v="4"/>
    <n v="1"/>
  </r>
  <r>
    <n v="4231"/>
    <n v="70"/>
    <s v="Male"/>
    <s v="Footwear"/>
    <s v="Formal Shoes"/>
    <n v="71.55"/>
    <s v="Summer"/>
    <s v="Cash on Delivery"/>
    <n v="4.5"/>
    <x v="7"/>
    <n v="5"/>
    <n v="79.5"/>
    <n v="7.9500000000000028"/>
    <x v="2"/>
    <n v="1"/>
  </r>
  <r>
    <n v="4232"/>
    <n v="27"/>
    <s v="Male"/>
    <s v="Electronics"/>
    <s v="Headphones"/>
    <n v="2020.46"/>
    <s v="Autumn"/>
    <s v="Card"/>
    <n v="5"/>
    <x v="22"/>
    <n v="9"/>
    <n v="2623.9740259740261"/>
    <n v="603.51402597402603"/>
    <x v="5"/>
    <n v="1"/>
  </r>
  <r>
    <n v="4233"/>
    <n v="41"/>
    <s v="Female"/>
    <s v="Accessories"/>
    <s v="Handbag"/>
    <n v="55.11"/>
    <s v="Spring"/>
    <s v="Card"/>
    <n v="3.2"/>
    <x v="19"/>
    <n v="5"/>
    <n v="64.835294117647067"/>
    <n v="9.7252941176470671"/>
    <x v="1"/>
    <n v="1"/>
  </r>
  <r>
    <n v="4234"/>
    <n v="22"/>
    <s v="Female"/>
    <s v="Beauty"/>
    <s v="Makeup Set"/>
    <n v="120.3"/>
    <s v="Spring"/>
    <s v="Card"/>
    <n v="3.3"/>
    <x v="2"/>
    <n v="3"/>
    <n v="135.16853932584269"/>
    <n v="14.86853932584269"/>
    <x v="3"/>
    <n v="1"/>
  </r>
  <r>
    <n v="4235"/>
    <n v="50"/>
    <s v="Female"/>
    <s v="Accessories"/>
    <s v="Wallet"/>
    <n v="69.930000000000007"/>
    <s v="Autumn"/>
    <s v="Cash on Delivery"/>
    <n v="3.9"/>
    <x v="1"/>
    <n v="4"/>
    <n v="80.379310344827601"/>
    <n v="10.449310344827595"/>
    <x v="4"/>
    <n v="1"/>
  </r>
  <r>
    <n v="4236"/>
    <n v="27"/>
    <s v="Female"/>
    <s v="Womens Clothing"/>
    <s v="Top"/>
    <n v="185.32"/>
    <s v="Summer"/>
    <s v="Card"/>
    <n v="4.5"/>
    <x v="12"/>
    <n v="7"/>
    <n v="228.7901234567901"/>
    <n v="43.470123456790105"/>
    <x v="5"/>
    <n v="1"/>
  </r>
  <r>
    <n v="4237"/>
    <n v="28"/>
    <s v="Female"/>
    <s v="Accessories"/>
    <s v="Handbag"/>
    <n v="123.5"/>
    <s v="Spring"/>
    <s v="Card"/>
    <n v="3"/>
    <x v="4"/>
    <n v="2"/>
    <n v="143.6046511627907"/>
    <n v="20.104651162790702"/>
    <x v="5"/>
    <n v="1"/>
  </r>
  <r>
    <n v="4238"/>
    <n v="52"/>
    <s v="Male"/>
    <s v="Footwear"/>
    <s v="Formal Shoes"/>
    <n v="56.61"/>
    <s v="Summer"/>
    <s v="Cash on Delivery"/>
    <n v="2.9"/>
    <x v="19"/>
    <n v="5"/>
    <n v="66.599999999999994"/>
    <n v="9.9899999999999949"/>
    <x v="4"/>
    <n v="1"/>
  </r>
  <r>
    <n v="4239"/>
    <n v="32"/>
    <s v="Female"/>
    <s v="Womens Clothing"/>
    <s v="Top"/>
    <n v="60.63"/>
    <s v="Winter"/>
    <s v="Cash on Delivery"/>
    <n v="3.6"/>
    <x v="8"/>
    <n v="6"/>
    <n v="68.89772727272728"/>
    <n v="8.2677272727272779"/>
    <x v="5"/>
    <n v="1"/>
  </r>
  <r>
    <n v="4240"/>
    <n v="68"/>
    <s v="Female"/>
    <s v="Accessories"/>
    <s v="Wallet"/>
    <n v="80.92"/>
    <s v="Spring"/>
    <s v="Card"/>
    <n v="4"/>
    <x v="6"/>
    <n v="3"/>
    <n v="96.333333333333343"/>
    <n v="15.413333333333341"/>
    <x v="2"/>
    <n v="1"/>
  </r>
  <r>
    <n v="4241"/>
    <n v="52"/>
    <s v="Female"/>
    <s v="Accessories"/>
    <s v="Handbag"/>
    <n v="152.85"/>
    <s v="Autumn"/>
    <s v="Card"/>
    <n v="4.5"/>
    <x v="19"/>
    <n v="5"/>
    <n v="179.8235294117647"/>
    <n v="26.973529411764702"/>
    <x v="4"/>
    <n v="1"/>
  </r>
  <r>
    <n v="4242"/>
    <n v="29"/>
    <s v="Male"/>
    <s v="Electronics"/>
    <s v="Mobile Phone"/>
    <n v="2125.29"/>
    <s v="Winter"/>
    <s v="Card"/>
    <n v="3.2"/>
    <x v="19"/>
    <n v="5"/>
    <n v="2500.3411764705884"/>
    <n v="375.05117647058842"/>
    <x v="5"/>
    <n v="1"/>
  </r>
  <r>
    <n v="4243"/>
    <n v="58"/>
    <s v="Male"/>
    <s v="Mens Clothing"/>
    <s v="Jacket"/>
    <n v="123.77"/>
    <s v="Autumn"/>
    <s v="Card"/>
    <n v="3"/>
    <x v="14"/>
    <n v="6"/>
    <n v="149.12048192771084"/>
    <n v="25.350481927710845"/>
    <x v="0"/>
    <n v="1"/>
  </r>
  <r>
    <n v="4244"/>
    <n v="54"/>
    <s v="Female"/>
    <s v="Footwear"/>
    <s v="Sandals"/>
    <n v="90.38"/>
    <s v="Spring"/>
    <s v="Card"/>
    <n v="2.2000000000000002"/>
    <x v="2"/>
    <n v="3"/>
    <n v="101.55056179775281"/>
    <n v="11.170561797752811"/>
    <x v="4"/>
    <n v="1"/>
  </r>
  <r>
    <n v="4245"/>
    <n v="32"/>
    <s v="Male"/>
    <s v="Sports"/>
    <s v="Football"/>
    <n v="76.58"/>
    <s v="Summer"/>
    <s v="Card"/>
    <n v="3"/>
    <x v="0"/>
    <n v="4"/>
    <n v="93.390243902439011"/>
    <n v="16.810243902439012"/>
    <x v="5"/>
    <n v="1"/>
  </r>
  <r>
    <n v="4246"/>
    <n v="68"/>
    <s v="Female"/>
    <s v="Footwear"/>
    <s v="Sneakers"/>
    <n v="167.65"/>
    <s v="Summer"/>
    <s v="Card"/>
    <n v="4.4000000000000004"/>
    <x v="19"/>
    <n v="5"/>
    <n v="197.23529411764707"/>
    <n v="29.585294117647067"/>
    <x v="2"/>
    <n v="1"/>
  </r>
  <r>
    <n v="4247"/>
    <n v="29"/>
    <s v="Male"/>
    <s v="Sports"/>
    <s v="Yoga Mat"/>
    <n v="140.16999999999999"/>
    <s v="Spring"/>
    <s v="Card"/>
    <n v="3.1"/>
    <x v="4"/>
    <n v="2"/>
    <n v="162.98837209302323"/>
    <n v="22.818372093023243"/>
    <x v="5"/>
    <n v="1"/>
  </r>
  <r>
    <n v="4248"/>
    <n v="63"/>
    <s v="Female"/>
    <s v="Accessories"/>
    <s v="Wallet"/>
    <n v="159.29"/>
    <s v="Winter"/>
    <s v="Card"/>
    <n v="5"/>
    <x v="1"/>
    <n v="4"/>
    <n v="183.09195402298849"/>
    <n v="23.801954022988497"/>
    <x v="0"/>
    <n v="1"/>
  </r>
  <r>
    <n v="4249"/>
    <n v="51"/>
    <s v="Female"/>
    <s v="Womens Clothing"/>
    <s v="Top"/>
    <n v="182.14"/>
    <s v="Autumn"/>
    <s v="Card"/>
    <n v="3.3"/>
    <x v="0"/>
    <n v="4"/>
    <n v="222.12195121951217"/>
    <n v="39.981951219512183"/>
    <x v="4"/>
    <n v="1"/>
  </r>
  <r>
    <n v="4250"/>
    <n v="43"/>
    <s v="Female"/>
    <s v="Footwear"/>
    <s v="Formal Shoes"/>
    <n v="207.33"/>
    <s v="Autumn"/>
    <s v="Card"/>
    <n v="3.9"/>
    <x v="7"/>
    <n v="5"/>
    <n v="230.36666666666667"/>
    <n v="23.036666666666662"/>
    <x v="1"/>
    <n v="1"/>
  </r>
  <r>
    <n v="4251"/>
    <n v="20"/>
    <s v="Female"/>
    <s v="Beauty"/>
    <s v="Makeup Set"/>
    <n v="142.55000000000001"/>
    <s v="Autumn"/>
    <s v="Card"/>
    <n v="3.7"/>
    <x v="4"/>
    <n v="2"/>
    <n v="165.7558139534884"/>
    <n v="23.205813953488388"/>
    <x v="3"/>
    <n v="1"/>
  </r>
  <r>
    <n v="4252"/>
    <n v="24"/>
    <s v="Male"/>
    <s v="Sports"/>
    <s v="Dumbbells"/>
    <n v="28.41"/>
    <s v="Spring"/>
    <s v="Card"/>
    <n v="3.7"/>
    <x v="0"/>
    <n v="4"/>
    <n v="34.646341463414629"/>
    <n v="6.2363414634146288"/>
    <x v="3"/>
    <n v="1"/>
  </r>
  <r>
    <n v="4253"/>
    <n v="22"/>
    <s v="Female"/>
    <s v="Home"/>
    <s v="Kitchen Set"/>
    <n v="53.87"/>
    <s v="Summer"/>
    <s v="Card"/>
    <n v="3.7"/>
    <x v="13"/>
    <n v="2"/>
    <n v="59.19780219780219"/>
    <n v="5.3278021978021926"/>
    <x v="3"/>
    <n v="1"/>
  </r>
  <r>
    <n v="4254"/>
    <n v="40"/>
    <s v="Male"/>
    <s v="Electronics"/>
    <s v="Laptop"/>
    <n v="2648.55"/>
    <s v="Autumn"/>
    <s v="Card"/>
    <n v="5"/>
    <x v="6"/>
    <n v="8"/>
    <n v="3153.0357142857147"/>
    <n v="504.48571428571449"/>
    <x v="1"/>
    <n v="1"/>
  </r>
  <r>
    <n v="4255"/>
    <n v="56"/>
    <s v="Male"/>
    <s v="Electronics"/>
    <s v="Headphones"/>
    <n v="2273.5300000000002"/>
    <s v="Summer"/>
    <s v="Card"/>
    <n v="3.9"/>
    <x v="27"/>
    <n v="10"/>
    <n v="3031.3733333333334"/>
    <n v="757.84333333333325"/>
    <x v="0"/>
    <n v="1"/>
  </r>
  <r>
    <n v="4256"/>
    <n v="68"/>
    <s v="Female"/>
    <s v="Sports"/>
    <s v="Football"/>
    <n v="118.12"/>
    <s v="Winter"/>
    <s v="Card"/>
    <n v="3.3"/>
    <x v="10"/>
    <n v="6"/>
    <n v="151.43589743589743"/>
    <n v="33.315897435897426"/>
    <x v="2"/>
    <n v="1"/>
  </r>
  <r>
    <n v="4257"/>
    <n v="39"/>
    <s v="Female"/>
    <s v="Footwear"/>
    <s v="Sandals"/>
    <n v="226.03"/>
    <s v="Winter"/>
    <s v="Card"/>
    <n v="3.8"/>
    <x v="3"/>
    <n v="5"/>
    <n v="282.53749999999997"/>
    <n v="56.507499999999965"/>
    <x v="1"/>
    <n v="1"/>
  </r>
  <r>
    <n v="4258"/>
    <n v="45"/>
    <s v="Female"/>
    <s v="Womens Clothing"/>
    <s v="Top"/>
    <n v="78.87"/>
    <s v="Spring"/>
    <s v="Cash on Delivery"/>
    <n v="3.7"/>
    <x v="0"/>
    <n v="4"/>
    <n v="96.182926829268297"/>
    <n v="17.312926829268292"/>
    <x v="1"/>
    <n v="1"/>
  </r>
  <r>
    <n v="4259"/>
    <n v="63"/>
    <s v="Male"/>
    <s v="Sports"/>
    <s v="Football"/>
    <n v="119.9"/>
    <s v="Autumn"/>
    <s v="Card"/>
    <n v="4.5999999999999996"/>
    <x v="25"/>
    <n v="10"/>
    <n v="171.28571428571431"/>
    <n v="51.3857142857143"/>
    <x v="0"/>
    <n v="1"/>
  </r>
  <r>
    <n v="4260"/>
    <n v="46"/>
    <s v="Female"/>
    <s v="Accessories"/>
    <s v="Handbag"/>
    <n v="64.95"/>
    <s v="Autumn"/>
    <s v="Cash on Delivery"/>
    <n v="3.6"/>
    <x v="8"/>
    <n v="1"/>
    <n v="73.806818181818187"/>
    <n v="8.8568181818181841"/>
    <x v="4"/>
    <n v="1"/>
  </r>
  <r>
    <n v="4261"/>
    <n v="34"/>
    <s v="Male"/>
    <s v="Footwear"/>
    <s v="Sandals"/>
    <n v="103.26"/>
    <s v="Winter"/>
    <s v="Card"/>
    <n v="5"/>
    <x v="19"/>
    <n v="5"/>
    <n v="121.48235294117649"/>
    <n v="18.222352941176482"/>
    <x v="5"/>
    <n v="1"/>
  </r>
  <r>
    <n v="4262"/>
    <n v="69"/>
    <s v="Male"/>
    <s v="Electronics"/>
    <s v="Headphones"/>
    <n v="1019.98"/>
    <s v="Spring"/>
    <s v="Card"/>
    <n v="4.5"/>
    <x v="0"/>
    <n v="4"/>
    <n v="1243.8780487804877"/>
    <n v="223.89804878048767"/>
    <x v="2"/>
    <n v="1"/>
  </r>
  <r>
    <n v="4263"/>
    <n v="48"/>
    <s v="Female"/>
    <s v="Accessories"/>
    <s v="Sunglasses"/>
    <n v="177.11"/>
    <s v="Autumn"/>
    <s v="Card"/>
    <n v="4.7"/>
    <x v="16"/>
    <n v="3"/>
    <n v="188.41489361702131"/>
    <n v="11.304893617021293"/>
    <x v="4"/>
    <n v="1"/>
  </r>
  <r>
    <n v="4264"/>
    <n v="68"/>
    <s v="Female"/>
    <s v="Womens Clothing"/>
    <s v="Top"/>
    <n v="102.76"/>
    <s v="Spring"/>
    <s v="Card"/>
    <n v="3.5"/>
    <x v="14"/>
    <n v="6"/>
    <n v="123.80722891566266"/>
    <n v="21.047228915662657"/>
    <x v="2"/>
    <n v="1"/>
  </r>
  <r>
    <n v="4265"/>
    <n v="58"/>
    <s v="Male"/>
    <s v="Mens Clothing"/>
    <s v="T-Shirt"/>
    <n v="115.46"/>
    <s v="Spring"/>
    <s v="Card"/>
    <n v="5"/>
    <x v="4"/>
    <n v="7"/>
    <n v="134.25581395348837"/>
    <n v="18.795813953488377"/>
    <x v="0"/>
    <n v="1"/>
  </r>
  <r>
    <n v="4266"/>
    <n v="23"/>
    <s v="Male"/>
    <s v="Mens Clothing"/>
    <s v="Jacket"/>
    <n v="180.94"/>
    <s v="Summer"/>
    <s v="Card"/>
    <n v="3.9"/>
    <x v="4"/>
    <n v="7"/>
    <n v="210.3953488372093"/>
    <n v="29.4553488372093"/>
    <x v="3"/>
    <n v="1"/>
  </r>
  <r>
    <n v="4267"/>
    <n v="62"/>
    <s v="Female"/>
    <s v="Accessories"/>
    <s v="Wallet"/>
    <n v="155.55000000000001"/>
    <s v="Autumn"/>
    <s v="Card"/>
    <n v="3.9"/>
    <x v="10"/>
    <n v="6"/>
    <n v="199.42307692307693"/>
    <n v="43.873076923076923"/>
    <x v="0"/>
    <n v="1"/>
  </r>
  <r>
    <n v="4268"/>
    <n v="41"/>
    <s v="Female"/>
    <s v="Groceries"/>
    <s v="Beverages"/>
    <n v="8.82"/>
    <s v="Winter"/>
    <s v="Cash on Delivery"/>
    <n v="3.6"/>
    <x v="16"/>
    <n v="3"/>
    <n v="9.382978723404257"/>
    <n v="0.5629787234042567"/>
    <x v="1"/>
    <n v="1"/>
  </r>
  <r>
    <n v="4269"/>
    <n v="38"/>
    <s v="Female"/>
    <s v="Womens Clothing"/>
    <s v="Skirt"/>
    <n v="87.41"/>
    <s v="Spring"/>
    <s v="Card"/>
    <n v="3.8"/>
    <x v="15"/>
    <n v="1"/>
    <n v="89.193877551020407"/>
    <n v="1.7838775510204101"/>
    <x v="1"/>
    <n v="1"/>
  </r>
  <r>
    <n v="4270"/>
    <n v="48"/>
    <s v="Male"/>
    <s v="Sports"/>
    <s v="Football"/>
    <n v="134.24"/>
    <s v="Autumn"/>
    <s v="Card"/>
    <n v="2.7"/>
    <x v="4"/>
    <n v="7"/>
    <n v="156.09302325581396"/>
    <n v="21.853023255813952"/>
    <x v="4"/>
    <n v="1"/>
  </r>
  <r>
    <n v="4271"/>
    <n v="48"/>
    <s v="Female"/>
    <s v="Beauty"/>
    <s v="Perfume"/>
    <n v="101.02"/>
    <s v="Summer"/>
    <s v="Card"/>
    <n v="4"/>
    <x v="10"/>
    <n v="6"/>
    <n v="129.5128205128205"/>
    <n v="28.492820512820501"/>
    <x v="4"/>
    <n v="1"/>
  </r>
  <r>
    <n v="4272"/>
    <n v="27"/>
    <s v="Female"/>
    <s v="Sports"/>
    <s v="Dumbbells"/>
    <n v="83.72"/>
    <s v="Spring"/>
    <s v="Card"/>
    <n v="3"/>
    <x v="10"/>
    <n v="6"/>
    <n v="107.33333333333333"/>
    <n v="23.61333333333333"/>
    <x v="5"/>
    <n v="1"/>
  </r>
  <r>
    <n v="4273"/>
    <n v="64"/>
    <s v="Male"/>
    <s v="Mens Clothing"/>
    <s v="Jacket"/>
    <n v="71.42"/>
    <s v="Spring"/>
    <s v="Cash on Delivery"/>
    <n v="2.8"/>
    <x v="7"/>
    <n v="5"/>
    <n v="79.355555555555554"/>
    <n v="7.9355555555555526"/>
    <x v="0"/>
    <n v="1"/>
  </r>
  <r>
    <n v="4274"/>
    <n v="62"/>
    <s v="Female"/>
    <s v="Womens Clothing"/>
    <s v="Skirt"/>
    <n v="89.76"/>
    <s v="Autumn"/>
    <s v="Card"/>
    <n v="4.5999999999999996"/>
    <x v="24"/>
    <n v="9"/>
    <n v="124.66666666666667"/>
    <n v="34.906666666666666"/>
    <x v="0"/>
    <n v="1"/>
  </r>
  <r>
    <n v="4275"/>
    <n v="46"/>
    <s v="Male"/>
    <s v="Electronics"/>
    <s v="Mobile Phone"/>
    <n v="683.7"/>
    <s v="Spring"/>
    <s v="Card"/>
    <n v="3.8"/>
    <x v="11"/>
    <n v="8"/>
    <n v="923.91891891891896"/>
    <n v="240.21891891891892"/>
    <x v="4"/>
    <n v="1"/>
  </r>
  <r>
    <n v="4276"/>
    <n v="58"/>
    <s v="Male"/>
    <s v="Sports"/>
    <s v="Dumbbells"/>
    <n v="151.74"/>
    <s v="Autumn"/>
    <s v="Card"/>
    <n v="4.4000000000000004"/>
    <x v="6"/>
    <n v="8"/>
    <n v="180.64285714285717"/>
    <n v="28.902857142857158"/>
    <x v="0"/>
    <n v="1"/>
  </r>
  <r>
    <n v="4277"/>
    <n v="58"/>
    <s v="Male"/>
    <s v="Footwear"/>
    <s v="Sneakers"/>
    <n v="72.22"/>
    <s v="Winter"/>
    <s v="Card"/>
    <n v="2.6"/>
    <x v="6"/>
    <n v="8"/>
    <n v="85.976190476190482"/>
    <n v="13.756190476190483"/>
    <x v="0"/>
    <n v="1"/>
  </r>
  <r>
    <n v="4278"/>
    <n v="25"/>
    <s v="Male"/>
    <s v="Groceries"/>
    <s v="Snacks"/>
    <n v="53.37"/>
    <s v="Autumn"/>
    <s v="Cash on Delivery"/>
    <n v="3.5"/>
    <x v="11"/>
    <n v="8"/>
    <n v="72.121621621621614"/>
    <n v="18.751621621621616"/>
    <x v="3"/>
    <n v="1"/>
  </r>
  <r>
    <n v="4279"/>
    <n v="49"/>
    <s v="Male"/>
    <s v="Sports"/>
    <s v="Yoga Mat"/>
    <n v="33.07"/>
    <s v="Winter"/>
    <s v="Card"/>
    <n v="2.9"/>
    <x v="10"/>
    <n v="6"/>
    <n v="42.397435897435898"/>
    <n v="9.3274358974358975"/>
    <x v="4"/>
    <n v="1"/>
  </r>
  <r>
    <n v="4280"/>
    <n v="33"/>
    <s v="Female"/>
    <s v="Accessories"/>
    <s v="Sunglasses"/>
    <n v="61.92"/>
    <s v="Spring"/>
    <s v="Cash on Delivery"/>
    <n v="4.2"/>
    <x v="24"/>
    <n v="9"/>
    <n v="86"/>
    <n v="24.08"/>
    <x v="5"/>
    <n v="1"/>
  </r>
  <r>
    <n v="4281"/>
    <n v="43"/>
    <s v="Male"/>
    <s v="Sports"/>
    <s v="Dumbbells"/>
    <n v="88.84"/>
    <s v="Autumn"/>
    <s v="Card"/>
    <n v="3.5"/>
    <x v="6"/>
    <n v="8"/>
    <n v="105.76190476190477"/>
    <n v="16.92190476190477"/>
    <x v="1"/>
    <n v="1"/>
  </r>
  <r>
    <n v="4282"/>
    <n v="46"/>
    <s v="Female"/>
    <s v="Footwear"/>
    <s v="Sneakers"/>
    <n v="213.67"/>
    <s v="Summer"/>
    <s v="Card"/>
    <n v="3.8"/>
    <x v="1"/>
    <n v="4"/>
    <n v="245.59770114942526"/>
    <n v="31.927701149425275"/>
    <x v="4"/>
    <n v="1"/>
  </r>
  <r>
    <n v="4283"/>
    <n v="32"/>
    <s v="Male"/>
    <s v="Electronics"/>
    <s v="Smart Watch"/>
    <n v="744.74"/>
    <s v="Winter"/>
    <s v="Card"/>
    <n v="2.9"/>
    <x v="17"/>
    <n v="2"/>
    <n v="775.77083333333337"/>
    <n v="31.030833333333362"/>
    <x v="5"/>
    <n v="1"/>
  </r>
  <r>
    <n v="4284"/>
    <n v="64"/>
    <s v="Female"/>
    <s v="Womens Clothing"/>
    <s v="Jeans"/>
    <n v="199.4"/>
    <s v="Spring"/>
    <s v="Card"/>
    <n v="3.2"/>
    <x v="2"/>
    <n v="3"/>
    <n v="224.04494382022472"/>
    <n v="24.644943820224711"/>
    <x v="0"/>
    <n v="1"/>
  </r>
  <r>
    <n v="4285"/>
    <n v="67"/>
    <s v="Female"/>
    <s v="Womens Clothing"/>
    <s v="Dress"/>
    <n v="122.67"/>
    <s v="Autumn"/>
    <s v="Card"/>
    <n v="3.6"/>
    <x v="18"/>
    <n v="7"/>
    <n v="161.40789473684211"/>
    <n v="38.737894736842108"/>
    <x v="2"/>
    <n v="1"/>
  </r>
  <r>
    <n v="4286"/>
    <n v="56"/>
    <s v="Female"/>
    <s v="Womens Clothing"/>
    <s v="Jeans"/>
    <n v="81.62"/>
    <s v="Spring"/>
    <s v="Card"/>
    <n v="4.0999999999999996"/>
    <x v="10"/>
    <n v="6"/>
    <n v="104.64102564102565"/>
    <n v="23.021025641025645"/>
    <x v="0"/>
    <n v="1"/>
  </r>
  <r>
    <n v="4287"/>
    <n v="51"/>
    <s v="Female"/>
    <s v="Groceries"/>
    <s v="Snacks"/>
    <n v="50.86"/>
    <s v="Summer"/>
    <s v="Cash on Delivery"/>
    <n v="3.4"/>
    <x v="3"/>
    <n v="5"/>
    <n v="63.574999999999996"/>
    <n v="12.714999999999996"/>
    <x v="4"/>
    <n v="1"/>
  </r>
  <r>
    <n v="4288"/>
    <n v="42"/>
    <s v="Female"/>
    <s v="Footwear"/>
    <s v="Formal Shoes"/>
    <n v="50.03"/>
    <s v="Spring"/>
    <s v="Cash on Delivery"/>
    <n v="4.0999999999999996"/>
    <x v="8"/>
    <n v="6"/>
    <n v="56.852272727272727"/>
    <n v="6.8222727272727255"/>
    <x v="1"/>
    <n v="1"/>
  </r>
  <r>
    <n v="4289"/>
    <n v="46"/>
    <s v="Male"/>
    <s v="Footwear"/>
    <s v="Formal Shoes"/>
    <n v="140.4"/>
    <s v="Winter"/>
    <s v="Card"/>
    <n v="3.5"/>
    <x v="0"/>
    <n v="9"/>
    <n v="171.21951219512195"/>
    <n v="30.819512195121945"/>
    <x v="4"/>
    <n v="1"/>
  </r>
  <r>
    <n v="4290"/>
    <n v="29"/>
    <s v="Female"/>
    <s v="Beauty"/>
    <s v="Perfume"/>
    <n v="52.2"/>
    <s v="Winter"/>
    <s v="Card"/>
    <n v="4.3"/>
    <x v="16"/>
    <n v="3"/>
    <n v="55.531914893617028"/>
    <n v="3.3319148936170251"/>
    <x v="5"/>
    <n v="1"/>
  </r>
  <r>
    <n v="4291"/>
    <n v="67"/>
    <s v="Male"/>
    <s v="Sports"/>
    <s v="Dumbbells"/>
    <n v="161.66999999999999"/>
    <s v="Spring"/>
    <s v="Card"/>
    <n v="2.8"/>
    <x v="7"/>
    <n v="5"/>
    <n v="179.63333333333333"/>
    <n v="17.963333333333338"/>
    <x v="2"/>
    <n v="1"/>
  </r>
  <r>
    <n v="4292"/>
    <n v="61"/>
    <s v="Male"/>
    <s v="Sports"/>
    <s v="Dumbbells"/>
    <n v="116.32"/>
    <s v="Autumn"/>
    <s v="Card"/>
    <n v="3.6"/>
    <x v="6"/>
    <n v="3"/>
    <n v="138.47619047619048"/>
    <n v="22.156190476190488"/>
    <x v="0"/>
    <n v="1"/>
  </r>
  <r>
    <n v="4293"/>
    <n v="63"/>
    <s v="Female"/>
    <s v="Beauty"/>
    <s v="Skincare Kit"/>
    <n v="88.46"/>
    <s v="Winter"/>
    <s v="Cash on Delivery"/>
    <n v="4.2"/>
    <x v="0"/>
    <n v="4"/>
    <n v="107.87804878048779"/>
    <n v="19.418048780487794"/>
    <x v="0"/>
    <n v="1"/>
  </r>
  <r>
    <n v="4294"/>
    <n v="20"/>
    <s v="Male"/>
    <s v="Mens Clothing"/>
    <s v="T-Shirt"/>
    <n v="175.64"/>
    <s v="Summer"/>
    <s v="Card"/>
    <n v="4"/>
    <x v="21"/>
    <n v="8"/>
    <n v="222.3291139240506"/>
    <n v="46.689113924050616"/>
    <x v="3"/>
    <n v="1"/>
  </r>
  <r>
    <n v="4295"/>
    <n v="68"/>
    <s v="Female"/>
    <s v="Footwear"/>
    <s v="Sandals"/>
    <n v="109.35"/>
    <s v="Summer"/>
    <s v="Card"/>
    <n v="4.2"/>
    <x v="19"/>
    <n v="5"/>
    <n v="128.64705882352942"/>
    <n v="19.297058823529426"/>
    <x v="2"/>
    <n v="1"/>
  </r>
  <r>
    <n v="4296"/>
    <n v="41"/>
    <s v="Female"/>
    <s v="Home"/>
    <s v="Lamp"/>
    <n v="63.09"/>
    <s v="Autumn"/>
    <s v="Card"/>
    <n v="4.0999999999999996"/>
    <x v="3"/>
    <n v="5"/>
    <n v="78.862499999999997"/>
    <n v="15.772499999999994"/>
    <x v="1"/>
    <n v="1"/>
  </r>
  <r>
    <n v="4297"/>
    <n v="66"/>
    <s v="Male"/>
    <s v="Mens Clothing"/>
    <s v="T-Shirt"/>
    <n v="177.68"/>
    <s v="Winter"/>
    <s v="Card"/>
    <n v="4.5999999999999996"/>
    <x v="10"/>
    <n v="6"/>
    <n v="227.7948717948718"/>
    <n v="50.114871794871789"/>
    <x v="2"/>
    <n v="1"/>
  </r>
  <r>
    <n v="4298"/>
    <n v="53"/>
    <s v="Male"/>
    <s v="Sports"/>
    <s v="Football"/>
    <n v="203.97"/>
    <s v="Spring"/>
    <s v="Card"/>
    <n v="3.8"/>
    <x v="16"/>
    <n v="3"/>
    <n v="216.98936170212767"/>
    <n v="13.019361702127668"/>
    <x v="4"/>
    <n v="1"/>
  </r>
  <r>
    <n v="4299"/>
    <n v="66"/>
    <s v="Male"/>
    <s v="Footwear"/>
    <s v="Sandals"/>
    <n v="55.18"/>
    <s v="Spring"/>
    <s v="Cash on Delivery"/>
    <n v="5"/>
    <x v="6"/>
    <n v="8"/>
    <n v="65.69047619047619"/>
    <n v="10.51047619047619"/>
    <x v="2"/>
    <n v="1"/>
  </r>
  <r>
    <n v="4300"/>
    <n v="58"/>
    <s v="Female"/>
    <s v="Beauty"/>
    <s v="Perfume"/>
    <n v="120.91"/>
    <s v="Winter"/>
    <s v="Card"/>
    <n v="4.2"/>
    <x v="0"/>
    <n v="4"/>
    <n v="147.45121951219511"/>
    <n v="26.541219512195113"/>
    <x v="0"/>
    <n v="1"/>
  </r>
  <r>
    <n v="4301"/>
    <n v="65"/>
    <s v="Female"/>
    <s v="Footwear"/>
    <s v="Sneakers"/>
    <n v="107.79"/>
    <s v="Summer"/>
    <s v="Card"/>
    <n v="3.9"/>
    <x v="8"/>
    <n v="6"/>
    <n v="122.48863636363637"/>
    <n v="14.698636363636368"/>
    <x v="0"/>
    <n v="1"/>
  </r>
  <r>
    <n v="4302"/>
    <n v="22"/>
    <s v="Female"/>
    <s v="Beauty"/>
    <s v="Skincare Kit"/>
    <n v="88.76"/>
    <s v="Spring"/>
    <s v="Card"/>
    <n v="4"/>
    <x v="21"/>
    <n v="8"/>
    <n v="112.35443037974683"/>
    <n v="23.594430379746825"/>
    <x v="3"/>
    <n v="1"/>
  </r>
  <r>
    <n v="4303"/>
    <n v="41"/>
    <s v="Male"/>
    <s v="Sports"/>
    <s v="Dumbbells"/>
    <n v="131.51"/>
    <s v="Winter"/>
    <s v="Card"/>
    <n v="3.4"/>
    <x v="4"/>
    <n v="7"/>
    <n v="152.91860465116278"/>
    <n v="21.40860465116279"/>
    <x v="1"/>
    <n v="1"/>
  </r>
  <r>
    <n v="4304"/>
    <n v="54"/>
    <s v="Male"/>
    <s v="Home"/>
    <s v="Kitchen Set"/>
    <n v="58.82"/>
    <s v="Summer"/>
    <s v="Cash on Delivery"/>
    <n v="3.8"/>
    <x v="22"/>
    <n v="9"/>
    <n v="76.389610389610382"/>
    <n v="17.569610389610382"/>
    <x v="4"/>
    <n v="1"/>
  </r>
  <r>
    <n v="4305"/>
    <n v="62"/>
    <s v="Male"/>
    <s v="Mens Clothing"/>
    <s v="T-Shirt"/>
    <n v="184.53"/>
    <s v="Winter"/>
    <s v="Card"/>
    <n v="4.2"/>
    <x v="24"/>
    <n v="9"/>
    <n v="256.29166666666669"/>
    <n v="71.761666666666684"/>
    <x v="0"/>
    <n v="1"/>
  </r>
  <r>
    <n v="4306"/>
    <n v="65"/>
    <s v="Male"/>
    <s v="Electronics"/>
    <s v="Smart Watch"/>
    <n v="2803.45"/>
    <s v="Spring"/>
    <s v="Card"/>
    <n v="3.1"/>
    <x v="8"/>
    <n v="1"/>
    <n v="3185.738636363636"/>
    <n v="382.28863636363621"/>
    <x v="0"/>
    <n v="1"/>
  </r>
  <r>
    <n v="4307"/>
    <n v="54"/>
    <s v="Female"/>
    <s v="Accessories"/>
    <s v="Wallet"/>
    <n v="91.94"/>
    <s v="Autumn"/>
    <s v="Card"/>
    <n v="3.6"/>
    <x v="6"/>
    <n v="3"/>
    <n v="109.45238095238095"/>
    <n v="17.512380952380951"/>
    <x v="4"/>
    <n v="1"/>
  </r>
  <r>
    <n v="4308"/>
    <n v="45"/>
    <s v="Male"/>
    <s v="Home"/>
    <s v="Curtains"/>
    <n v="130.44999999999999"/>
    <s v="Winter"/>
    <s v="Card"/>
    <n v="4.5"/>
    <x v="4"/>
    <n v="7"/>
    <n v="151.68604651162789"/>
    <n v="21.236046511627904"/>
    <x v="1"/>
    <n v="1"/>
  </r>
  <r>
    <n v="4309"/>
    <n v="34"/>
    <s v="Male"/>
    <s v="Home"/>
    <s v="Lamp"/>
    <n v="225"/>
    <s v="Summer"/>
    <s v="Card"/>
    <n v="3.2"/>
    <x v="4"/>
    <n v="2"/>
    <n v="261.62790697674421"/>
    <n v="36.627906976744214"/>
    <x v="5"/>
    <n v="1"/>
  </r>
  <r>
    <n v="4310"/>
    <n v="32"/>
    <s v="Male"/>
    <s v="Footwear"/>
    <s v="Sandals"/>
    <n v="237.39"/>
    <s v="Autumn"/>
    <s v="Card"/>
    <n v="5"/>
    <x v="18"/>
    <n v="7"/>
    <n v="312.35526315789474"/>
    <n v="74.965263157894753"/>
    <x v="5"/>
    <n v="1"/>
  </r>
  <r>
    <n v="4311"/>
    <n v="52"/>
    <s v="Female"/>
    <s v="Accessories"/>
    <s v="Sunglasses"/>
    <n v="36.25"/>
    <s v="Winter"/>
    <s v="Cash on Delivery"/>
    <n v="4"/>
    <x v="14"/>
    <n v="6"/>
    <n v="43.674698795180724"/>
    <n v="7.4246987951807242"/>
    <x v="4"/>
    <n v="1"/>
  </r>
  <r>
    <n v="4312"/>
    <n v="53"/>
    <s v="Male"/>
    <s v="Footwear"/>
    <s v="Formal Shoes"/>
    <n v="70.209999999999994"/>
    <s v="Spring"/>
    <s v="Card"/>
    <n v="3"/>
    <x v="5"/>
    <n v="4"/>
    <n v="76.315217391304344"/>
    <n v="6.1052173913043504"/>
    <x v="4"/>
    <n v="1"/>
  </r>
  <r>
    <n v="4313"/>
    <n v="38"/>
    <s v="Female"/>
    <s v="Womens Clothing"/>
    <s v="Dress"/>
    <n v="136.24"/>
    <s v="Winter"/>
    <s v="Card"/>
    <n v="3.9"/>
    <x v="5"/>
    <n v="4"/>
    <n v="148.08695652173913"/>
    <n v="11.846956521739116"/>
    <x v="1"/>
    <n v="1"/>
  </r>
  <r>
    <n v="4314"/>
    <n v="44"/>
    <s v="Female"/>
    <s v="Womens Clothing"/>
    <s v="Skirt"/>
    <n v="159.32"/>
    <s v="Autumn"/>
    <s v="Card"/>
    <n v="4.3"/>
    <x v="7"/>
    <n v="5"/>
    <n v="177.02222222222221"/>
    <n v="17.702222222222218"/>
    <x v="1"/>
    <n v="1"/>
  </r>
  <r>
    <n v="4315"/>
    <n v="27"/>
    <s v="Male"/>
    <s v="Home"/>
    <s v="Curtains"/>
    <n v="105.26"/>
    <s v="Winter"/>
    <s v="Card"/>
    <n v="3.7"/>
    <x v="19"/>
    <n v="5"/>
    <n v="123.83529411764707"/>
    <n v="18.575294117647061"/>
    <x v="5"/>
    <n v="1"/>
  </r>
  <r>
    <n v="4316"/>
    <n v="55"/>
    <s v="Female"/>
    <s v="Home"/>
    <s v="Lamp"/>
    <n v="214.41"/>
    <s v="Winter"/>
    <s v="Card"/>
    <n v="3.7"/>
    <x v="2"/>
    <n v="3"/>
    <n v="240.91011235955057"/>
    <n v="26.50011235955057"/>
    <x v="4"/>
    <n v="1"/>
  </r>
  <r>
    <n v="4317"/>
    <n v="42"/>
    <s v="Female"/>
    <s v="Womens Clothing"/>
    <s v="Skirt"/>
    <n v="101.15"/>
    <s v="Autumn"/>
    <s v="Card"/>
    <n v="2.6"/>
    <x v="8"/>
    <n v="6"/>
    <n v="114.94318181818183"/>
    <n v="13.793181818181822"/>
    <x v="1"/>
    <n v="1"/>
  </r>
  <r>
    <n v="4318"/>
    <n v="39"/>
    <s v="Female"/>
    <s v="Groceries"/>
    <s v="Rice Pack"/>
    <n v="23.86"/>
    <s v="Summer"/>
    <s v="Cash on Delivery"/>
    <n v="3.7"/>
    <x v="4"/>
    <n v="7"/>
    <n v="27.744186046511629"/>
    <n v="3.8841860465116298"/>
    <x v="1"/>
    <n v="1"/>
  </r>
  <r>
    <n v="4319"/>
    <n v="38"/>
    <s v="Male"/>
    <s v="Footwear"/>
    <s v="Sneakers"/>
    <n v="206.88"/>
    <s v="Winter"/>
    <s v="Card"/>
    <n v="4.5"/>
    <x v="22"/>
    <n v="9"/>
    <n v="268.67532467532465"/>
    <n v="61.79532467532465"/>
    <x v="1"/>
    <n v="1"/>
  </r>
  <r>
    <n v="4320"/>
    <n v="33"/>
    <s v="Female"/>
    <s v="Womens Clothing"/>
    <s v="Jeans"/>
    <n v="152.85"/>
    <s v="Winter"/>
    <s v="Card"/>
    <n v="2.9"/>
    <x v="14"/>
    <n v="6"/>
    <n v="184.15662650602411"/>
    <n v="31.306626506024116"/>
    <x v="5"/>
    <n v="1"/>
  </r>
  <r>
    <n v="4321"/>
    <n v="41"/>
    <s v="Female"/>
    <s v="Womens Clothing"/>
    <s v="Top"/>
    <n v="131.57"/>
    <s v="Summer"/>
    <s v="Card"/>
    <n v="5"/>
    <x v="13"/>
    <n v="2"/>
    <n v="144.58241758241758"/>
    <n v="13.012417582417584"/>
    <x v="1"/>
    <n v="1"/>
  </r>
  <r>
    <n v="4322"/>
    <n v="46"/>
    <s v="Male"/>
    <s v="Sports"/>
    <s v="Football"/>
    <n v="61.71"/>
    <s v="Autumn"/>
    <s v="Card"/>
    <n v="4.8"/>
    <x v="0"/>
    <n v="4"/>
    <n v="75.256097560975604"/>
    <n v="13.546097560975603"/>
    <x v="4"/>
    <n v="1"/>
  </r>
  <r>
    <n v="4323"/>
    <n v="33"/>
    <s v="Female"/>
    <s v="Sports"/>
    <s v="Yoga Mat"/>
    <n v="146.32"/>
    <s v="Autumn"/>
    <s v="Card"/>
    <n v="3.9"/>
    <x v="4"/>
    <n v="2"/>
    <n v="170.13953488372093"/>
    <n v="23.819534883720934"/>
    <x v="5"/>
    <n v="1"/>
  </r>
  <r>
    <n v="4324"/>
    <n v="30"/>
    <s v="Male"/>
    <s v="Sports"/>
    <s v="Football"/>
    <n v="176.43"/>
    <s v="Autumn"/>
    <s v="Card"/>
    <n v="3.9"/>
    <x v="7"/>
    <n v="5"/>
    <n v="196.03333333333333"/>
    <n v="19.603333333333325"/>
    <x v="5"/>
    <n v="1"/>
  </r>
  <r>
    <n v="4325"/>
    <n v="40"/>
    <s v="Male"/>
    <s v="Footwear"/>
    <s v="Sneakers"/>
    <n v="180.35"/>
    <s v="Autumn"/>
    <s v="Card"/>
    <n v="3.5"/>
    <x v="7"/>
    <n v="5"/>
    <n v="200.38888888888889"/>
    <n v="20.038888888888891"/>
    <x v="1"/>
    <n v="1"/>
  </r>
  <r>
    <n v="4326"/>
    <n v="31"/>
    <s v="Female"/>
    <s v="Home"/>
    <s v="Lamp"/>
    <n v="46.08"/>
    <s v="Autumn"/>
    <s v="Card"/>
    <n v="3"/>
    <x v="14"/>
    <n v="6"/>
    <n v="55.518072289156628"/>
    <n v="9.4380722891566293"/>
    <x v="5"/>
    <n v="1"/>
  </r>
  <r>
    <n v="4327"/>
    <n v="52"/>
    <s v="Female"/>
    <s v="Beauty"/>
    <s v="Makeup Set"/>
    <n v="89.09"/>
    <s v="Autumn"/>
    <s v="Cash on Delivery"/>
    <n v="4.4000000000000004"/>
    <x v="8"/>
    <n v="6"/>
    <n v="101.23863636363637"/>
    <n v="12.148636363636371"/>
    <x v="4"/>
    <n v="1"/>
  </r>
  <r>
    <n v="4328"/>
    <n v="65"/>
    <s v="Female"/>
    <s v="Sports"/>
    <s v="Yoga Mat"/>
    <n v="100.42"/>
    <s v="Autumn"/>
    <s v="Card"/>
    <n v="3.8"/>
    <x v="10"/>
    <n v="6"/>
    <n v="128.74358974358975"/>
    <n v="28.32358974358975"/>
    <x v="0"/>
    <n v="1"/>
  </r>
  <r>
    <n v="4329"/>
    <n v="48"/>
    <s v="Male"/>
    <s v="Mens Clothing"/>
    <s v="T-Shirt"/>
    <n v="89.83"/>
    <s v="Summer"/>
    <s v="Card"/>
    <n v="4.0999999999999996"/>
    <x v="3"/>
    <n v="5"/>
    <n v="112.28749999999999"/>
    <n v="22.457499999999996"/>
    <x v="4"/>
    <n v="1"/>
  </r>
  <r>
    <n v="4330"/>
    <n v="54"/>
    <s v="Male"/>
    <s v="Electronics"/>
    <s v="Mobile Phone"/>
    <n v="970.58"/>
    <s v="Summer"/>
    <s v="Card"/>
    <n v="4.7"/>
    <x v="0"/>
    <n v="9"/>
    <n v="1183.6341463414633"/>
    <n v="213.05414634146325"/>
    <x v="4"/>
    <n v="1"/>
  </r>
  <r>
    <n v="4331"/>
    <n v="33"/>
    <s v="Male"/>
    <s v="Electronics"/>
    <s v="Laptop"/>
    <n v="1987.37"/>
    <s v="Summer"/>
    <s v="Card"/>
    <n v="3.9"/>
    <x v="4"/>
    <n v="2"/>
    <n v="2310.895348837209"/>
    <n v="323.52534883720909"/>
    <x v="5"/>
    <n v="1"/>
  </r>
  <r>
    <n v="4332"/>
    <n v="56"/>
    <s v="Male"/>
    <s v="Electronics"/>
    <s v="Smart Watch"/>
    <n v="2918.5"/>
    <s v="Winter"/>
    <s v="Card"/>
    <n v="2.8"/>
    <x v="19"/>
    <n v="5"/>
    <n v="3433.5294117647059"/>
    <n v="515.02941176470586"/>
    <x v="0"/>
    <n v="1"/>
  </r>
  <r>
    <n v="4333"/>
    <n v="41"/>
    <s v="Female"/>
    <s v="Sports"/>
    <s v="Yoga Mat"/>
    <n v="25.82"/>
    <s v="Summer"/>
    <s v="Card"/>
    <n v="4.4000000000000004"/>
    <x v="6"/>
    <n v="3"/>
    <n v="30.738095238095241"/>
    <n v="4.9180952380952405"/>
    <x v="1"/>
    <n v="1"/>
  </r>
  <r>
    <n v="4334"/>
    <n v="65"/>
    <s v="Male"/>
    <s v="Footwear"/>
    <s v="Formal Shoes"/>
    <n v="72.739999999999995"/>
    <s v="Winter"/>
    <s v="Card"/>
    <n v="3"/>
    <x v="8"/>
    <n v="6"/>
    <n v="82.659090909090907"/>
    <n v="9.9190909090909116"/>
    <x v="0"/>
    <n v="1"/>
  </r>
  <r>
    <n v="4335"/>
    <n v="32"/>
    <s v="Female"/>
    <s v="Beauty"/>
    <s v="Skincare Kit"/>
    <n v="139.69999999999999"/>
    <s v="Summer"/>
    <s v="Card"/>
    <n v="3.1"/>
    <x v="3"/>
    <n v="5"/>
    <n v="174.62499999999997"/>
    <n v="34.924999999999983"/>
    <x v="5"/>
    <n v="1"/>
  </r>
  <r>
    <n v="4336"/>
    <n v="49"/>
    <s v="Female"/>
    <s v="Footwear"/>
    <s v="Formal Shoes"/>
    <n v="59.06"/>
    <s v="Spring"/>
    <s v="Cash on Delivery"/>
    <n v="2.9"/>
    <x v="4"/>
    <n v="7"/>
    <n v="68.674418604651166"/>
    <n v="9.6144186046511635"/>
    <x v="4"/>
    <n v="1"/>
  </r>
  <r>
    <n v="4337"/>
    <n v="61"/>
    <s v="Male"/>
    <s v="Sports"/>
    <s v="Football"/>
    <n v="101.88"/>
    <s v="Spring"/>
    <s v="Card"/>
    <n v="3.9"/>
    <x v="2"/>
    <n v="3"/>
    <n v="114.47191011235954"/>
    <n v="12.591910112359542"/>
    <x v="0"/>
    <n v="1"/>
  </r>
  <r>
    <n v="4338"/>
    <n v="54"/>
    <s v="Male"/>
    <s v="Sports"/>
    <s v="Football"/>
    <n v="92.18"/>
    <s v="Spring"/>
    <s v="Card"/>
    <n v="3.3"/>
    <x v="2"/>
    <n v="3"/>
    <n v="103.57303370786518"/>
    <n v="11.393033707865172"/>
    <x v="4"/>
    <n v="1"/>
  </r>
  <r>
    <n v="4339"/>
    <n v="50"/>
    <s v="Female"/>
    <s v="Sports"/>
    <s v="Football"/>
    <n v="118.5"/>
    <s v="Summer"/>
    <s v="Card"/>
    <n v="4.5999999999999996"/>
    <x v="3"/>
    <n v="10"/>
    <n v="148.125"/>
    <n v="29.625"/>
    <x v="4"/>
    <n v="1"/>
  </r>
  <r>
    <n v="4340"/>
    <n v="61"/>
    <s v="Male"/>
    <s v="Electronics"/>
    <s v="Mobile Phone"/>
    <n v="1079.3399999999999"/>
    <s v="Autumn"/>
    <s v="Card"/>
    <n v="3.6"/>
    <x v="11"/>
    <n v="8"/>
    <n v="1458.5675675675675"/>
    <n v="379.22756756756758"/>
    <x v="0"/>
    <n v="1"/>
  </r>
  <r>
    <n v="4341"/>
    <n v="60"/>
    <s v="Female"/>
    <s v="Beauty"/>
    <s v="Perfume"/>
    <n v="65.44"/>
    <s v="Autumn"/>
    <s v="Cash on Delivery"/>
    <n v="5"/>
    <x v="6"/>
    <n v="3"/>
    <n v="77.904761904761898"/>
    <n v="12.4647619047619"/>
    <x v="0"/>
    <n v="1"/>
  </r>
  <r>
    <n v="4342"/>
    <n v="42"/>
    <s v="Female"/>
    <s v="Beauty"/>
    <s v="Skincare Kit"/>
    <n v="25.79"/>
    <s v="Winter"/>
    <s v="Cash on Delivery"/>
    <n v="4"/>
    <x v="5"/>
    <n v="4"/>
    <n v="28.032608695652172"/>
    <n v="2.2426086956521729"/>
    <x v="1"/>
    <n v="1"/>
  </r>
  <r>
    <n v="4343"/>
    <n v="45"/>
    <s v="Female"/>
    <s v="Footwear"/>
    <s v="Sandals"/>
    <n v="50.12"/>
    <s v="Winter"/>
    <s v="Cash on Delivery"/>
    <n v="3.3"/>
    <x v="13"/>
    <n v="2"/>
    <n v="55.076923076923073"/>
    <n v="4.9569230769230757"/>
    <x v="1"/>
    <n v="1"/>
  </r>
  <r>
    <n v="4344"/>
    <n v="28"/>
    <s v="Male"/>
    <s v="Sports"/>
    <s v="Yoga Mat"/>
    <n v="131.99"/>
    <s v="Winter"/>
    <s v="Card"/>
    <n v="4"/>
    <x v="22"/>
    <n v="9"/>
    <n v="171.41558441558442"/>
    <n v="39.42558441558441"/>
    <x v="5"/>
    <n v="1"/>
  </r>
  <r>
    <n v="4345"/>
    <n v="53"/>
    <s v="Female"/>
    <s v="Footwear"/>
    <s v="Sandals"/>
    <n v="56.27"/>
    <s v="Spring"/>
    <s v="Cash on Delivery"/>
    <n v="3.3"/>
    <x v="6"/>
    <n v="8"/>
    <n v="66.988095238095241"/>
    <n v="10.718095238095238"/>
    <x v="4"/>
    <n v="1"/>
  </r>
  <r>
    <n v="4346"/>
    <n v="59"/>
    <s v="Male"/>
    <s v="Electronics"/>
    <s v="Laptop"/>
    <n v="639.16999999999996"/>
    <s v="Winter"/>
    <s v="Card"/>
    <n v="3.9"/>
    <x v="6"/>
    <n v="8"/>
    <n v="760.91666666666663"/>
    <n v="121.74666666666667"/>
    <x v="0"/>
    <n v="1"/>
  </r>
  <r>
    <n v="4347"/>
    <n v="42"/>
    <s v="Female"/>
    <s v="Footwear"/>
    <s v="Formal Shoes"/>
    <n v="56.5"/>
    <s v="Spring"/>
    <s v="Card"/>
    <n v="4.0999999999999996"/>
    <x v="5"/>
    <n v="4"/>
    <n v="61.413043478260867"/>
    <n v="4.9130434782608674"/>
    <x v="1"/>
    <n v="1"/>
  </r>
  <r>
    <n v="4348"/>
    <n v="69"/>
    <s v="Female"/>
    <s v="Sports"/>
    <s v="Football"/>
    <n v="49.1"/>
    <s v="Summer"/>
    <s v="Cash on Delivery"/>
    <n v="3"/>
    <x v="10"/>
    <n v="6"/>
    <n v="62.948717948717949"/>
    <n v="13.848717948717947"/>
    <x v="2"/>
    <n v="1"/>
  </r>
  <r>
    <n v="4349"/>
    <n v="70"/>
    <s v="Female"/>
    <s v="Accessories"/>
    <s v="Wallet"/>
    <n v="27.04"/>
    <s v="Winter"/>
    <s v="Card"/>
    <n v="3.9"/>
    <x v="6"/>
    <n v="3"/>
    <n v="32.19047619047619"/>
    <n v="5.1504761904761907"/>
    <x v="2"/>
    <n v="1"/>
  </r>
  <r>
    <n v="4350"/>
    <n v="69"/>
    <s v="Male"/>
    <s v="Footwear"/>
    <s v="Sneakers"/>
    <n v="116.04"/>
    <s v="Winter"/>
    <s v="Card"/>
    <n v="3.3"/>
    <x v="14"/>
    <n v="6"/>
    <n v="139.80722891566268"/>
    <n v="23.76722891566267"/>
    <x v="2"/>
    <n v="1"/>
  </r>
  <r>
    <n v="4351"/>
    <n v="21"/>
    <s v="Female"/>
    <s v="Sports"/>
    <s v="Yoga Mat"/>
    <n v="130.69999999999999"/>
    <s v="Autumn"/>
    <s v="Card"/>
    <n v="3.5"/>
    <x v="7"/>
    <n v="5"/>
    <n v="145.2222222222222"/>
    <n v="14.522222222222211"/>
    <x v="3"/>
    <n v="1"/>
  </r>
  <r>
    <n v="4352"/>
    <n v="23"/>
    <s v="Male"/>
    <s v="Electronics"/>
    <s v="Mobile Phone"/>
    <n v="1990.13"/>
    <s v="Spring"/>
    <s v="Card"/>
    <n v="4.0999999999999996"/>
    <x v="7"/>
    <n v="0"/>
    <n v="2211.2555555555555"/>
    <n v="221.12555555555537"/>
    <x v="3"/>
    <n v="1"/>
  </r>
  <r>
    <n v="4353"/>
    <n v="59"/>
    <s v="Female"/>
    <s v="Footwear"/>
    <s v="Sneakers"/>
    <n v="198.56"/>
    <s v="Summer"/>
    <s v="Card"/>
    <n v="3.4"/>
    <x v="7"/>
    <n v="5"/>
    <n v="220.62222222222221"/>
    <n v="22.062222222222204"/>
    <x v="0"/>
    <n v="1"/>
  </r>
  <r>
    <n v="4354"/>
    <n v="68"/>
    <s v="Female"/>
    <s v="Accessories"/>
    <s v="Sunglasses"/>
    <n v="116.6"/>
    <s v="Winter"/>
    <s v="Card"/>
    <n v="3.4"/>
    <x v="6"/>
    <n v="3"/>
    <n v="138.8095238095238"/>
    <n v="22.209523809523802"/>
    <x v="2"/>
    <n v="1"/>
  </r>
  <r>
    <n v="4355"/>
    <n v="41"/>
    <s v="Male"/>
    <s v="Mens Clothing"/>
    <s v="Shirt"/>
    <n v="143.78"/>
    <s v="Winter"/>
    <s v="Card"/>
    <n v="3.6"/>
    <x v="18"/>
    <n v="12"/>
    <n v="189.18421052631578"/>
    <n v="45.404210526315779"/>
    <x v="1"/>
    <n v="1"/>
  </r>
  <r>
    <n v="4356"/>
    <n v="22"/>
    <s v="Male"/>
    <s v="Footwear"/>
    <s v="Formal Shoes"/>
    <n v="72.510000000000005"/>
    <s v="Spring"/>
    <s v="Cash on Delivery"/>
    <n v="3.7"/>
    <x v="2"/>
    <n v="3"/>
    <n v="81.471910112359552"/>
    <n v="8.961910112359547"/>
    <x v="3"/>
    <n v="1"/>
  </r>
  <r>
    <n v="4357"/>
    <n v="20"/>
    <s v="Male"/>
    <s v="Footwear"/>
    <s v="Formal Shoes"/>
    <n v="238.67"/>
    <s v="Spring"/>
    <s v="Card"/>
    <n v="4.0999999999999996"/>
    <x v="8"/>
    <n v="6"/>
    <n v="271.21590909090907"/>
    <n v="32.545909090909078"/>
    <x v="3"/>
    <n v="1"/>
  </r>
  <r>
    <n v="4358"/>
    <n v="52"/>
    <s v="Male"/>
    <s v="Mens Clothing"/>
    <s v="Shirt"/>
    <n v="164.35"/>
    <s v="Winter"/>
    <s v="Card"/>
    <n v="4.0999999999999996"/>
    <x v="17"/>
    <n v="2"/>
    <n v="171.19791666666666"/>
    <n v="6.8479166666666629"/>
    <x v="4"/>
    <n v="1"/>
  </r>
  <r>
    <n v="4359"/>
    <n v="69"/>
    <s v="Male"/>
    <s v="Electronics"/>
    <s v="Headphones"/>
    <n v="1339.11"/>
    <s v="Autumn"/>
    <s v="Card"/>
    <n v="3.5"/>
    <x v="13"/>
    <n v="2"/>
    <n v="1471.5494505494503"/>
    <n v="132.43945054945038"/>
    <x v="2"/>
    <n v="1"/>
  </r>
  <r>
    <n v="4360"/>
    <n v="42"/>
    <s v="Male"/>
    <s v="Sports"/>
    <s v="Dumbbells"/>
    <n v="198.2"/>
    <s v="Autumn"/>
    <s v="Card"/>
    <n v="3.3"/>
    <x v="5"/>
    <n v="4"/>
    <n v="215.43478260869563"/>
    <n v="17.234782608695639"/>
    <x v="1"/>
    <n v="1"/>
  </r>
  <r>
    <n v="4361"/>
    <n v="37"/>
    <s v="Male"/>
    <s v="Groceries"/>
    <s v="Cooking Oil"/>
    <n v="62.87"/>
    <s v="Summer"/>
    <s v="Cash on Delivery"/>
    <n v="3.5"/>
    <x v="4"/>
    <n v="7"/>
    <n v="73.104651162790702"/>
    <n v="10.234651162790705"/>
    <x v="1"/>
    <n v="1"/>
  </r>
  <r>
    <n v="4362"/>
    <n v="29"/>
    <s v="Female"/>
    <s v="Womens Clothing"/>
    <s v="Dress"/>
    <n v="150.07"/>
    <s v="Spring"/>
    <s v="Card"/>
    <n v="3.9"/>
    <x v="12"/>
    <n v="7"/>
    <n v="185.27160493827159"/>
    <n v="35.201604938271601"/>
    <x v="5"/>
    <n v="1"/>
  </r>
  <r>
    <n v="4363"/>
    <n v="51"/>
    <s v="Male"/>
    <s v="Groceries"/>
    <s v="Cooking Oil"/>
    <n v="71.540000000000006"/>
    <s v="Winter"/>
    <s v="Cash on Delivery"/>
    <n v="3.5"/>
    <x v="6"/>
    <n v="3"/>
    <n v="85.166666666666671"/>
    <n v="13.626666666666665"/>
    <x v="4"/>
    <n v="1"/>
  </r>
  <r>
    <n v="4364"/>
    <n v="26"/>
    <s v="Female"/>
    <s v="Womens Clothing"/>
    <s v="Skirt"/>
    <n v="43.22"/>
    <s v="Spring"/>
    <s v="Cash on Delivery"/>
    <n v="2.9"/>
    <x v="15"/>
    <n v="1"/>
    <n v="44.102040816326529"/>
    <n v="0.88204081632652986"/>
    <x v="5"/>
    <n v="1"/>
  </r>
  <r>
    <n v="4365"/>
    <n v="49"/>
    <s v="Male"/>
    <s v="Footwear"/>
    <s v="Sandals"/>
    <n v="173.46"/>
    <s v="Autumn"/>
    <s v="Card"/>
    <n v="3.8"/>
    <x v="10"/>
    <n v="6"/>
    <n v="222.38461538461539"/>
    <n v="48.924615384615379"/>
    <x v="4"/>
    <n v="1"/>
  </r>
  <r>
    <n v="4366"/>
    <n v="47"/>
    <s v="Male"/>
    <s v="Home"/>
    <s v="Lamp"/>
    <n v="286.8"/>
    <s v="Spring"/>
    <s v="Card"/>
    <n v="5"/>
    <x v="12"/>
    <n v="7"/>
    <n v="354.07407407407408"/>
    <n v="67.274074074074065"/>
    <x v="4"/>
    <n v="1"/>
  </r>
  <r>
    <n v="4367"/>
    <n v="30"/>
    <s v="Male"/>
    <s v="Mens Clothing"/>
    <s v="Jacket"/>
    <n v="83.11"/>
    <s v="Autumn"/>
    <s v="Card"/>
    <n v="3.6"/>
    <x v="4"/>
    <n v="2"/>
    <n v="96.639534883720927"/>
    <n v="13.529534883720927"/>
    <x v="5"/>
    <n v="1"/>
  </r>
  <r>
    <n v="4368"/>
    <n v="22"/>
    <s v="Female"/>
    <s v="Beauty"/>
    <s v="Perfume"/>
    <n v="27.57"/>
    <s v="Spring"/>
    <s v="Cash on Delivery"/>
    <n v="4.0999999999999996"/>
    <x v="4"/>
    <n v="7"/>
    <n v="32.058139534883722"/>
    <n v="4.4881395348837216"/>
    <x v="3"/>
    <n v="1"/>
  </r>
  <r>
    <n v="4369"/>
    <n v="46"/>
    <s v="Female"/>
    <s v="Footwear"/>
    <s v="Sneakers"/>
    <n v="208.33"/>
    <s v="Winter"/>
    <s v="Card"/>
    <n v="3.9"/>
    <x v="5"/>
    <n v="4"/>
    <n v="226.44565217391306"/>
    <n v="18.115652173913048"/>
    <x v="4"/>
    <n v="1"/>
  </r>
  <r>
    <n v="4370"/>
    <n v="57"/>
    <s v="Female"/>
    <s v="Womens Clothing"/>
    <s v="Dress"/>
    <n v="43.06"/>
    <s v="Winter"/>
    <s v="Card"/>
    <n v="5"/>
    <x v="3"/>
    <n v="5"/>
    <n v="53.825000000000003"/>
    <n v="10.765000000000001"/>
    <x v="0"/>
    <n v="1"/>
  </r>
  <r>
    <n v="4371"/>
    <n v="63"/>
    <s v="Female"/>
    <s v="Groceries"/>
    <s v="Beverages"/>
    <n v="42.76"/>
    <s v="Autumn"/>
    <s v="Cash on Delivery"/>
    <n v="4.3"/>
    <x v="18"/>
    <n v="7"/>
    <n v="56.263157894736835"/>
    <n v="13.503157894736837"/>
    <x v="0"/>
    <n v="1"/>
  </r>
  <r>
    <n v="4372"/>
    <n v="54"/>
    <s v="Male"/>
    <s v="Mens Clothing"/>
    <s v="Jacket"/>
    <n v="80.56"/>
    <s v="Summer"/>
    <s v="Card"/>
    <n v="4"/>
    <x v="11"/>
    <n v="8"/>
    <n v="108.86486486486487"/>
    <n v="28.304864864864868"/>
    <x v="4"/>
    <n v="1"/>
  </r>
  <r>
    <n v="4373"/>
    <n v="32"/>
    <s v="Female"/>
    <s v="Womens Clothing"/>
    <s v="Skirt"/>
    <n v="59.17"/>
    <s v="Winter"/>
    <s v="Card"/>
    <n v="3"/>
    <x v="8"/>
    <n v="6"/>
    <n v="67.23863636363636"/>
    <n v="8.0686363636363581"/>
    <x v="5"/>
    <n v="1"/>
  </r>
  <r>
    <n v="4374"/>
    <n v="69"/>
    <s v="Male"/>
    <s v="Groceries"/>
    <s v="Rice Pack"/>
    <n v="58.67"/>
    <s v="Winter"/>
    <s v="Cash on Delivery"/>
    <n v="4.7"/>
    <x v="24"/>
    <n v="9"/>
    <n v="81.486111111111114"/>
    <n v="22.816111111111113"/>
    <x v="2"/>
    <n v="1"/>
  </r>
  <r>
    <n v="4375"/>
    <n v="65"/>
    <s v="Male"/>
    <s v="Electronics"/>
    <s v="Laptop"/>
    <n v="2600.4699999999998"/>
    <s v="Autumn"/>
    <s v="Card"/>
    <n v="2.1"/>
    <x v="1"/>
    <n v="4"/>
    <n v="2989.045977011494"/>
    <n v="388.57597701149416"/>
    <x v="0"/>
    <n v="1"/>
  </r>
  <r>
    <n v="4376"/>
    <n v="57"/>
    <s v="Female"/>
    <s v="Womens Clothing"/>
    <s v="Skirt"/>
    <n v="54.73"/>
    <s v="Autumn"/>
    <s v="Cash on Delivery"/>
    <n v="3.7"/>
    <x v="10"/>
    <n v="11"/>
    <n v="70.166666666666657"/>
    <n v="15.43666666666666"/>
    <x v="0"/>
    <n v="1"/>
  </r>
  <r>
    <n v="4377"/>
    <n v="27"/>
    <s v="Male"/>
    <s v="Footwear"/>
    <s v="Sandals"/>
    <n v="66.290000000000006"/>
    <s v="Autumn"/>
    <s v="Cash on Delivery"/>
    <n v="3"/>
    <x v="2"/>
    <n v="3"/>
    <n v="74.483146067415731"/>
    <n v="8.193146067415725"/>
    <x v="5"/>
    <n v="1"/>
  </r>
  <r>
    <n v="4378"/>
    <n v="40"/>
    <s v="Female"/>
    <s v="Womens Clothing"/>
    <s v="Jeans"/>
    <n v="65.430000000000007"/>
    <s v="Spring"/>
    <s v="Card"/>
    <n v="3.6"/>
    <x v="4"/>
    <n v="2"/>
    <n v="76.081395348837219"/>
    <n v="10.651395348837212"/>
    <x v="1"/>
    <n v="1"/>
  </r>
  <r>
    <n v="4379"/>
    <n v="62"/>
    <s v="Male"/>
    <s v="Sports"/>
    <s v="Yoga Mat"/>
    <n v="50.26"/>
    <s v="Winter"/>
    <s v="Cash on Delivery"/>
    <n v="2.8"/>
    <x v="12"/>
    <n v="7"/>
    <n v="62.049382716049379"/>
    <n v="11.789382716049381"/>
    <x v="0"/>
    <n v="1"/>
  </r>
  <r>
    <n v="4380"/>
    <n v="27"/>
    <s v="Female"/>
    <s v="Beauty"/>
    <s v="Makeup Set"/>
    <n v="125.15"/>
    <s v="Summer"/>
    <s v="Card"/>
    <n v="3.9"/>
    <x v="0"/>
    <n v="4"/>
    <n v="152.6219512195122"/>
    <n v="27.471951219512192"/>
    <x v="5"/>
    <n v="1"/>
  </r>
  <r>
    <n v="4381"/>
    <n v="62"/>
    <s v="Male"/>
    <s v="Footwear"/>
    <s v="Sneakers"/>
    <n v="166.81"/>
    <s v="Winter"/>
    <s v="Card"/>
    <n v="4.5999999999999996"/>
    <x v="24"/>
    <n v="9"/>
    <n v="231.68055555555557"/>
    <n v="64.870555555555569"/>
    <x v="0"/>
    <n v="1"/>
  </r>
  <r>
    <n v="4382"/>
    <n v="46"/>
    <s v="Female"/>
    <s v="Womens Clothing"/>
    <s v="Skirt"/>
    <n v="141.44999999999999"/>
    <s v="Summer"/>
    <s v="Card"/>
    <n v="5"/>
    <x v="4"/>
    <n v="7"/>
    <n v="164.47674418604649"/>
    <n v="23.0267441860465"/>
    <x v="4"/>
    <n v="1"/>
  </r>
  <r>
    <n v="4383"/>
    <n v="60"/>
    <s v="Male"/>
    <s v="Footwear"/>
    <s v="Sneakers"/>
    <n v="167.45"/>
    <s v="Spring"/>
    <s v="Card"/>
    <n v="4.4000000000000004"/>
    <x v="26"/>
    <n v="0"/>
    <n v="176.26315789473685"/>
    <n v="8.813157894736861"/>
    <x v="0"/>
    <n v="1"/>
  </r>
  <r>
    <n v="4384"/>
    <n v="62"/>
    <s v="Male"/>
    <s v="Footwear"/>
    <s v="Formal Shoes"/>
    <n v="151.56"/>
    <s v="Spring"/>
    <s v="Card"/>
    <n v="4.0999999999999996"/>
    <x v="1"/>
    <n v="4"/>
    <n v="174.20689655172413"/>
    <n v="22.646896551724126"/>
    <x v="0"/>
    <n v="1"/>
  </r>
  <r>
    <n v="4385"/>
    <n v="49"/>
    <s v="Male"/>
    <s v="Mens Clothing"/>
    <s v="T-Shirt"/>
    <n v="49.58"/>
    <s v="Autumn"/>
    <s v="Cash on Delivery"/>
    <n v="4.5999999999999996"/>
    <x v="21"/>
    <n v="8"/>
    <n v="62.759493670886073"/>
    <n v="13.179493670886075"/>
    <x v="4"/>
    <n v="1"/>
  </r>
  <r>
    <n v="4386"/>
    <n v="21"/>
    <s v="Female"/>
    <s v="Footwear"/>
    <s v="Formal Shoes"/>
    <n v="170.32"/>
    <s v="Spring"/>
    <s v="Card"/>
    <n v="4.8"/>
    <x v="21"/>
    <n v="8"/>
    <n v="215.59493670886073"/>
    <n v="45.274936708860736"/>
    <x v="3"/>
    <n v="1"/>
  </r>
  <r>
    <n v="4387"/>
    <n v="25"/>
    <s v="Female"/>
    <s v="Accessories"/>
    <s v="Sunglasses"/>
    <n v="30.47"/>
    <s v="Winter"/>
    <s v="Card"/>
    <n v="4.5"/>
    <x v="3"/>
    <n v="5"/>
    <n v="38.087499999999999"/>
    <n v="7.6174999999999997"/>
    <x v="3"/>
    <n v="1"/>
  </r>
  <r>
    <n v="4388"/>
    <n v="50"/>
    <s v="Male"/>
    <s v="Groceries"/>
    <s v="Rice Pack"/>
    <n v="10.5"/>
    <s v="Winter"/>
    <s v="Cash on Delivery"/>
    <n v="4.5"/>
    <x v="11"/>
    <n v="8"/>
    <n v="14.189189189189189"/>
    <n v="3.6891891891891895"/>
    <x v="4"/>
    <n v="1"/>
  </r>
  <r>
    <n v="4389"/>
    <n v="63"/>
    <s v="Male"/>
    <s v="Electronics"/>
    <s v="Headphones"/>
    <n v="2558.44"/>
    <s v="Spring"/>
    <s v="Card"/>
    <n v="4.2"/>
    <x v="16"/>
    <n v="3"/>
    <n v="2721.744680851064"/>
    <n v="163.30468085106395"/>
    <x v="0"/>
    <n v="1"/>
  </r>
  <r>
    <n v="4390"/>
    <n v="58"/>
    <s v="Female"/>
    <s v="Womens Clothing"/>
    <s v="Jeans"/>
    <n v="32.71"/>
    <s v="Spring"/>
    <s v="Cash on Delivery"/>
    <n v="3.4"/>
    <x v="14"/>
    <n v="6"/>
    <n v="39.409638554216869"/>
    <n v="6.6996385542168682"/>
    <x v="0"/>
    <n v="1"/>
  </r>
  <r>
    <n v="4391"/>
    <n v="25"/>
    <s v="Male"/>
    <s v="Sports"/>
    <s v="Football"/>
    <n v="203.65"/>
    <s v="Summer"/>
    <s v="Card"/>
    <n v="4.7"/>
    <x v="11"/>
    <n v="13"/>
    <n v="275.20270270270271"/>
    <n v="71.552702702702703"/>
    <x v="3"/>
    <n v="1"/>
  </r>
  <r>
    <n v="4392"/>
    <n v="66"/>
    <s v="Female"/>
    <s v="Home"/>
    <s v="Kitchen Set"/>
    <n v="186.33"/>
    <s v="Summer"/>
    <s v="Card"/>
    <n v="3.9"/>
    <x v="8"/>
    <n v="6"/>
    <n v="211.73863636363637"/>
    <n v="25.408636363636361"/>
    <x v="2"/>
    <n v="1"/>
  </r>
  <r>
    <n v="4393"/>
    <n v="63"/>
    <s v="Female"/>
    <s v="Sports"/>
    <s v="Yoga Mat"/>
    <n v="154.41"/>
    <s v="Autumn"/>
    <s v="Card"/>
    <n v="3.5"/>
    <x v="6"/>
    <n v="3"/>
    <n v="183.82142857142858"/>
    <n v="29.411428571428587"/>
    <x v="0"/>
    <n v="1"/>
  </r>
  <r>
    <n v="4394"/>
    <n v="70"/>
    <s v="Female"/>
    <s v="Beauty"/>
    <s v="Perfume"/>
    <n v="105.45"/>
    <s v="Autumn"/>
    <s v="Card"/>
    <n v="3.2"/>
    <x v="6"/>
    <n v="3"/>
    <n v="125.53571428571429"/>
    <n v="20.085714285714289"/>
    <x v="2"/>
    <n v="1"/>
  </r>
  <r>
    <n v="4395"/>
    <n v="28"/>
    <s v="Female"/>
    <s v="Groceries"/>
    <s v="Snacks"/>
    <n v="71.260000000000005"/>
    <s v="Autumn"/>
    <s v="Card"/>
    <n v="3.6"/>
    <x v="2"/>
    <n v="3"/>
    <n v="80.067415730337089"/>
    <n v="8.8074157303370839"/>
    <x v="5"/>
    <n v="1"/>
  </r>
  <r>
    <n v="4396"/>
    <n v="28"/>
    <s v="Female"/>
    <s v="Footwear"/>
    <s v="Sneakers"/>
    <n v="210.09"/>
    <s v="Summer"/>
    <s v="Card"/>
    <n v="4.4000000000000004"/>
    <x v="18"/>
    <n v="7"/>
    <n v="276.43421052631578"/>
    <n v="66.344210526315777"/>
    <x v="5"/>
    <n v="1"/>
  </r>
  <r>
    <n v="4397"/>
    <n v="36"/>
    <s v="Female"/>
    <s v="Beauty"/>
    <s v="Perfume"/>
    <n v="28.51"/>
    <s v="Spring"/>
    <s v="Card"/>
    <n v="2.9"/>
    <x v="6"/>
    <n v="3"/>
    <n v="33.940476190476197"/>
    <n v="5.4304761904761953"/>
    <x v="1"/>
    <n v="1"/>
  </r>
  <r>
    <n v="4398"/>
    <n v="47"/>
    <s v="Female"/>
    <s v="Beauty"/>
    <s v="Skincare Kit"/>
    <n v="108.76"/>
    <s v="Spring"/>
    <s v="Card"/>
    <n v="3.7"/>
    <x v="16"/>
    <n v="3"/>
    <n v="115.70212765957449"/>
    <n v="6.9421276595744814"/>
    <x v="4"/>
    <n v="1"/>
  </r>
  <r>
    <n v="4399"/>
    <n v="25"/>
    <s v="Female"/>
    <s v="Footwear"/>
    <s v="Sneakers"/>
    <n v="248.94"/>
    <s v="Autumn"/>
    <s v="Card"/>
    <n v="2.5"/>
    <x v="0"/>
    <n v="4"/>
    <n v="303.58536585365852"/>
    <n v="54.645365853658518"/>
    <x v="3"/>
    <n v="1"/>
  </r>
  <r>
    <n v="4400"/>
    <n v="55"/>
    <s v="Male"/>
    <s v="Mens Clothing"/>
    <s v="Shirt"/>
    <n v="178.99"/>
    <s v="Spring"/>
    <s v="Card"/>
    <n v="5"/>
    <x v="5"/>
    <n v="4"/>
    <n v="194.55434782608697"/>
    <n v="15.564347826086959"/>
    <x v="4"/>
    <n v="1"/>
  </r>
  <r>
    <n v="4401"/>
    <n v="22"/>
    <s v="Female"/>
    <s v="Groceries"/>
    <s v="Snacks"/>
    <n v="64.91"/>
    <s v="Spring"/>
    <s v="Cash on Delivery"/>
    <n v="2.9"/>
    <x v="19"/>
    <n v="5"/>
    <n v="76.364705882352936"/>
    <n v="11.45470588235294"/>
    <x v="3"/>
    <n v="1"/>
  </r>
  <r>
    <n v="4402"/>
    <n v="55"/>
    <s v="Male"/>
    <s v="Electronics"/>
    <s v="Smart Watch"/>
    <n v="1774.32"/>
    <s v="Summer"/>
    <s v="Card"/>
    <n v="4"/>
    <x v="11"/>
    <n v="8"/>
    <n v="2397.7297297297296"/>
    <n v="623.40972972972963"/>
    <x v="4"/>
    <n v="1"/>
  </r>
  <r>
    <n v="4403"/>
    <n v="25"/>
    <s v="Male"/>
    <s v="Mens Clothing"/>
    <s v="Shirt"/>
    <n v="173.88"/>
    <s v="Spring"/>
    <s v="Card"/>
    <n v="4.4000000000000004"/>
    <x v="21"/>
    <n v="8"/>
    <n v="220.1012658227848"/>
    <n v="46.221265822784801"/>
    <x v="3"/>
    <n v="1"/>
  </r>
  <r>
    <n v="4404"/>
    <n v="34"/>
    <s v="Male"/>
    <s v="Sports"/>
    <s v="Dumbbells"/>
    <n v="130.83000000000001"/>
    <s v="Spring"/>
    <s v="Card"/>
    <n v="3.6"/>
    <x v="3"/>
    <n v="5"/>
    <n v="163.53749999999999"/>
    <n v="32.707499999999982"/>
    <x v="5"/>
    <n v="1"/>
  </r>
  <r>
    <n v="4405"/>
    <n v="39"/>
    <s v="Female"/>
    <s v="Accessories"/>
    <s v="Wallet"/>
    <n v="47.44"/>
    <s v="Summer"/>
    <s v="Card"/>
    <n v="3.8"/>
    <x v="19"/>
    <n v="5"/>
    <n v="55.811764705882354"/>
    <n v="8.3717647058823559"/>
    <x v="1"/>
    <n v="1"/>
  </r>
  <r>
    <n v="4406"/>
    <n v="65"/>
    <s v="Male"/>
    <s v="Mens Clothing"/>
    <s v="Jeans"/>
    <n v="76.94"/>
    <s v="Spring"/>
    <s v="Card"/>
    <n v="3.9"/>
    <x v="6"/>
    <n v="8"/>
    <n v="91.595238095238102"/>
    <n v="14.655238095238104"/>
    <x v="0"/>
    <n v="1"/>
  </r>
  <r>
    <n v="4407"/>
    <n v="51"/>
    <s v="Female"/>
    <s v="Footwear"/>
    <s v="Sneakers"/>
    <n v="79.66"/>
    <s v="Autumn"/>
    <s v="Card"/>
    <n v="3.8"/>
    <x v="15"/>
    <n v="1"/>
    <n v="81.285714285714278"/>
    <n v="1.625714285714281"/>
    <x v="4"/>
    <n v="1"/>
  </r>
  <r>
    <n v="4408"/>
    <n v="52"/>
    <s v="Male"/>
    <s v="Footwear"/>
    <s v="Sneakers"/>
    <n v="91.9"/>
    <s v="Winter"/>
    <s v="Cash on Delivery"/>
    <n v="2.5"/>
    <x v="5"/>
    <n v="4"/>
    <n v="99.891304347826093"/>
    <n v="7.9913043478260875"/>
    <x v="4"/>
    <n v="1"/>
  </r>
  <r>
    <n v="4409"/>
    <n v="48"/>
    <s v="Female"/>
    <s v="Footwear"/>
    <s v="Sandals"/>
    <n v="146.85"/>
    <s v="Spring"/>
    <s v="Card"/>
    <n v="3.5"/>
    <x v="2"/>
    <n v="3"/>
    <n v="165"/>
    <n v="18.150000000000006"/>
    <x v="4"/>
    <n v="1"/>
  </r>
  <r>
    <n v="4410"/>
    <n v="25"/>
    <s v="Female"/>
    <s v="Accessories"/>
    <s v="Handbag"/>
    <n v="100.99"/>
    <s v="Autumn"/>
    <s v="Card"/>
    <n v="3.5"/>
    <x v="12"/>
    <n v="7"/>
    <n v="124.679012345679"/>
    <n v="23.689012345679004"/>
    <x v="3"/>
    <n v="1"/>
  </r>
  <r>
    <n v="4411"/>
    <n v="35"/>
    <s v="Male"/>
    <s v="Electronics"/>
    <s v="Laptop"/>
    <n v="2272.6999999999998"/>
    <s v="Winter"/>
    <s v="Card"/>
    <n v="2.2999999999999998"/>
    <x v="4"/>
    <n v="7"/>
    <n v="2642.6744186046508"/>
    <n v="369.97441860465096"/>
    <x v="5"/>
    <n v="1"/>
  </r>
  <r>
    <n v="4412"/>
    <n v="42"/>
    <s v="Male"/>
    <s v="Electronics"/>
    <s v="Mobile Phone"/>
    <n v="783.29"/>
    <s v="Winter"/>
    <s v="Card"/>
    <n v="3.6"/>
    <x v="3"/>
    <n v="5"/>
    <n v="979.11249999999995"/>
    <n v="195.82249999999999"/>
    <x v="1"/>
    <n v="1"/>
  </r>
  <r>
    <n v="4413"/>
    <n v="46"/>
    <s v="Male"/>
    <s v="Sports"/>
    <s v="Yoga Mat"/>
    <n v="125.6"/>
    <s v="Spring"/>
    <s v="Card"/>
    <n v="1.8"/>
    <x v="7"/>
    <n v="5"/>
    <n v="139.55555555555554"/>
    <n v="13.955555555555549"/>
    <x v="4"/>
    <n v="1"/>
  </r>
  <r>
    <n v="4414"/>
    <n v="21"/>
    <s v="Male"/>
    <s v="Footwear"/>
    <s v="Formal Shoes"/>
    <n v="151.15"/>
    <s v="Summer"/>
    <s v="Card"/>
    <n v="4.2"/>
    <x v="13"/>
    <n v="2"/>
    <n v="166.09890109890111"/>
    <n v="14.948901098901104"/>
    <x v="3"/>
    <n v="1"/>
  </r>
  <r>
    <n v="4415"/>
    <n v="22"/>
    <s v="Female"/>
    <s v="Beauty"/>
    <s v="Makeup Set"/>
    <n v="116.28"/>
    <s v="Summer"/>
    <s v="Card"/>
    <n v="4.2"/>
    <x v="8"/>
    <n v="6"/>
    <n v="132.13636363636363"/>
    <n v="15.856363636363625"/>
    <x v="3"/>
    <n v="1"/>
  </r>
  <r>
    <n v="4416"/>
    <n v="53"/>
    <s v="Female"/>
    <s v="Groceries"/>
    <s v="Snacks"/>
    <n v="46.85"/>
    <s v="Winter"/>
    <s v="Cash on Delivery"/>
    <n v="3"/>
    <x v="0"/>
    <n v="4"/>
    <n v="57.134146341463413"/>
    <n v="10.284146341463412"/>
    <x v="4"/>
    <n v="1"/>
  </r>
  <r>
    <n v="4417"/>
    <n v="26"/>
    <s v="Male"/>
    <s v="Electronics"/>
    <s v="Smart Watch"/>
    <n v="2162.23"/>
    <s v="Spring"/>
    <s v="Card"/>
    <n v="4.0999999999999996"/>
    <x v="17"/>
    <n v="2"/>
    <n v="2252.322916666667"/>
    <n v="90.092916666666952"/>
    <x v="5"/>
    <n v="1"/>
  </r>
  <r>
    <n v="4418"/>
    <n v="29"/>
    <s v="Male"/>
    <s v="Mens Clothing"/>
    <s v="Jacket"/>
    <n v="99.56"/>
    <s v="Spring"/>
    <s v="Card"/>
    <n v="3"/>
    <x v="3"/>
    <n v="5"/>
    <n v="124.45"/>
    <n v="24.89"/>
    <x v="5"/>
    <n v="1"/>
  </r>
  <r>
    <n v="4419"/>
    <n v="22"/>
    <s v="Male"/>
    <s v="Electronics"/>
    <s v="Laptop"/>
    <n v="2633.36"/>
    <s v="Spring"/>
    <s v="Card"/>
    <n v="4.2"/>
    <x v="0"/>
    <n v="4"/>
    <n v="3211.4146341463415"/>
    <n v="578.05463414634141"/>
    <x v="3"/>
    <n v="1"/>
  </r>
  <r>
    <n v="4420"/>
    <n v="63"/>
    <s v="Female"/>
    <s v="Accessories"/>
    <s v="Sunglasses"/>
    <n v="132.84"/>
    <s v="Autumn"/>
    <s v="Card"/>
    <n v="4.0999999999999996"/>
    <x v="3"/>
    <n v="5"/>
    <n v="166.04999999999998"/>
    <n v="33.20999999999998"/>
    <x v="0"/>
    <n v="1"/>
  </r>
  <r>
    <n v="4421"/>
    <n v="20"/>
    <s v="Female"/>
    <s v="Footwear"/>
    <s v="Sandals"/>
    <n v="161.07"/>
    <s v="Spring"/>
    <s v="Card"/>
    <n v="3.7"/>
    <x v="5"/>
    <n v="4"/>
    <n v="175.07608695652172"/>
    <n v="14.006086956521727"/>
    <x v="3"/>
    <n v="1"/>
  </r>
  <r>
    <n v="4422"/>
    <n v="50"/>
    <s v="Female"/>
    <s v="Beauty"/>
    <s v="Perfume"/>
    <n v="35.9"/>
    <s v="Autumn"/>
    <s v="Card"/>
    <n v="4.4000000000000004"/>
    <x v="0"/>
    <n v="9"/>
    <n v="43.780487804878042"/>
    <n v="7.8804878048780438"/>
    <x v="4"/>
    <n v="1"/>
  </r>
  <r>
    <n v="4423"/>
    <n v="54"/>
    <s v="Female"/>
    <s v="Womens Clothing"/>
    <s v="Dress"/>
    <n v="41.24"/>
    <s v="Autumn"/>
    <s v="Cash on Delivery"/>
    <n v="3.4"/>
    <x v="12"/>
    <n v="7"/>
    <n v="50.913580246913583"/>
    <n v="9.6735802469135805"/>
    <x v="4"/>
    <n v="1"/>
  </r>
  <r>
    <n v="4424"/>
    <n v="45"/>
    <s v="Male"/>
    <s v="Sports"/>
    <s v="Dumbbells"/>
    <n v="160.08000000000001"/>
    <s v="Summer"/>
    <s v="Card"/>
    <n v="3.9"/>
    <x v="14"/>
    <n v="6"/>
    <n v="192.8674698795181"/>
    <n v="32.787469879518085"/>
    <x v="1"/>
    <n v="1"/>
  </r>
  <r>
    <n v="4425"/>
    <n v="59"/>
    <s v="Female"/>
    <s v="Accessories"/>
    <s v="Wallet"/>
    <n v="152.97"/>
    <s v="Winter"/>
    <s v="Card"/>
    <n v="3.5"/>
    <x v="14"/>
    <n v="6"/>
    <n v="184.3012048192771"/>
    <n v="31.331204819277104"/>
    <x v="0"/>
    <n v="1"/>
  </r>
  <r>
    <n v="4426"/>
    <n v="43"/>
    <s v="Female"/>
    <s v="Womens Clothing"/>
    <s v="Skirt"/>
    <n v="71.83"/>
    <s v="Summer"/>
    <s v="Cash on Delivery"/>
    <n v="4.0999999999999996"/>
    <x v="8"/>
    <n v="6"/>
    <n v="81.625"/>
    <n v="9.7950000000000017"/>
    <x v="1"/>
    <n v="1"/>
  </r>
  <r>
    <n v="4427"/>
    <n v="21"/>
    <s v="Female"/>
    <s v="Accessories"/>
    <s v="Handbag"/>
    <n v="95.84"/>
    <s v="Autumn"/>
    <s v="Cash on Delivery"/>
    <n v="4.3"/>
    <x v="10"/>
    <n v="6"/>
    <n v="122.87179487179488"/>
    <n v="27.031794871794872"/>
    <x v="3"/>
    <n v="1"/>
  </r>
  <r>
    <n v="4428"/>
    <n v="62"/>
    <s v="Male"/>
    <s v="Home"/>
    <s v="Curtains"/>
    <n v="38.659999999999997"/>
    <s v="Winter"/>
    <s v="Cash on Delivery"/>
    <n v="3.6"/>
    <x v="5"/>
    <n v="4"/>
    <n v="42.021739130434774"/>
    <n v="3.3617391304347777"/>
    <x v="0"/>
    <n v="1"/>
  </r>
  <r>
    <n v="4429"/>
    <n v="44"/>
    <s v="Male"/>
    <s v="Electronics"/>
    <s v="Smart Watch"/>
    <n v="1769.68"/>
    <s v="Spring"/>
    <s v="Card"/>
    <n v="4.8"/>
    <x v="3"/>
    <n v="5"/>
    <n v="2212.1"/>
    <n v="442.41999999999985"/>
    <x v="1"/>
    <n v="1"/>
  </r>
  <r>
    <n v="4430"/>
    <n v="44"/>
    <s v="Female"/>
    <s v="Footwear"/>
    <s v="Formal Shoes"/>
    <n v="103.11"/>
    <s v="Winter"/>
    <s v="Card"/>
    <n v="3.1"/>
    <x v="19"/>
    <n v="5"/>
    <n v="121.30588235294118"/>
    <n v="18.195882352941183"/>
    <x v="1"/>
    <n v="1"/>
  </r>
  <r>
    <n v="4431"/>
    <n v="45"/>
    <s v="Female"/>
    <s v="Footwear"/>
    <s v="Formal Shoes"/>
    <n v="118.28"/>
    <s v="Winter"/>
    <s v="Card"/>
    <n v="4"/>
    <x v="7"/>
    <n v="5"/>
    <n v="131.42222222222222"/>
    <n v="13.142222222222216"/>
    <x v="1"/>
    <n v="1"/>
  </r>
  <r>
    <n v="4432"/>
    <n v="37"/>
    <s v="Female"/>
    <s v="Accessories"/>
    <s v="Wallet"/>
    <n v="162.69999999999999"/>
    <s v="Winter"/>
    <s v="Card"/>
    <n v="3.5"/>
    <x v="12"/>
    <n v="7"/>
    <n v="200.86419753086417"/>
    <n v="38.164197530864186"/>
    <x v="1"/>
    <n v="1"/>
  </r>
  <r>
    <n v="4433"/>
    <n v="49"/>
    <s v="Male"/>
    <s v="Sports"/>
    <s v="Yoga Mat"/>
    <n v="75.760000000000005"/>
    <s v="Summer"/>
    <s v="Cash on Delivery"/>
    <n v="4.5"/>
    <x v="19"/>
    <n v="5"/>
    <n v="89.129411764705893"/>
    <n v="13.369411764705887"/>
    <x v="4"/>
    <n v="1"/>
  </r>
  <r>
    <n v="4434"/>
    <n v="63"/>
    <s v="Male"/>
    <s v="Sports"/>
    <s v="Dumbbells"/>
    <n v="234.8"/>
    <s v="Spring"/>
    <s v="Card"/>
    <n v="3.1"/>
    <x v="6"/>
    <n v="3"/>
    <n v="279.52380952380958"/>
    <n v="44.723809523809564"/>
    <x v="0"/>
    <n v="1"/>
  </r>
  <r>
    <n v="4435"/>
    <n v="25"/>
    <s v="Female"/>
    <s v="Footwear"/>
    <s v="Sandals"/>
    <n v="107.61"/>
    <s v="Summer"/>
    <s v="Card"/>
    <n v="4.8"/>
    <x v="14"/>
    <n v="6"/>
    <n v="129.65060240963857"/>
    <n v="22.040602409638566"/>
    <x v="3"/>
    <n v="1"/>
  </r>
  <r>
    <n v="4436"/>
    <n v="44"/>
    <s v="Male"/>
    <s v="Sports"/>
    <s v="Football"/>
    <n v="150.15"/>
    <s v="Spring"/>
    <s v="Card"/>
    <n v="3.5"/>
    <x v="3"/>
    <n v="5"/>
    <n v="187.6875"/>
    <n v="37.537499999999994"/>
    <x v="1"/>
    <n v="1"/>
  </r>
  <r>
    <n v="4437"/>
    <n v="36"/>
    <s v="Male"/>
    <s v="Sports"/>
    <s v="Dumbbells"/>
    <n v="97.03"/>
    <s v="Summer"/>
    <s v="Card"/>
    <n v="3.4"/>
    <x v="16"/>
    <n v="3"/>
    <n v="103.22340425531915"/>
    <n v="6.1934042553191517"/>
    <x v="1"/>
    <n v="1"/>
  </r>
  <r>
    <n v="4438"/>
    <n v="44"/>
    <s v="Female"/>
    <s v="Sports"/>
    <s v="Yoga Mat"/>
    <n v="129.12"/>
    <s v="Summer"/>
    <s v="Card"/>
    <n v="5"/>
    <x v="3"/>
    <n v="5"/>
    <n v="161.4"/>
    <n v="32.28"/>
    <x v="1"/>
    <n v="1"/>
  </r>
  <r>
    <n v="4439"/>
    <n v="31"/>
    <s v="Female"/>
    <s v="Footwear"/>
    <s v="Sandals"/>
    <n v="75.930000000000007"/>
    <s v="Autumn"/>
    <s v="Card"/>
    <n v="3.5"/>
    <x v="0"/>
    <n v="4"/>
    <n v="92.597560975609753"/>
    <n v="16.667560975609746"/>
    <x v="5"/>
    <n v="1"/>
  </r>
  <r>
    <n v="4440"/>
    <n v="46"/>
    <s v="Female"/>
    <s v="Womens Clothing"/>
    <s v="Top"/>
    <n v="181.75"/>
    <s v="Winter"/>
    <s v="Card"/>
    <n v="4.3"/>
    <x v="5"/>
    <n v="4"/>
    <n v="197.55434782608694"/>
    <n v="15.804347826086939"/>
    <x v="4"/>
    <n v="1"/>
  </r>
  <r>
    <n v="4441"/>
    <n v="43"/>
    <s v="Male"/>
    <s v="Electronics"/>
    <s v="Mobile Phone"/>
    <n v="1217.08"/>
    <s v="Spring"/>
    <s v="Card"/>
    <n v="4.5999999999999996"/>
    <x v="3"/>
    <n v="5"/>
    <n v="1521.35"/>
    <n v="304.27"/>
    <x v="1"/>
    <n v="1"/>
  </r>
  <r>
    <n v="4442"/>
    <n v="23"/>
    <s v="Female"/>
    <s v="Footwear"/>
    <s v="Sneakers"/>
    <n v="241.42"/>
    <s v="Spring"/>
    <s v="Card"/>
    <n v="5"/>
    <x v="5"/>
    <n v="4"/>
    <n v="262.41304347826082"/>
    <n v="20.99304347826083"/>
    <x v="3"/>
    <n v="1"/>
  </r>
  <r>
    <n v="4443"/>
    <n v="58"/>
    <s v="Male"/>
    <s v="Electronics"/>
    <s v="Laptop"/>
    <n v="1944.24"/>
    <s v="Spring"/>
    <s v="Card"/>
    <n v="2.7"/>
    <x v="10"/>
    <n v="6"/>
    <n v="2492.6153846153848"/>
    <n v="548.37538461538475"/>
    <x v="0"/>
    <n v="1"/>
  </r>
  <r>
    <n v="4444"/>
    <n v="22"/>
    <s v="Male"/>
    <s v="Sports"/>
    <s v="Yoga Mat"/>
    <n v="48.39"/>
    <s v="Summer"/>
    <s v="Cash on Delivery"/>
    <n v="4"/>
    <x v="17"/>
    <n v="2"/>
    <n v="50.40625"/>
    <n v="2.0162499999999994"/>
    <x v="3"/>
    <n v="1"/>
  </r>
  <r>
    <n v="4445"/>
    <n v="63"/>
    <s v="Female"/>
    <s v="Accessories"/>
    <s v="Sunglasses"/>
    <n v="107.47"/>
    <s v="Autumn"/>
    <s v="Card"/>
    <n v="2.2000000000000002"/>
    <x v="8"/>
    <n v="1"/>
    <n v="122.125"/>
    <n v="14.655000000000001"/>
    <x v="0"/>
    <n v="1"/>
  </r>
  <r>
    <n v="4446"/>
    <n v="62"/>
    <s v="Male"/>
    <s v="Electronics"/>
    <s v="Headphones"/>
    <n v="1763.47"/>
    <s v="Autumn"/>
    <s v="Card"/>
    <n v="4"/>
    <x v="3"/>
    <n v="5"/>
    <n v="2204.3375000000001"/>
    <n v="440.86750000000006"/>
    <x v="0"/>
    <n v="1"/>
  </r>
  <r>
    <n v="4447"/>
    <n v="69"/>
    <s v="Female"/>
    <s v="Womens Clothing"/>
    <s v="Dress"/>
    <n v="159.97999999999999"/>
    <s v="Winter"/>
    <s v="Card"/>
    <n v="2.9"/>
    <x v="18"/>
    <n v="7"/>
    <n v="210.49999999999997"/>
    <n v="50.519999999999982"/>
    <x v="2"/>
    <n v="1"/>
  </r>
  <r>
    <n v="4448"/>
    <n v="36"/>
    <s v="Male"/>
    <s v="Groceries"/>
    <s v="Cooking Oil"/>
    <n v="60.71"/>
    <s v="Winter"/>
    <s v="Cash on Delivery"/>
    <n v="4.5"/>
    <x v="6"/>
    <n v="3"/>
    <n v="72.273809523809533"/>
    <n v="11.563809523809532"/>
    <x v="1"/>
    <n v="1"/>
  </r>
  <r>
    <n v="4449"/>
    <n v="46"/>
    <s v="Female"/>
    <s v="Home"/>
    <s v="Lamp"/>
    <n v="118.81"/>
    <s v="Autumn"/>
    <s v="Card"/>
    <n v="4.0999999999999996"/>
    <x v="6"/>
    <n v="3"/>
    <n v="141.4404761904762"/>
    <n v="22.630476190476202"/>
    <x v="4"/>
    <n v="1"/>
  </r>
  <r>
    <n v="4450"/>
    <n v="53"/>
    <s v="Male"/>
    <s v="Sports"/>
    <s v="Football"/>
    <n v="115.93"/>
    <s v="Summer"/>
    <s v="Card"/>
    <n v="3"/>
    <x v="16"/>
    <n v="3"/>
    <n v="123.32978723404257"/>
    <n v="7.399787234042563"/>
    <x v="4"/>
    <n v="1"/>
  </r>
  <r>
    <n v="4451"/>
    <n v="20"/>
    <s v="Female"/>
    <s v="Beauty"/>
    <s v="Perfume"/>
    <n v="109.6"/>
    <s v="Winter"/>
    <s v="Card"/>
    <n v="4.4000000000000004"/>
    <x v="6"/>
    <n v="8"/>
    <n v="130.47619047619048"/>
    <n v="20.876190476190487"/>
    <x v="3"/>
    <n v="1"/>
  </r>
  <r>
    <n v="4452"/>
    <n v="48"/>
    <s v="Male"/>
    <s v="Footwear"/>
    <s v="Formal Shoes"/>
    <n v="197.83"/>
    <s v="Autumn"/>
    <s v="Card"/>
    <n v="3.4"/>
    <x v="14"/>
    <n v="6"/>
    <n v="238.34939759036146"/>
    <n v="40.51939759036145"/>
    <x v="4"/>
    <n v="1"/>
  </r>
  <r>
    <n v="4453"/>
    <n v="29"/>
    <s v="Female"/>
    <s v="Footwear"/>
    <s v="Sneakers"/>
    <n v="68.819999999999993"/>
    <s v="Summer"/>
    <s v="Card"/>
    <n v="3.6"/>
    <x v="29"/>
    <n v="0"/>
    <n v="68.819999999999993"/>
    <n v="0"/>
    <x v="5"/>
    <n v="1"/>
  </r>
  <r>
    <n v="4454"/>
    <n v="43"/>
    <s v="Male"/>
    <s v="Mens Clothing"/>
    <s v="T-Shirt"/>
    <n v="112.21"/>
    <s v="Summer"/>
    <s v="Card"/>
    <n v="4.0999999999999996"/>
    <x v="8"/>
    <n v="6"/>
    <n v="127.51136363636363"/>
    <n v="15.301363636363632"/>
    <x v="1"/>
    <n v="1"/>
  </r>
  <r>
    <n v="4455"/>
    <n v="37"/>
    <s v="Male"/>
    <s v="Footwear"/>
    <s v="Sandals"/>
    <n v="75.17"/>
    <s v="Autumn"/>
    <s v="Card"/>
    <n v="2.9"/>
    <x v="2"/>
    <n v="3"/>
    <n v="84.460674157303373"/>
    <n v="9.2906741573033713"/>
    <x v="1"/>
    <n v="1"/>
  </r>
  <r>
    <n v="4456"/>
    <n v="49"/>
    <s v="Male"/>
    <s v="Electronics"/>
    <s v="Headphones"/>
    <n v="2429.83"/>
    <s v="Winter"/>
    <s v="Card"/>
    <n v="2.9"/>
    <x v="0"/>
    <n v="9"/>
    <n v="2963.2073170731705"/>
    <n v="533.37731707317062"/>
    <x v="4"/>
    <n v="1"/>
  </r>
  <r>
    <n v="4457"/>
    <n v="38"/>
    <s v="Male"/>
    <s v="Electronics"/>
    <s v="Headphones"/>
    <n v="1961.17"/>
    <s v="Summer"/>
    <s v="Card"/>
    <n v="2.9"/>
    <x v="11"/>
    <n v="8"/>
    <n v="2650.22972972973"/>
    <n v="689.05972972972995"/>
    <x v="1"/>
    <n v="1"/>
  </r>
  <r>
    <n v="4458"/>
    <n v="41"/>
    <s v="Female"/>
    <s v="Footwear"/>
    <s v="Sandals"/>
    <n v="119.89"/>
    <s v="Winter"/>
    <s v="Card"/>
    <n v="3.6"/>
    <x v="2"/>
    <n v="3"/>
    <n v="134.70786516853931"/>
    <n v="14.817865168539313"/>
    <x v="1"/>
    <n v="1"/>
  </r>
  <r>
    <n v="4459"/>
    <n v="25"/>
    <s v="Female"/>
    <s v="Groceries"/>
    <s v="Cooking Oil"/>
    <n v="78.319999999999993"/>
    <s v="Winter"/>
    <s v="Cash on Delivery"/>
    <n v="4.5999999999999996"/>
    <x v="18"/>
    <n v="7"/>
    <n v="103.05263157894736"/>
    <n v="24.732631578947363"/>
    <x v="3"/>
    <n v="1"/>
  </r>
  <r>
    <n v="4460"/>
    <n v="55"/>
    <s v="Male"/>
    <s v="Electronics"/>
    <s v="Mobile Phone"/>
    <n v="1710.6"/>
    <s v="Autumn"/>
    <s v="Card"/>
    <n v="4"/>
    <x v="6"/>
    <n v="3"/>
    <n v="2036.4285714285713"/>
    <n v="325.82857142857142"/>
    <x v="4"/>
    <n v="1"/>
  </r>
  <r>
    <n v="4461"/>
    <n v="47"/>
    <s v="Female"/>
    <s v="Footwear"/>
    <s v="Sandals"/>
    <n v="148.86000000000001"/>
    <s v="Autumn"/>
    <s v="Card"/>
    <n v="3.4"/>
    <x v="6"/>
    <n v="3"/>
    <n v="177.21428571428575"/>
    <n v="28.354285714285737"/>
    <x v="4"/>
    <n v="1"/>
  </r>
  <r>
    <n v="4462"/>
    <n v="70"/>
    <s v="Male"/>
    <s v="Home"/>
    <s v="Curtains"/>
    <n v="194.65"/>
    <s v="Summer"/>
    <s v="Card"/>
    <n v="3.3"/>
    <x v="8"/>
    <n v="6"/>
    <n v="221.19318181818181"/>
    <n v="26.543181818181807"/>
    <x v="2"/>
    <n v="1"/>
  </r>
  <r>
    <n v="4463"/>
    <n v="59"/>
    <s v="Female"/>
    <s v="Beauty"/>
    <s v="Perfume"/>
    <n v="58.65"/>
    <s v="Autumn"/>
    <s v="Cash on Delivery"/>
    <n v="3.3"/>
    <x v="8"/>
    <n v="6"/>
    <n v="66.647727272727266"/>
    <n v="7.9977272727272677"/>
    <x v="0"/>
    <n v="1"/>
  </r>
  <r>
    <n v="4464"/>
    <n v="21"/>
    <s v="Female"/>
    <s v="Footwear"/>
    <s v="Sandals"/>
    <n v="228.61"/>
    <s v="Autumn"/>
    <s v="Card"/>
    <n v="2.5"/>
    <x v="7"/>
    <n v="5"/>
    <n v="254.01111111111112"/>
    <n v="25.401111111111106"/>
    <x v="3"/>
    <n v="1"/>
  </r>
  <r>
    <n v="4465"/>
    <n v="62"/>
    <s v="Male"/>
    <s v="Electronics"/>
    <s v="Mobile Phone"/>
    <n v="2057.65"/>
    <s v="Spring"/>
    <s v="Card"/>
    <n v="4.0999999999999996"/>
    <x v="18"/>
    <n v="7"/>
    <n v="2707.4342105263158"/>
    <n v="649.78421052631575"/>
    <x v="0"/>
    <n v="1"/>
  </r>
  <r>
    <n v="4466"/>
    <n v="25"/>
    <s v="Female"/>
    <s v="Footwear"/>
    <s v="Sandals"/>
    <n v="138.83000000000001"/>
    <s v="Summer"/>
    <s v="Card"/>
    <n v="3.8"/>
    <x v="3"/>
    <n v="5"/>
    <n v="173.53749999999999"/>
    <n v="34.707499999999982"/>
    <x v="3"/>
    <n v="1"/>
  </r>
  <r>
    <n v="4467"/>
    <n v="23"/>
    <s v="Male"/>
    <s v="Mens Clothing"/>
    <s v="Shirt"/>
    <n v="106.76"/>
    <s v="Summer"/>
    <s v="Card"/>
    <n v="4.5"/>
    <x v="3"/>
    <n v="5"/>
    <n v="133.44999999999999"/>
    <n v="26.689999999999984"/>
    <x v="3"/>
    <n v="1"/>
  </r>
  <r>
    <n v="4468"/>
    <n v="62"/>
    <s v="Male"/>
    <s v="Electronics"/>
    <s v="Headphones"/>
    <n v="2593.67"/>
    <s v="Autumn"/>
    <s v="Card"/>
    <n v="2.9"/>
    <x v="7"/>
    <n v="5"/>
    <n v="2881.8555555555554"/>
    <n v="288.18555555555531"/>
    <x v="0"/>
    <n v="1"/>
  </r>
  <r>
    <n v="4469"/>
    <n v="30"/>
    <s v="Male"/>
    <s v="Mens Clothing"/>
    <s v="Jacket"/>
    <n v="195.55"/>
    <s v="Spring"/>
    <s v="Card"/>
    <n v="3.9"/>
    <x v="0"/>
    <n v="4"/>
    <n v="238.47560975609755"/>
    <n v="42.925609756097543"/>
    <x v="5"/>
    <n v="1"/>
  </r>
  <r>
    <n v="4470"/>
    <n v="69"/>
    <s v="Male"/>
    <s v="Home"/>
    <s v="Kitchen Set"/>
    <n v="127.32"/>
    <s v="Spring"/>
    <s v="Card"/>
    <n v="3.5"/>
    <x v="17"/>
    <n v="2"/>
    <n v="132.625"/>
    <n v="5.3050000000000068"/>
    <x v="2"/>
    <n v="1"/>
  </r>
  <r>
    <n v="4471"/>
    <n v="29"/>
    <s v="Male"/>
    <s v="Footwear"/>
    <s v="Formal Shoes"/>
    <n v="86.48"/>
    <s v="Spring"/>
    <s v="Card"/>
    <n v="3.7"/>
    <x v="2"/>
    <n v="3"/>
    <n v="97.168539325842701"/>
    <n v="10.688539325842697"/>
    <x v="5"/>
    <n v="1"/>
  </r>
  <r>
    <n v="4472"/>
    <n v="21"/>
    <s v="Female"/>
    <s v="Beauty"/>
    <s v="Skincare Kit"/>
    <n v="109.66"/>
    <s v="Winter"/>
    <s v="Card"/>
    <n v="3.5"/>
    <x v="6"/>
    <n v="8"/>
    <n v="130.54761904761904"/>
    <n v="20.88761904761904"/>
    <x v="3"/>
    <n v="1"/>
  </r>
  <r>
    <n v="4473"/>
    <n v="57"/>
    <s v="Female"/>
    <s v="Accessories"/>
    <s v="Handbag"/>
    <n v="63.39"/>
    <s v="Winter"/>
    <s v="Cash on Delivery"/>
    <n v="4"/>
    <x v="14"/>
    <n v="6"/>
    <n v="76.373493975903614"/>
    <n v="12.983493975903613"/>
    <x v="0"/>
    <n v="1"/>
  </r>
  <r>
    <n v="4474"/>
    <n v="61"/>
    <s v="Female"/>
    <s v="Womens Clothing"/>
    <s v="Top"/>
    <n v="198.86"/>
    <s v="Winter"/>
    <s v="Card"/>
    <n v="3.5"/>
    <x v="19"/>
    <n v="5"/>
    <n v="233.9529411764706"/>
    <n v="35.092941176470589"/>
    <x v="0"/>
    <n v="1"/>
  </r>
  <r>
    <n v="4475"/>
    <n v="29"/>
    <s v="Female"/>
    <s v="Beauty"/>
    <s v="Makeup Set"/>
    <n v="143.68"/>
    <s v="Spring"/>
    <s v="Card"/>
    <n v="3.5"/>
    <x v="2"/>
    <n v="3"/>
    <n v="161.43820224719101"/>
    <n v="17.758202247191008"/>
    <x v="5"/>
    <n v="1"/>
  </r>
  <r>
    <n v="4476"/>
    <n v="44"/>
    <s v="Male"/>
    <s v="Electronics"/>
    <s v="Mobile Phone"/>
    <n v="605.67999999999995"/>
    <s v="Summer"/>
    <s v="Card"/>
    <n v="3"/>
    <x v="3"/>
    <n v="5"/>
    <n v="757.09999999999991"/>
    <n v="151.41999999999996"/>
    <x v="1"/>
    <n v="1"/>
  </r>
  <r>
    <n v="4477"/>
    <n v="24"/>
    <s v="Female"/>
    <s v="Footwear"/>
    <s v="Formal Shoes"/>
    <n v="52.58"/>
    <s v="Autumn"/>
    <s v="Cash on Delivery"/>
    <n v="2.4"/>
    <x v="1"/>
    <n v="4"/>
    <n v="60.4367816091954"/>
    <n v="7.8567816091954015"/>
    <x v="3"/>
    <n v="1"/>
  </r>
  <r>
    <n v="4478"/>
    <n v="51"/>
    <s v="Male"/>
    <s v="Sports"/>
    <s v="Yoga Mat"/>
    <n v="179.61"/>
    <s v="Autumn"/>
    <s v="Card"/>
    <n v="2.9"/>
    <x v="13"/>
    <n v="2"/>
    <n v="197.37362637362639"/>
    <n v="17.76362637362638"/>
    <x v="4"/>
    <n v="1"/>
  </r>
  <r>
    <n v="4479"/>
    <n v="35"/>
    <s v="Female"/>
    <s v="Womens Clothing"/>
    <s v="Dress"/>
    <n v="170.61"/>
    <s v="Spring"/>
    <s v="Card"/>
    <n v="4.3"/>
    <x v="18"/>
    <n v="7"/>
    <n v="224.48684210526318"/>
    <n v="53.876842105263165"/>
    <x v="5"/>
    <n v="1"/>
  </r>
  <r>
    <n v="4480"/>
    <n v="61"/>
    <s v="Male"/>
    <s v="Mens Clothing"/>
    <s v="Shirt"/>
    <n v="124.26"/>
    <s v="Summer"/>
    <s v="Card"/>
    <n v="3.6"/>
    <x v="19"/>
    <n v="5"/>
    <n v="146.18823529411765"/>
    <n v="21.928235294117641"/>
    <x v="0"/>
    <n v="1"/>
  </r>
  <r>
    <n v="4481"/>
    <n v="54"/>
    <s v="Female"/>
    <s v="Womens Clothing"/>
    <s v="Top"/>
    <n v="102.38"/>
    <s v="Autumn"/>
    <s v="Card"/>
    <n v="4.8"/>
    <x v="16"/>
    <n v="3"/>
    <n v="108.91489361702128"/>
    <n v="6.5348936170212824"/>
    <x v="4"/>
    <n v="1"/>
  </r>
  <r>
    <n v="4482"/>
    <n v="31"/>
    <s v="Male"/>
    <s v="Mens Clothing"/>
    <s v="Jeans"/>
    <n v="129.77000000000001"/>
    <s v="Autumn"/>
    <s v="Card"/>
    <n v="3.3"/>
    <x v="2"/>
    <n v="3"/>
    <n v="145.80898876404495"/>
    <n v="16.038988764044944"/>
    <x v="5"/>
    <n v="1"/>
  </r>
  <r>
    <n v="4483"/>
    <n v="31"/>
    <s v="Male"/>
    <s v="Sports"/>
    <s v="Football"/>
    <n v="107.4"/>
    <s v="Spring"/>
    <s v="Card"/>
    <n v="3.2"/>
    <x v="19"/>
    <n v="5"/>
    <n v="126.35294117647059"/>
    <n v="18.952941176470588"/>
    <x v="5"/>
    <n v="1"/>
  </r>
  <r>
    <n v="4484"/>
    <n v="56"/>
    <s v="Male"/>
    <s v="Electronics"/>
    <s v="Mobile Phone"/>
    <n v="1554.91"/>
    <s v="Autumn"/>
    <s v="Card"/>
    <n v="2.8"/>
    <x v="23"/>
    <n v="1"/>
    <n v="1671.9462365591401"/>
    <n v="117.03623655913998"/>
    <x v="0"/>
    <n v="1"/>
  </r>
  <r>
    <n v="4485"/>
    <n v="66"/>
    <s v="Female"/>
    <s v="Womens Clothing"/>
    <s v="Top"/>
    <n v="131.11000000000001"/>
    <s v="Autumn"/>
    <s v="Card"/>
    <n v="3"/>
    <x v="3"/>
    <n v="10"/>
    <n v="163.88750000000002"/>
    <n v="32.777500000000003"/>
    <x v="2"/>
    <n v="1"/>
  </r>
  <r>
    <n v="4486"/>
    <n v="38"/>
    <s v="Male"/>
    <s v="Mens Clothing"/>
    <s v="Jacket"/>
    <n v="52.09"/>
    <s v="Winter"/>
    <s v="Card"/>
    <n v="4.2"/>
    <x v="4"/>
    <n v="2"/>
    <n v="60.569767441860471"/>
    <n v="8.4797674418604672"/>
    <x v="1"/>
    <n v="1"/>
  </r>
  <r>
    <n v="4487"/>
    <n v="25"/>
    <s v="Male"/>
    <s v="Sports"/>
    <s v="Dumbbells"/>
    <n v="130.22999999999999"/>
    <s v="Summer"/>
    <s v="Card"/>
    <n v="4.7"/>
    <x v="6"/>
    <n v="3"/>
    <n v="155.03571428571428"/>
    <n v="24.805714285714288"/>
    <x v="3"/>
    <n v="1"/>
  </r>
  <r>
    <n v="4488"/>
    <n v="44"/>
    <s v="Male"/>
    <s v="Sports"/>
    <s v="Football"/>
    <n v="125.56"/>
    <s v="Summer"/>
    <s v="Card"/>
    <n v="3.2"/>
    <x v="8"/>
    <n v="1"/>
    <n v="142.68181818181819"/>
    <n v="17.121818181818185"/>
    <x v="1"/>
    <n v="1"/>
  </r>
  <r>
    <n v="4489"/>
    <n v="60"/>
    <s v="Female"/>
    <s v="Footwear"/>
    <s v="Sneakers"/>
    <n v="76.16"/>
    <s v="Winter"/>
    <s v="Card"/>
    <n v="4.7"/>
    <x v="1"/>
    <n v="4"/>
    <n v="87.540229885057471"/>
    <n v="11.380229885057474"/>
    <x v="0"/>
    <n v="1"/>
  </r>
  <r>
    <n v="4490"/>
    <n v="50"/>
    <s v="Male"/>
    <s v="Mens Clothing"/>
    <s v="T-Shirt"/>
    <n v="37.53"/>
    <s v="Winter"/>
    <s v="Card"/>
    <n v="3.5"/>
    <x v="5"/>
    <n v="4"/>
    <n v="40.793478260869563"/>
    <n v="3.2634782608695616"/>
    <x v="4"/>
    <n v="1"/>
  </r>
  <r>
    <n v="4491"/>
    <n v="51"/>
    <s v="Male"/>
    <s v="Mens Clothing"/>
    <s v="T-Shirt"/>
    <n v="100.29"/>
    <s v="Winter"/>
    <s v="Card"/>
    <n v="3.5"/>
    <x v="4"/>
    <n v="7"/>
    <n v="116.61627906976744"/>
    <n v="16.326279069767438"/>
    <x v="4"/>
    <n v="1"/>
  </r>
  <r>
    <n v="4492"/>
    <n v="26"/>
    <s v="Male"/>
    <s v="Electronics"/>
    <s v="Laptop"/>
    <n v="1336.49"/>
    <s v="Winter"/>
    <s v="Card"/>
    <n v="3.8"/>
    <x v="13"/>
    <n v="2"/>
    <n v="1468.6703296703297"/>
    <n v="132.18032967032968"/>
    <x v="5"/>
    <n v="1"/>
  </r>
  <r>
    <n v="4493"/>
    <n v="23"/>
    <s v="Male"/>
    <s v="Home"/>
    <s v="Kitchen Set"/>
    <n v="207.75"/>
    <s v="Winter"/>
    <s v="Card"/>
    <n v="4.9000000000000004"/>
    <x v="14"/>
    <n v="6"/>
    <n v="250.30120481927713"/>
    <n v="42.551204819277132"/>
    <x v="3"/>
    <n v="1"/>
  </r>
  <r>
    <n v="4494"/>
    <n v="25"/>
    <s v="Female"/>
    <s v="Home"/>
    <s v="Lamp"/>
    <n v="44.45"/>
    <s v="Summer"/>
    <s v="Cash on Delivery"/>
    <n v="5"/>
    <x v="7"/>
    <n v="5"/>
    <n v="49.388888888888893"/>
    <n v="4.93888888888889"/>
    <x v="3"/>
    <n v="1"/>
  </r>
  <r>
    <n v="4495"/>
    <n v="34"/>
    <s v="Female"/>
    <s v="Home"/>
    <s v="Kitchen Set"/>
    <n v="228.41"/>
    <s v="Winter"/>
    <s v="Card"/>
    <n v="3.5"/>
    <x v="5"/>
    <n v="4"/>
    <n v="248.27173913043478"/>
    <n v="19.861739130434785"/>
    <x v="5"/>
    <n v="1"/>
  </r>
  <r>
    <n v="4496"/>
    <n v="24"/>
    <s v="Male"/>
    <s v="Home"/>
    <s v="Kitchen Set"/>
    <n v="69.23"/>
    <s v="Spring"/>
    <s v="Cash on Delivery"/>
    <n v="4.2"/>
    <x v="17"/>
    <n v="2"/>
    <n v="72.114583333333343"/>
    <n v="2.8845833333333388"/>
    <x v="3"/>
    <n v="1"/>
  </r>
  <r>
    <n v="4497"/>
    <n v="40"/>
    <s v="Female"/>
    <s v="Beauty"/>
    <s v="Skincare Kit"/>
    <n v="37.65"/>
    <s v="Winter"/>
    <s v="Cash on Delivery"/>
    <n v="4.3"/>
    <x v="9"/>
    <n v="11"/>
    <n v="51.575342465753423"/>
    <n v="13.925342465753424"/>
    <x v="1"/>
    <n v="1"/>
  </r>
  <r>
    <n v="4498"/>
    <n v="23"/>
    <s v="Male"/>
    <s v="Electronics"/>
    <s v="Laptop"/>
    <n v="1286.98"/>
    <s v="Spring"/>
    <s v="Card"/>
    <n v="4"/>
    <x v="4"/>
    <n v="7"/>
    <n v="1496.4883720930234"/>
    <n v="209.50837209302335"/>
    <x v="3"/>
    <n v="1"/>
  </r>
  <r>
    <n v="4499"/>
    <n v="28"/>
    <s v="Female"/>
    <s v="Footwear"/>
    <s v="Sneakers"/>
    <n v="99.44"/>
    <s v="Winter"/>
    <s v="Card"/>
    <n v="3.7"/>
    <x v="3"/>
    <n v="5"/>
    <n v="124.3"/>
    <n v="24.86"/>
    <x v="5"/>
    <n v="1"/>
  </r>
  <r>
    <n v="4500"/>
    <n v="22"/>
    <s v="Male"/>
    <s v="Sports"/>
    <s v="Football"/>
    <n v="215.07"/>
    <s v="Winter"/>
    <s v="Card"/>
    <n v="2.5"/>
    <x v="18"/>
    <n v="7"/>
    <n v="282.98684210526312"/>
    <n v="67.916842105263129"/>
    <x v="3"/>
    <n v="1"/>
  </r>
  <r>
    <n v="4501"/>
    <n v="27"/>
    <s v="Male"/>
    <s v="Electronics"/>
    <s v="Headphones"/>
    <n v="975.24"/>
    <s v="Spring"/>
    <s v="Card"/>
    <n v="3.6"/>
    <x v="17"/>
    <n v="2"/>
    <n v="1015.875"/>
    <n v="40.634999999999991"/>
    <x v="5"/>
    <n v="1"/>
  </r>
  <r>
    <n v="4502"/>
    <n v="58"/>
    <s v="Female"/>
    <s v="Womens Clothing"/>
    <s v="Skirt"/>
    <n v="52.67"/>
    <s v="Spring"/>
    <s v="Cash on Delivery"/>
    <n v="3.3"/>
    <x v="6"/>
    <n v="8"/>
    <n v="62.702380952380956"/>
    <n v="10.032380952380954"/>
    <x v="0"/>
    <n v="1"/>
  </r>
  <r>
    <n v="4503"/>
    <n v="49"/>
    <s v="Male"/>
    <s v="Electronics"/>
    <s v="Headphones"/>
    <n v="2177.2800000000002"/>
    <s v="Summer"/>
    <s v="Card"/>
    <n v="3.6"/>
    <x v="11"/>
    <n v="8"/>
    <n v="2942.2702702702704"/>
    <n v="764.99027027027023"/>
    <x v="4"/>
    <n v="1"/>
  </r>
  <r>
    <n v="4504"/>
    <n v="60"/>
    <s v="Female"/>
    <s v="Womens Clothing"/>
    <s v="Top"/>
    <n v="90.75"/>
    <s v="Spring"/>
    <s v="Card"/>
    <n v="3.7"/>
    <x v="27"/>
    <n v="10"/>
    <n v="121"/>
    <n v="30.25"/>
    <x v="0"/>
    <n v="1"/>
  </r>
  <r>
    <n v="4505"/>
    <n v="23"/>
    <s v="Female"/>
    <s v="Footwear"/>
    <s v="Sneakers"/>
    <n v="200.4"/>
    <s v="Autumn"/>
    <s v="Card"/>
    <n v="3"/>
    <x v="12"/>
    <n v="7"/>
    <n v="247.40740740740739"/>
    <n v="47.007407407407385"/>
    <x v="3"/>
    <n v="1"/>
  </r>
  <r>
    <n v="4506"/>
    <n v="51"/>
    <s v="Female"/>
    <s v="Beauty"/>
    <s v="Perfume"/>
    <n v="20.2"/>
    <s v="Autumn"/>
    <s v="Cash on Delivery"/>
    <n v="5"/>
    <x v="19"/>
    <n v="5"/>
    <n v="23.764705882352942"/>
    <n v="3.5647058823529427"/>
    <x v="4"/>
    <n v="1"/>
  </r>
  <r>
    <n v="4507"/>
    <n v="42"/>
    <s v="Male"/>
    <s v="Mens Clothing"/>
    <s v="Shirt"/>
    <n v="120.04"/>
    <s v="Summer"/>
    <s v="Card"/>
    <n v="4.8"/>
    <x v="14"/>
    <n v="6"/>
    <n v="144.62650602409639"/>
    <n v="24.58650602409638"/>
    <x v="1"/>
    <n v="1"/>
  </r>
  <r>
    <n v="4508"/>
    <n v="63"/>
    <s v="Female"/>
    <s v="Beauty"/>
    <s v="Skincare Kit"/>
    <n v="64.58"/>
    <s v="Autumn"/>
    <s v="Card"/>
    <n v="3.5"/>
    <x v="16"/>
    <n v="3"/>
    <n v="68.702127659574472"/>
    <n v="4.122127659574474"/>
    <x v="0"/>
    <n v="1"/>
  </r>
  <r>
    <n v="4509"/>
    <n v="21"/>
    <s v="Male"/>
    <s v="Groceries"/>
    <s v="Rice Pack"/>
    <n v="5.44"/>
    <s v="Summer"/>
    <s v="Card"/>
    <n v="3.7"/>
    <x v="10"/>
    <n v="6"/>
    <n v="6.9743589743589745"/>
    <n v="1.5343589743589741"/>
    <x v="3"/>
    <n v="1"/>
  </r>
  <r>
    <n v="4510"/>
    <n v="52"/>
    <s v="Male"/>
    <s v="Electronics"/>
    <s v="Mobile Phone"/>
    <n v="1371.54"/>
    <s v="Winter"/>
    <s v="Card"/>
    <n v="3.4"/>
    <x v="4"/>
    <n v="7"/>
    <n v="1594.8139534883721"/>
    <n v="223.27395348837217"/>
    <x v="4"/>
    <n v="1"/>
  </r>
  <r>
    <n v="4511"/>
    <n v="30"/>
    <s v="Male"/>
    <s v="Footwear"/>
    <s v="Formal Shoes"/>
    <n v="193.68"/>
    <s v="Winter"/>
    <s v="Card"/>
    <n v="3.1"/>
    <x v="4"/>
    <n v="2"/>
    <n v="225.2093023255814"/>
    <n v="31.529302325581398"/>
    <x v="5"/>
    <n v="1"/>
  </r>
  <r>
    <n v="4512"/>
    <n v="70"/>
    <s v="Female"/>
    <s v="Womens Clothing"/>
    <s v="Jeans"/>
    <n v="142.97"/>
    <s v="Winter"/>
    <s v="Card"/>
    <n v="4"/>
    <x v="14"/>
    <n v="6"/>
    <n v="172.25301204819277"/>
    <n v="29.283012048192774"/>
    <x v="2"/>
    <n v="1"/>
  </r>
  <r>
    <n v="4513"/>
    <n v="61"/>
    <s v="Female"/>
    <s v="Accessories"/>
    <s v="Sunglasses"/>
    <n v="119.4"/>
    <s v="Winter"/>
    <s v="Card"/>
    <n v="4.3"/>
    <x v="11"/>
    <n v="8"/>
    <n v="161.35135135135135"/>
    <n v="41.951351351351349"/>
    <x v="0"/>
    <n v="1"/>
  </r>
  <r>
    <n v="4514"/>
    <n v="55"/>
    <s v="Female"/>
    <s v="Womens Clothing"/>
    <s v="Top"/>
    <n v="178.14"/>
    <s v="Autumn"/>
    <s v="Card"/>
    <n v="4.7"/>
    <x v="6"/>
    <n v="3"/>
    <n v="212.07142857142856"/>
    <n v="33.931428571428569"/>
    <x v="4"/>
    <n v="1"/>
  </r>
  <r>
    <n v="4515"/>
    <n v="65"/>
    <s v="Male"/>
    <s v="Groceries"/>
    <s v="Cooking Oil"/>
    <n v="13.59"/>
    <s v="Spring"/>
    <s v="Card"/>
    <n v="3.1"/>
    <x v="7"/>
    <n v="5"/>
    <n v="15.1"/>
    <n v="1.5099999999999998"/>
    <x v="0"/>
    <n v="1"/>
  </r>
  <r>
    <n v="4516"/>
    <n v="41"/>
    <s v="Male"/>
    <s v="Groceries"/>
    <s v="Beverages"/>
    <n v="11.01"/>
    <s v="Summer"/>
    <s v="Cash on Delivery"/>
    <n v="4.5999999999999996"/>
    <x v="1"/>
    <n v="4"/>
    <n v="12.655172413793103"/>
    <n v="1.6451724137931034"/>
    <x v="1"/>
    <n v="1"/>
  </r>
  <r>
    <n v="4517"/>
    <n v="35"/>
    <s v="Male"/>
    <s v="Sports"/>
    <s v="Yoga Mat"/>
    <n v="156.76"/>
    <s v="Winter"/>
    <s v="Card"/>
    <n v="3.3"/>
    <x v="16"/>
    <n v="3"/>
    <n v="166.7659574468085"/>
    <n v="10.005957446808509"/>
    <x v="5"/>
    <n v="1"/>
  </r>
  <r>
    <n v="4518"/>
    <n v="55"/>
    <s v="Female"/>
    <s v="Footwear"/>
    <s v="Formal Shoes"/>
    <n v="40.21"/>
    <s v="Autumn"/>
    <s v="Card"/>
    <n v="3.5"/>
    <x v="4"/>
    <n v="2"/>
    <n v="46.755813953488371"/>
    <n v="6.5458139534883699"/>
    <x v="4"/>
    <n v="1"/>
  </r>
  <r>
    <n v="4519"/>
    <n v="65"/>
    <s v="Female"/>
    <s v="Beauty"/>
    <s v="Skincare Kit"/>
    <n v="54.03"/>
    <s v="Summer"/>
    <s v="Card"/>
    <n v="3.6"/>
    <x v="19"/>
    <n v="5"/>
    <n v="63.564705882352946"/>
    <n v="9.5347058823529451"/>
    <x v="0"/>
    <n v="1"/>
  </r>
  <r>
    <n v="4520"/>
    <n v="40"/>
    <s v="Female"/>
    <s v="Home"/>
    <s v="Lamp"/>
    <n v="216.9"/>
    <s v="Summer"/>
    <s v="Card"/>
    <n v="3.7"/>
    <x v="17"/>
    <n v="2"/>
    <n v="225.93750000000003"/>
    <n v="9.0375000000000227"/>
    <x v="1"/>
    <n v="1"/>
  </r>
  <r>
    <n v="4521"/>
    <n v="59"/>
    <s v="Female"/>
    <s v="Accessories"/>
    <s v="Sunglasses"/>
    <n v="29.8"/>
    <s v="Winter"/>
    <s v="Cash on Delivery"/>
    <n v="3.2"/>
    <x v="7"/>
    <n v="5"/>
    <n v="33.111111111111114"/>
    <n v="3.3111111111111136"/>
    <x v="0"/>
    <n v="1"/>
  </r>
  <r>
    <n v="4522"/>
    <n v="59"/>
    <s v="Female"/>
    <s v="Beauty"/>
    <s v="Perfume"/>
    <n v="111.6"/>
    <s v="Spring"/>
    <s v="Card"/>
    <n v="2.2000000000000002"/>
    <x v="17"/>
    <n v="2"/>
    <n v="116.25"/>
    <n v="4.6500000000000057"/>
    <x v="0"/>
    <n v="1"/>
  </r>
  <r>
    <n v="4523"/>
    <n v="70"/>
    <s v="Female"/>
    <s v="Womens Clothing"/>
    <s v="Top"/>
    <n v="161.66999999999999"/>
    <s v="Winter"/>
    <s v="Card"/>
    <n v="3.8"/>
    <x v="14"/>
    <n v="6"/>
    <n v="194.78313253012047"/>
    <n v="33.113132530120481"/>
    <x v="2"/>
    <n v="1"/>
  </r>
  <r>
    <n v="4524"/>
    <n v="59"/>
    <s v="Male"/>
    <s v="Home"/>
    <s v="Kitchen Set"/>
    <n v="155.09"/>
    <s v="Summer"/>
    <s v="Card"/>
    <n v="3.6"/>
    <x v="0"/>
    <n v="9"/>
    <n v="189.13414634146341"/>
    <n v="34.044146341463403"/>
    <x v="0"/>
    <n v="1"/>
  </r>
  <r>
    <n v="4525"/>
    <n v="61"/>
    <s v="Female"/>
    <s v="Sports"/>
    <s v="Football"/>
    <n v="140.07"/>
    <s v="Summer"/>
    <s v="Card"/>
    <n v="4"/>
    <x v="7"/>
    <n v="5"/>
    <n v="155.63333333333333"/>
    <n v="15.563333333333333"/>
    <x v="0"/>
    <n v="1"/>
  </r>
  <r>
    <n v="4526"/>
    <n v="68"/>
    <s v="Male"/>
    <s v="Electronics"/>
    <s v="Headphones"/>
    <n v="894.06"/>
    <s v="Winter"/>
    <s v="Card"/>
    <n v="3.9"/>
    <x v="7"/>
    <n v="5"/>
    <n v="993.39999999999986"/>
    <n v="99.339999999999918"/>
    <x v="2"/>
    <n v="1"/>
  </r>
  <r>
    <n v="4527"/>
    <n v="45"/>
    <s v="Female"/>
    <s v="Footwear"/>
    <s v="Formal Shoes"/>
    <n v="232.18"/>
    <s v="Winter"/>
    <s v="Card"/>
    <n v="4.5"/>
    <x v="3"/>
    <n v="5"/>
    <n v="290.22499999999997"/>
    <n v="58.044999999999959"/>
    <x v="1"/>
    <n v="1"/>
  </r>
  <r>
    <n v="4528"/>
    <n v="35"/>
    <s v="Female"/>
    <s v="Footwear"/>
    <s v="Sneakers"/>
    <n v="185.34"/>
    <s v="Summer"/>
    <s v="Card"/>
    <n v="3.6"/>
    <x v="1"/>
    <n v="4"/>
    <n v="213.0344827586207"/>
    <n v="27.694482758620694"/>
    <x v="5"/>
    <n v="1"/>
  </r>
  <r>
    <n v="4529"/>
    <n v="54"/>
    <s v="Male"/>
    <s v="Sports"/>
    <s v="Dumbbells"/>
    <n v="245.45"/>
    <s v="Summer"/>
    <s v="Card"/>
    <n v="3.6"/>
    <x v="5"/>
    <n v="4"/>
    <n v="266.79347826086956"/>
    <n v="21.343478260869574"/>
    <x v="4"/>
    <n v="1"/>
  </r>
  <r>
    <n v="4530"/>
    <n v="53"/>
    <s v="Female"/>
    <s v="Beauty"/>
    <s v="Skincare Kit"/>
    <n v="30.54"/>
    <s v="Autumn"/>
    <s v="Card"/>
    <n v="4"/>
    <x v="23"/>
    <n v="1"/>
    <n v="32.838709677419359"/>
    <n v="2.2987096774193603"/>
    <x v="4"/>
    <n v="1"/>
  </r>
  <r>
    <n v="4531"/>
    <n v="30"/>
    <s v="Female"/>
    <s v="Womens Clothing"/>
    <s v="Top"/>
    <n v="95.64"/>
    <s v="Winter"/>
    <s v="Cash on Delivery"/>
    <n v="4.5"/>
    <x v="14"/>
    <n v="6"/>
    <n v="115.22891566265061"/>
    <n v="19.588915662650606"/>
    <x v="5"/>
    <n v="1"/>
  </r>
  <r>
    <n v="4532"/>
    <n v="52"/>
    <s v="Male"/>
    <s v="Mens Clothing"/>
    <s v="Shirt"/>
    <n v="134.28"/>
    <s v="Winter"/>
    <s v="Card"/>
    <n v="3.1"/>
    <x v="5"/>
    <n v="4"/>
    <n v="145.95652173913044"/>
    <n v="11.676521739130436"/>
    <x v="4"/>
    <n v="1"/>
  </r>
  <r>
    <n v="4533"/>
    <n v="42"/>
    <s v="Male"/>
    <s v="Sports"/>
    <s v="Football"/>
    <n v="249.3"/>
    <s v="Summer"/>
    <s v="Card"/>
    <n v="5"/>
    <x v="0"/>
    <n v="4"/>
    <n v="304.02439024390242"/>
    <n v="54.724390243902405"/>
    <x v="1"/>
    <n v="1"/>
  </r>
  <r>
    <n v="4534"/>
    <n v="44"/>
    <s v="Male"/>
    <s v="Footwear"/>
    <s v="Sneakers"/>
    <n v="55.33"/>
    <s v="Summer"/>
    <s v="Card"/>
    <n v="4.5"/>
    <x v="24"/>
    <n v="9"/>
    <n v="76.847222222222229"/>
    <n v="21.51722222222223"/>
    <x v="1"/>
    <n v="1"/>
  </r>
  <r>
    <n v="4535"/>
    <n v="60"/>
    <s v="Male"/>
    <s v="Groceries"/>
    <s v="Snacks"/>
    <n v="10.3"/>
    <s v="Spring"/>
    <s v="Cash on Delivery"/>
    <n v="3.9"/>
    <x v="14"/>
    <n v="6"/>
    <n v="12.409638554216869"/>
    <n v="2.1096385542168683"/>
    <x v="0"/>
    <n v="1"/>
  </r>
  <r>
    <n v="4536"/>
    <n v="22"/>
    <s v="Female"/>
    <s v="Footwear"/>
    <s v="Formal Shoes"/>
    <n v="109.51"/>
    <s v="Spring"/>
    <s v="Card"/>
    <n v="4.8"/>
    <x v="7"/>
    <n v="5"/>
    <n v="121.67777777777778"/>
    <n v="12.167777777777772"/>
    <x v="3"/>
    <n v="1"/>
  </r>
  <r>
    <n v="4537"/>
    <n v="31"/>
    <s v="Male"/>
    <s v="Electronics"/>
    <s v="Smart Watch"/>
    <n v="1550.91"/>
    <s v="Spring"/>
    <s v="Card"/>
    <n v="2.1"/>
    <x v="13"/>
    <n v="2"/>
    <n v="1704.2967032967033"/>
    <n v="153.38670329670322"/>
    <x v="5"/>
    <n v="1"/>
  </r>
  <r>
    <n v="4538"/>
    <n v="38"/>
    <s v="Male"/>
    <s v="Footwear"/>
    <s v="Sneakers"/>
    <n v="192.19"/>
    <s v="Autumn"/>
    <s v="Card"/>
    <n v="3.5"/>
    <x v="2"/>
    <n v="3"/>
    <n v="215.9438202247191"/>
    <n v="23.753820224719107"/>
    <x v="1"/>
    <n v="1"/>
  </r>
  <r>
    <n v="4539"/>
    <n v="49"/>
    <s v="Male"/>
    <s v="Electronics"/>
    <s v="Smart Watch"/>
    <n v="2208.2199999999998"/>
    <s v="Summer"/>
    <s v="Card"/>
    <n v="3.8"/>
    <x v="5"/>
    <n v="4"/>
    <n v="2400.2391304347825"/>
    <n v="192.01913043478271"/>
    <x v="4"/>
    <n v="1"/>
  </r>
  <r>
    <n v="4540"/>
    <n v="23"/>
    <s v="Female"/>
    <s v="Sports"/>
    <s v="Dumbbells"/>
    <n v="37.85"/>
    <s v="Winter"/>
    <s v="Card"/>
    <n v="3.1"/>
    <x v="12"/>
    <n v="7"/>
    <n v="46.728395061728392"/>
    <n v="8.8783950617283907"/>
    <x v="3"/>
    <n v="1"/>
  </r>
  <r>
    <n v="4541"/>
    <n v="40"/>
    <s v="Female"/>
    <s v="Footwear"/>
    <s v="Sneakers"/>
    <n v="96.16"/>
    <s v="Summer"/>
    <s v="Cash on Delivery"/>
    <n v="4.0999999999999996"/>
    <x v="4"/>
    <n v="2"/>
    <n v="111.81395348837209"/>
    <n v="15.653953488372096"/>
    <x v="1"/>
    <n v="1"/>
  </r>
  <r>
    <n v="4542"/>
    <n v="62"/>
    <s v="Male"/>
    <s v="Footwear"/>
    <s v="Formal Shoes"/>
    <n v="73.58"/>
    <s v="Spring"/>
    <s v="Card"/>
    <n v="3.2"/>
    <x v="7"/>
    <n v="5"/>
    <n v="81.755555555555546"/>
    <n v="8.1755555555555475"/>
    <x v="0"/>
    <n v="1"/>
  </r>
  <r>
    <n v="4543"/>
    <n v="27"/>
    <s v="Female"/>
    <s v="Footwear"/>
    <s v="Formal Shoes"/>
    <n v="108.25"/>
    <s v="Winter"/>
    <s v="Card"/>
    <n v="4.4000000000000004"/>
    <x v="19"/>
    <n v="5"/>
    <n v="127.35294117647059"/>
    <n v="19.102941176470594"/>
    <x v="5"/>
    <n v="1"/>
  </r>
  <r>
    <n v="4544"/>
    <n v="35"/>
    <s v="Female"/>
    <s v="Sports"/>
    <s v="Football"/>
    <n v="84.39"/>
    <s v="Summer"/>
    <s v="Card"/>
    <n v="4.8"/>
    <x v="12"/>
    <n v="7"/>
    <n v="104.18518518518518"/>
    <n v="19.795185185185176"/>
    <x v="5"/>
    <n v="1"/>
  </r>
  <r>
    <n v="4545"/>
    <n v="21"/>
    <s v="Male"/>
    <s v="Electronics"/>
    <s v="Laptop"/>
    <n v="2196.35"/>
    <s v="Winter"/>
    <s v="Card"/>
    <n v="3.8"/>
    <x v="7"/>
    <n v="5"/>
    <n v="2440.3888888888887"/>
    <n v="244.03888888888878"/>
    <x v="3"/>
    <n v="1"/>
  </r>
  <r>
    <n v="4546"/>
    <n v="55"/>
    <s v="Male"/>
    <s v="Mens Clothing"/>
    <s v="T-Shirt"/>
    <n v="56.1"/>
    <s v="Winter"/>
    <s v="Card"/>
    <n v="5"/>
    <x v="8"/>
    <n v="6"/>
    <n v="63.75"/>
    <n v="7.6499999999999986"/>
    <x v="4"/>
    <n v="1"/>
  </r>
  <r>
    <n v="4547"/>
    <n v="49"/>
    <s v="Male"/>
    <s v="Mens Clothing"/>
    <s v="Jacket"/>
    <n v="115.95"/>
    <s v="Spring"/>
    <s v="Card"/>
    <n v="3.7"/>
    <x v="19"/>
    <n v="5"/>
    <n v="136.41176470588235"/>
    <n v="20.461764705882345"/>
    <x v="4"/>
    <n v="1"/>
  </r>
  <r>
    <n v="4548"/>
    <n v="60"/>
    <s v="Male"/>
    <s v="Sports"/>
    <s v="Football"/>
    <n v="122.97"/>
    <s v="Autumn"/>
    <s v="Card"/>
    <n v="3.8"/>
    <x v="13"/>
    <n v="2"/>
    <n v="135.13186813186812"/>
    <n v="12.161868131868118"/>
    <x v="0"/>
    <n v="1"/>
  </r>
  <r>
    <n v="4549"/>
    <n v="46"/>
    <s v="Male"/>
    <s v="Electronics"/>
    <s v="Mobile Phone"/>
    <n v="561.66"/>
    <s v="Summer"/>
    <s v="Card"/>
    <n v="3.8"/>
    <x v="8"/>
    <n v="6"/>
    <n v="638.25"/>
    <n v="76.590000000000032"/>
    <x v="4"/>
    <n v="1"/>
  </r>
  <r>
    <n v="4550"/>
    <n v="69"/>
    <s v="Female"/>
    <s v="Womens Clothing"/>
    <s v="Top"/>
    <n v="73.88"/>
    <s v="Summer"/>
    <s v="Card"/>
    <n v="4.3"/>
    <x v="14"/>
    <n v="6"/>
    <n v="89.01204819277109"/>
    <n v="15.132048192771094"/>
    <x v="2"/>
    <n v="1"/>
  </r>
  <r>
    <n v="4551"/>
    <n v="49"/>
    <s v="Female"/>
    <s v="Footwear"/>
    <s v="Sandals"/>
    <n v="96.13"/>
    <s v="Spring"/>
    <s v="Cash on Delivery"/>
    <n v="4"/>
    <x v="19"/>
    <n v="5"/>
    <n v="113.09411764705882"/>
    <n v="16.964117647058828"/>
    <x v="4"/>
    <n v="1"/>
  </r>
  <r>
    <n v="4552"/>
    <n v="58"/>
    <s v="Male"/>
    <s v="Mens Clothing"/>
    <s v="T-Shirt"/>
    <n v="128.34"/>
    <s v="Spring"/>
    <s v="Card"/>
    <n v="3.6"/>
    <x v="10"/>
    <n v="6"/>
    <n v="164.53846153846155"/>
    <n v="36.198461538461544"/>
    <x v="0"/>
    <n v="1"/>
  </r>
  <r>
    <n v="4553"/>
    <n v="22"/>
    <s v="Male"/>
    <s v="Groceries"/>
    <s v="Cooking Oil"/>
    <n v="36.200000000000003"/>
    <s v="Autumn"/>
    <s v="Cash on Delivery"/>
    <n v="5"/>
    <x v="3"/>
    <n v="5"/>
    <n v="45.25"/>
    <n v="9.0499999999999972"/>
    <x v="3"/>
    <n v="1"/>
  </r>
  <r>
    <n v="4554"/>
    <n v="50"/>
    <s v="Female"/>
    <s v="Beauty"/>
    <s v="Skincare Kit"/>
    <n v="22.59"/>
    <s v="Spring"/>
    <s v="Cash on Delivery"/>
    <n v="3.9"/>
    <x v="3"/>
    <n v="5"/>
    <n v="28.237499999999997"/>
    <n v="5.6474999999999973"/>
    <x v="4"/>
    <n v="1"/>
  </r>
  <r>
    <n v="4555"/>
    <n v="41"/>
    <s v="Female"/>
    <s v="Footwear"/>
    <s v="Sandals"/>
    <n v="55.08"/>
    <s v="Spring"/>
    <s v="Cash on Delivery"/>
    <n v="4"/>
    <x v="11"/>
    <n v="8"/>
    <n v="74.432432432432435"/>
    <n v="19.352432432432437"/>
    <x v="1"/>
    <n v="1"/>
  </r>
  <r>
    <n v="4556"/>
    <n v="68"/>
    <s v="Female"/>
    <s v="Accessories"/>
    <s v="Wallet"/>
    <n v="121.36"/>
    <s v="Winter"/>
    <s v="Card"/>
    <n v="2.7"/>
    <x v="19"/>
    <n v="5"/>
    <n v="142.7764705882353"/>
    <n v="21.416470588235299"/>
    <x v="2"/>
    <n v="1"/>
  </r>
  <r>
    <n v="4557"/>
    <n v="67"/>
    <s v="Male"/>
    <s v="Footwear"/>
    <s v="Formal Shoes"/>
    <n v="202.9"/>
    <s v="Autumn"/>
    <s v="Card"/>
    <n v="3.7"/>
    <x v="3"/>
    <n v="5"/>
    <n v="253.625"/>
    <n v="50.724999999999994"/>
    <x v="2"/>
    <n v="1"/>
  </r>
  <r>
    <n v="4558"/>
    <n v="67"/>
    <s v="Male"/>
    <s v="Mens Clothing"/>
    <s v="Jeans"/>
    <n v="185.7"/>
    <s v="Autumn"/>
    <s v="Card"/>
    <n v="3.1"/>
    <x v="15"/>
    <n v="1"/>
    <n v="189.48979591836735"/>
    <n v="3.7897959183673606"/>
    <x v="2"/>
    <n v="1"/>
  </r>
  <r>
    <n v="4559"/>
    <n v="24"/>
    <s v="Male"/>
    <s v="Mens Clothing"/>
    <s v="Jeans"/>
    <n v="156.16999999999999"/>
    <s v="Spring"/>
    <s v="Card"/>
    <n v="4.0999999999999996"/>
    <x v="2"/>
    <n v="3"/>
    <n v="175.47191011235952"/>
    <n v="19.301910112359536"/>
    <x v="3"/>
    <n v="1"/>
  </r>
  <r>
    <n v="4560"/>
    <n v="56"/>
    <s v="Female"/>
    <s v="Beauty"/>
    <s v="Perfume"/>
    <n v="32.07"/>
    <s v="Summer"/>
    <s v="Card"/>
    <n v="3.7"/>
    <x v="30"/>
    <n v="12"/>
    <n v="48.590909090909101"/>
    <n v="16.5209090909091"/>
    <x v="0"/>
    <n v="1"/>
  </r>
  <r>
    <n v="4561"/>
    <n v="70"/>
    <s v="Female"/>
    <s v="Groceries"/>
    <s v="Rice Pack"/>
    <n v="65.38"/>
    <s v="Summer"/>
    <s v="Cash on Delivery"/>
    <n v="3.7"/>
    <x v="3"/>
    <n v="5"/>
    <n v="81.724999999999994"/>
    <n v="16.344999999999999"/>
    <x v="2"/>
    <n v="1"/>
  </r>
  <r>
    <n v="4562"/>
    <n v="62"/>
    <s v="Female"/>
    <s v="Footwear"/>
    <s v="Formal Shoes"/>
    <n v="48.76"/>
    <s v="Autumn"/>
    <s v="Card"/>
    <n v="3.4"/>
    <x v="7"/>
    <n v="5"/>
    <n v="54.177777777777777"/>
    <n v="5.4177777777777791"/>
    <x v="0"/>
    <n v="1"/>
  </r>
  <r>
    <n v="4563"/>
    <n v="55"/>
    <s v="Female"/>
    <s v="Footwear"/>
    <s v="Sandals"/>
    <n v="133.82"/>
    <s v="Spring"/>
    <s v="Card"/>
    <n v="4.5"/>
    <x v="14"/>
    <n v="6"/>
    <n v="161.22891566265059"/>
    <n v="27.4089156626506"/>
    <x v="4"/>
    <n v="1"/>
  </r>
  <r>
    <n v="4564"/>
    <n v="41"/>
    <s v="Female"/>
    <s v="Sports"/>
    <s v="Yoga Mat"/>
    <n v="189.59"/>
    <s v="Autumn"/>
    <s v="Card"/>
    <n v="3"/>
    <x v="7"/>
    <n v="5"/>
    <n v="210.65555555555557"/>
    <n v="21.065555555555562"/>
    <x v="1"/>
    <n v="1"/>
  </r>
  <r>
    <n v="4565"/>
    <n v="64"/>
    <s v="Female"/>
    <s v="Accessories"/>
    <s v="Handbag"/>
    <n v="129.44999999999999"/>
    <s v="Autumn"/>
    <s v="Card"/>
    <n v="3.9"/>
    <x v="1"/>
    <n v="4"/>
    <n v="148.79310344827584"/>
    <n v="19.343103448275855"/>
    <x v="0"/>
    <n v="1"/>
  </r>
  <r>
    <n v="4566"/>
    <n v="67"/>
    <s v="Male"/>
    <s v="Footwear"/>
    <s v="Sandals"/>
    <n v="151.13"/>
    <s v="Autumn"/>
    <s v="Card"/>
    <n v="3.6"/>
    <x v="17"/>
    <n v="2"/>
    <n v="157.42708333333334"/>
    <n v="6.2970833333333474"/>
    <x v="2"/>
    <n v="1"/>
  </r>
  <r>
    <n v="4567"/>
    <n v="30"/>
    <s v="Male"/>
    <s v="Footwear"/>
    <s v="Sneakers"/>
    <n v="122.89"/>
    <s v="Winter"/>
    <s v="Card"/>
    <n v="5"/>
    <x v="1"/>
    <n v="4"/>
    <n v="141.2528735632184"/>
    <n v="18.3628735632184"/>
    <x v="5"/>
    <n v="1"/>
  </r>
  <r>
    <n v="4568"/>
    <n v="70"/>
    <s v="Male"/>
    <s v="Footwear"/>
    <s v="Sandals"/>
    <n v="112.06"/>
    <s v="Spring"/>
    <s v="Card"/>
    <n v="5"/>
    <x v="27"/>
    <n v="10"/>
    <n v="149.41333333333333"/>
    <n v="37.353333333333325"/>
    <x v="2"/>
    <n v="1"/>
  </r>
  <r>
    <n v="4569"/>
    <n v="66"/>
    <s v="Female"/>
    <s v="Sports"/>
    <s v="Dumbbells"/>
    <n v="115.8"/>
    <s v="Winter"/>
    <s v="Card"/>
    <n v="3.2"/>
    <x v="8"/>
    <n v="1"/>
    <n v="131.59090909090909"/>
    <n v="15.790909090909096"/>
    <x v="2"/>
    <n v="1"/>
  </r>
  <r>
    <n v="4570"/>
    <n v="55"/>
    <s v="Female"/>
    <s v="Groceries"/>
    <s v="Rice Pack"/>
    <n v="68.87"/>
    <s v="Autumn"/>
    <s v="Cash on Delivery"/>
    <n v="4"/>
    <x v="16"/>
    <n v="3"/>
    <n v="73.265957446808514"/>
    <n v="4.3959574468085094"/>
    <x v="4"/>
    <n v="1"/>
  </r>
  <r>
    <n v="4571"/>
    <n v="63"/>
    <s v="Male"/>
    <s v="Mens Clothing"/>
    <s v="Jeans"/>
    <n v="99.6"/>
    <s v="Autumn"/>
    <s v="Cash on Delivery"/>
    <n v="4.5999999999999996"/>
    <x v="4"/>
    <n v="2"/>
    <n v="115.81395348837209"/>
    <n v="16.213953488372098"/>
    <x v="0"/>
    <n v="1"/>
  </r>
  <r>
    <n v="4572"/>
    <n v="65"/>
    <s v="Male"/>
    <s v="Sports"/>
    <s v="Yoga Mat"/>
    <n v="112.71"/>
    <s v="Winter"/>
    <s v="Card"/>
    <n v="4.7"/>
    <x v="27"/>
    <n v="10"/>
    <n v="150.28"/>
    <n v="37.570000000000007"/>
    <x v="0"/>
    <n v="1"/>
  </r>
  <r>
    <n v="4573"/>
    <n v="42"/>
    <s v="Male"/>
    <s v="Footwear"/>
    <s v="Formal Shoes"/>
    <n v="176.05"/>
    <s v="Summer"/>
    <s v="Card"/>
    <n v="4.3"/>
    <x v="7"/>
    <n v="5"/>
    <n v="195.61111111111111"/>
    <n v="19.561111111111103"/>
    <x v="1"/>
    <n v="1"/>
  </r>
  <r>
    <n v="4574"/>
    <n v="53"/>
    <s v="Male"/>
    <s v="Sports"/>
    <s v="Football"/>
    <n v="122.14"/>
    <s v="Summer"/>
    <s v="Card"/>
    <n v="4.7"/>
    <x v="14"/>
    <n v="6"/>
    <n v="147.15662650602411"/>
    <n v="25.01662650602411"/>
    <x v="4"/>
    <n v="1"/>
  </r>
  <r>
    <n v="4575"/>
    <n v="29"/>
    <s v="Female"/>
    <s v="Womens Clothing"/>
    <s v="Skirt"/>
    <n v="70.08"/>
    <s v="Winter"/>
    <s v="Card"/>
    <n v="3.1"/>
    <x v="5"/>
    <n v="4"/>
    <n v="76.173913043478251"/>
    <n v="6.0939130434782527"/>
    <x v="5"/>
    <n v="1"/>
  </r>
  <r>
    <n v="4576"/>
    <n v="31"/>
    <s v="Female"/>
    <s v="Home"/>
    <s v="Lamp"/>
    <n v="212.12"/>
    <s v="Spring"/>
    <s v="Card"/>
    <n v="3.6"/>
    <x v="5"/>
    <n v="4"/>
    <n v="230.56521739130434"/>
    <n v="18.44521739130434"/>
    <x v="5"/>
    <n v="1"/>
  </r>
  <r>
    <n v="4577"/>
    <n v="22"/>
    <s v="Male"/>
    <s v="Mens Clothing"/>
    <s v="T-Shirt"/>
    <n v="132.21"/>
    <s v="Spring"/>
    <s v="Card"/>
    <n v="4.2"/>
    <x v="8"/>
    <n v="6"/>
    <n v="150.23863636363637"/>
    <n v="18.028636363636366"/>
    <x v="3"/>
    <n v="1"/>
  </r>
  <r>
    <n v="4578"/>
    <n v="61"/>
    <s v="Male"/>
    <s v="Home"/>
    <s v="Lamp"/>
    <n v="30.41"/>
    <s v="Spring"/>
    <s v="Card"/>
    <n v="4.5"/>
    <x v="18"/>
    <n v="7"/>
    <n v="40.013157894736842"/>
    <n v="9.6031578947368423"/>
    <x v="0"/>
    <n v="1"/>
  </r>
  <r>
    <n v="4579"/>
    <n v="70"/>
    <s v="Female"/>
    <s v="Womens Clothing"/>
    <s v="Skirt"/>
    <n v="155.75"/>
    <s v="Spring"/>
    <s v="Card"/>
    <n v="4.8"/>
    <x v="11"/>
    <n v="8"/>
    <n v="210.47297297297297"/>
    <n v="54.722972972972968"/>
    <x v="2"/>
    <n v="1"/>
  </r>
  <r>
    <n v="4580"/>
    <n v="23"/>
    <s v="Female"/>
    <s v="Womens Clothing"/>
    <s v="Top"/>
    <n v="139.63999999999999"/>
    <s v="Summer"/>
    <s v="Card"/>
    <n v="3.2"/>
    <x v="1"/>
    <n v="4"/>
    <n v="160.50574712643677"/>
    <n v="20.865747126436787"/>
    <x v="3"/>
    <n v="1"/>
  </r>
  <r>
    <n v="4581"/>
    <n v="37"/>
    <s v="Female"/>
    <s v="Womens Clothing"/>
    <s v="Skirt"/>
    <n v="68.14"/>
    <s v="Spring"/>
    <s v="Card"/>
    <n v="5"/>
    <x v="19"/>
    <n v="5"/>
    <n v="80.164705882352948"/>
    <n v="12.024705882352947"/>
    <x v="1"/>
    <n v="1"/>
  </r>
  <r>
    <n v="4582"/>
    <n v="46"/>
    <s v="Female"/>
    <s v="Beauty"/>
    <s v="Skincare Kit"/>
    <n v="90.16"/>
    <s v="Autumn"/>
    <s v="Cash on Delivery"/>
    <n v="3.4"/>
    <x v="5"/>
    <n v="4"/>
    <n v="97.999999999999986"/>
    <n v="7.8399999999999892"/>
    <x v="4"/>
    <n v="1"/>
  </r>
  <r>
    <n v="4583"/>
    <n v="30"/>
    <s v="Male"/>
    <s v="Groceries"/>
    <s v="Beverages"/>
    <n v="31.14"/>
    <s v="Summer"/>
    <s v="Cash on Delivery"/>
    <n v="4.3"/>
    <x v="10"/>
    <n v="6"/>
    <n v="39.92307692307692"/>
    <n v="8.7830769230769192"/>
    <x v="5"/>
    <n v="1"/>
  </r>
  <r>
    <n v="4584"/>
    <n v="40"/>
    <s v="Female"/>
    <s v="Beauty"/>
    <s v="Perfume"/>
    <n v="58.36"/>
    <s v="Winter"/>
    <s v="Cash on Delivery"/>
    <n v="3.4"/>
    <x v="6"/>
    <n v="3"/>
    <n v="69.476190476190482"/>
    <n v="11.116190476190482"/>
    <x v="1"/>
    <n v="1"/>
  </r>
  <r>
    <n v="4585"/>
    <n v="22"/>
    <s v="Female"/>
    <s v="Footwear"/>
    <s v="Sandals"/>
    <n v="185.34"/>
    <s v="Winter"/>
    <s v="Card"/>
    <n v="3.7"/>
    <x v="1"/>
    <n v="4"/>
    <n v="213.0344827586207"/>
    <n v="27.694482758620694"/>
    <x v="3"/>
    <n v="1"/>
  </r>
  <r>
    <n v="4586"/>
    <n v="36"/>
    <s v="Female"/>
    <s v="Footwear"/>
    <s v="Sneakers"/>
    <n v="195.92"/>
    <s v="Spring"/>
    <s v="Card"/>
    <n v="3.3"/>
    <x v="5"/>
    <n v="4"/>
    <n v="212.95652173913041"/>
    <n v="17.036521739130421"/>
    <x v="1"/>
    <n v="1"/>
  </r>
  <r>
    <n v="4587"/>
    <n v="37"/>
    <s v="Female"/>
    <s v="Beauty"/>
    <s v="Skincare Kit"/>
    <n v="126.73"/>
    <s v="Summer"/>
    <s v="Card"/>
    <n v="4.4000000000000004"/>
    <x v="0"/>
    <n v="4"/>
    <n v="154.54878048780486"/>
    <n v="27.818780487804858"/>
    <x v="1"/>
    <n v="1"/>
  </r>
  <r>
    <n v="4588"/>
    <n v="36"/>
    <s v="Male"/>
    <s v="Sports"/>
    <s v="Dumbbells"/>
    <n v="57.52"/>
    <s v="Winter"/>
    <s v="Cash on Delivery"/>
    <n v="3.6"/>
    <x v="14"/>
    <n v="6"/>
    <n v="69.301204819277118"/>
    <n v="11.781204819277114"/>
    <x v="1"/>
    <n v="1"/>
  </r>
  <r>
    <n v="4589"/>
    <n v="63"/>
    <s v="Female"/>
    <s v="Sports"/>
    <s v="Yoga Mat"/>
    <n v="50.03"/>
    <s v="Summer"/>
    <s v="Cash on Delivery"/>
    <n v="4.9000000000000004"/>
    <x v="1"/>
    <n v="4"/>
    <n v="57.505747126436781"/>
    <n v="7.4757471264367794"/>
    <x v="0"/>
    <n v="1"/>
  </r>
  <r>
    <n v="4590"/>
    <n v="55"/>
    <s v="Male"/>
    <s v="Footwear"/>
    <s v="Formal Shoes"/>
    <n v="127.27"/>
    <s v="Spring"/>
    <s v="Card"/>
    <n v="3.8"/>
    <x v="14"/>
    <n v="6"/>
    <n v="153.33734939759037"/>
    <n v="26.067349397590377"/>
    <x v="4"/>
    <n v="1"/>
  </r>
  <r>
    <n v="4591"/>
    <n v="59"/>
    <s v="Male"/>
    <s v="Footwear"/>
    <s v="Sandals"/>
    <n v="146.82"/>
    <s v="Autumn"/>
    <s v="Card"/>
    <n v="2.8"/>
    <x v="13"/>
    <n v="2"/>
    <n v="161.34065934065933"/>
    <n v="14.520659340659336"/>
    <x v="0"/>
    <n v="1"/>
  </r>
  <r>
    <n v="4592"/>
    <n v="27"/>
    <s v="Male"/>
    <s v="Electronics"/>
    <s v="Headphones"/>
    <n v="1476.44"/>
    <s v="Autumn"/>
    <s v="Card"/>
    <n v="5"/>
    <x v="6"/>
    <n v="3"/>
    <n v="1757.6666666666667"/>
    <n v="281.22666666666669"/>
    <x v="5"/>
    <n v="1"/>
  </r>
  <r>
    <n v="4593"/>
    <n v="40"/>
    <s v="Female"/>
    <s v="Home"/>
    <s v="Kitchen Set"/>
    <n v="67.92"/>
    <s v="Spring"/>
    <s v="Card"/>
    <n v="4.5999999999999996"/>
    <x v="8"/>
    <n v="6"/>
    <n v="77.181818181818187"/>
    <n v="9.2618181818181853"/>
    <x v="1"/>
    <n v="1"/>
  </r>
  <r>
    <n v="4594"/>
    <n v="45"/>
    <s v="Female"/>
    <s v="Beauty"/>
    <s v="Skincare Kit"/>
    <n v="78.650000000000006"/>
    <s v="Winter"/>
    <s v="Cash on Delivery"/>
    <n v="3.6"/>
    <x v="0"/>
    <n v="4"/>
    <n v="95.91463414634147"/>
    <n v="17.264634146341464"/>
    <x v="1"/>
    <n v="1"/>
  </r>
  <r>
    <n v="4595"/>
    <n v="64"/>
    <s v="Male"/>
    <s v="Mens Clothing"/>
    <s v="Jacket"/>
    <n v="158.12"/>
    <s v="Summer"/>
    <s v="Card"/>
    <n v="3.9"/>
    <x v="17"/>
    <n v="2"/>
    <n v="164.70833333333334"/>
    <n v="6.5883333333333383"/>
    <x v="0"/>
    <n v="1"/>
  </r>
  <r>
    <n v="4596"/>
    <n v="44"/>
    <s v="Female"/>
    <s v="Accessories"/>
    <s v="Sunglasses"/>
    <n v="92.21"/>
    <s v="Spring"/>
    <s v="Card"/>
    <n v="2.9"/>
    <x v="19"/>
    <n v="5"/>
    <n v="108.48235294117647"/>
    <n v="16.272352941176479"/>
    <x v="1"/>
    <n v="1"/>
  </r>
  <r>
    <n v="4597"/>
    <n v="27"/>
    <s v="Male"/>
    <s v="Mens Clothing"/>
    <s v="Shirt"/>
    <n v="86.53"/>
    <s v="Winter"/>
    <s v="Card"/>
    <n v="4.0999999999999996"/>
    <x v="26"/>
    <n v="0"/>
    <n v="91.0842105263158"/>
    <n v="4.5542105263157993"/>
    <x v="5"/>
    <n v="1"/>
  </r>
  <r>
    <n v="4598"/>
    <n v="64"/>
    <s v="Female"/>
    <s v="Footwear"/>
    <s v="Formal Shoes"/>
    <n v="233.47"/>
    <s v="Autumn"/>
    <s v="Card"/>
    <n v="4.8"/>
    <x v="16"/>
    <n v="3"/>
    <n v="248.37234042553192"/>
    <n v="14.902340425531918"/>
    <x v="0"/>
    <n v="1"/>
  </r>
  <r>
    <n v="4599"/>
    <n v="60"/>
    <s v="Male"/>
    <s v="Home"/>
    <s v="Lamp"/>
    <n v="82.83"/>
    <s v="Spring"/>
    <s v="Cash on Delivery"/>
    <n v="3.6"/>
    <x v="21"/>
    <n v="8"/>
    <n v="104.84810126582278"/>
    <n v="22.018101265822779"/>
    <x v="0"/>
    <n v="1"/>
  </r>
  <r>
    <n v="4600"/>
    <n v="60"/>
    <s v="Female"/>
    <s v="Sports"/>
    <s v="Football"/>
    <n v="217.78"/>
    <s v="Winter"/>
    <s v="Card"/>
    <n v="4.8"/>
    <x v="0"/>
    <n v="4"/>
    <n v="265.58536585365852"/>
    <n v="47.805365853658515"/>
    <x v="0"/>
    <n v="1"/>
  </r>
  <r>
    <n v="4601"/>
    <n v="68"/>
    <s v="Female"/>
    <s v="Footwear"/>
    <s v="Sneakers"/>
    <n v="69.89"/>
    <s v="Autumn"/>
    <s v="Cash on Delivery"/>
    <n v="3.9"/>
    <x v="13"/>
    <n v="2"/>
    <n v="76.802197802197796"/>
    <n v="6.9121978021977952"/>
    <x v="2"/>
    <n v="1"/>
  </r>
  <r>
    <n v="4602"/>
    <n v="23"/>
    <s v="Female"/>
    <s v="Beauty"/>
    <s v="Perfume"/>
    <n v="86.48"/>
    <s v="Winter"/>
    <s v="Card"/>
    <n v="4.3"/>
    <x v="1"/>
    <n v="4"/>
    <n v="99.402298850574724"/>
    <n v="12.92229885057472"/>
    <x v="3"/>
    <n v="1"/>
  </r>
  <r>
    <n v="4603"/>
    <n v="63"/>
    <s v="Male"/>
    <s v="Sports"/>
    <s v="Yoga Mat"/>
    <n v="29.89"/>
    <s v="Autumn"/>
    <s v="Cash on Delivery"/>
    <n v="3.9"/>
    <x v="4"/>
    <n v="7"/>
    <n v="34.755813953488371"/>
    <n v="4.8658139534883702"/>
    <x v="0"/>
    <n v="1"/>
  </r>
  <r>
    <n v="4604"/>
    <n v="25"/>
    <s v="Male"/>
    <s v="Sports"/>
    <s v="Dumbbells"/>
    <n v="30.91"/>
    <s v="Autumn"/>
    <s v="Cash on Delivery"/>
    <n v="3.9"/>
    <x v="10"/>
    <n v="6"/>
    <n v="39.628205128205124"/>
    <n v="8.7182051282051241"/>
    <x v="3"/>
    <n v="1"/>
  </r>
  <r>
    <n v="4605"/>
    <n v="44"/>
    <s v="Female"/>
    <s v="Beauty"/>
    <s v="Skincare Kit"/>
    <n v="138.36000000000001"/>
    <s v="Winter"/>
    <s v="Card"/>
    <n v="4.4000000000000004"/>
    <x v="6"/>
    <n v="3"/>
    <n v="164.71428571428575"/>
    <n v="26.354285714285737"/>
    <x v="1"/>
    <n v="1"/>
  </r>
  <r>
    <n v="4606"/>
    <n v="48"/>
    <s v="Female"/>
    <s v="Womens Clothing"/>
    <s v="Dress"/>
    <n v="42.2"/>
    <s v="Winter"/>
    <s v="Cash on Delivery"/>
    <n v="3.1"/>
    <x v="6"/>
    <n v="3"/>
    <n v="50.238095238095241"/>
    <n v="8.038095238095238"/>
    <x v="4"/>
    <n v="1"/>
  </r>
  <r>
    <n v="4607"/>
    <n v="30"/>
    <s v="Female"/>
    <s v="Womens Clothing"/>
    <s v="Dress"/>
    <n v="137.13"/>
    <s v="Summer"/>
    <s v="Card"/>
    <n v="4.4000000000000004"/>
    <x v="6"/>
    <n v="3"/>
    <n v="163.25"/>
    <n v="26.120000000000005"/>
    <x v="5"/>
    <n v="1"/>
  </r>
  <r>
    <n v="4608"/>
    <n v="24"/>
    <s v="Male"/>
    <s v="Home"/>
    <s v="Curtains"/>
    <n v="232.57"/>
    <s v="Summer"/>
    <s v="Card"/>
    <n v="3.6"/>
    <x v="11"/>
    <n v="8"/>
    <n v="314.2837837837838"/>
    <n v="81.713783783783811"/>
    <x v="3"/>
    <n v="1"/>
  </r>
  <r>
    <n v="4609"/>
    <n v="25"/>
    <s v="Female"/>
    <s v="Accessories"/>
    <s v="Handbag"/>
    <n v="22.59"/>
    <s v="Winter"/>
    <s v="Cash on Delivery"/>
    <n v="2.9"/>
    <x v="8"/>
    <n v="6"/>
    <n v="25.670454545454547"/>
    <n v="3.0804545454545469"/>
    <x v="3"/>
    <n v="1"/>
  </r>
  <r>
    <n v="4610"/>
    <n v="50"/>
    <s v="Male"/>
    <s v="Electronics"/>
    <s v="Smart Watch"/>
    <n v="2642.49"/>
    <s v="Winter"/>
    <s v="Card"/>
    <n v="3.5"/>
    <x v="3"/>
    <n v="5"/>
    <n v="3303.1124999999997"/>
    <n v="660.62249999999995"/>
    <x v="4"/>
    <n v="1"/>
  </r>
  <r>
    <n v="4611"/>
    <n v="64"/>
    <s v="Female"/>
    <s v="Beauty"/>
    <s v="Skincare Kit"/>
    <n v="103.84"/>
    <s v="Spring"/>
    <s v="Card"/>
    <n v="4.3"/>
    <x v="4"/>
    <n v="7"/>
    <n v="120.74418604651163"/>
    <n v="16.904186046511626"/>
    <x v="0"/>
    <n v="1"/>
  </r>
  <r>
    <n v="4612"/>
    <n v="28"/>
    <s v="Female"/>
    <s v="Beauty"/>
    <s v="Perfume"/>
    <n v="107.9"/>
    <s v="Summer"/>
    <s v="Card"/>
    <n v="3.2"/>
    <x v="2"/>
    <n v="3"/>
    <n v="121.23595505617978"/>
    <n v="13.33595505617977"/>
    <x v="5"/>
    <n v="1"/>
  </r>
  <r>
    <n v="4613"/>
    <n v="55"/>
    <s v="Male"/>
    <s v="Sports"/>
    <s v="Dumbbells"/>
    <n v="175.64"/>
    <s v="Summer"/>
    <s v="Card"/>
    <n v="4.4000000000000004"/>
    <x v="0"/>
    <n v="9"/>
    <n v="214.19512195121948"/>
    <n v="38.55512195121949"/>
    <x v="4"/>
    <n v="1"/>
  </r>
  <r>
    <n v="4614"/>
    <n v="42"/>
    <s v="Male"/>
    <s v="Electronics"/>
    <s v="Mobile Phone"/>
    <n v="909.94"/>
    <s v="Autumn"/>
    <s v="Card"/>
    <n v="3.5"/>
    <x v="12"/>
    <n v="7"/>
    <n v="1123.3827160493827"/>
    <n v="213.44271604938262"/>
    <x v="1"/>
    <n v="1"/>
  </r>
  <r>
    <n v="4615"/>
    <n v="37"/>
    <s v="Male"/>
    <s v="Sports"/>
    <s v="Dumbbells"/>
    <n v="72.13"/>
    <s v="Autumn"/>
    <s v="Cash on Delivery"/>
    <n v="3.6"/>
    <x v="8"/>
    <n v="6"/>
    <n v="81.965909090909079"/>
    <n v="9.8359090909090838"/>
    <x v="1"/>
    <n v="1"/>
  </r>
  <r>
    <n v="4616"/>
    <n v="60"/>
    <s v="Female"/>
    <s v="Footwear"/>
    <s v="Formal Shoes"/>
    <n v="150.30000000000001"/>
    <s v="Summer"/>
    <s v="Card"/>
    <n v="4.2"/>
    <x v="10"/>
    <n v="6"/>
    <n v="192.69230769230771"/>
    <n v="42.392307692307696"/>
    <x v="0"/>
    <n v="1"/>
  </r>
  <r>
    <n v="4617"/>
    <n v="32"/>
    <s v="Male"/>
    <s v="Sports"/>
    <s v="Football"/>
    <n v="59.98"/>
    <s v="Autumn"/>
    <s v="Cash on Delivery"/>
    <n v="4.4000000000000004"/>
    <x v="2"/>
    <n v="3"/>
    <n v="67.393258426966284"/>
    <n v="7.4132584269662871"/>
    <x v="5"/>
    <n v="1"/>
  </r>
  <r>
    <n v="4618"/>
    <n v="38"/>
    <s v="Female"/>
    <s v="Womens Clothing"/>
    <s v="Jeans"/>
    <n v="55.88"/>
    <s v="Winter"/>
    <s v="Card"/>
    <n v="4.9000000000000004"/>
    <x v="0"/>
    <n v="9"/>
    <n v="68.146341463414629"/>
    <n v="12.266341463414626"/>
    <x v="1"/>
    <n v="1"/>
  </r>
  <r>
    <n v="4619"/>
    <n v="62"/>
    <s v="Male"/>
    <s v="Mens Clothing"/>
    <s v="Jeans"/>
    <n v="86.82"/>
    <s v="Summer"/>
    <s v="Cash on Delivery"/>
    <n v="3"/>
    <x v="2"/>
    <n v="3"/>
    <n v="97.550561797752806"/>
    <n v="10.730561797752813"/>
    <x v="0"/>
    <n v="1"/>
  </r>
  <r>
    <n v="4620"/>
    <n v="58"/>
    <s v="Male"/>
    <s v="Sports"/>
    <s v="Football"/>
    <n v="88.53"/>
    <s v="Winter"/>
    <s v="Card"/>
    <n v="3.5"/>
    <x v="1"/>
    <n v="4"/>
    <n v="101.75862068965517"/>
    <n v="13.228620689655173"/>
    <x v="0"/>
    <n v="1"/>
  </r>
  <r>
    <n v="4621"/>
    <n v="20"/>
    <s v="Male"/>
    <s v="Footwear"/>
    <s v="Sneakers"/>
    <n v="155.1"/>
    <s v="Autumn"/>
    <s v="Card"/>
    <n v="3.8"/>
    <x v="23"/>
    <n v="1"/>
    <n v="166.7741935483871"/>
    <n v="11.674193548387109"/>
    <x v="3"/>
    <n v="1"/>
  </r>
  <r>
    <n v="4622"/>
    <n v="43"/>
    <s v="Female"/>
    <s v="Beauty"/>
    <s v="Perfume"/>
    <n v="79.400000000000006"/>
    <s v="Winter"/>
    <s v="Cash on Delivery"/>
    <n v="4.3"/>
    <x v="21"/>
    <n v="8"/>
    <n v="100.50632911392405"/>
    <n v="21.106329113924048"/>
    <x v="1"/>
    <n v="1"/>
  </r>
  <r>
    <n v="4623"/>
    <n v="23"/>
    <s v="Male"/>
    <s v="Electronics"/>
    <s v="Mobile Phone"/>
    <n v="1000.65"/>
    <s v="Spring"/>
    <s v="Card"/>
    <n v="3.6"/>
    <x v="12"/>
    <n v="7"/>
    <n v="1235.3703703703702"/>
    <n v="234.72037037037023"/>
    <x v="3"/>
    <n v="1"/>
  </r>
  <r>
    <n v="4624"/>
    <n v="34"/>
    <s v="Male"/>
    <s v="Electronics"/>
    <s v="Mobile Phone"/>
    <n v="654.41999999999996"/>
    <s v="Summer"/>
    <s v="Card"/>
    <n v="5"/>
    <x v="1"/>
    <n v="4"/>
    <n v="752.20689655172407"/>
    <n v="97.786896551724112"/>
    <x v="5"/>
    <n v="1"/>
  </r>
  <r>
    <n v="4625"/>
    <n v="31"/>
    <s v="Male"/>
    <s v="Sports"/>
    <s v="Dumbbells"/>
    <n v="226.81"/>
    <s v="Spring"/>
    <s v="Card"/>
    <n v="4.5"/>
    <x v="17"/>
    <n v="2"/>
    <n v="236.26041666666669"/>
    <n v="9.4504166666666833"/>
    <x v="5"/>
    <n v="1"/>
  </r>
  <r>
    <n v="4626"/>
    <n v="32"/>
    <s v="Female"/>
    <s v="Accessories"/>
    <s v="Sunglasses"/>
    <n v="40.26"/>
    <s v="Summer"/>
    <s v="Card"/>
    <n v="5"/>
    <x v="0"/>
    <n v="4"/>
    <n v="49.097560975609753"/>
    <n v="8.8375609756097546"/>
    <x v="5"/>
    <n v="1"/>
  </r>
  <r>
    <n v="4627"/>
    <n v="55"/>
    <s v="Male"/>
    <s v="Electronics"/>
    <s v="Smart Watch"/>
    <n v="556.03"/>
    <s v="Autumn"/>
    <s v="Card"/>
    <n v="4.0999999999999996"/>
    <x v="8"/>
    <n v="6"/>
    <n v="631.85227272727275"/>
    <n v="75.822272727272775"/>
    <x v="4"/>
    <n v="1"/>
  </r>
  <r>
    <n v="4628"/>
    <n v="35"/>
    <s v="Female"/>
    <s v="Beauty"/>
    <s v="Skincare Kit"/>
    <n v="108.74"/>
    <s v="Winter"/>
    <s v="Card"/>
    <n v="3.8"/>
    <x v="17"/>
    <n v="2"/>
    <n v="113.27083333333333"/>
    <n v="4.5308333333333337"/>
    <x v="5"/>
    <n v="1"/>
  </r>
  <r>
    <n v="4629"/>
    <n v="27"/>
    <s v="Female"/>
    <s v="Home"/>
    <s v="Curtains"/>
    <n v="176.23"/>
    <s v="Autumn"/>
    <s v="Card"/>
    <n v="4.0999999999999996"/>
    <x v="3"/>
    <n v="5"/>
    <n v="220.28749999999997"/>
    <n v="44.057499999999976"/>
    <x v="5"/>
    <n v="1"/>
  </r>
  <r>
    <n v="4630"/>
    <n v="30"/>
    <s v="Female"/>
    <s v="Footwear"/>
    <s v="Formal Shoes"/>
    <n v="189.68"/>
    <s v="Summer"/>
    <s v="Card"/>
    <n v="4"/>
    <x v="1"/>
    <n v="4"/>
    <n v="218.02298850574712"/>
    <n v="28.342988505747115"/>
    <x v="5"/>
    <n v="1"/>
  </r>
  <r>
    <n v="4631"/>
    <n v="34"/>
    <s v="Female"/>
    <s v="Sports"/>
    <s v="Yoga Mat"/>
    <n v="196.56"/>
    <s v="Summer"/>
    <s v="Card"/>
    <n v="3.8"/>
    <x v="4"/>
    <n v="7"/>
    <n v="228.55813953488374"/>
    <n v="31.998139534883734"/>
    <x v="5"/>
    <n v="1"/>
  </r>
  <r>
    <n v="4632"/>
    <n v="52"/>
    <s v="Male"/>
    <s v="Sports"/>
    <s v="Football"/>
    <n v="42.78"/>
    <s v="Winter"/>
    <s v="Cash on Delivery"/>
    <n v="2.5"/>
    <x v="7"/>
    <n v="5"/>
    <n v="47.533333333333331"/>
    <n v="4.7533333333333303"/>
    <x v="4"/>
    <n v="1"/>
  </r>
  <r>
    <n v="4633"/>
    <n v="70"/>
    <s v="Male"/>
    <s v="Mens Clothing"/>
    <s v="Jeans"/>
    <n v="79.5"/>
    <s v="Autumn"/>
    <s v="Card"/>
    <n v="4.4000000000000004"/>
    <x v="1"/>
    <n v="4"/>
    <n v="91.379310344827587"/>
    <n v="11.879310344827587"/>
    <x v="2"/>
    <n v="1"/>
  </r>
  <r>
    <n v="4634"/>
    <n v="42"/>
    <s v="Female"/>
    <s v="Footwear"/>
    <s v="Sneakers"/>
    <n v="145.34"/>
    <s v="Summer"/>
    <s v="Card"/>
    <n v="4.0999999999999996"/>
    <x v="16"/>
    <n v="3"/>
    <n v="154.61702127659575"/>
    <n v="9.2770212765957467"/>
    <x v="1"/>
    <n v="1"/>
  </r>
  <r>
    <n v="4635"/>
    <n v="29"/>
    <s v="Male"/>
    <s v="Electronics"/>
    <s v="Laptop"/>
    <n v="1135.48"/>
    <s v="Autumn"/>
    <s v="Card"/>
    <n v="4.2"/>
    <x v="5"/>
    <n v="4"/>
    <n v="1234.2173913043478"/>
    <n v="98.737391304347739"/>
    <x v="5"/>
    <n v="1"/>
  </r>
  <r>
    <n v="4636"/>
    <n v="33"/>
    <s v="Female"/>
    <s v="Footwear"/>
    <s v="Sandals"/>
    <n v="156.04"/>
    <s v="Summer"/>
    <s v="Card"/>
    <n v="4.4000000000000004"/>
    <x v="3"/>
    <n v="5"/>
    <n v="195.04999999999998"/>
    <n v="39.009999999999991"/>
    <x v="5"/>
    <n v="1"/>
  </r>
  <r>
    <n v="4637"/>
    <n v="68"/>
    <s v="Female"/>
    <s v="Beauty"/>
    <s v="Skincare Kit"/>
    <n v="91.12"/>
    <s v="Autumn"/>
    <s v="Card"/>
    <n v="3.7"/>
    <x v="3"/>
    <n v="5"/>
    <n v="113.9"/>
    <n v="22.78"/>
    <x v="2"/>
    <n v="1"/>
  </r>
  <r>
    <n v="4638"/>
    <n v="47"/>
    <s v="Female"/>
    <s v="Beauty"/>
    <s v="Makeup Set"/>
    <n v="125.68"/>
    <s v="Summer"/>
    <s v="Card"/>
    <n v="4.9000000000000004"/>
    <x v="0"/>
    <n v="4"/>
    <n v="153.26829268292681"/>
    <n v="27.588292682926806"/>
    <x v="4"/>
    <n v="1"/>
  </r>
  <r>
    <n v="4639"/>
    <n v="59"/>
    <s v="Male"/>
    <s v="Footwear"/>
    <s v="Sneakers"/>
    <n v="118.38"/>
    <s v="Autumn"/>
    <s v="Card"/>
    <n v="4.3"/>
    <x v="14"/>
    <n v="6"/>
    <n v="142.62650602409639"/>
    <n v="24.246506024096391"/>
    <x v="0"/>
    <n v="1"/>
  </r>
  <r>
    <n v="4640"/>
    <n v="41"/>
    <s v="Male"/>
    <s v="Electronics"/>
    <s v="Smart Watch"/>
    <n v="2452.5500000000002"/>
    <s v="Winter"/>
    <s v="Card"/>
    <n v="4.4000000000000004"/>
    <x v="0"/>
    <n v="4"/>
    <n v="2990.9146341463415"/>
    <n v="538.36463414634136"/>
    <x v="1"/>
    <n v="1"/>
  </r>
  <r>
    <n v="4641"/>
    <n v="60"/>
    <s v="Female"/>
    <s v="Footwear"/>
    <s v="Sandals"/>
    <n v="126.78"/>
    <s v="Summer"/>
    <s v="Card"/>
    <n v="3.2"/>
    <x v="1"/>
    <n v="4"/>
    <n v="145.72413793103448"/>
    <n v="18.944137931034476"/>
    <x v="0"/>
    <n v="1"/>
  </r>
  <r>
    <n v="4642"/>
    <n v="20"/>
    <s v="Male"/>
    <s v="Sports"/>
    <s v="Dumbbells"/>
    <n v="167.57"/>
    <s v="Summer"/>
    <s v="Card"/>
    <n v="2.7"/>
    <x v="1"/>
    <n v="4"/>
    <n v="192.60919540229884"/>
    <n v="25.039195402298844"/>
    <x v="3"/>
    <n v="1"/>
  </r>
  <r>
    <n v="4643"/>
    <n v="29"/>
    <s v="Male"/>
    <s v="Mens Clothing"/>
    <s v="Shirt"/>
    <n v="89.05"/>
    <s v="Spring"/>
    <s v="Cash on Delivery"/>
    <n v="3.8"/>
    <x v="19"/>
    <n v="5"/>
    <n v="104.76470588235294"/>
    <n v="15.714705882352945"/>
    <x v="5"/>
    <n v="1"/>
  </r>
  <r>
    <n v="4644"/>
    <n v="41"/>
    <s v="Female"/>
    <s v="Footwear"/>
    <s v="Formal Shoes"/>
    <n v="83.85"/>
    <s v="Autumn"/>
    <s v="Cash on Delivery"/>
    <n v="4.4000000000000004"/>
    <x v="18"/>
    <n v="7"/>
    <n v="110.32894736842104"/>
    <n v="26.478947368421046"/>
    <x v="1"/>
    <n v="1"/>
  </r>
  <r>
    <n v="4645"/>
    <n v="22"/>
    <s v="Female"/>
    <s v="Womens Clothing"/>
    <s v="Skirt"/>
    <n v="73.430000000000007"/>
    <s v="Autumn"/>
    <s v="Card"/>
    <n v="3.9"/>
    <x v="0"/>
    <n v="4"/>
    <n v="89.548780487804876"/>
    <n v="16.118780487804869"/>
    <x v="3"/>
    <n v="1"/>
  </r>
  <r>
    <n v="4646"/>
    <n v="50"/>
    <s v="Female"/>
    <s v="Home"/>
    <s v="Curtains"/>
    <n v="99.03"/>
    <s v="Winter"/>
    <s v="Card"/>
    <n v="4.5999999999999996"/>
    <x v="14"/>
    <n v="6"/>
    <n v="119.31325301204819"/>
    <n v="20.283253012048192"/>
    <x v="4"/>
    <n v="1"/>
  </r>
  <r>
    <n v="4647"/>
    <n v="51"/>
    <s v="Male"/>
    <s v="Electronics"/>
    <s v="Laptop"/>
    <n v="912.84"/>
    <s v="Summer"/>
    <s v="Card"/>
    <n v="4.4000000000000004"/>
    <x v="0"/>
    <n v="9"/>
    <n v="1113.219512195122"/>
    <n v="200.37951219512195"/>
    <x v="4"/>
    <n v="1"/>
  </r>
  <r>
    <n v="4648"/>
    <n v="30"/>
    <s v="Male"/>
    <s v="Footwear"/>
    <s v="Sandals"/>
    <n v="115.58"/>
    <s v="Spring"/>
    <s v="Card"/>
    <n v="4.3"/>
    <x v="19"/>
    <n v="5"/>
    <n v="135.97647058823529"/>
    <n v="20.396470588235289"/>
    <x v="5"/>
    <n v="1"/>
  </r>
  <r>
    <n v="4649"/>
    <n v="47"/>
    <s v="Male"/>
    <s v="Mens Clothing"/>
    <s v="T-Shirt"/>
    <n v="93.05"/>
    <s v="Winter"/>
    <s v="Cash on Delivery"/>
    <n v="3.6"/>
    <x v="19"/>
    <n v="5"/>
    <n v="109.47058823529412"/>
    <n v="16.420588235294119"/>
    <x v="4"/>
    <n v="1"/>
  </r>
  <r>
    <n v="4650"/>
    <n v="67"/>
    <s v="Female"/>
    <s v="Womens Clothing"/>
    <s v="Skirt"/>
    <n v="35.619999999999997"/>
    <s v="Spring"/>
    <s v="Cash on Delivery"/>
    <n v="3.4"/>
    <x v="1"/>
    <n v="4"/>
    <n v="40.94252873563218"/>
    <n v="5.3225287356321829"/>
    <x v="2"/>
    <n v="1"/>
  </r>
  <r>
    <n v="4651"/>
    <n v="64"/>
    <s v="Female"/>
    <s v="Accessories"/>
    <s v="Sunglasses"/>
    <n v="132.69"/>
    <s v="Summer"/>
    <s v="Card"/>
    <n v="3.3"/>
    <x v="12"/>
    <n v="7"/>
    <n v="163.81481481481481"/>
    <n v="31.124814814814812"/>
    <x v="0"/>
    <n v="1"/>
  </r>
  <r>
    <n v="4652"/>
    <n v="25"/>
    <s v="Male"/>
    <s v="Mens Clothing"/>
    <s v="T-Shirt"/>
    <n v="170.07"/>
    <s v="Spring"/>
    <s v="Card"/>
    <n v="3.6"/>
    <x v="13"/>
    <n v="2"/>
    <n v="186.89010989010987"/>
    <n v="16.820109890109876"/>
    <x v="3"/>
    <n v="1"/>
  </r>
  <r>
    <n v="4653"/>
    <n v="48"/>
    <s v="Female"/>
    <s v="Accessories"/>
    <s v="Wallet"/>
    <n v="86.33"/>
    <s v="Summer"/>
    <s v="Card"/>
    <n v="3.4"/>
    <x v="16"/>
    <n v="3"/>
    <n v="91.840425531914903"/>
    <n v="5.5104255319149047"/>
    <x v="4"/>
    <n v="1"/>
  </r>
  <r>
    <n v="4654"/>
    <n v="47"/>
    <s v="Male"/>
    <s v="Electronics"/>
    <s v="Headphones"/>
    <n v="2683.15"/>
    <s v="Autumn"/>
    <s v="Card"/>
    <n v="3.3"/>
    <x v="2"/>
    <n v="3"/>
    <n v="3014.7752808988766"/>
    <n v="331.62528089887655"/>
    <x v="4"/>
    <n v="1"/>
  </r>
  <r>
    <n v="4655"/>
    <n v="64"/>
    <s v="Male"/>
    <s v="Electronics"/>
    <s v="Smart Watch"/>
    <n v="1406.03"/>
    <s v="Winter"/>
    <s v="Card"/>
    <n v="3.7"/>
    <x v="10"/>
    <n v="6"/>
    <n v="1802.602564102564"/>
    <n v="396.572564102564"/>
    <x v="0"/>
    <n v="1"/>
  </r>
  <r>
    <n v="4656"/>
    <n v="41"/>
    <s v="Female"/>
    <s v="Footwear"/>
    <s v="Formal Shoes"/>
    <n v="192.14"/>
    <s v="Summer"/>
    <s v="Card"/>
    <n v="3.8"/>
    <x v="1"/>
    <n v="4"/>
    <n v="220.85057471264366"/>
    <n v="28.710574712643677"/>
    <x v="1"/>
    <n v="1"/>
  </r>
  <r>
    <n v="4657"/>
    <n v="56"/>
    <s v="Female"/>
    <s v="Footwear"/>
    <s v="Sandals"/>
    <n v="234.23"/>
    <s v="Spring"/>
    <s v="Card"/>
    <n v="4.7"/>
    <x v="1"/>
    <n v="4"/>
    <n v="269.22988505747128"/>
    <n v="34.999885057471289"/>
    <x v="0"/>
    <n v="1"/>
  </r>
  <r>
    <n v="4658"/>
    <n v="65"/>
    <s v="Female"/>
    <s v="Womens Clothing"/>
    <s v="Top"/>
    <n v="50.96"/>
    <s v="Autumn"/>
    <s v="Card"/>
    <n v="4"/>
    <x v="22"/>
    <n v="9"/>
    <n v="66.181818181818187"/>
    <n v="15.221818181818186"/>
    <x v="0"/>
    <n v="1"/>
  </r>
  <r>
    <n v="4659"/>
    <n v="62"/>
    <s v="Female"/>
    <s v="Footwear"/>
    <s v="Sneakers"/>
    <n v="50.04"/>
    <s v="Spring"/>
    <s v="Cash on Delivery"/>
    <n v="2.5"/>
    <x v="12"/>
    <n v="7"/>
    <n v="61.777777777777771"/>
    <n v="11.737777777777772"/>
    <x v="0"/>
    <n v="1"/>
  </r>
  <r>
    <n v="4660"/>
    <n v="63"/>
    <s v="Male"/>
    <s v="Mens Clothing"/>
    <s v="Jeans"/>
    <n v="156.43"/>
    <s v="Winter"/>
    <s v="Card"/>
    <n v="3.7"/>
    <x v="1"/>
    <n v="4"/>
    <n v="179.80459770114945"/>
    <n v="23.37459770114944"/>
    <x v="0"/>
    <n v="1"/>
  </r>
  <r>
    <n v="4661"/>
    <n v="32"/>
    <s v="Female"/>
    <s v="Footwear"/>
    <s v="Formal Shoes"/>
    <n v="44.71"/>
    <s v="Winter"/>
    <s v="Cash on Delivery"/>
    <n v="3.8"/>
    <x v="0"/>
    <n v="4"/>
    <n v="54.524390243902438"/>
    <n v="9.8143902439024373"/>
    <x v="5"/>
    <n v="1"/>
  </r>
  <r>
    <n v="4662"/>
    <n v="42"/>
    <s v="Male"/>
    <s v="Footwear"/>
    <s v="Formal Shoes"/>
    <n v="220.57"/>
    <s v="Spring"/>
    <s v="Card"/>
    <n v="2.4"/>
    <x v="19"/>
    <n v="5"/>
    <n v="259.49411764705883"/>
    <n v="38.924117647058836"/>
    <x v="1"/>
    <n v="1"/>
  </r>
  <r>
    <n v="4663"/>
    <n v="31"/>
    <s v="Female"/>
    <s v="Footwear"/>
    <s v="Sandals"/>
    <n v="42.84"/>
    <s v="Autumn"/>
    <s v="Cash on Delivery"/>
    <n v="3.4"/>
    <x v="26"/>
    <n v="0"/>
    <n v="45.09473684210527"/>
    <n v="2.2547368421052667"/>
    <x v="5"/>
    <n v="1"/>
  </r>
  <r>
    <n v="4664"/>
    <n v="65"/>
    <s v="Male"/>
    <s v="Sports"/>
    <s v="Football"/>
    <n v="182.38"/>
    <s v="Winter"/>
    <s v="Card"/>
    <n v="4.5999999999999996"/>
    <x v="2"/>
    <n v="3"/>
    <n v="204.92134831460675"/>
    <n v="22.541348314606751"/>
    <x v="0"/>
    <n v="1"/>
  </r>
  <r>
    <n v="4665"/>
    <n v="47"/>
    <s v="Male"/>
    <s v="Footwear"/>
    <s v="Formal Shoes"/>
    <n v="147.94"/>
    <s v="Spring"/>
    <s v="Card"/>
    <n v="4.3"/>
    <x v="11"/>
    <n v="8"/>
    <n v="199.91891891891891"/>
    <n v="51.978918918918907"/>
    <x v="4"/>
    <n v="1"/>
  </r>
  <r>
    <n v="4666"/>
    <n v="55"/>
    <s v="Male"/>
    <s v="Mens Clothing"/>
    <s v="Jeans"/>
    <n v="178.41"/>
    <s v="Autumn"/>
    <s v="Card"/>
    <n v="4"/>
    <x v="2"/>
    <n v="3"/>
    <n v="200.46067415730337"/>
    <n v="22.050674157303376"/>
    <x v="4"/>
    <n v="1"/>
  </r>
  <r>
    <n v="4667"/>
    <n v="35"/>
    <s v="Female"/>
    <s v="Beauty"/>
    <s v="Makeup Set"/>
    <n v="24.39"/>
    <s v="Autumn"/>
    <s v="Card"/>
    <n v="2.9"/>
    <x v="4"/>
    <n v="2"/>
    <n v="28.36046511627907"/>
    <n v="3.970465116279069"/>
    <x v="5"/>
    <n v="1"/>
  </r>
  <r>
    <n v="4668"/>
    <n v="42"/>
    <s v="Female"/>
    <s v="Beauty"/>
    <s v="Perfume"/>
    <n v="94.95"/>
    <s v="Winter"/>
    <s v="Card"/>
    <n v="3.6"/>
    <x v="13"/>
    <n v="2"/>
    <n v="104.34065934065934"/>
    <n v="9.3906593406593402"/>
    <x v="1"/>
    <n v="1"/>
  </r>
  <r>
    <n v="4669"/>
    <n v="60"/>
    <s v="Female"/>
    <s v="Sports"/>
    <s v="Yoga Mat"/>
    <n v="119.16"/>
    <s v="Summer"/>
    <s v="Card"/>
    <n v="4.3"/>
    <x v="26"/>
    <n v="0"/>
    <n v="125.43157894736842"/>
    <n v="6.2715789473684254"/>
    <x v="0"/>
    <n v="1"/>
  </r>
  <r>
    <n v="4670"/>
    <n v="66"/>
    <s v="Female"/>
    <s v="Beauty"/>
    <s v="Perfume"/>
    <n v="102.5"/>
    <s v="Summer"/>
    <s v="Card"/>
    <n v="3.1"/>
    <x v="7"/>
    <n v="5"/>
    <n v="113.88888888888889"/>
    <n v="11.388888888888886"/>
    <x v="2"/>
    <n v="1"/>
  </r>
  <r>
    <n v="4671"/>
    <n v="54"/>
    <s v="Female"/>
    <s v="Accessories"/>
    <s v="Handbag"/>
    <n v="151.18"/>
    <s v="Spring"/>
    <s v="Card"/>
    <n v="4.9000000000000004"/>
    <x v="2"/>
    <n v="3"/>
    <n v="169.86516853932585"/>
    <n v="18.685168539325844"/>
    <x v="4"/>
    <n v="1"/>
  </r>
  <r>
    <n v="4672"/>
    <n v="69"/>
    <s v="Male"/>
    <s v="Mens Clothing"/>
    <s v="Jeans"/>
    <n v="172.82"/>
    <s v="Autumn"/>
    <s v="Card"/>
    <n v="3.2"/>
    <x v="14"/>
    <n v="6"/>
    <n v="208.21686746987953"/>
    <n v="35.396867469879538"/>
    <x v="2"/>
    <n v="1"/>
  </r>
  <r>
    <n v="4673"/>
    <n v="59"/>
    <s v="Male"/>
    <s v="Sports"/>
    <s v="Dumbbells"/>
    <n v="181.52"/>
    <s v="Spring"/>
    <s v="Card"/>
    <n v="4.4000000000000004"/>
    <x v="3"/>
    <n v="5"/>
    <n v="226.9"/>
    <n v="45.379999999999995"/>
    <x v="0"/>
    <n v="1"/>
  </r>
  <r>
    <n v="4674"/>
    <n v="23"/>
    <s v="Female"/>
    <s v="Accessories"/>
    <s v="Handbag"/>
    <n v="120.86"/>
    <s v="Spring"/>
    <s v="Card"/>
    <n v="3.9"/>
    <x v="5"/>
    <n v="4"/>
    <n v="131.36956521739131"/>
    <n v="10.509565217391312"/>
    <x v="3"/>
    <n v="1"/>
  </r>
  <r>
    <n v="4675"/>
    <n v="45"/>
    <s v="Male"/>
    <s v="Sports"/>
    <s v="Yoga Mat"/>
    <n v="153.69999999999999"/>
    <s v="Spring"/>
    <s v="Card"/>
    <n v="2.9"/>
    <x v="8"/>
    <n v="6"/>
    <n v="174.65909090909091"/>
    <n v="20.959090909090918"/>
    <x v="1"/>
    <n v="1"/>
  </r>
  <r>
    <n v="4676"/>
    <n v="55"/>
    <s v="Female"/>
    <s v="Footwear"/>
    <s v="Sneakers"/>
    <n v="220.12"/>
    <s v="Spring"/>
    <s v="Card"/>
    <n v="3.7"/>
    <x v="19"/>
    <n v="5"/>
    <n v="258.96470588235297"/>
    <n v="38.844705882352969"/>
    <x v="4"/>
    <n v="1"/>
  </r>
  <r>
    <n v="4677"/>
    <n v="56"/>
    <s v="Male"/>
    <s v="Footwear"/>
    <s v="Formal Shoes"/>
    <n v="197.64"/>
    <s v="Winter"/>
    <s v="Card"/>
    <n v="3.8"/>
    <x v="21"/>
    <n v="8"/>
    <n v="250.17721518987338"/>
    <n v="52.537215189873393"/>
    <x v="0"/>
    <n v="1"/>
  </r>
  <r>
    <n v="4678"/>
    <n v="37"/>
    <s v="Female"/>
    <s v="Accessories"/>
    <s v="Sunglasses"/>
    <n v="172.67"/>
    <s v="Autumn"/>
    <s v="Card"/>
    <n v="3.4"/>
    <x v="2"/>
    <n v="3"/>
    <n v="194.01123595505615"/>
    <n v="21.341235955056163"/>
    <x v="1"/>
    <n v="1"/>
  </r>
  <r>
    <n v="4679"/>
    <n v="26"/>
    <s v="Male"/>
    <s v="Mens Clothing"/>
    <s v="Jeans"/>
    <n v="146.24"/>
    <s v="Summer"/>
    <s v="Card"/>
    <n v="4.4000000000000004"/>
    <x v="22"/>
    <n v="9"/>
    <n v="189.92207792207793"/>
    <n v="43.682077922077923"/>
    <x v="5"/>
    <n v="1"/>
  </r>
  <r>
    <n v="4680"/>
    <n v="29"/>
    <s v="Female"/>
    <s v="Accessories"/>
    <s v="Handbag"/>
    <n v="22.75"/>
    <s v="Spring"/>
    <s v="Card"/>
    <n v="4.2"/>
    <x v="18"/>
    <n v="7"/>
    <n v="29.934210526315788"/>
    <n v="7.1842105263157876"/>
    <x v="5"/>
    <n v="1"/>
  </r>
  <r>
    <n v="4681"/>
    <n v="27"/>
    <s v="Male"/>
    <s v="Sports"/>
    <s v="Yoga Mat"/>
    <n v="229.25"/>
    <s v="Spring"/>
    <s v="Card"/>
    <n v="4.0999999999999996"/>
    <x v="25"/>
    <n v="10"/>
    <n v="327.5"/>
    <n v="98.25"/>
    <x v="5"/>
    <n v="1"/>
  </r>
  <r>
    <n v="4682"/>
    <n v="40"/>
    <s v="Male"/>
    <s v="Electronics"/>
    <s v="Laptop"/>
    <n v="2163.41"/>
    <s v="Spring"/>
    <s v="Card"/>
    <n v="3.9"/>
    <x v="2"/>
    <n v="3"/>
    <n v="2430.7977528089887"/>
    <n v="267.38775280898881"/>
    <x v="1"/>
    <n v="1"/>
  </r>
  <r>
    <n v="4683"/>
    <n v="42"/>
    <s v="Female"/>
    <s v="Footwear"/>
    <s v="Sneakers"/>
    <n v="222.57"/>
    <s v="Winter"/>
    <s v="Card"/>
    <n v="3.3"/>
    <x v="8"/>
    <n v="6"/>
    <n v="252.92045454545453"/>
    <n v="30.350454545454539"/>
    <x v="1"/>
    <n v="1"/>
  </r>
  <r>
    <n v="4684"/>
    <n v="23"/>
    <s v="Female"/>
    <s v="Womens Clothing"/>
    <s v="Skirt"/>
    <n v="75.36"/>
    <s v="Spring"/>
    <s v="Cash on Delivery"/>
    <n v="3.2"/>
    <x v="19"/>
    <n v="5"/>
    <n v="88.658823529411762"/>
    <n v="13.298823529411763"/>
    <x v="3"/>
    <n v="1"/>
  </r>
  <r>
    <n v="4685"/>
    <n v="68"/>
    <s v="Male"/>
    <s v="Electronics"/>
    <s v="Smart Watch"/>
    <n v="1944.68"/>
    <s v="Spring"/>
    <s v="Card"/>
    <n v="2.4"/>
    <x v="0"/>
    <n v="4"/>
    <n v="2371.560975609756"/>
    <n v="426.88097560975598"/>
    <x v="2"/>
    <n v="1"/>
  </r>
  <r>
    <n v="4686"/>
    <n v="22"/>
    <s v="Male"/>
    <s v="Sports"/>
    <s v="Yoga Mat"/>
    <n v="40.119999999999997"/>
    <s v="Summer"/>
    <s v="Cash on Delivery"/>
    <n v="4.2"/>
    <x v="13"/>
    <n v="2"/>
    <n v="44.08791208791208"/>
    <n v="3.9679120879120831"/>
    <x v="3"/>
    <n v="1"/>
  </r>
  <r>
    <n v="4687"/>
    <n v="54"/>
    <s v="Female"/>
    <s v="Sports"/>
    <s v="Yoga Mat"/>
    <n v="48.75"/>
    <s v="Winter"/>
    <s v="Cash on Delivery"/>
    <n v="3.8"/>
    <x v="0"/>
    <n v="4"/>
    <n v="59.451219512195117"/>
    <n v="10.701219512195117"/>
    <x v="4"/>
    <n v="1"/>
  </r>
  <r>
    <n v="4688"/>
    <n v="50"/>
    <s v="Female"/>
    <s v="Groceries"/>
    <s v="Rice Pack"/>
    <n v="43.15"/>
    <s v="Winter"/>
    <s v="Card"/>
    <n v="3.5"/>
    <x v="3"/>
    <n v="5"/>
    <n v="53.937499999999993"/>
    <n v="10.787499999999994"/>
    <x v="4"/>
    <n v="1"/>
  </r>
  <r>
    <n v="4689"/>
    <n v="34"/>
    <s v="Male"/>
    <s v="Sports"/>
    <s v="Football"/>
    <n v="246.17"/>
    <s v="Winter"/>
    <s v="Card"/>
    <n v="3.1"/>
    <x v="14"/>
    <n v="6"/>
    <n v="296.59036144578312"/>
    <n v="50.420361445783129"/>
    <x v="5"/>
    <n v="1"/>
  </r>
  <r>
    <n v="4690"/>
    <n v="28"/>
    <s v="Male"/>
    <s v="Mens Clothing"/>
    <s v="T-Shirt"/>
    <n v="185.01"/>
    <s v="Winter"/>
    <s v="Card"/>
    <n v="4.0999999999999996"/>
    <x v="1"/>
    <n v="4"/>
    <n v="212.65517241379308"/>
    <n v="27.645172413793091"/>
    <x v="5"/>
    <n v="1"/>
  </r>
  <r>
    <n v="4691"/>
    <n v="32"/>
    <s v="Male"/>
    <s v="Mens Clothing"/>
    <s v="Jeans"/>
    <n v="81.069999999999993"/>
    <s v="Summer"/>
    <s v="Card"/>
    <n v="3.8"/>
    <x v="18"/>
    <n v="7"/>
    <n v="106.67105263157893"/>
    <n v="25.601052631578938"/>
    <x v="5"/>
    <n v="1"/>
  </r>
  <r>
    <n v="4692"/>
    <n v="50"/>
    <s v="Male"/>
    <s v="Mens Clothing"/>
    <s v="T-Shirt"/>
    <n v="108.87"/>
    <s v="Spring"/>
    <s v="Card"/>
    <n v="4"/>
    <x v="8"/>
    <n v="6"/>
    <n v="123.71590909090909"/>
    <n v="14.845909090909089"/>
    <x v="4"/>
    <n v="1"/>
  </r>
  <r>
    <n v="4693"/>
    <n v="34"/>
    <s v="Female"/>
    <s v="Accessories"/>
    <s v="Handbag"/>
    <n v="52.23"/>
    <s v="Spring"/>
    <s v="Card"/>
    <n v="3.7"/>
    <x v="19"/>
    <n v="5"/>
    <n v="61.44705882352941"/>
    <n v="9.2170588235294133"/>
    <x v="5"/>
    <n v="1"/>
  </r>
  <r>
    <n v="4694"/>
    <n v="60"/>
    <s v="Female"/>
    <s v="Accessories"/>
    <s v="Wallet"/>
    <n v="129.80000000000001"/>
    <s v="Spring"/>
    <s v="Card"/>
    <n v="4"/>
    <x v="18"/>
    <n v="7"/>
    <n v="170.78947368421055"/>
    <n v="40.989473684210537"/>
    <x v="0"/>
    <n v="1"/>
  </r>
  <r>
    <n v="4695"/>
    <n v="59"/>
    <s v="Male"/>
    <s v="Mens Clothing"/>
    <s v="Jacket"/>
    <n v="115.65"/>
    <s v="Winter"/>
    <s v="Card"/>
    <n v="4.8"/>
    <x v="19"/>
    <n v="5"/>
    <n v="136.05882352941177"/>
    <n v="20.408823529411762"/>
    <x v="0"/>
    <n v="1"/>
  </r>
  <r>
    <n v="4696"/>
    <n v="40"/>
    <s v="Female"/>
    <s v="Groceries"/>
    <s v="Rice Pack"/>
    <n v="25.94"/>
    <s v="Summer"/>
    <s v="Cash on Delivery"/>
    <n v="3.3"/>
    <x v="13"/>
    <n v="2"/>
    <n v="28.505494505494507"/>
    <n v="2.565494505494506"/>
    <x v="1"/>
    <n v="1"/>
  </r>
  <r>
    <n v="4697"/>
    <n v="66"/>
    <s v="Female"/>
    <s v="Womens Clothing"/>
    <s v="Top"/>
    <n v="101.87"/>
    <s v="Spring"/>
    <s v="Card"/>
    <n v="3.3"/>
    <x v="2"/>
    <n v="3"/>
    <n v="114.46067415730337"/>
    <n v="12.590674157303368"/>
    <x v="2"/>
    <n v="1"/>
  </r>
  <r>
    <n v="4698"/>
    <n v="44"/>
    <s v="Female"/>
    <s v="Beauty"/>
    <s v="Perfume"/>
    <n v="106.04"/>
    <s v="Spring"/>
    <s v="Card"/>
    <n v="3.6"/>
    <x v="14"/>
    <n v="6"/>
    <n v="127.75903614457833"/>
    <n v="21.719036144578325"/>
    <x v="1"/>
    <n v="1"/>
  </r>
  <r>
    <n v="4699"/>
    <n v="43"/>
    <s v="Female"/>
    <s v="Footwear"/>
    <s v="Sneakers"/>
    <n v="200.13"/>
    <s v="Autumn"/>
    <s v="Card"/>
    <n v="4"/>
    <x v="14"/>
    <n v="6"/>
    <n v="241.12048192771084"/>
    <n v="40.990481927710846"/>
    <x v="1"/>
    <n v="1"/>
  </r>
  <r>
    <n v="4700"/>
    <n v="60"/>
    <s v="Male"/>
    <s v="Footwear"/>
    <s v="Sneakers"/>
    <n v="210.29"/>
    <s v="Summer"/>
    <s v="Card"/>
    <n v="4.8"/>
    <x v="19"/>
    <n v="5"/>
    <n v="247.4"/>
    <n v="37.110000000000014"/>
    <x v="0"/>
    <n v="1"/>
  </r>
  <r>
    <n v="4701"/>
    <n v="41"/>
    <s v="Female"/>
    <s v="Womens Clothing"/>
    <s v="Jeans"/>
    <n v="41.5"/>
    <s v="Winter"/>
    <s v="Card"/>
    <n v="4.0999999999999996"/>
    <x v="1"/>
    <n v="4"/>
    <n v="47.701149425287355"/>
    <n v="6.2011494252873547"/>
    <x v="1"/>
    <n v="1"/>
  </r>
  <r>
    <n v="4702"/>
    <n v="32"/>
    <s v="Male"/>
    <s v="Sports"/>
    <s v="Dumbbells"/>
    <n v="186.57"/>
    <s v="Summer"/>
    <s v="Card"/>
    <n v="3.2"/>
    <x v="8"/>
    <n v="6"/>
    <n v="212.01136363636363"/>
    <n v="25.441363636363633"/>
    <x v="5"/>
    <n v="1"/>
  </r>
  <r>
    <n v="4703"/>
    <n v="42"/>
    <s v="Male"/>
    <s v="Mens Clothing"/>
    <s v="T-Shirt"/>
    <n v="189.79"/>
    <s v="Winter"/>
    <s v="Card"/>
    <n v="3"/>
    <x v="4"/>
    <n v="7"/>
    <n v="220.68604651162789"/>
    <n v="30.896046511627901"/>
    <x v="1"/>
    <n v="1"/>
  </r>
  <r>
    <n v="4704"/>
    <n v="30"/>
    <s v="Male"/>
    <s v="Groceries"/>
    <s v="Cooking Oil"/>
    <n v="63.78"/>
    <s v="Winter"/>
    <s v="Cash on Delivery"/>
    <n v="4.4000000000000004"/>
    <x v="21"/>
    <n v="8"/>
    <n v="80.734177215189874"/>
    <n v="16.954177215189873"/>
    <x v="5"/>
    <n v="1"/>
  </r>
  <r>
    <n v="4705"/>
    <n v="25"/>
    <s v="Female"/>
    <s v="Womens Clothing"/>
    <s v="Skirt"/>
    <n v="161.91"/>
    <s v="Winter"/>
    <s v="Card"/>
    <n v="3.6"/>
    <x v="4"/>
    <n v="7"/>
    <n v="188.26744186046511"/>
    <n v="26.357441860465116"/>
    <x v="3"/>
    <n v="1"/>
  </r>
  <r>
    <n v="4706"/>
    <n v="54"/>
    <s v="Male"/>
    <s v="Electronics"/>
    <s v="Headphones"/>
    <n v="2349.33"/>
    <s v="Summer"/>
    <s v="Card"/>
    <n v="3.3"/>
    <x v="23"/>
    <n v="1"/>
    <n v="2526.161290322581"/>
    <n v="176.83129032258103"/>
    <x v="4"/>
    <n v="1"/>
  </r>
  <r>
    <n v="4707"/>
    <n v="70"/>
    <s v="Female"/>
    <s v="Womens Clothing"/>
    <s v="Jeans"/>
    <n v="61.86"/>
    <s v="Summer"/>
    <s v="Card"/>
    <n v="2.9"/>
    <x v="14"/>
    <n v="6"/>
    <n v="74.53012048192771"/>
    <n v="12.670120481927711"/>
    <x v="2"/>
    <n v="1"/>
  </r>
  <r>
    <n v="4708"/>
    <n v="26"/>
    <s v="Female"/>
    <s v="Womens Clothing"/>
    <s v="Jeans"/>
    <n v="96.69"/>
    <s v="Autumn"/>
    <s v="Cash on Delivery"/>
    <n v="4.8"/>
    <x v="0"/>
    <n v="4"/>
    <n v="117.91463414634146"/>
    <n v="21.224634146341458"/>
    <x v="5"/>
    <n v="1"/>
  </r>
  <r>
    <n v="4709"/>
    <n v="57"/>
    <s v="Male"/>
    <s v="Sports"/>
    <s v="Yoga Mat"/>
    <n v="126.2"/>
    <s v="Autumn"/>
    <s v="Card"/>
    <n v="5"/>
    <x v="2"/>
    <n v="3"/>
    <n v="141.79775280898878"/>
    <n v="15.597752808988773"/>
    <x v="0"/>
    <n v="1"/>
  </r>
  <r>
    <n v="4710"/>
    <n v="38"/>
    <s v="Female"/>
    <s v="Beauty"/>
    <s v="Makeup Set"/>
    <n v="62.65"/>
    <s v="Autumn"/>
    <s v="Card"/>
    <n v="3.3"/>
    <x v="1"/>
    <n v="4"/>
    <n v="72.011494252873561"/>
    <n v="9.3614942528735625"/>
    <x v="1"/>
    <n v="1"/>
  </r>
  <r>
    <n v="4711"/>
    <n v="57"/>
    <s v="Female"/>
    <s v="Womens Clothing"/>
    <s v="Top"/>
    <n v="149.91"/>
    <s v="Winter"/>
    <s v="Card"/>
    <n v="3.1"/>
    <x v="4"/>
    <n v="7"/>
    <n v="174.31395348837208"/>
    <n v="24.403953488372082"/>
    <x v="0"/>
    <n v="1"/>
  </r>
  <r>
    <n v="4712"/>
    <n v="68"/>
    <s v="Female"/>
    <s v="Groceries"/>
    <s v="Beverages"/>
    <n v="54.83"/>
    <s v="Winter"/>
    <s v="Cash on Delivery"/>
    <n v="3.5"/>
    <x v="8"/>
    <n v="6"/>
    <n v="62.30681818181818"/>
    <n v="7.4768181818181816"/>
    <x v="2"/>
    <n v="1"/>
  </r>
  <r>
    <n v="4713"/>
    <n v="26"/>
    <s v="Male"/>
    <s v="Electronics"/>
    <s v="Headphones"/>
    <n v="733.03"/>
    <s v="Spring"/>
    <s v="Card"/>
    <n v="3"/>
    <x v="1"/>
    <n v="4"/>
    <n v="842.56321839080454"/>
    <n v="109.53321839080456"/>
    <x v="5"/>
    <n v="1"/>
  </r>
  <r>
    <n v="4714"/>
    <n v="22"/>
    <s v="Male"/>
    <s v="Footwear"/>
    <s v="Formal Shoes"/>
    <n v="116.76"/>
    <s v="Winter"/>
    <s v="Card"/>
    <n v="4.8"/>
    <x v="14"/>
    <n v="6"/>
    <n v="140.67469879518075"/>
    <n v="23.91469879518074"/>
    <x v="3"/>
    <n v="1"/>
  </r>
  <r>
    <n v="4715"/>
    <n v="38"/>
    <s v="Male"/>
    <s v="Footwear"/>
    <s v="Sneakers"/>
    <n v="139.77000000000001"/>
    <s v="Winter"/>
    <s v="Card"/>
    <n v="5"/>
    <x v="5"/>
    <n v="4"/>
    <n v="151.92391304347828"/>
    <n v="12.153913043478269"/>
    <x v="1"/>
    <n v="1"/>
  </r>
  <r>
    <n v="4716"/>
    <n v="58"/>
    <s v="Male"/>
    <s v="Sports"/>
    <s v="Dumbbells"/>
    <n v="95.93"/>
    <s v="Summer"/>
    <s v="Card"/>
    <n v="3.7"/>
    <x v="1"/>
    <n v="4"/>
    <n v="110.26436781609196"/>
    <n v="14.334367816091955"/>
    <x v="0"/>
    <n v="1"/>
  </r>
  <r>
    <n v="4717"/>
    <n v="66"/>
    <s v="Male"/>
    <s v="Sports"/>
    <s v="Football"/>
    <n v="51.77"/>
    <s v="Summer"/>
    <s v="Cash on Delivery"/>
    <n v="5"/>
    <x v="14"/>
    <n v="6"/>
    <n v="62.373493975903621"/>
    <n v="10.603493975903618"/>
    <x v="2"/>
    <n v="1"/>
  </r>
  <r>
    <n v="4718"/>
    <n v="44"/>
    <s v="Female"/>
    <s v="Beauty"/>
    <s v="Skincare Kit"/>
    <n v="28.68"/>
    <s v="Spring"/>
    <s v="Cash on Delivery"/>
    <n v="3.5"/>
    <x v="8"/>
    <n v="6"/>
    <n v="32.590909090909093"/>
    <n v="3.9109090909090938"/>
    <x v="1"/>
    <n v="1"/>
  </r>
  <r>
    <n v="4719"/>
    <n v="34"/>
    <s v="Female"/>
    <s v="Accessories"/>
    <s v="Wallet"/>
    <n v="140.63"/>
    <s v="Summer"/>
    <s v="Card"/>
    <n v="4.5"/>
    <x v="12"/>
    <n v="7"/>
    <n v="173.61728395061726"/>
    <n v="32.987283950617268"/>
    <x v="5"/>
    <n v="1"/>
  </r>
  <r>
    <n v="4720"/>
    <n v="25"/>
    <s v="Male"/>
    <s v="Sports"/>
    <s v="Football"/>
    <n v="27.85"/>
    <s v="Winter"/>
    <s v="Card"/>
    <n v="3.5"/>
    <x v="15"/>
    <n v="1"/>
    <n v="28.418367346938776"/>
    <n v="0.56836734693877489"/>
    <x v="3"/>
    <n v="1"/>
  </r>
  <r>
    <n v="4721"/>
    <n v="49"/>
    <s v="Male"/>
    <s v="Electronics"/>
    <s v="Mobile Phone"/>
    <n v="2620.52"/>
    <s v="Winter"/>
    <s v="Card"/>
    <n v="3.3"/>
    <x v="0"/>
    <n v="4"/>
    <n v="3195.7560975609754"/>
    <n v="575.2360975609754"/>
    <x v="4"/>
    <n v="1"/>
  </r>
  <r>
    <n v="4722"/>
    <n v="36"/>
    <s v="Female"/>
    <s v="Accessories"/>
    <s v="Sunglasses"/>
    <n v="60.24"/>
    <s v="Winter"/>
    <s v="Cash on Delivery"/>
    <n v="4.4000000000000004"/>
    <x v="16"/>
    <n v="3"/>
    <n v="64.085106382978722"/>
    <n v="3.8451063829787202"/>
    <x v="1"/>
    <n v="1"/>
  </r>
  <r>
    <n v="4723"/>
    <n v="24"/>
    <s v="Male"/>
    <s v="Sports"/>
    <s v="Yoga Mat"/>
    <n v="89.29"/>
    <s v="Winter"/>
    <s v="Card"/>
    <n v="3.8"/>
    <x v="29"/>
    <n v="0"/>
    <n v="89.29"/>
    <n v="0"/>
    <x v="3"/>
    <n v="1"/>
  </r>
  <r>
    <n v="4724"/>
    <n v="32"/>
    <s v="Female"/>
    <s v="Footwear"/>
    <s v="Sandals"/>
    <n v="52.53"/>
    <s v="Spring"/>
    <s v="Cash on Delivery"/>
    <n v="3.1"/>
    <x v="0"/>
    <n v="4"/>
    <n v="64.060975609756099"/>
    <n v="11.530975609756098"/>
    <x v="5"/>
    <n v="1"/>
  </r>
  <r>
    <n v="4725"/>
    <n v="62"/>
    <s v="Female"/>
    <s v="Beauty"/>
    <s v="Perfume"/>
    <n v="93.41"/>
    <s v="Winter"/>
    <s v="Cash on Delivery"/>
    <n v="4.0999999999999996"/>
    <x v="8"/>
    <n v="6"/>
    <n v="106.14772727272727"/>
    <n v="12.73772727272727"/>
    <x v="0"/>
    <n v="1"/>
  </r>
  <r>
    <n v="4726"/>
    <n v="48"/>
    <s v="Female"/>
    <s v="Beauty"/>
    <s v="Makeup Set"/>
    <n v="96.12"/>
    <s v="Autumn"/>
    <s v="Card"/>
    <n v="3.8"/>
    <x v="10"/>
    <n v="11"/>
    <n v="123.23076923076923"/>
    <n v="27.110769230769222"/>
    <x v="4"/>
    <n v="1"/>
  </r>
  <r>
    <n v="4727"/>
    <n v="44"/>
    <s v="Male"/>
    <s v="Groceries"/>
    <s v="Snacks"/>
    <n v="51.5"/>
    <s v="Autumn"/>
    <s v="Cash on Delivery"/>
    <n v="3.8"/>
    <x v="10"/>
    <n v="6"/>
    <n v="66.025641025641022"/>
    <n v="14.525641025641022"/>
    <x v="1"/>
    <n v="1"/>
  </r>
  <r>
    <n v="4728"/>
    <n v="58"/>
    <s v="Male"/>
    <s v="Sports"/>
    <s v="Football"/>
    <n v="147.1"/>
    <s v="Summer"/>
    <s v="Card"/>
    <n v="4.0999999999999996"/>
    <x v="8"/>
    <n v="1"/>
    <n v="167.15909090909091"/>
    <n v="20.059090909090912"/>
    <x v="0"/>
    <n v="1"/>
  </r>
  <r>
    <n v="4729"/>
    <n v="59"/>
    <s v="Male"/>
    <s v="Footwear"/>
    <s v="Sneakers"/>
    <n v="208.77"/>
    <s v="Spring"/>
    <s v="Card"/>
    <n v="4"/>
    <x v="8"/>
    <n v="6"/>
    <n v="237.23863636363637"/>
    <n v="28.468636363636364"/>
    <x v="0"/>
    <n v="1"/>
  </r>
  <r>
    <n v="4730"/>
    <n v="31"/>
    <s v="Male"/>
    <s v="Footwear"/>
    <s v="Sneakers"/>
    <n v="222.63"/>
    <s v="Summer"/>
    <s v="Card"/>
    <n v="4.3"/>
    <x v="0"/>
    <n v="9"/>
    <n v="271.5"/>
    <n v="48.870000000000005"/>
    <x v="5"/>
    <n v="1"/>
  </r>
  <r>
    <n v="4731"/>
    <n v="37"/>
    <s v="Female"/>
    <s v="Womens Clothing"/>
    <s v="Skirt"/>
    <n v="56.66"/>
    <s v="Autumn"/>
    <s v="Card"/>
    <n v="5"/>
    <x v="4"/>
    <n v="7"/>
    <n v="65.883720930232556"/>
    <n v="9.2237209302325596"/>
    <x v="1"/>
    <n v="1"/>
  </r>
  <r>
    <n v="4732"/>
    <n v="32"/>
    <s v="Male"/>
    <s v="Sports"/>
    <s v="Dumbbells"/>
    <n v="46.9"/>
    <s v="Spring"/>
    <s v="Cash on Delivery"/>
    <n v="3.4"/>
    <x v="14"/>
    <n v="6"/>
    <n v="56.506024096385545"/>
    <n v="9.6060240963855463"/>
    <x v="5"/>
    <n v="1"/>
  </r>
  <r>
    <n v="4733"/>
    <n v="69"/>
    <s v="Male"/>
    <s v="Electronics"/>
    <s v="Smart Watch"/>
    <n v="771.91"/>
    <s v="Autumn"/>
    <s v="Card"/>
    <n v="4.8"/>
    <x v="4"/>
    <n v="7"/>
    <n v="897.56976744186045"/>
    <n v="125.65976744186048"/>
    <x v="2"/>
    <n v="1"/>
  </r>
  <r>
    <n v="4734"/>
    <n v="40"/>
    <s v="Male"/>
    <s v="Sports"/>
    <s v="Yoga Mat"/>
    <n v="122.71"/>
    <s v="Autumn"/>
    <s v="Card"/>
    <n v="2.8"/>
    <x v="1"/>
    <n v="4"/>
    <n v="141.04597701149424"/>
    <n v="18.335977011494251"/>
    <x v="1"/>
    <n v="1"/>
  </r>
  <r>
    <n v="4735"/>
    <n v="21"/>
    <s v="Female"/>
    <s v="Womens Clothing"/>
    <s v="Jeans"/>
    <n v="195.09"/>
    <s v="Winter"/>
    <s v="Card"/>
    <n v="4.4000000000000004"/>
    <x v="3"/>
    <n v="5"/>
    <n v="243.86249999999998"/>
    <n v="48.77249999999998"/>
    <x v="3"/>
    <n v="1"/>
  </r>
  <r>
    <n v="4736"/>
    <n v="60"/>
    <s v="Female"/>
    <s v="Beauty"/>
    <s v="Perfume"/>
    <n v="80.38"/>
    <s v="Spring"/>
    <s v="Card"/>
    <n v="3.6"/>
    <x v="4"/>
    <n v="7"/>
    <n v="93.465116279069761"/>
    <n v="13.085116279069766"/>
    <x v="0"/>
    <n v="1"/>
  </r>
  <r>
    <n v="4737"/>
    <n v="66"/>
    <s v="Female"/>
    <s v="Womens Clothing"/>
    <s v="Top"/>
    <n v="109.58"/>
    <s v="Summer"/>
    <s v="Card"/>
    <n v="4.3"/>
    <x v="11"/>
    <n v="8"/>
    <n v="148.08108108108107"/>
    <n v="38.501081081081068"/>
    <x v="2"/>
    <n v="1"/>
  </r>
  <r>
    <n v="4738"/>
    <n v="42"/>
    <s v="Female"/>
    <s v="Beauty"/>
    <s v="Makeup Set"/>
    <n v="133.84"/>
    <s v="Summer"/>
    <s v="Card"/>
    <n v="3.3"/>
    <x v="4"/>
    <n v="7"/>
    <n v="155.62790697674419"/>
    <n v="21.787906976744182"/>
    <x v="1"/>
    <n v="1"/>
  </r>
  <r>
    <n v="4739"/>
    <n v="28"/>
    <s v="Male"/>
    <s v="Mens Clothing"/>
    <s v="T-Shirt"/>
    <n v="37.090000000000003"/>
    <s v="Summer"/>
    <s v="Card"/>
    <n v="4.4000000000000004"/>
    <x v="10"/>
    <n v="6"/>
    <n v="47.551282051282051"/>
    <n v="10.461282051282048"/>
    <x v="5"/>
    <n v="1"/>
  </r>
  <r>
    <n v="4740"/>
    <n v="50"/>
    <s v="Male"/>
    <s v="Groceries"/>
    <s v="Rice Pack"/>
    <n v="19.579999999999998"/>
    <s v="Winter"/>
    <s v="Card"/>
    <n v="3.3"/>
    <x v="12"/>
    <n v="7"/>
    <n v="24.172839506172835"/>
    <n v="4.5928395061728366"/>
    <x v="4"/>
    <n v="1"/>
  </r>
  <r>
    <n v="4741"/>
    <n v="65"/>
    <s v="Male"/>
    <s v="Groceries"/>
    <s v="Rice Pack"/>
    <n v="13.95"/>
    <s v="Summer"/>
    <s v="Card"/>
    <n v="4.0999999999999996"/>
    <x v="21"/>
    <n v="8"/>
    <n v="17.658227848101266"/>
    <n v="3.7082278481012665"/>
    <x v="0"/>
    <n v="1"/>
  </r>
  <r>
    <n v="4742"/>
    <n v="48"/>
    <s v="Male"/>
    <s v="Sports"/>
    <s v="Dumbbells"/>
    <n v="147.08000000000001"/>
    <s v="Summer"/>
    <s v="Card"/>
    <n v="3.4"/>
    <x v="3"/>
    <n v="5"/>
    <n v="183.85"/>
    <n v="36.769999999999982"/>
    <x v="4"/>
    <n v="1"/>
  </r>
  <r>
    <n v="4743"/>
    <n v="56"/>
    <s v="Female"/>
    <s v="Womens Clothing"/>
    <s v="Skirt"/>
    <n v="172.44"/>
    <s v="Summer"/>
    <s v="Card"/>
    <n v="3.7"/>
    <x v="0"/>
    <n v="4"/>
    <n v="210.29268292682926"/>
    <n v="37.85268292682926"/>
    <x v="0"/>
    <n v="1"/>
  </r>
  <r>
    <n v="4744"/>
    <n v="41"/>
    <s v="Male"/>
    <s v="Sports"/>
    <s v="Dumbbells"/>
    <n v="179"/>
    <s v="Autumn"/>
    <s v="Card"/>
    <n v="4.9000000000000004"/>
    <x v="5"/>
    <n v="4"/>
    <n v="194.56521739130434"/>
    <n v="15.565217391304344"/>
    <x v="1"/>
    <n v="1"/>
  </r>
  <r>
    <n v="4745"/>
    <n v="26"/>
    <s v="Female"/>
    <s v="Footwear"/>
    <s v="Sandals"/>
    <n v="104.75"/>
    <s v="Winter"/>
    <s v="Card"/>
    <n v="4.0999999999999996"/>
    <x v="16"/>
    <n v="3"/>
    <n v="111.43617021276596"/>
    <n v="6.6861702127659584"/>
    <x v="5"/>
    <n v="1"/>
  </r>
  <r>
    <n v="4746"/>
    <n v="61"/>
    <s v="Male"/>
    <s v="Sports"/>
    <s v="Football"/>
    <n v="216.67"/>
    <s v="Autumn"/>
    <s v="Card"/>
    <n v="4.4000000000000004"/>
    <x v="1"/>
    <n v="4"/>
    <n v="249.04597701149424"/>
    <n v="32.375977011494257"/>
    <x v="0"/>
    <n v="1"/>
  </r>
  <r>
    <n v="4747"/>
    <n v="54"/>
    <s v="Male"/>
    <s v="Electronics"/>
    <s v="Laptop"/>
    <n v="572.52"/>
    <s v="Autumn"/>
    <s v="Card"/>
    <n v="3.7"/>
    <x v="2"/>
    <n v="3"/>
    <n v="643.28089887640442"/>
    <n v="70.76089887640444"/>
    <x v="4"/>
    <n v="1"/>
  </r>
  <r>
    <n v="4748"/>
    <n v="45"/>
    <s v="Female"/>
    <s v="Footwear"/>
    <s v="Sneakers"/>
    <n v="198.44"/>
    <s v="Winter"/>
    <s v="Card"/>
    <n v="2.6"/>
    <x v="0"/>
    <n v="4"/>
    <n v="241.99999999999997"/>
    <n v="43.559999999999974"/>
    <x v="1"/>
    <n v="1"/>
  </r>
  <r>
    <n v="4749"/>
    <n v="66"/>
    <s v="Male"/>
    <s v="Sports"/>
    <s v="Yoga Mat"/>
    <n v="32.81"/>
    <s v="Autumn"/>
    <s v="Cash on Delivery"/>
    <n v="3.6"/>
    <x v="6"/>
    <n v="3"/>
    <n v="39.05952380952381"/>
    <n v="6.2495238095238079"/>
    <x v="2"/>
    <n v="1"/>
  </r>
  <r>
    <n v="4750"/>
    <n v="29"/>
    <s v="Male"/>
    <s v="Footwear"/>
    <s v="Formal Shoes"/>
    <n v="218.6"/>
    <s v="Summer"/>
    <s v="Card"/>
    <n v="2.2999999999999998"/>
    <x v="5"/>
    <n v="4"/>
    <n v="237.60869565217391"/>
    <n v="19.008695652173913"/>
    <x v="5"/>
    <n v="1"/>
  </r>
  <r>
    <n v="4751"/>
    <n v="27"/>
    <s v="Male"/>
    <s v="Sports"/>
    <s v="Football"/>
    <n v="96.93"/>
    <s v="Autumn"/>
    <s v="Cash on Delivery"/>
    <n v="3.2"/>
    <x v="5"/>
    <n v="4"/>
    <n v="105.35869565217392"/>
    <n v="8.4286956521739143"/>
    <x v="5"/>
    <n v="1"/>
  </r>
  <r>
    <n v="4752"/>
    <n v="29"/>
    <s v="Male"/>
    <s v="Electronics"/>
    <s v="Headphones"/>
    <n v="2817.6"/>
    <s v="Autumn"/>
    <s v="Card"/>
    <n v="4.0999999999999996"/>
    <x v="4"/>
    <n v="2"/>
    <n v="3276.2790697674418"/>
    <n v="458.67906976744189"/>
    <x v="5"/>
    <n v="1"/>
  </r>
  <r>
    <n v="4753"/>
    <n v="24"/>
    <s v="Female"/>
    <s v="Home"/>
    <s v="Curtains"/>
    <n v="209.24"/>
    <s v="Autumn"/>
    <s v="Card"/>
    <n v="3.1"/>
    <x v="16"/>
    <n v="3"/>
    <n v="222.59574468085108"/>
    <n v="13.355744680851075"/>
    <x v="3"/>
    <n v="1"/>
  </r>
  <r>
    <n v="4754"/>
    <n v="65"/>
    <s v="Male"/>
    <s v="Home"/>
    <s v="Kitchen Set"/>
    <n v="205.4"/>
    <s v="Summer"/>
    <s v="Card"/>
    <n v="3.8"/>
    <x v="5"/>
    <n v="4"/>
    <n v="223.26086956521738"/>
    <n v="17.860869565217371"/>
    <x v="0"/>
    <n v="1"/>
  </r>
  <r>
    <n v="4755"/>
    <n v="50"/>
    <s v="Female"/>
    <s v="Footwear"/>
    <s v="Formal Shoes"/>
    <n v="69.78"/>
    <s v="Winter"/>
    <s v="Card"/>
    <n v="3.1"/>
    <x v="1"/>
    <n v="4"/>
    <n v="80.206896551724142"/>
    <n v="10.426896551724141"/>
    <x v="4"/>
    <n v="1"/>
  </r>
  <r>
    <n v="4756"/>
    <n v="28"/>
    <s v="Female"/>
    <s v="Beauty"/>
    <s v="Makeup Set"/>
    <n v="133.09"/>
    <s v="Winter"/>
    <s v="Card"/>
    <n v="4.4000000000000004"/>
    <x v="14"/>
    <n v="6"/>
    <n v="160.34939759036146"/>
    <n v="27.259397590361459"/>
    <x v="5"/>
    <n v="1"/>
  </r>
  <r>
    <n v="4757"/>
    <n v="26"/>
    <s v="Male"/>
    <s v="Home"/>
    <s v="Curtains"/>
    <n v="239.79"/>
    <s v="Spring"/>
    <s v="Card"/>
    <n v="3.5"/>
    <x v="5"/>
    <n v="4"/>
    <n v="260.64130434782606"/>
    <n v="20.851304347826073"/>
    <x v="5"/>
    <n v="1"/>
  </r>
  <r>
    <n v="4758"/>
    <n v="33"/>
    <s v="Female"/>
    <s v="Footwear"/>
    <s v="Formal Shoes"/>
    <n v="226.44"/>
    <s v="Summer"/>
    <s v="Card"/>
    <n v="4.5"/>
    <x v="5"/>
    <n v="4"/>
    <n v="246.13043478260869"/>
    <n v="19.690434782608691"/>
    <x v="5"/>
    <n v="1"/>
  </r>
  <r>
    <n v="4759"/>
    <n v="69"/>
    <s v="Male"/>
    <s v="Home"/>
    <s v="Kitchen Set"/>
    <n v="232.66"/>
    <s v="Spring"/>
    <s v="Card"/>
    <n v="3.7"/>
    <x v="11"/>
    <n v="8"/>
    <n v="314.40540540540542"/>
    <n v="81.745405405405421"/>
    <x v="2"/>
    <n v="1"/>
  </r>
  <r>
    <n v="4760"/>
    <n v="31"/>
    <s v="Female"/>
    <s v="Womens Clothing"/>
    <s v="Skirt"/>
    <n v="158.41999999999999"/>
    <s v="Spring"/>
    <s v="Card"/>
    <n v="3.3"/>
    <x v="19"/>
    <n v="5"/>
    <n v="186.37647058823529"/>
    <n v="27.956470588235305"/>
    <x v="5"/>
    <n v="1"/>
  </r>
  <r>
    <n v="4761"/>
    <n v="59"/>
    <s v="Female"/>
    <s v="Groceries"/>
    <s v="Beverages"/>
    <n v="23.69"/>
    <s v="Autumn"/>
    <s v="Cash on Delivery"/>
    <n v="3.5"/>
    <x v="4"/>
    <n v="2"/>
    <n v="27.54651162790698"/>
    <n v="3.8565116279069791"/>
    <x v="0"/>
    <n v="1"/>
  </r>
  <r>
    <n v="4762"/>
    <n v="34"/>
    <s v="Male"/>
    <s v="Mens Clothing"/>
    <s v="Shirt"/>
    <n v="174.51"/>
    <s v="Spring"/>
    <s v="Card"/>
    <n v="2.6"/>
    <x v="8"/>
    <n v="6"/>
    <n v="198.30681818181816"/>
    <n v="23.796818181818168"/>
    <x v="5"/>
    <n v="1"/>
  </r>
  <r>
    <n v="4763"/>
    <n v="36"/>
    <s v="Male"/>
    <s v="Sports"/>
    <s v="Dumbbells"/>
    <n v="189.27"/>
    <s v="Autumn"/>
    <s v="Card"/>
    <n v="2.4"/>
    <x v="6"/>
    <n v="3"/>
    <n v="225.32142857142858"/>
    <n v="36.051428571428573"/>
    <x v="1"/>
    <n v="1"/>
  </r>
  <r>
    <n v="4764"/>
    <n v="22"/>
    <s v="Female"/>
    <s v="Beauty"/>
    <s v="Makeup Set"/>
    <n v="28.45"/>
    <s v="Winter"/>
    <s v="Cash on Delivery"/>
    <n v="3.6"/>
    <x v="19"/>
    <n v="5"/>
    <n v="33.470588235294116"/>
    <n v="5.0205882352941167"/>
    <x v="3"/>
    <n v="1"/>
  </r>
  <r>
    <n v="4765"/>
    <n v="42"/>
    <s v="Female"/>
    <s v="Accessories"/>
    <s v="Handbag"/>
    <n v="103.25"/>
    <s v="Summer"/>
    <s v="Card"/>
    <n v="4.0999999999999996"/>
    <x v="19"/>
    <n v="5"/>
    <n v="121.47058823529412"/>
    <n v="18.220588235294116"/>
    <x v="1"/>
    <n v="1"/>
  </r>
  <r>
    <n v="4766"/>
    <n v="32"/>
    <s v="Male"/>
    <s v="Electronics"/>
    <s v="Mobile Phone"/>
    <n v="2817.12"/>
    <s v="Autumn"/>
    <s v="Card"/>
    <n v="2.6"/>
    <x v="8"/>
    <n v="6"/>
    <n v="3201.272727272727"/>
    <n v="384.15272727272713"/>
    <x v="5"/>
    <n v="1"/>
  </r>
  <r>
    <n v="4767"/>
    <n v="45"/>
    <s v="Male"/>
    <s v="Footwear"/>
    <s v="Sneakers"/>
    <n v="239.66"/>
    <s v="Spring"/>
    <s v="Card"/>
    <n v="4.7"/>
    <x v="8"/>
    <n v="6"/>
    <n v="272.34090909090907"/>
    <n v="32.680909090909068"/>
    <x v="1"/>
    <n v="1"/>
  </r>
  <r>
    <n v="4768"/>
    <n v="30"/>
    <s v="Male"/>
    <s v="Mens Clothing"/>
    <s v="T-Shirt"/>
    <n v="56.45"/>
    <s v="Winter"/>
    <s v="Card"/>
    <n v="3.7"/>
    <x v="18"/>
    <n v="7"/>
    <n v="74.276315789473685"/>
    <n v="17.826315789473682"/>
    <x v="5"/>
    <n v="1"/>
  </r>
  <r>
    <n v="4769"/>
    <n v="69"/>
    <s v="Female"/>
    <s v="Footwear"/>
    <s v="Formal Shoes"/>
    <n v="114.1"/>
    <s v="Winter"/>
    <s v="Card"/>
    <n v="3.4"/>
    <x v="24"/>
    <n v="9"/>
    <n v="158.47222222222223"/>
    <n v="44.372222222222234"/>
    <x v="2"/>
    <n v="1"/>
  </r>
  <r>
    <n v="4770"/>
    <n v="48"/>
    <s v="Female"/>
    <s v="Womens Clothing"/>
    <s v="Skirt"/>
    <n v="180.95"/>
    <s v="Autumn"/>
    <s v="Card"/>
    <n v="4"/>
    <x v="7"/>
    <n v="5"/>
    <n v="201.05555555555554"/>
    <n v="20.105555555555554"/>
    <x v="4"/>
    <n v="1"/>
  </r>
  <r>
    <n v="4771"/>
    <n v="44"/>
    <s v="Female"/>
    <s v="Womens Clothing"/>
    <s v="Jeans"/>
    <n v="45.18"/>
    <s v="Spring"/>
    <s v="Card"/>
    <n v="4.4000000000000004"/>
    <x v="19"/>
    <n v="5"/>
    <n v="53.152941176470591"/>
    <n v="7.9729411764705915"/>
    <x v="1"/>
    <n v="1"/>
  </r>
  <r>
    <n v="4772"/>
    <n v="30"/>
    <s v="Male"/>
    <s v="Footwear"/>
    <s v="Formal Shoes"/>
    <n v="243.11"/>
    <s v="Winter"/>
    <s v="Card"/>
    <n v="3.4"/>
    <x v="0"/>
    <n v="9"/>
    <n v="296.47560975609758"/>
    <n v="53.36560975609757"/>
    <x v="5"/>
    <n v="1"/>
  </r>
  <r>
    <n v="4773"/>
    <n v="66"/>
    <s v="Male"/>
    <s v="Footwear"/>
    <s v="Sandals"/>
    <n v="200.45"/>
    <s v="Spring"/>
    <s v="Card"/>
    <n v="4.4000000000000004"/>
    <x v="0"/>
    <n v="4"/>
    <n v="244.45121951219508"/>
    <n v="44.001219512195092"/>
    <x v="2"/>
    <n v="1"/>
  </r>
  <r>
    <n v="4774"/>
    <n v="33"/>
    <s v="Female"/>
    <s v="Beauty"/>
    <s v="Skincare Kit"/>
    <n v="121.83"/>
    <s v="Winter"/>
    <s v="Card"/>
    <n v="4.4000000000000004"/>
    <x v="5"/>
    <n v="4"/>
    <n v="132.42391304347825"/>
    <n v="10.593913043478253"/>
    <x v="5"/>
    <n v="1"/>
  </r>
  <r>
    <n v="4775"/>
    <n v="41"/>
    <s v="Female"/>
    <s v="Groceries"/>
    <s v="Rice Pack"/>
    <n v="28.73"/>
    <s v="Summer"/>
    <s v="Card"/>
    <n v="3.9"/>
    <x v="16"/>
    <n v="3"/>
    <n v="30.563829787234045"/>
    <n v="1.8338297872340448"/>
    <x v="1"/>
    <n v="1"/>
  </r>
  <r>
    <n v="4776"/>
    <n v="27"/>
    <s v="Female"/>
    <s v="Footwear"/>
    <s v="Formal Shoes"/>
    <n v="117.43"/>
    <s v="Spring"/>
    <s v="Card"/>
    <n v="3.4"/>
    <x v="7"/>
    <n v="5"/>
    <n v="130.47777777777779"/>
    <n v="13.047777777777782"/>
    <x v="5"/>
    <n v="1"/>
  </r>
  <r>
    <n v="4777"/>
    <n v="57"/>
    <s v="Male"/>
    <s v="Electronics"/>
    <s v="Headphones"/>
    <n v="1597.87"/>
    <s v="Autumn"/>
    <s v="Card"/>
    <n v="4.2"/>
    <x v="12"/>
    <n v="7"/>
    <n v="1972.6790123456788"/>
    <n v="374.80901234567887"/>
    <x v="0"/>
    <n v="1"/>
  </r>
  <r>
    <n v="4778"/>
    <n v="48"/>
    <s v="Male"/>
    <s v="Sports"/>
    <s v="Yoga Mat"/>
    <n v="137.63"/>
    <s v="Autumn"/>
    <s v="Card"/>
    <n v="3.5"/>
    <x v="5"/>
    <n v="4"/>
    <n v="149.5978260869565"/>
    <n v="11.967826086956507"/>
    <x v="4"/>
    <n v="1"/>
  </r>
  <r>
    <n v="4779"/>
    <n v="67"/>
    <s v="Female"/>
    <s v="Womens Clothing"/>
    <s v="Skirt"/>
    <n v="134.72999999999999"/>
    <s v="Winter"/>
    <s v="Card"/>
    <n v="3.9"/>
    <x v="1"/>
    <n v="4"/>
    <n v="154.86206896551724"/>
    <n v="20.132068965517249"/>
    <x v="2"/>
    <n v="1"/>
  </r>
  <r>
    <n v="4780"/>
    <n v="59"/>
    <s v="Female"/>
    <s v="Beauty"/>
    <s v="Skincare Kit"/>
    <n v="42.19"/>
    <s v="Summer"/>
    <s v="Card"/>
    <n v="2.2000000000000002"/>
    <x v="2"/>
    <n v="3"/>
    <n v="47.40449438202247"/>
    <n v="5.2144943820224725"/>
    <x v="0"/>
    <n v="1"/>
  </r>
  <r>
    <n v="4781"/>
    <n v="66"/>
    <s v="Male"/>
    <s v="Groceries"/>
    <s v="Cooking Oil"/>
    <n v="44.99"/>
    <s v="Autumn"/>
    <s v="Cash on Delivery"/>
    <n v="4.3"/>
    <x v="12"/>
    <n v="7"/>
    <n v="55.543209876543209"/>
    <n v="10.553209876543207"/>
    <x v="2"/>
    <n v="1"/>
  </r>
  <r>
    <n v="4782"/>
    <n v="60"/>
    <s v="Male"/>
    <s v="Groceries"/>
    <s v="Beverages"/>
    <n v="5.98"/>
    <s v="Summer"/>
    <s v="Cash on Delivery"/>
    <n v="3.7"/>
    <x v="19"/>
    <n v="5"/>
    <n v="7.0352941176470596"/>
    <n v="1.0552941176470592"/>
    <x v="0"/>
    <n v="1"/>
  </r>
  <r>
    <n v="4783"/>
    <n v="50"/>
    <s v="Female"/>
    <s v="Womens Clothing"/>
    <s v="Dress"/>
    <n v="90.5"/>
    <s v="Autumn"/>
    <s v="Cash on Delivery"/>
    <n v="3.6"/>
    <x v="12"/>
    <n v="7"/>
    <n v="111.72839506172839"/>
    <n v="21.228395061728392"/>
    <x v="4"/>
    <n v="1"/>
  </r>
  <r>
    <n v="4784"/>
    <n v="67"/>
    <s v="Female"/>
    <s v="Womens Clothing"/>
    <s v="Jeans"/>
    <n v="61.64"/>
    <s v="Spring"/>
    <s v="Cash on Delivery"/>
    <n v="3.8"/>
    <x v="4"/>
    <n v="2"/>
    <n v="71.674418604651166"/>
    <n v="10.034418604651165"/>
    <x v="2"/>
    <n v="1"/>
  </r>
  <r>
    <n v="4785"/>
    <n v="21"/>
    <s v="Male"/>
    <s v="Mens Clothing"/>
    <s v="T-Shirt"/>
    <n v="30.63"/>
    <s v="Winter"/>
    <s v="Card"/>
    <n v="3.2"/>
    <x v="19"/>
    <n v="5"/>
    <n v="36.035294117647055"/>
    <n v="5.4052941176470561"/>
    <x v="3"/>
    <n v="1"/>
  </r>
  <r>
    <n v="4786"/>
    <n v="31"/>
    <s v="Male"/>
    <s v="Sports"/>
    <s v="Dumbbells"/>
    <n v="82.96"/>
    <s v="Spring"/>
    <s v="Card"/>
    <n v="3.2"/>
    <x v="1"/>
    <n v="4"/>
    <n v="95.356321839080451"/>
    <n v="12.396321839080457"/>
    <x v="5"/>
    <n v="1"/>
  </r>
  <r>
    <n v="4787"/>
    <n v="43"/>
    <s v="Female"/>
    <s v="Home"/>
    <s v="Curtains"/>
    <n v="162.78"/>
    <s v="Autumn"/>
    <s v="Card"/>
    <n v="3.3"/>
    <x v="8"/>
    <n v="1"/>
    <n v="184.97727272727272"/>
    <n v="22.197272727272718"/>
    <x v="1"/>
    <n v="1"/>
  </r>
  <r>
    <n v="4788"/>
    <n v="20"/>
    <s v="Male"/>
    <s v="Sports"/>
    <s v="Dumbbells"/>
    <n v="173.24"/>
    <s v="Spring"/>
    <s v="Card"/>
    <n v="2.9"/>
    <x v="7"/>
    <n v="5"/>
    <n v="192.48888888888888"/>
    <n v="19.248888888888871"/>
    <x v="3"/>
    <n v="1"/>
  </r>
  <r>
    <n v="4789"/>
    <n v="58"/>
    <s v="Male"/>
    <s v="Electronics"/>
    <s v="Headphones"/>
    <n v="1498.26"/>
    <s v="Spring"/>
    <s v="Card"/>
    <n v="4.2"/>
    <x v="5"/>
    <n v="4"/>
    <n v="1628.5434782608695"/>
    <n v="130.28347826086951"/>
    <x v="0"/>
    <n v="1"/>
  </r>
  <r>
    <n v="4790"/>
    <n v="68"/>
    <s v="Female"/>
    <s v="Accessories"/>
    <s v="Sunglasses"/>
    <n v="124.8"/>
    <s v="Spring"/>
    <s v="Card"/>
    <n v="4.0999999999999996"/>
    <x v="2"/>
    <n v="3"/>
    <n v="140.22471910112358"/>
    <n v="15.424719101123586"/>
    <x v="2"/>
    <n v="1"/>
  </r>
  <r>
    <n v="4791"/>
    <n v="57"/>
    <s v="Male"/>
    <s v="Groceries"/>
    <s v="Beverages"/>
    <n v="45.07"/>
    <s v="Autumn"/>
    <s v="Cash on Delivery"/>
    <n v="4.5"/>
    <x v="13"/>
    <n v="2"/>
    <n v="49.527472527472526"/>
    <n v="4.4574725274725253"/>
    <x v="0"/>
    <n v="1"/>
  </r>
  <r>
    <n v="4792"/>
    <n v="66"/>
    <s v="Female"/>
    <s v="Womens Clothing"/>
    <s v="Dress"/>
    <n v="121.66"/>
    <s v="Winter"/>
    <s v="Card"/>
    <n v="3.9"/>
    <x v="18"/>
    <n v="7"/>
    <n v="160.07894736842104"/>
    <n v="38.418947368421044"/>
    <x v="2"/>
    <n v="1"/>
  </r>
  <r>
    <n v="4793"/>
    <n v="55"/>
    <s v="Male"/>
    <s v="Mens Clothing"/>
    <s v="Shirt"/>
    <n v="63.17"/>
    <s v="Winter"/>
    <s v="Cash on Delivery"/>
    <n v="2.9"/>
    <x v="8"/>
    <n v="6"/>
    <n v="71.784090909090907"/>
    <n v="8.6140909090909048"/>
    <x v="4"/>
    <n v="1"/>
  </r>
  <r>
    <n v="4794"/>
    <n v="37"/>
    <s v="Male"/>
    <s v="Mens Clothing"/>
    <s v="Jacket"/>
    <n v="34.630000000000003"/>
    <s v="Summer"/>
    <s v="Cash on Delivery"/>
    <n v="2.9"/>
    <x v="7"/>
    <n v="0"/>
    <n v="38.477777777777781"/>
    <n v="3.8477777777777789"/>
    <x v="1"/>
    <n v="1"/>
  </r>
  <r>
    <n v="4795"/>
    <n v="24"/>
    <s v="Female"/>
    <s v="Womens Clothing"/>
    <s v="Top"/>
    <n v="59.95"/>
    <s v="Winter"/>
    <s v="Card"/>
    <n v="3.3"/>
    <x v="4"/>
    <n v="2"/>
    <n v="69.709302325581405"/>
    <n v="9.7593023255814018"/>
    <x v="3"/>
    <n v="1"/>
  </r>
  <r>
    <n v="4796"/>
    <n v="65"/>
    <s v="Female"/>
    <s v="Accessories"/>
    <s v="Wallet"/>
    <n v="177.54"/>
    <s v="Winter"/>
    <s v="Card"/>
    <n v="2.8"/>
    <x v="0"/>
    <n v="4"/>
    <n v="216.51219512195118"/>
    <n v="38.972195121951188"/>
    <x v="0"/>
    <n v="1"/>
  </r>
  <r>
    <n v="4797"/>
    <n v="66"/>
    <s v="Male"/>
    <s v="Sports"/>
    <s v="Yoga Mat"/>
    <n v="97.98"/>
    <s v="Autumn"/>
    <s v="Cash on Delivery"/>
    <n v="3.3"/>
    <x v="0"/>
    <n v="9"/>
    <n v="119.48780487804878"/>
    <n v="21.507804878048773"/>
    <x v="2"/>
    <n v="1"/>
  </r>
  <r>
    <n v="4798"/>
    <n v="56"/>
    <s v="Female"/>
    <s v="Accessories"/>
    <s v="Wallet"/>
    <n v="62.19"/>
    <s v="Winter"/>
    <s v="Cash on Delivery"/>
    <n v="4.4000000000000004"/>
    <x v="23"/>
    <n v="1"/>
    <n v="66.870967741935488"/>
    <n v="4.6809677419354898"/>
    <x v="0"/>
    <n v="1"/>
  </r>
  <r>
    <n v="4799"/>
    <n v="65"/>
    <s v="Female"/>
    <s v="Sports"/>
    <s v="Football"/>
    <n v="36.71"/>
    <s v="Autumn"/>
    <s v="Cash on Delivery"/>
    <n v="3.5"/>
    <x v="22"/>
    <n v="9"/>
    <n v="47.675324675324674"/>
    <n v="10.965324675324673"/>
    <x v="0"/>
    <n v="1"/>
  </r>
  <r>
    <n v="4800"/>
    <n v="50"/>
    <s v="Female"/>
    <s v="Sports"/>
    <s v="Yoga Mat"/>
    <n v="34.659999999999997"/>
    <s v="Summer"/>
    <s v="Card"/>
    <n v="2.8"/>
    <x v="8"/>
    <n v="6"/>
    <n v="39.386363636363633"/>
    <n v="4.7263636363636365"/>
    <x v="4"/>
    <n v="1"/>
  </r>
  <r>
    <n v="4801"/>
    <n v="22"/>
    <s v="Female"/>
    <s v="Sports"/>
    <s v="Yoga Mat"/>
    <n v="136.51"/>
    <s v="Spring"/>
    <s v="Card"/>
    <n v="4.5"/>
    <x v="10"/>
    <n v="6"/>
    <n v="175.0128205128205"/>
    <n v="38.502820512820506"/>
    <x v="3"/>
    <n v="1"/>
  </r>
  <r>
    <n v="4802"/>
    <n v="67"/>
    <s v="Female"/>
    <s v="Womens Clothing"/>
    <s v="Dress"/>
    <n v="81.05"/>
    <s v="Spring"/>
    <s v="Cash on Delivery"/>
    <n v="4.5999999999999996"/>
    <x v="4"/>
    <n v="7"/>
    <n v="94.244186046511629"/>
    <n v="13.194186046511632"/>
    <x v="2"/>
    <n v="1"/>
  </r>
  <r>
    <n v="4803"/>
    <n v="44"/>
    <s v="Female"/>
    <s v="Sports"/>
    <s v="Yoga Mat"/>
    <n v="49.34"/>
    <s v="Summer"/>
    <s v="Cash on Delivery"/>
    <n v="3.3"/>
    <x v="23"/>
    <n v="1"/>
    <n v="53.053763440860223"/>
    <n v="3.7137634408602196"/>
    <x v="1"/>
    <n v="1"/>
  </r>
  <r>
    <n v="4804"/>
    <n v="31"/>
    <s v="Male"/>
    <s v="Sports"/>
    <s v="Yoga Mat"/>
    <n v="83.98"/>
    <s v="Winter"/>
    <s v="Cash on Delivery"/>
    <n v="4.0999999999999996"/>
    <x v="11"/>
    <n v="8"/>
    <n v="113.4864864864865"/>
    <n v="29.506486486486494"/>
    <x v="5"/>
    <n v="1"/>
  </r>
  <r>
    <n v="4805"/>
    <n v="46"/>
    <s v="Female"/>
    <s v="Womens Clothing"/>
    <s v="Jeans"/>
    <n v="48.2"/>
    <s v="Spring"/>
    <s v="Cash on Delivery"/>
    <n v="4.0999999999999996"/>
    <x v="8"/>
    <n v="6"/>
    <n v="54.772727272727273"/>
    <n v="6.5727272727272705"/>
    <x v="4"/>
    <n v="1"/>
  </r>
  <r>
    <n v="4806"/>
    <n v="57"/>
    <s v="Female"/>
    <s v="Groceries"/>
    <s v="Rice Pack"/>
    <n v="44.59"/>
    <s v="Spring"/>
    <s v="Cash on Delivery"/>
    <n v="4.5"/>
    <x v="8"/>
    <n v="6"/>
    <n v="50.670454545454547"/>
    <n v="6.0804545454545433"/>
    <x v="0"/>
    <n v="1"/>
  </r>
  <r>
    <n v="4807"/>
    <n v="35"/>
    <s v="Female"/>
    <s v="Accessories"/>
    <s v="Sunglasses"/>
    <n v="99.42"/>
    <s v="Spring"/>
    <s v="Card"/>
    <n v="4.3"/>
    <x v="5"/>
    <n v="4"/>
    <n v="108.06521739130434"/>
    <n v="8.6452173913043424"/>
    <x v="5"/>
    <n v="1"/>
  </r>
  <r>
    <n v="4808"/>
    <n v="47"/>
    <s v="Male"/>
    <s v="Mens Clothing"/>
    <s v="T-Shirt"/>
    <n v="149.88999999999999"/>
    <s v="Spring"/>
    <s v="Card"/>
    <n v="3.7"/>
    <x v="5"/>
    <n v="4"/>
    <n v="162.92391304347825"/>
    <n v="13.033913043478265"/>
    <x v="4"/>
    <n v="1"/>
  </r>
  <r>
    <n v="4809"/>
    <n v="51"/>
    <s v="Male"/>
    <s v="Sports"/>
    <s v="Football"/>
    <n v="223.89"/>
    <s v="Winter"/>
    <s v="Card"/>
    <n v="3.3"/>
    <x v="19"/>
    <n v="5"/>
    <n v="263.39999999999998"/>
    <n v="39.509999999999991"/>
    <x v="4"/>
    <n v="1"/>
  </r>
  <r>
    <n v="4810"/>
    <n v="43"/>
    <s v="Female"/>
    <s v="Womens Clothing"/>
    <s v="Skirt"/>
    <n v="163.6"/>
    <s v="Summer"/>
    <s v="Card"/>
    <n v="2.6"/>
    <x v="19"/>
    <n v="5"/>
    <n v="192.47058823529412"/>
    <n v="28.870588235294122"/>
    <x v="1"/>
    <n v="1"/>
  </r>
  <r>
    <n v="4811"/>
    <n v="27"/>
    <s v="Male"/>
    <s v="Groceries"/>
    <s v="Beverages"/>
    <n v="54.58"/>
    <s v="Autumn"/>
    <s v="Card"/>
    <n v="3.1"/>
    <x v="7"/>
    <n v="5"/>
    <n v="60.644444444444439"/>
    <n v="6.0644444444444403"/>
    <x v="5"/>
    <n v="1"/>
  </r>
  <r>
    <n v="4812"/>
    <n v="34"/>
    <s v="Male"/>
    <s v="Footwear"/>
    <s v="Sneakers"/>
    <n v="107.13"/>
    <s v="Winter"/>
    <s v="Card"/>
    <n v="3.4"/>
    <x v="11"/>
    <n v="8"/>
    <n v="144.77027027027026"/>
    <n v="37.640270270270264"/>
    <x v="5"/>
    <n v="1"/>
  </r>
  <r>
    <n v="4813"/>
    <n v="55"/>
    <s v="Female"/>
    <s v="Footwear"/>
    <s v="Sandals"/>
    <n v="105.16"/>
    <s v="Summer"/>
    <s v="Card"/>
    <n v="3.9"/>
    <x v="3"/>
    <n v="5"/>
    <n v="131.44999999999999"/>
    <n v="26.289999999999992"/>
    <x v="4"/>
    <n v="1"/>
  </r>
  <r>
    <n v="4814"/>
    <n v="30"/>
    <s v="Male"/>
    <s v="Electronics"/>
    <s v="Smart Watch"/>
    <n v="1843.94"/>
    <s v="Autumn"/>
    <s v="Card"/>
    <n v="3.5"/>
    <x v="13"/>
    <n v="2"/>
    <n v="2026.3076923076924"/>
    <n v="182.36769230769232"/>
    <x v="5"/>
    <n v="1"/>
  </r>
  <r>
    <n v="4815"/>
    <n v="58"/>
    <s v="Male"/>
    <s v="Footwear"/>
    <s v="Sandals"/>
    <n v="64.59"/>
    <s v="Winter"/>
    <s v="Card"/>
    <n v="4.0999999999999996"/>
    <x v="12"/>
    <n v="7"/>
    <n v="79.740740740740733"/>
    <n v="15.15074074074073"/>
    <x v="0"/>
    <n v="1"/>
  </r>
  <r>
    <n v="4816"/>
    <n v="67"/>
    <s v="Male"/>
    <s v="Electronics"/>
    <s v="Mobile Phone"/>
    <n v="2035.13"/>
    <s v="Spring"/>
    <s v="Card"/>
    <n v="3.7"/>
    <x v="1"/>
    <n v="4"/>
    <n v="2339.2298850574716"/>
    <n v="304.09988505747151"/>
    <x v="2"/>
    <n v="1"/>
  </r>
  <r>
    <n v="4817"/>
    <n v="26"/>
    <s v="Male"/>
    <s v="Groceries"/>
    <s v="Rice Pack"/>
    <n v="42.57"/>
    <s v="Autumn"/>
    <s v="Card"/>
    <n v="4.0999999999999996"/>
    <x v="13"/>
    <n v="2"/>
    <n v="46.780219780219781"/>
    <n v="4.2102197802197807"/>
    <x v="5"/>
    <n v="1"/>
  </r>
  <r>
    <n v="4818"/>
    <n v="31"/>
    <s v="Male"/>
    <s v="Electronics"/>
    <s v="Mobile Phone"/>
    <n v="2124.87"/>
    <s v="Winter"/>
    <s v="Card"/>
    <n v="3.4"/>
    <x v="1"/>
    <n v="4"/>
    <n v="2442.3793103448274"/>
    <n v="317.50931034482755"/>
    <x v="5"/>
    <n v="1"/>
  </r>
  <r>
    <n v="4819"/>
    <n v="58"/>
    <s v="Male"/>
    <s v="Electronics"/>
    <s v="Smart Watch"/>
    <n v="1687.48"/>
    <s v="Summer"/>
    <s v="Card"/>
    <n v="3.8"/>
    <x v="1"/>
    <n v="4"/>
    <n v="1939.632183908046"/>
    <n v="252.15218390804603"/>
    <x v="0"/>
    <n v="1"/>
  </r>
  <r>
    <n v="4820"/>
    <n v="38"/>
    <s v="Male"/>
    <s v="Electronics"/>
    <s v="Mobile Phone"/>
    <n v="1951.27"/>
    <s v="Autumn"/>
    <s v="Card"/>
    <n v="4.5999999999999996"/>
    <x v="16"/>
    <n v="3"/>
    <n v="2075.8191489361702"/>
    <n v="124.54914893617024"/>
    <x v="1"/>
    <n v="1"/>
  </r>
  <r>
    <n v="4821"/>
    <n v="37"/>
    <s v="Male"/>
    <s v="Mens Clothing"/>
    <s v="Jeans"/>
    <n v="159.61000000000001"/>
    <s v="Spring"/>
    <s v="Card"/>
    <n v="3.7"/>
    <x v="3"/>
    <n v="5"/>
    <n v="199.51250000000002"/>
    <n v="39.902500000000003"/>
    <x v="1"/>
    <n v="1"/>
  </r>
  <r>
    <n v="4822"/>
    <n v="28"/>
    <s v="Male"/>
    <s v="Sports"/>
    <s v="Football"/>
    <n v="178.42"/>
    <s v="Spring"/>
    <s v="Card"/>
    <n v="4.0999999999999996"/>
    <x v="10"/>
    <n v="6"/>
    <n v="228.74358974358972"/>
    <n v="50.323589743589736"/>
    <x v="5"/>
    <n v="1"/>
  </r>
  <r>
    <n v="4823"/>
    <n v="48"/>
    <s v="Male"/>
    <s v="Footwear"/>
    <s v="Sandals"/>
    <n v="92.46"/>
    <s v="Spring"/>
    <s v="Card"/>
    <n v="3.3"/>
    <x v="4"/>
    <n v="7"/>
    <n v="107.51162790697674"/>
    <n v="15.051627906976748"/>
    <x v="4"/>
    <n v="1"/>
  </r>
  <r>
    <n v="4824"/>
    <n v="36"/>
    <s v="Female"/>
    <s v="Accessories"/>
    <s v="Wallet"/>
    <n v="35.9"/>
    <s v="Spring"/>
    <s v="Cash on Delivery"/>
    <n v="4.2"/>
    <x v="2"/>
    <n v="3"/>
    <n v="40.337078651685388"/>
    <n v="4.4370786516853897"/>
    <x v="1"/>
    <n v="1"/>
  </r>
  <r>
    <n v="4825"/>
    <n v="57"/>
    <s v="Male"/>
    <s v="Sports"/>
    <s v="Dumbbells"/>
    <n v="235.27"/>
    <s v="Winter"/>
    <s v="Card"/>
    <n v="3.9"/>
    <x v="0"/>
    <n v="4"/>
    <n v="286.91463414634143"/>
    <n v="51.644634146341417"/>
    <x v="0"/>
    <n v="1"/>
  </r>
  <r>
    <n v="4826"/>
    <n v="42"/>
    <s v="Male"/>
    <s v="Groceries"/>
    <s v="Cooking Oil"/>
    <n v="76.87"/>
    <s v="Autumn"/>
    <s v="Cash on Delivery"/>
    <n v="4.5"/>
    <x v="13"/>
    <n v="2"/>
    <n v="84.472527472527474"/>
    <n v="7.6025274725274699"/>
    <x v="1"/>
    <n v="1"/>
  </r>
  <r>
    <n v="4827"/>
    <n v="47"/>
    <s v="Male"/>
    <s v="Electronics"/>
    <s v="Smart Watch"/>
    <n v="692.45"/>
    <s v="Summer"/>
    <s v="Card"/>
    <n v="4.3"/>
    <x v="13"/>
    <n v="2"/>
    <n v="760.93406593406598"/>
    <n v="68.484065934065939"/>
    <x v="4"/>
    <n v="1"/>
  </r>
  <r>
    <n v="4828"/>
    <n v="56"/>
    <s v="Female"/>
    <s v="Womens Clothing"/>
    <s v="Jeans"/>
    <n v="128.72999999999999"/>
    <s v="Summer"/>
    <s v="Card"/>
    <n v="4.9000000000000004"/>
    <x v="8"/>
    <n v="6"/>
    <n v="146.28409090909091"/>
    <n v="17.554090909090917"/>
    <x v="0"/>
    <n v="1"/>
  </r>
  <r>
    <n v="4829"/>
    <n v="30"/>
    <s v="Female"/>
    <s v="Beauty"/>
    <s v="Skincare Kit"/>
    <n v="97.03"/>
    <s v="Winter"/>
    <s v="Cash on Delivery"/>
    <n v="4.0999999999999996"/>
    <x v="12"/>
    <n v="7"/>
    <n v="119.79012345679011"/>
    <n v="22.760123456790112"/>
    <x v="5"/>
    <n v="1"/>
  </r>
  <r>
    <n v="4830"/>
    <n v="24"/>
    <s v="Female"/>
    <s v="Accessories"/>
    <s v="Wallet"/>
    <n v="156.83000000000001"/>
    <s v="Summer"/>
    <s v="Card"/>
    <n v="2.8"/>
    <x v="5"/>
    <n v="4"/>
    <n v="170.46739130434784"/>
    <n v="13.63739130434783"/>
    <x v="3"/>
    <n v="1"/>
  </r>
  <r>
    <n v="4831"/>
    <n v="35"/>
    <s v="Female"/>
    <s v="Footwear"/>
    <s v="Formal Shoes"/>
    <n v="233.18"/>
    <s v="Spring"/>
    <s v="Card"/>
    <n v="3.1"/>
    <x v="2"/>
    <n v="3"/>
    <n v="262"/>
    <n v="28.819999999999993"/>
    <x v="5"/>
    <n v="1"/>
  </r>
  <r>
    <n v="4832"/>
    <n v="52"/>
    <s v="Female"/>
    <s v="Sports"/>
    <s v="Yoga Mat"/>
    <n v="65.760000000000005"/>
    <s v="Winter"/>
    <s v="Cash on Delivery"/>
    <n v="3.5"/>
    <x v="20"/>
    <n v="11"/>
    <n v="96.705882352941188"/>
    <n v="30.945882352941183"/>
    <x v="4"/>
    <n v="1"/>
  </r>
  <r>
    <n v="4833"/>
    <n v="55"/>
    <s v="Male"/>
    <s v="Sports"/>
    <s v="Football"/>
    <n v="245.22"/>
    <s v="Summer"/>
    <s v="Card"/>
    <n v="5"/>
    <x v="10"/>
    <n v="11"/>
    <n v="314.38461538461536"/>
    <n v="69.16461538461536"/>
    <x v="4"/>
    <n v="1"/>
  </r>
  <r>
    <n v="4834"/>
    <n v="27"/>
    <s v="Male"/>
    <s v="Electronics"/>
    <s v="Mobile Phone"/>
    <n v="540.45000000000005"/>
    <s v="Spring"/>
    <s v="Card"/>
    <n v="3.5"/>
    <x v="3"/>
    <n v="5"/>
    <n v="675.5625"/>
    <n v="135.11249999999995"/>
    <x v="5"/>
    <n v="1"/>
  </r>
  <r>
    <n v="4835"/>
    <n v="50"/>
    <s v="Female"/>
    <s v="Beauty"/>
    <s v="Skincare Kit"/>
    <n v="55.69"/>
    <s v="Autumn"/>
    <s v="Card"/>
    <n v="3.7"/>
    <x v="2"/>
    <n v="3"/>
    <n v="62.573033707865164"/>
    <n v="6.8830337078651667"/>
    <x v="4"/>
    <n v="1"/>
  </r>
  <r>
    <n v="4836"/>
    <n v="62"/>
    <s v="Female"/>
    <s v="Footwear"/>
    <s v="Sneakers"/>
    <n v="204.43"/>
    <s v="Autumn"/>
    <s v="Card"/>
    <n v="4.5"/>
    <x v="4"/>
    <n v="7"/>
    <n v="237.7093023255814"/>
    <n v="33.279302325581398"/>
    <x v="0"/>
    <n v="1"/>
  </r>
  <r>
    <n v="4837"/>
    <n v="64"/>
    <s v="Male"/>
    <s v="Mens Clothing"/>
    <s v="Jacket"/>
    <n v="187.34"/>
    <s v="Spring"/>
    <s v="Card"/>
    <n v="3.8"/>
    <x v="6"/>
    <n v="3"/>
    <n v="223.02380952380955"/>
    <n v="35.683809523809543"/>
    <x v="0"/>
    <n v="1"/>
  </r>
  <r>
    <n v="4838"/>
    <n v="70"/>
    <s v="Female"/>
    <s v="Beauty"/>
    <s v="Perfume"/>
    <n v="119.95"/>
    <s v="Summer"/>
    <s v="Card"/>
    <n v="4.2"/>
    <x v="10"/>
    <n v="6"/>
    <n v="153.78205128205127"/>
    <n v="33.832051282051268"/>
    <x v="2"/>
    <n v="1"/>
  </r>
  <r>
    <n v="4839"/>
    <n v="38"/>
    <s v="Male"/>
    <s v="Mens Clothing"/>
    <s v="T-Shirt"/>
    <n v="90.72"/>
    <s v="Autumn"/>
    <s v="Cash on Delivery"/>
    <n v="4.4000000000000004"/>
    <x v="10"/>
    <n v="6"/>
    <n v="116.30769230769231"/>
    <n v="25.587692307692308"/>
    <x v="1"/>
    <n v="1"/>
  </r>
  <r>
    <n v="4840"/>
    <n v="24"/>
    <s v="Female"/>
    <s v="Groceries"/>
    <s v="Cooking Oil"/>
    <n v="42.23"/>
    <s v="Spring"/>
    <s v="Cash on Delivery"/>
    <n v="3.8"/>
    <x v="3"/>
    <n v="5"/>
    <n v="52.787499999999994"/>
    <n v="10.557499999999997"/>
    <x v="3"/>
    <n v="1"/>
  </r>
  <r>
    <n v="4841"/>
    <n v="26"/>
    <s v="Male"/>
    <s v="Electronics"/>
    <s v="Smart Watch"/>
    <n v="1499.25"/>
    <s v="Spring"/>
    <s v="Card"/>
    <n v="3.3"/>
    <x v="19"/>
    <n v="5"/>
    <n v="1763.8235294117646"/>
    <n v="264.57352941176464"/>
    <x v="5"/>
    <n v="1"/>
  </r>
  <r>
    <n v="4842"/>
    <n v="46"/>
    <s v="Male"/>
    <s v="Mens Clothing"/>
    <s v="Jacket"/>
    <n v="166.99"/>
    <s v="Autumn"/>
    <s v="Card"/>
    <n v="3.3"/>
    <x v="11"/>
    <n v="8"/>
    <n v="225.66216216216219"/>
    <n v="58.672162162162181"/>
    <x v="4"/>
    <n v="1"/>
  </r>
  <r>
    <n v="4843"/>
    <n v="36"/>
    <s v="Male"/>
    <s v="Footwear"/>
    <s v="Formal Shoes"/>
    <n v="205.73"/>
    <s v="Summer"/>
    <s v="Card"/>
    <n v="4.5999999999999996"/>
    <x v="2"/>
    <n v="3"/>
    <n v="231.15730337078651"/>
    <n v="25.427303370786518"/>
    <x v="1"/>
    <n v="1"/>
  </r>
  <r>
    <n v="4844"/>
    <n v="36"/>
    <s v="Female"/>
    <s v="Home"/>
    <s v="Lamp"/>
    <n v="279.89999999999998"/>
    <s v="Autumn"/>
    <s v="Card"/>
    <n v="4.4000000000000004"/>
    <x v="18"/>
    <n v="7"/>
    <n v="368.28947368421052"/>
    <n v="88.389473684210543"/>
    <x v="1"/>
    <n v="1"/>
  </r>
  <r>
    <n v="4845"/>
    <n v="65"/>
    <s v="Male"/>
    <s v="Electronics"/>
    <s v="Smart Watch"/>
    <n v="1117.23"/>
    <s v="Spring"/>
    <s v="Card"/>
    <n v="3.8"/>
    <x v="10"/>
    <n v="6"/>
    <n v="1432.3461538461538"/>
    <n v="315.11615384615379"/>
    <x v="0"/>
    <n v="1"/>
  </r>
  <r>
    <n v="4846"/>
    <n v="51"/>
    <s v="Female"/>
    <s v="Womens Clothing"/>
    <s v="Dress"/>
    <n v="75.540000000000006"/>
    <s v="Summer"/>
    <s v="Card"/>
    <n v="4.2"/>
    <x v="2"/>
    <n v="3"/>
    <n v="84.876404494382029"/>
    <n v="9.3364044943820232"/>
    <x v="4"/>
    <n v="1"/>
  </r>
  <r>
    <n v="4847"/>
    <n v="21"/>
    <s v="Female"/>
    <s v="Accessories"/>
    <s v="Sunglasses"/>
    <n v="31.69"/>
    <s v="Winter"/>
    <s v="Cash on Delivery"/>
    <n v="2.6"/>
    <x v="3"/>
    <n v="5"/>
    <n v="39.612499999999997"/>
    <n v="7.9224999999999959"/>
    <x v="3"/>
    <n v="1"/>
  </r>
  <r>
    <n v="4848"/>
    <n v="48"/>
    <s v="Female"/>
    <s v="Beauty"/>
    <s v="Skincare Kit"/>
    <n v="125.13"/>
    <s v="Summer"/>
    <s v="Card"/>
    <n v="3.6"/>
    <x v="0"/>
    <n v="4"/>
    <n v="152.59756097560975"/>
    <n v="27.467560975609757"/>
    <x v="4"/>
    <n v="1"/>
  </r>
  <r>
    <n v="4849"/>
    <n v="51"/>
    <s v="Male"/>
    <s v="Footwear"/>
    <s v="Formal Shoes"/>
    <n v="188.35"/>
    <s v="Autumn"/>
    <s v="Card"/>
    <n v="4.5999999999999996"/>
    <x v="6"/>
    <n v="8"/>
    <n v="224.22619047619048"/>
    <n v="35.876190476190487"/>
    <x v="4"/>
    <n v="1"/>
  </r>
  <r>
    <n v="4850"/>
    <n v="46"/>
    <s v="Female"/>
    <s v="Accessories"/>
    <s v="Wallet"/>
    <n v="72.39"/>
    <s v="Autumn"/>
    <s v="Cash on Delivery"/>
    <n v="4.5999999999999996"/>
    <x v="6"/>
    <n v="3"/>
    <n v="86.178571428571431"/>
    <n v="13.78857142857143"/>
    <x v="4"/>
    <n v="1"/>
  </r>
  <r>
    <n v="4851"/>
    <n v="46"/>
    <s v="Male"/>
    <s v="Home"/>
    <s v="Kitchen Set"/>
    <n v="237.02"/>
    <s v="Autumn"/>
    <s v="Card"/>
    <n v="4.0999999999999996"/>
    <x v="8"/>
    <n v="6"/>
    <n v="269.34090909090912"/>
    <n v="32.320909090909112"/>
    <x v="4"/>
    <n v="1"/>
  </r>
  <r>
    <n v="4852"/>
    <n v="52"/>
    <s v="Female"/>
    <s v="Womens Clothing"/>
    <s v="Jeans"/>
    <n v="177.68"/>
    <s v="Spring"/>
    <s v="Card"/>
    <n v="3.8"/>
    <x v="16"/>
    <n v="3"/>
    <n v="189.02127659574469"/>
    <n v="11.341276595744688"/>
    <x v="4"/>
    <n v="1"/>
  </r>
  <r>
    <n v="4853"/>
    <n v="67"/>
    <s v="Male"/>
    <s v="Electronics"/>
    <s v="Laptop"/>
    <n v="1464.98"/>
    <s v="Winter"/>
    <s v="Card"/>
    <n v="3.8"/>
    <x v="10"/>
    <n v="11"/>
    <n v="1878.1794871794871"/>
    <n v="413.19948717948705"/>
    <x v="2"/>
    <n v="1"/>
  </r>
  <r>
    <n v="4854"/>
    <n v="36"/>
    <s v="Male"/>
    <s v="Footwear"/>
    <s v="Formal Shoes"/>
    <n v="236.57"/>
    <s v="Autumn"/>
    <s v="Card"/>
    <n v="3.2"/>
    <x v="10"/>
    <n v="6"/>
    <n v="303.29487179487177"/>
    <n v="66.724871794871774"/>
    <x v="1"/>
    <n v="1"/>
  </r>
  <r>
    <n v="4855"/>
    <n v="38"/>
    <s v="Male"/>
    <s v="Home"/>
    <s v="Lamp"/>
    <n v="109.44"/>
    <s v="Autumn"/>
    <s v="Card"/>
    <n v="2.7"/>
    <x v="7"/>
    <n v="0"/>
    <n v="121.6"/>
    <n v="12.159999999999997"/>
    <x v="1"/>
    <n v="1"/>
  </r>
  <r>
    <n v="4856"/>
    <n v="45"/>
    <s v="Male"/>
    <s v="Home"/>
    <s v="Lamp"/>
    <n v="220.75"/>
    <s v="Summer"/>
    <s v="Card"/>
    <n v="4"/>
    <x v="5"/>
    <n v="4"/>
    <n v="239.94565217391303"/>
    <n v="19.195652173913032"/>
    <x v="1"/>
    <n v="1"/>
  </r>
  <r>
    <n v="4857"/>
    <n v="22"/>
    <s v="Female"/>
    <s v="Womens Clothing"/>
    <s v="Skirt"/>
    <n v="171.72"/>
    <s v="Winter"/>
    <s v="Card"/>
    <n v="3.9"/>
    <x v="8"/>
    <n v="6"/>
    <n v="195.13636363636363"/>
    <n v="23.416363636363627"/>
    <x v="3"/>
    <n v="1"/>
  </r>
  <r>
    <n v="4858"/>
    <n v="33"/>
    <s v="Female"/>
    <s v="Accessories"/>
    <s v="Handbag"/>
    <n v="83.46"/>
    <s v="Summer"/>
    <s v="Cash on Delivery"/>
    <n v="3.7"/>
    <x v="27"/>
    <n v="10"/>
    <n v="111.27999999999999"/>
    <n v="27.819999999999993"/>
    <x v="5"/>
    <n v="1"/>
  </r>
  <r>
    <n v="4859"/>
    <n v="60"/>
    <s v="Male"/>
    <s v="Sports"/>
    <s v="Football"/>
    <n v="224.01"/>
    <s v="Spring"/>
    <s v="Card"/>
    <n v="3.2"/>
    <x v="22"/>
    <n v="9"/>
    <n v="290.9220779220779"/>
    <n v="66.912077922077913"/>
    <x v="0"/>
    <n v="1"/>
  </r>
  <r>
    <n v="4860"/>
    <n v="38"/>
    <s v="Female"/>
    <s v="Footwear"/>
    <s v="Sneakers"/>
    <n v="211.8"/>
    <s v="Winter"/>
    <s v="Card"/>
    <n v="3.6"/>
    <x v="19"/>
    <n v="5"/>
    <n v="249.1764705882353"/>
    <n v="37.376470588235293"/>
    <x v="1"/>
    <n v="1"/>
  </r>
  <r>
    <n v="4861"/>
    <n v="57"/>
    <s v="Female"/>
    <s v="Accessories"/>
    <s v="Sunglasses"/>
    <n v="97.86"/>
    <s v="Summer"/>
    <s v="Card"/>
    <n v="4.2"/>
    <x v="6"/>
    <n v="8"/>
    <n v="116.5"/>
    <n v="18.64"/>
    <x v="0"/>
    <n v="1"/>
  </r>
  <r>
    <n v="4862"/>
    <n v="61"/>
    <s v="Male"/>
    <s v="Sports"/>
    <s v="Dumbbells"/>
    <n v="166.73"/>
    <s v="Spring"/>
    <s v="Card"/>
    <n v="3.5"/>
    <x v="8"/>
    <n v="1"/>
    <n v="189.46590909090907"/>
    <n v="22.735909090909075"/>
    <x v="0"/>
    <n v="1"/>
  </r>
  <r>
    <n v="4863"/>
    <n v="45"/>
    <s v="Male"/>
    <s v="Electronics"/>
    <s v="Mobile Phone"/>
    <n v="2482.54"/>
    <s v="Summer"/>
    <s v="Card"/>
    <n v="4.0999999999999996"/>
    <x v="17"/>
    <n v="2"/>
    <n v="2585.9791666666665"/>
    <n v="103.43916666666655"/>
    <x v="1"/>
    <n v="1"/>
  </r>
  <r>
    <n v="4864"/>
    <n v="26"/>
    <s v="Male"/>
    <s v="Sports"/>
    <s v="Yoga Mat"/>
    <n v="125.43"/>
    <s v="Spring"/>
    <s v="Card"/>
    <n v="2.5"/>
    <x v="0"/>
    <n v="4"/>
    <n v="152.96341463414635"/>
    <n v="27.533414634146339"/>
    <x v="5"/>
    <n v="1"/>
  </r>
  <r>
    <n v="4865"/>
    <n v="25"/>
    <s v="Female"/>
    <s v="Beauty"/>
    <s v="Skincare Kit"/>
    <n v="62.35"/>
    <s v="Spring"/>
    <s v="Cash on Delivery"/>
    <n v="4"/>
    <x v="0"/>
    <n v="9"/>
    <n v="76.036585365853654"/>
    <n v="13.686585365853652"/>
    <x v="3"/>
    <n v="1"/>
  </r>
  <r>
    <n v="4866"/>
    <n v="22"/>
    <s v="Female"/>
    <s v="Beauty"/>
    <s v="Makeup Set"/>
    <n v="93.53"/>
    <s v="Autumn"/>
    <s v="Card"/>
    <n v="3.3"/>
    <x v="7"/>
    <n v="5"/>
    <n v="103.92222222222222"/>
    <n v="10.392222222222216"/>
    <x v="3"/>
    <n v="1"/>
  </r>
  <r>
    <n v="4867"/>
    <n v="61"/>
    <s v="Male"/>
    <s v="Sports"/>
    <s v="Football"/>
    <n v="193.47"/>
    <s v="Summer"/>
    <s v="Card"/>
    <n v="4.0999999999999996"/>
    <x v="19"/>
    <n v="5"/>
    <n v="227.61176470588236"/>
    <n v="34.141764705882366"/>
    <x v="0"/>
    <n v="1"/>
  </r>
  <r>
    <n v="4868"/>
    <n v="34"/>
    <s v="Female"/>
    <s v="Womens Clothing"/>
    <s v="Jeans"/>
    <n v="86.21"/>
    <s v="Winter"/>
    <s v="Cash on Delivery"/>
    <n v="3.5"/>
    <x v="18"/>
    <n v="7"/>
    <n v="113.43421052631578"/>
    <n v="27.224210526315787"/>
    <x v="5"/>
    <n v="1"/>
  </r>
  <r>
    <n v="4869"/>
    <n v="56"/>
    <s v="Male"/>
    <s v="Sports"/>
    <s v="Dumbbells"/>
    <n v="184.93"/>
    <s v="Summer"/>
    <s v="Card"/>
    <n v="4.0999999999999996"/>
    <x v="8"/>
    <n v="6"/>
    <n v="210.14772727272728"/>
    <n v="25.217727272727274"/>
    <x v="0"/>
    <n v="1"/>
  </r>
  <r>
    <n v="4870"/>
    <n v="53"/>
    <s v="Male"/>
    <s v="Mens Clothing"/>
    <s v="T-Shirt"/>
    <n v="162.06"/>
    <s v="Summer"/>
    <s v="Card"/>
    <n v="5"/>
    <x v="3"/>
    <n v="5"/>
    <n v="202.57499999999999"/>
    <n v="40.514999999999986"/>
    <x v="4"/>
    <n v="1"/>
  </r>
  <r>
    <n v="4871"/>
    <n v="34"/>
    <s v="Male"/>
    <s v="Sports"/>
    <s v="Yoga Mat"/>
    <n v="75.709999999999994"/>
    <s v="Spring"/>
    <s v="Cash on Delivery"/>
    <n v="4.3"/>
    <x v="11"/>
    <n v="8"/>
    <n v="102.31081081081081"/>
    <n v="26.600810810810813"/>
    <x v="5"/>
    <n v="1"/>
  </r>
  <r>
    <n v="4872"/>
    <n v="20"/>
    <s v="Male"/>
    <s v="Groceries"/>
    <s v="Snacks"/>
    <n v="59.59"/>
    <s v="Summer"/>
    <s v="Card"/>
    <n v="4.8"/>
    <x v="4"/>
    <n v="2"/>
    <n v="69.29069767441861"/>
    <n v="9.7006976744186062"/>
    <x v="3"/>
    <n v="1"/>
  </r>
  <r>
    <n v="4873"/>
    <n v="30"/>
    <s v="Male"/>
    <s v="Footwear"/>
    <s v="Sandals"/>
    <n v="113.81"/>
    <s v="Spring"/>
    <s v="Card"/>
    <n v="3.6"/>
    <x v="1"/>
    <n v="4"/>
    <n v="130.81609195402299"/>
    <n v="17.006091954022992"/>
    <x v="5"/>
    <n v="1"/>
  </r>
  <r>
    <n v="4874"/>
    <n v="28"/>
    <s v="Male"/>
    <s v="Mens Clothing"/>
    <s v="T-Shirt"/>
    <n v="109.99"/>
    <s v="Spring"/>
    <s v="Card"/>
    <n v="4.5999999999999996"/>
    <x v="12"/>
    <n v="7"/>
    <n v="135.7901234567901"/>
    <n v="25.800123456790104"/>
    <x v="5"/>
    <n v="1"/>
  </r>
  <r>
    <n v="4875"/>
    <n v="27"/>
    <s v="Female"/>
    <s v="Accessories"/>
    <s v="Sunglasses"/>
    <n v="161.53"/>
    <s v="Summer"/>
    <s v="Card"/>
    <n v="3.8"/>
    <x v="8"/>
    <n v="1"/>
    <n v="183.55681818181819"/>
    <n v="22.026818181818186"/>
    <x v="5"/>
    <n v="1"/>
  </r>
  <r>
    <n v="4876"/>
    <n v="38"/>
    <s v="Female"/>
    <s v="Footwear"/>
    <s v="Sandals"/>
    <n v="78.34"/>
    <s v="Winter"/>
    <s v="Card"/>
    <n v="3.7"/>
    <x v="19"/>
    <n v="5"/>
    <n v="92.164705882352948"/>
    <n v="13.824705882352944"/>
    <x v="1"/>
    <n v="1"/>
  </r>
  <r>
    <n v="4877"/>
    <n v="48"/>
    <s v="Male"/>
    <s v="Footwear"/>
    <s v="Sandals"/>
    <n v="228.07"/>
    <s v="Autumn"/>
    <s v="Card"/>
    <n v="3.4"/>
    <x v="21"/>
    <n v="8"/>
    <n v="288.69620253164555"/>
    <n v="60.626202531645561"/>
    <x v="4"/>
    <n v="1"/>
  </r>
  <r>
    <n v="4878"/>
    <n v="30"/>
    <s v="Female"/>
    <s v="Beauty"/>
    <s v="Perfume"/>
    <n v="45.1"/>
    <s v="Spring"/>
    <s v="Card"/>
    <n v="3.1"/>
    <x v="11"/>
    <n v="8"/>
    <n v="60.945945945945951"/>
    <n v="15.84594594594595"/>
    <x v="5"/>
    <n v="1"/>
  </r>
  <r>
    <n v="4879"/>
    <n v="50"/>
    <s v="Female"/>
    <s v="Womens Clothing"/>
    <s v="Dress"/>
    <n v="177.6"/>
    <s v="Summer"/>
    <s v="Card"/>
    <n v="3.1"/>
    <x v="5"/>
    <n v="4"/>
    <n v="193.04347826086956"/>
    <n v="15.443478260869568"/>
    <x v="4"/>
    <n v="1"/>
  </r>
  <r>
    <n v="4880"/>
    <n v="45"/>
    <s v="Male"/>
    <s v="Electronics"/>
    <s v="Mobile Phone"/>
    <n v="1054.2"/>
    <s v="Autumn"/>
    <s v="Card"/>
    <n v="4.5999999999999996"/>
    <x v="7"/>
    <n v="5"/>
    <n v="1171.3333333333333"/>
    <n v="117.13333333333321"/>
    <x v="1"/>
    <n v="1"/>
  </r>
  <r>
    <n v="4881"/>
    <n v="67"/>
    <s v="Male"/>
    <s v="Footwear"/>
    <s v="Sandals"/>
    <n v="86.51"/>
    <s v="Summer"/>
    <s v="Cash on Delivery"/>
    <n v="4"/>
    <x v="7"/>
    <n v="5"/>
    <n v="96.12222222222222"/>
    <n v="9.6122222222222149"/>
    <x v="2"/>
    <n v="1"/>
  </r>
  <r>
    <n v="4882"/>
    <n v="48"/>
    <s v="Male"/>
    <s v="Electronics"/>
    <s v="Mobile Phone"/>
    <n v="2184.4"/>
    <s v="Autumn"/>
    <s v="Card"/>
    <n v="4"/>
    <x v="5"/>
    <n v="4"/>
    <n v="2374.3478260869565"/>
    <n v="189.94782608695641"/>
    <x v="4"/>
    <n v="1"/>
  </r>
  <r>
    <n v="4883"/>
    <n v="42"/>
    <s v="Female"/>
    <s v="Accessories"/>
    <s v="Handbag"/>
    <n v="128.68"/>
    <s v="Spring"/>
    <s v="Card"/>
    <n v="5"/>
    <x v="12"/>
    <n v="7"/>
    <n v="158.8641975308642"/>
    <n v="30.184197530864196"/>
    <x v="1"/>
    <n v="1"/>
  </r>
  <r>
    <n v="4884"/>
    <n v="26"/>
    <s v="Female"/>
    <s v="Beauty"/>
    <s v="Skincare Kit"/>
    <n v="104.48"/>
    <s v="Autumn"/>
    <s v="Card"/>
    <n v="4.2"/>
    <x v="3"/>
    <n v="5"/>
    <n v="130.6"/>
    <n v="26.11999999999999"/>
    <x v="5"/>
    <n v="1"/>
  </r>
  <r>
    <n v="4885"/>
    <n v="47"/>
    <s v="Male"/>
    <s v="Mens Clothing"/>
    <s v="T-Shirt"/>
    <n v="77.72"/>
    <s v="Autumn"/>
    <s v="Card"/>
    <n v="4.4000000000000004"/>
    <x v="3"/>
    <n v="5"/>
    <n v="97.149999999999991"/>
    <n v="19.429999999999993"/>
    <x v="4"/>
    <n v="1"/>
  </r>
  <r>
    <n v="4886"/>
    <n v="65"/>
    <s v="Female"/>
    <s v="Accessories"/>
    <s v="Wallet"/>
    <n v="44.5"/>
    <s v="Spring"/>
    <s v="Cash on Delivery"/>
    <n v="3.9"/>
    <x v="4"/>
    <n v="2"/>
    <n v="51.744186046511629"/>
    <n v="7.2441860465116292"/>
    <x v="0"/>
    <n v="1"/>
  </r>
  <r>
    <n v="4887"/>
    <n v="67"/>
    <s v="Male"/>
    <s v="Mens Clothing"/>
    <s v="Jacket"/>
    <n v="194.11"/>
    <s v="Spring"/>
    <s v="Card"/>
    <n v="3.6"/>
    <x v="6"/>
    <n v="3"/>
    <n v="231.08333333333337"/>
    <n v="36.973333333333358"/>
    <x v="2"/>
    <n v="1"/>
  </r>
  <r>
    <n v="4888"/>
    <n v="42"/>
    <s v="Female"/>
    <s v="Beauty"/>
    <s v="Skincare Kit"/>
    <n v="125.66"/>
    <s v="Summer"/>
    <s v="Card"/>
    <n v="3.6"/>
    <x v="8"/>
    <n v="6"/>
    <n v="142.79545454545453"/>
    <n v="17.135454545454536"/>
    <x v="1"/>
    <n v="1"/>
  </r>
  <r>
    <n v="4889"/>
    <n v="57"/>
    <s v="Female"/>
    <s v="Beauty"/>
    <s v="Perfume"/>
    <n v="35.130000000000003"/>
    <s v="Spring"/>
    <s v="Card"/>
    <n v="3.8"/>
    <x v="2"/>
    <n v="3"/>
    <n v="39.471910112359552"/>
    <n v="4.3419101123595496"/>
    <x v="0"/>
    <n v="1"/>
  </r>
  <r>
    <n v="4890"/>
    <n v="37"/>
    <s v="Male"/>
    <s v="Footwear"/>
    <s v="Sandals"/>
    <n v="62.42"/>
    <s v="Autumn"/>
    <s v="Cash on Delivery"/>
    <n v="3.7"/>
    <x v="8"/>
    <n v="6"/>
    <n v="70.931818181818187"/>
    <n v="8.5118181818181853"/>
    <x v="1"/>
    <n v="1"/>
  </r>
  <r>
    <n v="4891"/>
    <n v="61"/>
    <s v="Female"/>
    <s v="Accessories"/>
    <s v="Handbag"/>
    <n v="148.01"/>
    <s v="Autumn"/>
    <s v="Card"/>
    <n v="3.5"/>
    <x v="7"/>
    <n v="5"/>
    <n v="164.45555555555555"/>
    <n v="16.445555555555558"/>
    <x v="0"/>
    <n v="1"/>
  </r>
  <r>
    <n v="4892"/>
    <n v="55"/>
    <s v="Female"/>
    <s v="Sports"/>
    <s v="Football"/>
    <n v="121.55"/>
    <s v="Autumn"/>
    <s v="Card"/>
    <n v="3.5"/>
    <x v="10"/>
    <n v="6"/>
    <n v="155.83333333333331"/>
    <n v="34.283333333333317"/>
    <x v="4"/>
    <n v="1"/>
  </r>
  <r>
    <n v="4893"/>
    <n v="70"/>
    <s v="Female"/>
    <s v="Sports"/>
    <s v="Football"/>
    <n v="126.71"/>
    <s v="Winter"/>
    <s v="Card"/>
    <n v="4.2"/>
    <x v="4"/>
    <n v="7"/>
    <n v="147.33720930232559"/>
    <n v="20.627209302325596"/>
    <x v="2"/>
    <n v="1"/>
  </r>
  <r>
    <n v="4894"/>
    <n v="47"/>
    <s v="Male"/>
    <s v="Sports"/>
    <s v="Football"/>
    <n v="187.3"/>
    <s v="Spring"/>
    <s v="Card"/>
    <n v="5"/>
    <x v="18"/>
    <n v="7"/>
    <n v="246.44736842105263"/>
    <n v="59.147368421052619"/>
    <x v="4"/>
    <n v="1"/>
  </r>
  <r>
    <n v="4895"/>
    <n v="31"/>
    <s v="Female"/>
    <s v="Womens Clothing"/>
    <s v="Skirt"/>
    <n v="128.52000000000001"/>
    <s v="Winter"/>
    <s v="Card"/>
    <n v="3.2"/>
    <x v="7"/>
    <n v="5"/>
    <n v="142.80000000000001"/>
    <n v="14.280000000000001"/>
    <x v="5"/>
    <n v="1"/>
  </r>
  <r>
    <n v="4896"/>
    <n v="40"/>
    <s v="Female"/>
    <s v="Beauty"/>
    <s v="Skincare Kit"/>
    <n v="125.95"/>
    <s v="Autumn"/>
    <s v="Card"/>
    <n v="4.0999999999999996"/>
    <x v="19"/>
    <n v="5"/>
    <n v="148.1764705882353"/>
    <n v="22.226470588235301"/>
    <x v="1"/>
    <n v="1"/>
  </r>
  <r>
    <n v="4897"/>
    <n v="64"/>
    <s v="Male"/>
    <s v="Sports"/>
    <s v="Football"/>
    <n v="131.15"/>
    <s v="Winter"/>
    <s v="Card"/>
    <n v="3.8"/>
    <x v="0"/>
    <n v="4"/>
    <n v="159.9390243902439"/>
    <n v="28.789024390243895"/>
    <x v="0"/>
    <n v="1"/>
  </r>
  <r>
    <n v="4898"/>
    <n v="57"/>
    <s v="Female"/>
    <s v="Womens Clothing"/>
    <s v="Skirt"/>
    <n v="128.19999999999999"/>
    <s v="Autumn"/>
    <s v="Card"/>
    <n v="4.2"/>
    <x v="25"/>
    <n v="10"/>
    <n v="183.14285714285714"/>
    <n v="54.94285714285715"/>
    <x v="0"/>
    <n v="1"/>
  </r>
  <r>
    <n v="4899"/>
    <n v="55"/>
    <s v="Male"/>
    <s v="Electronics"/>
    <s v="Mobile Phone"/>
    <n v="1091.19"/>
    <s v="Summer"/>
    <s v="Card"/>
    <n v="4.7"/>
    <x v="6"/>
    <n v="3"/>
    <n v="1299.0357142857144"/>
    <n v="207.84571428571439"/>
    <x v="4"/>
    <n v="1"/>
  </r>
  <r>
    <n v="4900"/>
    <n v="48"/>
    <s v="Male"/>
    <s v="Home"/>
    <s v="Curtains"/>
    <n v="212.33"/>
    <s v="Autumn"/>
    <s v="Card"/>
    <n v="3.7"/>
    <x v="8"/>
    <n v="6"/>
    <n v="241.28409090909093"/>
    <n v="28.954090909090922"/>
    <x v="4"/>
    <n v="1"/>
  </r>
  <r>
    <n v="4901"/>
    <n v="29"/>
    <s v="Male"/>
    <s v="Electronics"/>
    <s v="Smart Watch"/>
    <n v="2200.34"/>
    <s v="Autumn"/>
    <s v="Card"/>
    <n v="4.8"/>
    <x v="12"/>
    <n v="7"/>
    <n v="2716.4691358024693"/>
    <n v="516.12913580246914"/>
    <x v="5"/>
    <n v="1"/>
  </r>
  <r>
    <n v="4902"/>
    <n v="69"/>
    <s v="Male"/>
    <s v="Electronics"/>
    <s v="Mobile Phone"/>
    <n v="2612.62"/>
    <s v="Summer"/>
    <s v="Card"/>
    <n v="4.4000000000000004"/>
    <x v="11"/>
    <n v="8"/>
    <n v="3530.5675675675675"/>
    <n v="917.9475675675676"/>
    <x v="2"/>
    <n v="1"/>
  </r>
  <r>
    <n v="4903"/>
    <n v="23"/>
    <s v="Female"/>
    <s v="Footwear"/>
    <s v="Sandals"/>
    <n v="115.83"/>
    <s v="Spring"/>
    <s v="Card"/>
    <n v="5"/>
    <x v="4"/>
    <n v="2"/>
    <n v="134.68604651162789"/>
    <n v="18.856046511627895"/>
    <x v="3"/>
    <n v="1"/>
  </r>
  <r>
    <n v="4904"/>
    <n v="23"/>
    <s v="Male"/>
    <s v="Mens Clothing"/>
    <s v="Shirt"/>
    <n v="75.36"/>
    <s v="Summer"/>
    <s v="Card"/>
    <n v="4.2"/>
    <x v="14"/>
    <n v="6"/>
    <n v="90.795180722891573"/>
    <n v="15.435180722891573"/>
    <x v="3"/>
    <n v="1"/>
  </r>
  <r>
    <n v="4905"/>
    <n v="30"/>
    <s v="Female"/>
    <s v="Beauty"/>
    <s v="Makeup Set"/>
    <n v="54.87"/>
    <s v="Summer"/>
    <s v="Cash on Delivery"/>
    <n v="4.0999999999999996"/>
    <x v="16"/>
    <n v="3"/>
    <n v="58.372340425531917"/>
    <n v="3.5023404255319193"/>
    <x v="5"/>
    <n v="1"/>
  </r>
  <r>
    <n v="4906"/>
    <n v="41"/>
    <s v="Female"/>
    <s v="Home"/>
    <s v="Lamp"/>
    <n v="151.15"/>
    <s v="Winter"/>
    <s v="Card"/>
    <n v="3.2"/>
    <x v="5"/>
    <n v="4"/>
    <n v="164.29347826086956"/>
    <n v="13.143478260869557"/>
    <x v="1"/>
    <n v="1"/>
  </r>
  <r>
    <n v="4907"/>
    <n v="69"/>
    <s v="Female"/>
    <s v="Groceries"/>
    <s v="Beverages"/>
    <n v="13.72"/>
    <s v="Winter"/>
    <s v="Cash on Delivery"/>
    <n v="3.5"/>
    <x v="14"/>
    <n v="6"/>
    <n v="16.530120481927714"/>
    <n v="2.8101204819277132"/>
    <x v="2"/>
    <n v="1"/>
  </r>
  <r>
    <n v="4908"/>
    <n v="36"/>
    <s v="Female"/>
    <s v="Footwear"/>
    <s v="Sandals"/>
    <n v="46.3"/>
    <s v="Spring"/>
    <s v="Card"/>
    <n v="4.0999999999999996"/>
    <x v="20"/>
    <n v="11"/>
    <n v="68.088235294117652"/>
    <n v="21.788235294117655"/>
    <x v="1"/>
    <n v="1"/>
  </r>
  <r>
    <n v="4909"/>
    <n v="68"/>
    <s v="Female"/>
    <s v="Accessories"/>
    <s v="Handbag"/>
    <n v="133.47"/>
    <s v="Summer"/>
    <s v="Card"/>
    <n v="4"/>
    <x v="11"/>
    <n v="8"/>
    <n v="180.36486486486487"/>
    <n v="46.894864864864871"/>
    <x v="2"/>
    <n v="1"/>
  </r>
  <r>
    <n v="4910"/>
    <n v="47"/>
    <s v="Female"/>
    <s v="Sports"/>
    <s v="Yoga Mat"/>
    <n v="61.86"/>
    <s v="Winter"/>
    <s v="Card"/>
    <n v="4.2"/>
    <x v="5"/>
    <n v="4"/>
    <n v="67.239130434782609"/>
    <n v="5.3791304347826099"/>
    <x v="4"/>
    <n v="1"/>
  </r>
  <r>
    <n v="4911"/>
    <n v="26"/>
    <s v="Female"/>
    <s v="Sports"/>
    <s v="Yoga Mat"/>
    <n v="72.040000000000006"/>
    <s v="Spring"/>
    <s v="Card"/>
    <n v="3.7"/>
    <x v="0"/>
    <n v="4"/>
    <n v="87.853658536585371"/>
    <n v="15.813658536585365"/>
    <x v="5"/>
    <n v="1"/>
  </r>
  <r>
    <n v="4912"/>
    <n v="62"/>
    <s v="Male"/>
    <s v="Mens Clothing"/>
    <s v="Shirt"/>
    <n v="84.61"/>
    <s v="Autumn"/>
    <s v="Card"/>
    <n v="3.9"/>
    <x v="12"/>
    <n v="7"/>
    <n v="104.45679012345678"/>
    <n v="19.846790123456785"/>
    <x v="0"/>
    <n v="1"/>
  </r>
  <r>
    <n v="4913"/>
    <n v="30"/>
    <s v="Male"/>
    <s v="Mens Clothing"/>
    <s v="Jeans"/>
    <n v="123.73"/>
    <s v="Autumn"/>
    <s v="Card"/>
    <n v="2.1"/>
    <x v="2"/>
    <n v="3"/>
    <n v="139.02247191011236"/>
    <n v="15.292471910112354"/>
    <x v="5"/>
    <n v="1"/>
  </r>
  <r>
    <n v="4914"/>
    <n v="44"/>
    <s v="Male"/>
    <s v="Footwear"/>
    <s v="Formal Shoes"/>
    <n v="114.66"/>
    <s v="Summer"/>
    <s v="Card"/>
    <n v="4"/>
    <x v="10"/>
    <n v="6"/>
    <n v="147"/>
    <n v="32.340000000000003"/>
    <x v="1"/>
    <n v="1"/>
  </r>
  <r>
    <n v="4915"/>
    <n v="44"/>
    <s v="Female"/>
    <s v="Footwear"/>
    <s v="Sandals"/>
    <n v="235.77"/>
    <s v="Autumn"/>
    <s v="Card"/>
    <n v="2"/>
    <x v="8"/>
    <n v="6"/>
    <n v="267.92045454545456"/>
    <n v="32.150454545454551"/>
    <x v="1"/>
    <n v="1"/>
  </r>
  <r>
    <n v="4916"/>
    <n v="44"/>
    <s v="Female"/>
    <s v="Groceries"/>
    <s v="Cooking Oil"/>
    <n v="62.94"/>
    <s v="Summer"/>
    <s v="Cash on Delivery"/>
    <n v="3.6"/>
    <x v="15"/>
    <n v="1"/>
    <n v="64.224489795918373"/>
    <n v="1.2844897959183754"/>
    <x v="1"/>
    <n v="1"/>
  </r>
  <r>
    <n v="4917"/>
    <n v="39"/>
    <s v="Female"/>
    <s v="Groceries"/>
    <s v="Cooking Oil"/>
    <n v="70.150000000000006"/>
    <s v="Autumn"/>
    <s v="Cash on Delivery"/>
    <n v="4.0999999999999996"/>
    <x v="4"/>
    <n v="2"/>
    <n v="81.569767441860478"/>
    <n v="11.419767441860472"/>
    <x v="1"/>
    <n v="1"/>
  </r>
  <r>
    <n v="4918"/>
    <n v="35"/>
    <s v="Female"/>
    <s v="Groceries"/>
    <s v="Snacks"/>
    <n v="69.099999999999994"/>
    <s v="Autumn"/>
    <s v="Card"/>
    <n v="4.3"/>
    <x v="10"/>
    <n v="6"/>
    <n v="88.589743589743577"/>
    <n v="19.489743589743583"/>
    <x v="5"/>
    <n v="1"/>
  </r>
  <r>
    <n v="4919"/>
    <n v="43"/>
    <s v="Female"/>
    <s v="Footwear"/>
    <s v="Sneakers"/>
    <n v="63.79"/>
    <s v="Spring"/>
    <s v="Cash on Delivery"/>
    <n v="4.0999999999999996"/>
    <x v="4"/>
    <n v="7"/>
    <n v="74.174418604651166"/>
    <n v="10.384418604651167"/>
    <x v="1"/>
    <n v="1"/>
  </r>
  <r>
    <n v="4920"/>
    <n v="44"/>
    <s v="Female"/>
    <s v="Womens Clothing"/>
    <s v="Jeans"/>
    <n v="47.12"/>
    <s v="Autumn"/>
    <s v="Cash on Delivery"/>
    <n v="2.2999999999999998"/>
    <x v="13"/>
    <n v="2"/>
    <n v="51.780219780219774"/>
    <n v="4.6602197802197765"/>
    <x v="1"/>
    <n v="1"/>
  </r>
  <r>
    <n v="4921"/>
    <n v="69"/>
    <s v="Male"/>
    <s v="Sports"/>
    <s v="Football"/>
    <n v="205.85"/>
    <s v="Winter"/>
    <s v="Card"/>
    <n v="3.3"/>
    <x v="6"/>
    <n v="3"/>
    <n v="245.05952380952382"/>
    <n v="39.20952380952383"/>
    <x v="2"/>
    <n v="1"/>
  </r>
  <r>
    <n v="4922"/>
    <n v="25"/>
    <s v="Female"/>
    <s v="Accessories"/>
    <s v="Sunglasses"/>
    <n v="33.380000000000003"/>
    <s v="Autumn"/>
    <s v="Card"/>
    <n v="3.5"/>
    <x v="5"/>
    <n v="4"/>
    <n v="36.282608695652172"/>
    <n v="2.9026086956521695"/>
    <x v="3"/>
    <n v="1"/>
  </r>
  <r>
    <n v="4923"/>
    <n v="24"/>
    <s v="Male"/>
    <s v="Groceries"/>
    <s v="Cooking Oil"/>
    <n v="60.32"/>
    <s v="Winter"/>
    <s v="Cash on Delivery"/>
    <n v="2.7"/>
    <x v="8"/>
    <n v="6"/>
    <n v="68.545454545454547"/>
    <n v="8.2254545454545465"/>
    <x v="3"/>
    <n v="1"/>
  </r>
  <r>
    <n v="4924"/>
    <n v="45"/>
    <s v="Male"/>
    <s v="Sports"/>
    <s v="Dumbbells"/>
    <n v="82.4"/>
    <s v="Spring"/>
    <s v="Card"/>
    <n v="3.4"/>
    <x v="7"/>
    <n v="5"/>
    <n v="91.555555555555557"/>
    <n v="9.1555555555555515"/>
    <x v="1"/>
    <n v="1"/>
  </r>
  <r>
    <n v="4925"/>
    <n v="55"/>
    <s v="Male"/>
    <s v="Groceries"/>
    <s v="Snacks"/>
    <n v="32.01"/>
    <s v="Winter"/>
    <s v="Card"/>
    <n v="3.7"/>
    <x v="19"/>
    <n v="5"/>
    <n v="37.658823529411762"/>
    <n v="5.6488235294117644"/>
    <x v="4"/>
    <n v="1"/>
  </r>
  <r>
    <n v="4926"/>
    <n v="33"/>
    <s v="Male"/>
    <s v="Sports"/>
    <s v="Dumbbells"/>
    <n v="40.549999999999997"/>
    <s v="Winter"/>
    <s v="Cash on Delivery"/>
    <n v="4.5999999999999996"/>
    <x v="17"/>
    <n v="2"/>
    <n v="42.239583333333329"/>
    <n v="1.6895833333333314"/>
    <x v="5"/>
    <n v="1"/>
  </r>
  <r>
    <n v="4927"/>
    <n v="47"/>
    <s v="Female"/>
    <s v="Beauty"/>
    <s v="Makeup Set"/>
    <n v="100.37"/>
    <s v="Spring"/>
    <s v="Card"/>
    <n v="3"/>
    <x v="17"/>
    <n v="2"/>
    <n v="104.55208333333334"/>
    <n v="4.1820833333333383"/>
    <x v="4"/>
    <n v="1"/>
  </r>
  <r>
    <n v="4928"/>
    <n v="67"/>
    <s v="Male"/>
    <s v="Electronics"/>
    <s v="Mobile Phone"/>
    <n v="1360.46"/>
    <s v="Summer"/>
    <s v="Card"/>
    <n v="5"/>
    <x v="18"/>
    <n v="7"/>
    <n v="1790.078947368421"/>
    <n v="429.618947368421"/>
    <x v="2"/>
    <n v="1"/>
  </r>
  <r>
    <n v="4929"/>
    <n v="36"/>
    <s v="Female"/>
    <s v="Accessories"/>
    <s v="Sunglasses"/>
    <n v="141.63"/>
    <s v="Autumn"/>
    <s v="Card"/>
    <n v="4.4000000000000004"/>
    <x v="14"/>
    <n v="6"/>
    <n v="170.63855421686748"/>
    <n v="29.008554216867481"/>
    <x v="1"/>
    <n v="1"/>
  </r>
  <r>
    <n v="4930"/>
    <n v="30"/>
    <s v="Male"/>
    <s v="Footwear"/>
    <s v="Formal Shoes"/>
    <n v="131.47"/>
    <s v="Summer"/>
    <s v="Card"/>
    <n v="3.9"/>
    <x v="0"/>
    <n v="4"/>
    <n v="160.32926829268291"/>
    <n v="28.859268292682913"/>
    <x v="5"/>
    <n v="1"/>
  </r>
  <r>
    <n v="4931"/>
    <n v="36"/>
    <s v="Male"/>
    <s v="Mens Clothing"/>
    <s v="Jeans"/>
    <n v="106.54"/>
    <s v="Winter"/>
    <s v="Card"/>
    <n v="5"/>
    <x v="10"/>
    <n v="6"/>
    <n v="136.58974358974359"/>
    <n v="30.049743589743585"/>
    <x v="1"/>
    <n v="1"/>
  </r>
  <r>
    <n v="4932"/>
    <n v="21"/>
    <s v="Male"/>
    <s v="Electronics"/>
    <s v="Mobile Phone"/>
    <n v="845.23"/>
    <s v="Winter"/>
    <s v="Card"/>
    <n v="3.7"/>
    <x v="6"/>
    <n v="8"/>
    <n v="1006.2261904761905"/>
    <n v="160.99619047619046"/>
    <x v="3"/>
    <n v="1"/>
  </r>
  <r>
    <n v="4933"/>
    <n v="49"/>
    <s v="Male"/>
    <s v="Electronics"/>
    <s v="Mobile Phone"/>
    <n v="2662.07"/>
    <s v="Winter"/>
    <s v="Card"/>
    <n v="4.7"/>
    <x v="3"/>
    <n v="5"/>
    <n v="3327.5875000000001"/>
    <n v="665.51749999999993"/>
    <x v="4"/>
    <n v="1"/>
  </r>
  <r>
    <n v="4934"/>
    <n v="50"/>
    <s v="Male"/>
    <s v="Sports"/>
    <s v="Dumbbells"/>
    <n v="186.83"/>
    <s v="Spring"/>
    <s v="Card"/>
    <n v="3"/>
    <x v="2"/>
    <n v="3"/>
    <n v="209.92134831460675"/>
    <n v="23.091348314606734"/>
    <x v="4"/>
    <n v="1"/>
  </r>
  <r>
    <n v="4935"/>
    <n v="66"/>
    <s v="Female"/>
    <s v="Accessories"/>
    <s v="Handbag"/>
    <n v="143.75"/>
    <s v="Autumn"/>
    <s v="Card"/>
    <n v="3.7"/>
    <x v="3"/>
    <n v="5"/>
    <n v="179.6875"/>
    <n v="35.9375"/>
    <x v="2"/>
    <n v="1"/>
  </r>
  <r>
    <n v="4936"/>
    <n v="23"/>
    <s v="Male"/>
    <s v="Electronics"/>
    <s v="Mobile Phone"/>
    <n v="2876.27"/>
    <s v="Spring"/>
    <s v="Card"/>
    <n v="3"/>
    <x v="6"/>
    <n v="3"/>
    <n v="3424.1309523809523"/>
    <n v="547.86095238095231"/>
    <x v="3"/>
    <n v="1"/>
  </r>
  <r>
    <n v="4937"/>
    <n v="31"/>
    <s v="Male"/>
    <s v="Electronics"/>
    <s v="Laptop"/>
    <n v="2686.88"/>
    <s v="Winter"/>
    <s v="Card"/>
    <n v="3.3"/>
    <x v="13"/>
    <n v="2"/>
    <n v="2952.6153846153848"/>
    <n v="265.73538461538465"/>
    <x v="5"/>
    <n v="1"/>
  </r>
  <r>
    <n v="4938"/>
    <n v="54"/>
    <s v="Female"/>
    <s v="Womens Clothing"/>
    <s v="Jeans"/>
    <n v="35.299999999999997"/>
    <s v="Autumn"/>
    <s v="Card"/>
    <n v="3.6"/>
    <x v="11"/>
    <n v="8"/>
    <n v="47.702702702702702"/>
    <n v="12.402702702702705"/>
    <x v="4"/>
    <n v="1"/>
  </r>
  <r>
    <n v="4939"/>
    <n v="64"/>
    <s v="Male"/>
    <s v="Electronics"/>
    <s v="Headphones"/>
    <n v="2546.2600000000002"/>
    <s v="Autumn"/>
    <s v="Card"/>
    <n v="4.9000000000000004"/>
    <x v="19"/>
    <n v="5"/>
    <n v="2995.6000000000004"/>
    <n v="449.34000000000015"/>
    <x v="0"/>
    <n v="1"/>
  </r>
  <r>
    <n v="4940"/>
    <n v="31"/>
    <s v="Male"/>
    <s v="Footwear"/>
    <s v="Sandals"/>
    <n v="248.37"/>
    <s v="Summer"/>
    <s v="Card"/>
    <n v="4.4000000000000004"/>
    <x v="3"/>
    <n v="5"/>
    <n v="310.46249999999998"/>
    <n v="62.092499999999973"/>
    <x v="5"/>
    <n v="1"/>
  </r>
  <r>
    <n v="4941"/>
    <n v="31"/>
    <s v="Female"/>
    <s v="Beauty"/>
    <s v="Perfume"/>
    <n v="45.08"/>
    <s v="Winter"/>
    <s v="Cash on Delivery"/>
    <n v="4.0999999999999996"/>
    <x v="10"/>
    <n v="6"/>
    <n v="57.794871794871788"/>
    <n v="12.71487179487179"/>
    <x v="5"/>
    <n v="1"/>
  </r>
  <r>
    <n v="4942"/>
    <n v="22"/>
    <s v="Male"/>
    <s v="Sports"/>
    <s v="Yoga Mat"/>
    <n v="193.77"/>
    <s v="Autumn"/>
    <s v="Card"/>
    <n v="4.9000000000000004"/>
    <x v="4"/>
    <n v="7"/>
    <n v="225.31395348837211"/>
    <n v="31.543953488372097"/>
    <x v="3"/>
    <n v="1"/>
  </r>
  <r>
    <n v="4943"/>
    <n v="40"/>
    <s v="Female"/>
    <s v="Beauty"/>
    <s v="Perfume"/>
    <n v="98.85"/>
    <s v="Autumn"/>
    <s v="Card"/>
    <n v="4.7"/>
    <x v="6"/>
    <n v="3"/>
    <n v="117.67857142857143"/>
    <n v="18.828571428571436"/>
    <x v="1"/>
    <n v="1"/>
  </r>
  <r>
    <n v="4944"/>
    <n v="28"/>
    <s v="Male"/>
    <s v="Footwear"/>
    <s v="Sneakers"/>
    <n v="216.39"/>
    <s v="Autumn"/>
    <s v="Card"/>
    <n v="1.5"/>
    <x v="23"/>
    <n v="1"/>
    <n v="232.67741935483872"/>
    <n v="16.287419354838732"/>
    <x v="5"/>
    <n v="1"/>
  </r>
  <r>
    <n v="4945"/>
    <n v="64"/>
    <s v="Female"/>
    <s v="Footwear"/>
    <s v="Sandals"/>
    <n v="197.46"/>
    <s v="Autumn"/>
    <s v="Card"/>
    <n v="4.4000000000000004"/>
    <x v="7"/>
    <n v="5"/>
    <n v="219.4"/>
    <n v="21.939999999999998"/>
    <x v="0"/>
    <n v="1"/>
  </r>
  <r>
    <n v="4946"/>
    <n v="48"/>
    <s v="Female"/>
    <s v="Groceries"/>
    <s v="Rice Pack"/>
    <n v="75.400000000000006"/>
    <s v="Spring"/>
    <s v="Card"/>
    <n v="3.7"/>
    <x v="5"/>
    <n v="4"/>
    <n v="81.956521739130437"/>
    <n v="6.5565217391304316"/>
    <x v="4"/>
    <n v="1"/>
  </r>
  <r>
    <n v="4947"/>
    <n v="24"/>
    <s v="Female"/>
    <s v="Beauty"/>
    <s v="Skincare Kit"/>
    <n v="78.11"/>
    <s v="Summer"/>
    <s v="Cash on Delivery"/>
    <n v="3.6"/>
    <x v="8"/>
    <n v="6"/>
    <n v="88.76136363636364"/>
    <n v="10.651363636363641"/>
    <x v="3"/>
    <n v="1"/>
  </r>
  <r>
    <n v="4948"/>
    <n v="20"/>
    <s v="Female"/>
    <s v="Beauty"/>
    <s v="Skincare Kit"/>
    <n v="32.659999999999997"/>
    <s v="Spring"/>
    <s v="Cash on Delivery"/>
    <n v="2.9"/>
    <x v="5"/>
    <n v="4"/>
    <n v="35.499999999999993"/>
    <n v="2.8399999999999963"/>
    <x v="3"/>
    <n v="1"/>
  </r>
  <r>
    <n v="4949"/>
    <n v="21"/>
    <s v="Female"/>
    <s v="Footwear"/>
    <s v="Formal Shoes"/>
    <n v="91.71"/>
    <s v="Autumn"/>
    <s v="Cash on Delivery"/>
    <n v="3"/>
    <x v="5"/>
    <n v="4"/>
    <n v="99.684782608695642"/>
    <n v="7.9747826086956479"/>
    <x v="3"/>
    <n v="1"/>
  </r>
  <r>
    <n v="4950"/>
    <n v="70"/>
    <s v="Female"/>
    <s v="Beauty"/>
    <s v="Skincare Kit"/>
    <n v="70.739999999999995"/>
    <s v="Autumn"/>
    <s v="Cash on Delivery"/>
    <n v="4.7"/>
    <x v="24"/>
    <n v="9"/>
    <n v="98.25"/>
    <n v="27.510000000000005"/>
    <x v="2"/>
    <n v="1"/>
  </r>
  <r>
    <n v="4951"/>
    <n v="39"/>
    <s v="Female"/>
    <s v="Footwear"/>
    <s v="Sandals"/>
    <n v="92.58"/>
    <s v="Summer"/>
    <s v="Card"/>
    <n v="3.6"/>
    <x v="2"/>
    <n v="3"/>
    <n v="104.02247191011236"/>
    <n v="11.44247191011236"/>
    <x v="1"/>
    <n v="1"/>
  </r>
  <r>
    <n v="4952"/>
    <n v="53"/>
    <s v="Female"/>
    <s v="Beauty"/>
    <s v="Makeup Set"/>
    <n v="92.62"/>
    <s v="Summer"/>
    <s v="Card"/>
    <n v="4.9000000000000004"/>
    <x v="2"/>
    <n v="3"/>
    <n v="104.06741573033709"/>
    <n v="11.447415730337084"/>
    <x v="4"/>
    <n v="1"/>
  </r>
  <r>
    <n v="4953"/>
    <n v="24"/>
    <s v="Male"/>
    <s v="Footwear"/>
    <s v="Sneakers"/>
    <n v="201.33"/>
    <s v="Winter"/>
    <s v="Card"/>
    <n v="3.4"/>
    <x v="29"/>
    <n v="0"/>
    <n v="201.33"/>
    <n v="0"/>
    <x v="3"/>
    <n v="1"/>
  </r>
  <r>
    <n v="4954"/>
    <n v="22"/>
    <s v="Female"/>
    <s v="Womens Clothing"/>
    <s v="Skirt"/>
    <n v="107.7"/>
    <s v="Autumn"/>
    <s v="Card"/>
    <n v="3.2"/>
    <x v="24"/>
    <n v="9"/>
    <n v="149.58333333333334"/>
    <n v="41.88333333333334"/>
    <x v="3"/>
    <n v="1"/>
  </r>
  <r>
    <n v="4955"/>
    <n v="29"/>
    <s v="Male"/>
    <s v="Sports"/>
    <s v="Football"/>
    <n v="48.66"/>
    <s v="Spring"/>
    <s v="Card"/>
    <n v="3.5"/>
    <x v="17"/>
    <n v="2"/>
    <n v="50.6875"/>
    <n v="2.0275000000000034"/>
    <x v="5"/>
    <n v="1"/>
  </r>
  <r>
    <n v="4956"/>
    <n v="37"/>
    <s v="Male"/>
    <s v="Groceries"/>
    <s v="Rice Pack"/>
    <n v="43.47"/>
    <s v="Autumn"/>
    <s v="Cash on Delivery"/>
    <n v="4.0999999999999996"/>
    <x v="6"/>
    <n v="3"/>
    <n v="51.75"/>
    <n v="8.2800000000000011"/>
    <x v="1"/>
    <n v="1"/>
  </r>
  <r>
    <n v="4957"/>
    <n v="47"/>
    <s v="Male"/>
    <s v="Mens Clothing"/>
    <s v="Jeans"/>
    <n v="179.91"/>
    <s v="Summer"/>
    <s v="Card"/>
    <n v="4.4000000000000004"/>
    <x v="8"/>
    <n v="6"/>
    <n v="204.44318181818181"/>
    <n v="24.533181818181816"/>
    <x v="4"/>
    <n v="1"/>
  </r>
  <r>
    <n v="4958"/>
    <n v="69"/>
    <s v="Male"/>
    <s v="Groceries"/>
    <s v="Beverages"/>
    <n v="60.23"/>
    <s v="Autumn"/>
    <s v="Cash on Delivery"/>
    <n v="3.3"/>
    <x v="4"/>
    <n v="7"/>
    <n v="70.034883720930225"/>
    <n v="9.8048837209302278"/>
    <x v="2"/>
    <n v="1"/>
  </r>
  <r>
    <n v="4959"/>
    <n v="36"/>
    <s v="Female"/>
    <s v="Groceries"/>
    <s v="Beverages"/>
    <n v="33.119999999999997"/>
    <s v="Spring"/>
    <s v="Card"/>
    <n v="4.3"/>
    <x v="19"/>
    <n v="5"/>
    <n v="38.964705882352938"/>
    <n v="5.8447058823529403"/>
    <x v="1"/>
    <n v="1"/>
  </r>
  <r>
    <n v="4960"/>
    <n v="42"/>
    <s v="Male"/>
    <s v="Electronics"/>
    <s v="Mobile Phone"/>
    <n v="2340.63"/>
    <s v="Autumn"/>
    <s v="Card"/>
    <n v="3.1"/>
    <x v="13"/>
    <n v="2"/>
    <n v="2572.1208791208792"/>
    <n v="231.49087912087907"/>
    <x v="1"/>
    <n v="1"/>
  </r>
  <r>
    <n v="4961"/>
    <n v="23"/>
    <s v="Female"/>
    <s v="Sports"/>
    <s v="Dumbbells"/>
    <n v="124.64"/>
    <s v="Spring"/>
    <s v="Card"/>
    <n v="4.9000000000000004"/>
    <x v="3"/>
    <n v="5"/>
    <n v="155.79999999999998"/>
    <n v="31.159999999999982"/>
    <x v="3"/>
    <n v="1"/>
  </r>
  <r>
    <n v="4962"/>
    <n v="52"/>
    <s v="Male"/>
    <s v="Groceries"/>
    <s v="Snacks"/>
    <n v="69.010000000000005"/>
    <s v="Summer"/>
    <s v="Cash on Delivery"/>
    <n v="3.6"/>
    <x v="5"/>
    <n v="4"/>
    <n v="75.010869565217391"/>
    <n v="6.0008695652173856"/>
    <x v="4"/>
    <n v="1"/>
  </r>
  <r>
    <n v="4963"/>
    <n v="59"/>
    <s v="Female"/>
    <s v="Accessories"/>
    <s v="Sunglasses"/>
    <n v="67.83"/>
    <s v="Winter"/>
    <s v="Cash on Delivery"/>
    <n v="2.7"/>
    <x v="1"/>
    <n v="4"/>
    <n v="77.965517241379303"/>
    <n v="10.135517241379304"/>
    <x v="0"/>
    <n v="1"/>
  </r>
  <r>
    <n v="4964"/>
    <n v="21"/>
    <s v="Male"/>
    <s v="Mens Clothing"/>
    <s v="T-Shirt"/>
    <n v="80.010000000000005"/>
    <s v="Spring"/>
    <s v="Card"/>
    <n v="4.5"/>
    <x v="12"/>
    <n v="7"/>
    <n v="98.777777777777771"/>
    <n v="18.767777777777766"/>
    <x v="3"/>
    <n v="1"/>
  </r>
  <r>
    <n v="4965"/>
    <n v="50"/>
    <s v="Male"/>
    <s v="Sports"/>
    <s v="Yoga Mat"/>
    <n v="65.650000000000006"/>
    <s v="Autumn"/>
    <s v="Cash on Delivery"/>
    <n v="4"/>
    <x v="6"/>
    <n v="8"/>
    <n v="78.154761904761912"/>
    <n v="12.504761904761907"/>
    <x v="4"/>
    <n v="1"/>
  </r>
  <r>
    <n v="4966"/>
    <n v="50"/>
    <s v="Male"/>
    <s v="Footwear"/>
    <s v="Formal Shoes"/>
    <n v="64.930000000000007"/>
    <s v="Spring"/>
    <s v="Card"/>
    <n v="4.4000000000000004"/>
    <x v="13"/>
    <n v="2"/>
    <n v="71.35164835164835"/>
    <n v="6.4216483516483436"/>
    <x v="4"/>
    <n v="1"/>
  </r>
  <r>
    <n v="4967"/>
    <n v="57"/>
    <s v="Male"/>
    <s v="Mens Clothing"/>
    <s v="Jeans"/>
    <n v="185.82"/>
    <s v="Spring"/>
    <s v="Card"/>
    <n v="3.6"/>
    <x v="14"/>
    <n v="6"/>
    <n v="223.87951807228916"/>
    <n v="38.059518072289166"/>
    <x v="0"/>
    <n v="1"/>
  </r>
  <r>
    <n v="4968"/>
    <n v="58"/>
    <s v="Female"/>
    <s v="Accessories"/>
    <s v="Handbag"/>
    <n v="60.51"/>
    <s v="Summer"/>
    <s v="Card"/>
    <n v="3.9"/>
    <x v="5"/>
    <n v="4"/>
    <n v="65.771739130434781"/>
    <n v="5.2617391304347834"/>
    <x v="0"/>
    <n v="1"/>
  </r>
  <r>
    <n v="4969"/>
    <n v="34"/>
    <s v="Male"/>
    <s v="Home"/>
    <s v="Lamp"/>
    <n v="34.950000000000003"/>
    <s v="Winter"/>
    <s v="Cash on Delivery"/>
    <n v="3.6"/>
    <x v="5"/>
    <n v="4"/>
    <n v="37.989130434782609"/>
    <n v="3.0391304347826065"/>
    <x v="5"/>
    <n v="1"/>
  </r>
  <r>
    <n v="4970"/>
    <n v="41"/>
    <s v="Male"/>
    <s v="Electronics"/>
    <s v="Laptop"/>
    <n v="2442.98"/>
    <s v="Spring"/>
    <s v="Card"/>
    <n v="4.8"/>
    <x v="7"/>
    <n v="5"/>
    <n v="2714.422222222222"/>
    <n v="271.44222222222197"/>
    <x v="1"/>
    <n v="1"/>
  </r>
  <r>
    <n v="4971"/>
    <n v="52"/>
    <s v="Female"/>
    <s v="Accessories"/>
    <s v="Wallet"/>
    <n v="177.26"/>
    <s v="Summer"/>
    <s v="Card"/>
    <n v="3.3"/>
    <x v="6"/>
    <n v="3"/>
    <n v="211.02380952380952"/>
    <n v="33.763809523809527"/>
    <x v="4"/>
    <n v="1"/>
  </r>
  <r>
    <n v="4972"/>
    <n v="24"/>
    <s v="Male"/>
    <s v="Mens Clothing"/>
    <s v="Jacket"/>
    <n v="161.44"/>
    <s v="Winter"/>
    <s v="Card"/>
    <n v="3.7"/>
    <x v="6"/>
    <n v="3"/>
    <n v="192.1904761904762"/>
    <n v="30.750476190476206"/>
    <x v="3"/>
    <n v="1"/>
  </r>
  <r>
    <n v="4973"/>
    <n v="42"/>
    <s v="Female"/>
    <s v="Beauty"/>
    <s v="Perfume"/>
    <n v="106.4"/>
    <s v="Autumn"/>
    <s v="Card"/>
    <n v="3.4"/>
    <x v="16"/>
    <n v="3"/>
    <n v="113.19148936170214"/>
    <n v="6.7914893617021335"/>
    <x v="1"/>
    <n v="1"/>
  </r>
  <r>
    <n v="4974"/>
    <n v="53"/>
    <s v="Male"/>
    <s v="Sports"/>
    <s v="Football"/>
    <n v="130.37"/>
    <s v="Spring"/>
    <s v="Card"/>
    <n v="4.5"/>
    <x v="16"/>
    <n v="3"/>
    <n v="138.69148936170214"/>
    <n v="8.3214893617021346"/>
    <x v="4"/>
    <n v="1"/>
  </r>
  <r>
    <n v="4975"/>
    <n v="50"/>
    <s v="Female"/>
    <s v="Footwear"/>
    <s v="Sneakers"/>
    <n v="243.99"/>
    <s v="Spring"/>
    <s v="Card"/>
    <n v="3.7"/>
    <x v="0"/>
    <n v="4"/>
    <n v="297.54878048780489"/>
    <n v="53.558780487804881"/>
    <x v="4"/>
    <n v="1"/>
  </r>
  <r>
    <n v="4976"/>
    <n v="47"/>
    <s v="Female"/>
    <s v="Accessories"/>
    <s v="Handbag"/>
    <n v="162.51"/>
    <s v="Summer"/>
    <s v="Card"/>
    <n v="5"/>
    <x v="10"/>
    <n v="6"/>
    <n v="208.34615384615384"/>
    <n v="45.836153846153849"/>
    <x v="4"/>
    <n v="1"/>
  </r>
  <r>
    <n v="4977"/>
    <n v="32"/>
    <s v="Male"/>
    <s v="Sports"/>
    <s v="Yoga Mat"/>
    <n v="49.17"/>
    <s v="Autumn"/>
    <s v="Card"/>
    <n v="4.0999999999999996"/>
    <x v="7"/>
    <n v="5"/>
    <n v="54.633333333333333"/>
    <n v="5.4633333333333312"/>
    <x v="5"/>
    <n v="1"/>
  </r>
  <r>
    <n v="4978"/>
    <n v="28"/>
    <s v="Female"/>
    <s v="Footwear"/>
    <s v="Sneakers"/>
    <n v="46.58"/>
    <s v="Summer"/>
    <s v="Cash on Delivery"/>
    <n v="4.3"/>
    <x v="19"/>
    <n v="5"/>
    <n v="54.8"/>
    <n v="8.2199999999999989"/>
    <x v="5"/>
    <n v="1"/>
  </r>
  <r>
    <n v="4979"/>
    <n v="48"/>
    <s v="Male"/>
    <s v="Electronics"/>
    <s v="Mobile Phone"/>
    <n v="1886.39"/>
    <s v="Spring"/>
    <s v="Card"/>
    <n v="4.2"/>
    <x v="10"/>
    <n v="6"/>
    <n v="2418.4487179487178"/>
    <n v="532.05871794871769"/>
    <x v="4"/>
    <n v="1"/>
  </r>
  <r>
    <n v="4980"/>
    <n v="65"/>
    <s v="Female"/>
    <s v="Womens Clothing"/>
    <s v="Jeans"/>
    <n v="150.06"/>
    <s v="Winter"/>
    <s v="Card"/>
    <n v="3.4"/>
    <x v="8"/>
    <n v="6"/>
    <n v="170.52272727272728"/>
    <n v="20.462727272727278"/>
    <x v="0"/>
    <n v="1"/>
  </r>
  <r>
    <n v="4981"/>
    <n v="58"/>
    <s v="Female"/>
    <s v="Beauty"/>
    <s v="Makeup Set"/>
    <n v="21.63"/>
    <s v="Autumn"/>
    <s v="Card"/>
    <n v="3.8"/>
    <x v="0"/>
    <n v="4"/>
    <n v="26.378048780487802"/>
    <n v="4.7480487804878031"/>
    <x v="0"/>
    <n v="1"/>
  </r>
  <r>
    <n v="4982"/>
    <n v="31"/>
    <s v="Female"/>
    <s v="Footwear"/>
    <s v="Sneakers"/>
    <n v="180.25"/>
    <s v="Summer"/>
    <s v="Card"/>
    <n v="5"/>
    <x v="28"/>
    <n v="12"/>
    <n v="253.87323943661974"/>
    <n v="73.623239436619741"/>
    <x v="5"/>
    <n v="1"/>
  </r>
  <r>
    <n v="4983"/>
    <n v="31"/>
    <s v="Male"/>
    <s v="Electronics"/>
    <s v="Smart Watch"/>
    <n v="2163.69"/>
    <s v="Summer"/>
    <s v="Card"/>
    <n v="4.0999999999999996"/>
    <x v="7"/>
    <n v="5"/>
    <n v="2404.1"/>
    <n v="240.40999999999985"/>
    <x v="5"/>
    <n v="1"/>
  </r>
  <r>
    <n v="4984"/>
    <n v="47"/>
    <s v="Female"/>
    <s v="Footwear"/>
    <s v="Formal Shoes"/>
    <n v="231.35"/>
    <s v="Spring"/>
    <s v="Card"/>
    <n v="2.7"/>
    <x v="6"/>
    <n v="3"/>
    <n v="275.41666666666669"/>
    <n v="44.066666666666691"/>
    <x v="4"/>
    <n v="1"/>
  </r>
  <r>
    <n v="4985"/>
    <n v="50"/>
    <s v="Male"/>
    <s v="Sports"/>
    <s v="Yoga Mat"/>
    <n v="133.91"/>
    <s v="Autumn"/>
    <s v="Card"/>
    <n v="5"/>
    <x v="8"/>
    <n v="6"/>
    <n v="152.17045454545453"/>
    <n v="18.260454545454536"/>
    <x v="4"/>
    <n v="1"/>
  </r>
  <r>
    <n v="4986"/>
    <n v="22"/>
    <s v="Female"/>
    <s v="Footwear"/>
    <s v="Sneakers"/>
    <n v="158.22999999999999"/>
    <s v="Summer"/>
    <s v="Card"/>
    <n v="3.7"/>
    <x v="13"/>
    <n v="2"/>
    <n v="173.87912087912088"/>
    <n v="15.649120879120886"/>
    <x v="3"/>
    <n v="1"/>
  </r>
  <r>
    <n v="4987"/>
    <n v="29"/>
    <s v="Male"/>
    <s v="Mens Clothing"/>
    <s v="Jacket"/>
    <n v="62.95"/>
    <s v="Winter"/>
    <s v="Cash on Delivery"/>
    <n v="5"/>
    <x v="10"/>
    <n v="6"/>
    <n v="80.705128205128204"/>
    <n v="17.755128205128202"/>
    <x v="5"/>
    <n v="1"/>
  </r>
  <r>
    <n v="4988"/>
    <n v="45"/>
    <s v="Male"/>
    <s v="Footwear"/>
    <s v="Formal Shoes"/>
    <n v="214.69"/>
    <s v="Summer"/>
    <s v="Card"/>
    <n v="4.5"/>
    <x v="3"/>
    <n v="5"/>
    <n v="268.36249999999995"/>
    <n v="53.672499999999957"/>
    <x v="1"/>
    <n v="1"/>
  </r>
  <r>
    <n v="4989"/>
    <n v="69"/>
    <s v="Male"/>
    <s v="Footwear"/>
    <s v="Formal Shoes"/>
    <n v="172.99"/>
    <s v="Spring"/>
    <s v="Card"/>
    <n v="3.9"/>
    <x v="15"/>
    <n v="1"/>
    <n v="176.52040816326533"/>
    <n v="3.5304081632653208"/>
    <x v="2"/>
    <n v="1"/>
  </r>
  <r>
    <n v="4990"/>
    <n v="39"/>
    <s v="Female"/>
    <s v="Accessories"/>
    <s v="Sunglasses"/>
    <n v="147.24"/>
    <s v="Winter"/>
    <s v="Card"/>
    <n v="3.7"/>
    <x v="17"/>
    <n v="2"/>
    <n v="153.37500000000003"/>
    <n v="6.1350000000000193"/>
    <x v="1"/>
    <n v="1"/>
  </r>
  <r>
    <n v="4991"/>
    <n v="28"/>
    <s v="Female"/>
    <s v="Groceries"/>
    <s v="Snacks"/>
    <n v="55.74"/>
    <s v="Winter"/>
    <s v="Card"/>
    <n v="2.6"/>
    <x v="18"/>
    <n v="7"/>
    <n v="73.34210526315789"/>
    <n v="17.602105263157888"/>
    <x v="5"/>
    <n v="1"/>
  </r>
  <r>
    <n v="4992"/>
    <n v="41"/>
    <s v="Male"/>
    <s v="Sports"/>
    <s v="Football"/>
    <n v="167.22"/>
    <s v="Summer"/>
    <s v="Card"/>
    <n v="3"/>
    <x v="2"/>
    <n v="3"/>
    <n v="187.88764044943821"/>
    <n v="20.66764044943821"/>
    <x v="1"/>
    <n v="1"/>
  </r>
  <r>
    <n v="4993"/>
    <n v="48"/>
    <s v="Male"/>
    <s v="Sports"/>
    <s v="Football"/>
    <n v="152.94"/>
    <s v="Winter"/>
    <s v="Card"/>
    <n v="4.7"/>
    <x v="8"/>
    <n v="6"/>
    <n v="173.79545454545453"/>
    <n v="20.855454545454535"/>
    <x v="4"/>
    <n v="1"/>
  </r>
  <r>
    <n v="4994"/>
    <n v="69"/>
    <s v="Female"/>
    <s v="Womens Clothing"/>
    <s v="Jeans"/>
    <n v="63.26"/>
    <s v="Autumn"/>
    <s v="Cash on Delivery"/>
    <n v="3.2"/>
    <x v="24"/>
    <n v="9"/>
    <n v="87.861111111111114"/>
    <n v="24.601111111111116"/>
    <x v="2"/>
    <n v="1"/>
  </r>
  <r>
    <n v="4995"/>
    <n v="20"/>
    <s v="Male"/>
    <s v="Sports"/>
    <s v="Dumbbells"/>
    <n v="124.24"/>
    <s v="Spring"/>
    <s v="Card"/>
    <n v="4.4000000000000004"/>
    <x v="4"/>
    <n v="2"/>
    <n v="144.46511627906978"/>
    <n v="20.22511627906978"/>
    <x v="3"/>
    <n v="1"/>
  </r>
  <r>
    <n v="4996"/>
    <n v="44"/>
    <s v="Female"/>
    <s v="Accessories"/>
    <s v="Sunglasses"/>
    <n v="172.64"/>
    <s v="Winter"/>
    <s v="Card"/>
    <n v="3.6"/>
    <x v="3"/>
    <n v="5"/>
    <n v="215.79999999999998"/>
    <n v="43.16"/>
    <x v="1"/>
    <n v="1"/>
  </r>
  <r>
    <n v="4997"/>
    <n v="59"/>
    <s v="Male"/>
    <s v="Groceries"/>
    <s v="Beverages"/>
    <n v="54"/>
    <s v="Spring"/>
    <s v="Cash on Delivery"/>
    <n v="3.8"/>
    <x v="4"/>
    <n v="2"/>
    <n v="62.790697674418603"/>
    <n v="8.7906976744186025"/>
    <x v="0"/>
    <n v="1"/>
  </r>
  <r>
    <n v="4998"/>
    <n v="41"/>
    <s v="Female"/>
    <s v="Accessories"/>
    <s v="Handbag"/>
    <n v="159.33000000000001"/>
    <s v="Autumn"/>
    <s v="Card"/>
    <n v="4.3"/>
    <x v="11"/>
    <n v="8"/>
    <n v="215.31081081081084"/>
    <n v="55.980810810810823"/>
    <x v="1"/>
    <n v="1"/>
  </r>
  <r>
    <n v="4999"/>
    <n v="63"/>
    <s v="Female"/>
    <s v="Womens Clothing"/>
    <s v="Skirt"/>
    <n v="173.82"/>
    <s v="Autumn"/>
    <s v="Card"/>
    <n v="4.8"/>
    <x v="11"/>
    <n v="8"/>
    <n v="234.89189189189187"/>
    <n v="61.07189189189188"/>
    <x v="0"/>
    <n v="1"/>
  </r>
  <r>
    <n v="5000"/>
    <n v="41"/>
    <s v="Female"/>
    <s v="Footwear"/>
    <s v="Sandals"/>
    <n v="55.39"/>
    <s v="Autumn"/>
    <s v="Cash on Delivery"/>
    <n v="4.0999999999999996"/>
    <x v="12"/>
    <n v="7"/>
    <n v="68.382716049382708"/>
    <n v="12.992716049382707"/>
    <x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58"/>
    <x v="0"/>
    <x v="0"/>
    <x v="0"/>
    <n v="115.5"/>
    <x v="0"/>
    <x v="0"/>
    <n v="3.5"/>
    <n v="18"/>
    <n v="4"/>
    <n v="140.85365853658536"/>
    <n v="25.353658536585357"/>
    <x v="0"/>
    <m/>
  </r>
  <r>
    <n v="2"/>
    <n v="40"/>
    <x v="1"/>
    <x v="1"/>
    <x v="1"/>
    <n v="103.43"/>
    <x v="1"/>
    <x v="0"/>
    <n v="4.0999999999999996"/>
    <n v="13"/>
    <n v="4"/>
    <n v="118.88505747126437"/>
    <n v="15.455057471264368"/>
    <x v="1"/>
    <m/>
  </r>
  <r>
    <n v="3"/>
    <n v="66"/>
    <x v="0"/>
    <x v="2"/>
    <x v="2"/>
    <n v="35.450000000000003"/>
    <x v="1"/>
    <x v="0"/>
    <n v="3.3"/>
    <n v="11"/>
    <n v="3"/>
    <n v="39.831460674157306"/>
    <n v="4.381460674157303"/>
    <x v="2"/>
    <m/>
  </r>
  <r>
    <n v="4"/>
    <n v="39"/>
    <x v="0"/>
    <x v="0"/>
    <x v="0"/>
    <n v="153.31"/>
    <x v="1"/>
    <x v="0"/>
    <n v="4.4000000000000004"/>
    <n v="13"/>
    <n v="4"/>
    <n v="176.2183908045977"/>
    <n v="22.908390804597701"/>
    <x v="1"/>
    <m/>
  </r>
  <r>
    <n v="5"/>
    <n v="23"/>
    <x v="0"/>
    <x v="3"/>
    <x v="3"/>
    <n v="151.43"/>
    <x v="2"/>
    <x v="0"/>
    <n v="4.0999999999999996"/>
    <n v="20"/>
    <n v="10"/>
    <n v="189.28749999999999"/>
    <n v="37.857499999999987"/>
    <x v="3"/>
    <m/>
  </r>
  <r>
    <n v="6"/>
    <n v="48"/>
    <x v="1"/>
    <x v="4"/>
    <x v="4"/>
    <n v="36.76"/>
    <x v="0"/>
    <x v="0"/>
    <n v="2.5"/>
    <n v="14"/>
    <n v="2"/>
    <n v="42.744186046511629"/>
    <n v="5.9841860465116312"/>
    <x v="4"/>
    <m/>
  </r>
  <r>
    <n v="7"/>
    <n v="54"/>
    <x v="1"/>
    <x v="5"/>
    <x v="5"/>
    <n v="1396.16"/>
    <x v="0"/>
    <x v="0"/>
    <n v="4.7"/>
    <n v="18"/>
    <n v="4"/>
    <n v="1702.6341463414633"/>
    <n v="306.47414634146321"/>
    <x v="4"/>
    <m/>
  </r>
  <r>
    <n v="8"/>
    <n v="59"/>
    <x v="0"/>
    <x v="6"/>
    <x v="6"/>
    <n v="35.549999999999997"/>
    <x v="3"/>
    <x v="0"/>
    <n v="4.5999999999999996"/>
    <n v="14"/>
    <n v="7"/>
    <n v="41.337209302325576"/>
    <n v="5.7872093023255786"/>
    <x v="0"/>
    <m/>
  </r>
  <r>
    <n v="9"/>
    <n v="51"/>
    <x v="1"/>
    <x v="5"/>
    <x v="7"/>
    <n v="2238.79"/>
    <x v="1"/>
    <x v="0"/>
    <n v="4.3"/>
    <n v="20"/>
    <n v="5"/>
    <n v="2798.4874999999997"/>
    <n v="559.69749999999976"/>
    <x v="4"/>
    <m/>
  </r>
  <r>
    <n v="10"/>
    <n v="47"/>
    <x v="0"/>
    <x v="7"/>
    <x v="8"/>
    <n v="225.49"/>
    <x v="1"/>
    <x v="0"/>
    <n v="4.7"/>
    <n v="18"/>
    <n v="4"/>
    <n v="274.98780487804879"/>
    <n v="49.497804878048782"/>
    <x v="4"/>
    <m/>
  </r>
  <r>
    <n v="11"/>
    <n v="32"/>
    <x v="1"/>
    <x v="1"/>
    <x v="9"/>
    <n v="120.8"/>
    <x v="1"/>
    <x v="0"/>
    <n v="3.2"/>
    <n v="8"/>
    <n v="4"/>
    <n v="131.30434782608694"/>
    <n v="10.504347826086942"/>
    <x v="5"/>
    <m/>
  </r>
  <r>
    <n v="12"/>
    <n v="31"/>
    <x v="0"/>
    <x v="0"/>
    <x v="0"/>
    <n v="43.69"/>
    <x v="3"/>
    <x v="0"/>
    <n v="3.6"/>
    <n v="8"/>
    <n v="4"/>
    <n v="47.489130434782602"/>
    <n v="3.7991304347826045"/>
    <x v="5"/>
    <m/>
  </r>
  <r>
    <n v="13"/>
    <n v="21"/>
    <x v="1"/>
    <x v="2"/>
    <x v="10"/>
    <n v="79.459999999999994"/>
    <x v="2"/>
    <x v="1"/>
    <n v="3.8"/>
    <n v="16"/>
    <n v="8"/>
    <n v="94.595238095238088"/>
    <n v="15.135238095238094"/>
    <x v="3"/>
    <m/>
  </r>
  <r>
    <n v="14"/>
    <n v="22"/>
    <x v="0"/>
    <x v="7"/>
    <x v="11"/>
    <n v="189.34"/>
    <x v="3"/>
    <x v="0"/>
    <n v="2.9"/>
    <n v="10"/>
    <n v="5"/>
    <n v="210.37777777777777"/>
    <n v="21.037777777777762"/>
    <x v="3"/>
    <m/>
  </r>
  <r>
    <n v="15"/>
    <n v="47"/>
    <x v="1"/>
    <x v="2"/>
    <x v="12"/>
    <n v="222.4"/>
    <x v="2"/>
    <x v="0"/>
    <n v="3.9"/>
    <n v="12"/>
    <n v="6"/>
    <n v="252.72727272727272"/>
    <n v="30.327272727272714"/>
    <x v="4"/>
    <m/>
  </r>
  <r>
    <n v="16"/>
    <n v="60"/>
    <x v="1"/>
    <x v="2"/>
    <x v="12"/>
    <n v="217.67"/>
    <x v="1"/>
    <x v="0"/>
    <n v="4.5999999999999996"/>
    <n v="27"/>
    <n v="11"/>
    <n v="298.17808219178079"/>
    <n v="80.508082191780801"/>
    <x v="0"/>
    <m/>
  </r>
  <r>
    <n v="17"/>
    <n v="54"/>
    <x v="0"/>
    <x v="7"/>
    <x v="13"/>
    <n v="43.8"/>
    <x v="1"/>
    <x v="1"/>
    <n v="2.9"/>
    <n v="20"/>
    <n v="5"/>
    <n v="54.749999999999993"/>
    <n v="10.949999999999996"/>
    <x v="4"/>
    <m/>
  </r>
  <r>
    <n v="18"/>
    <n v="57"/>
    <x v="0"/>
    <x v="8"/>
    <x v="14"/>
    <n v="137.29"/>
    <x v="0"/>
    <x v="0"/>
    <n v="3.4"/>
    <n v="22"/>
    <n v="6"/>
    <n v="176.0128205128205"/>
    <n v="38.722820512820505"/>
    <x v="0"/>
    <m/>
  </r>
  <r>
    <n v="19"/>
    <n v="68"/>
    <x v="0"/>
    <x v="3"/>
    <x v="15"/>
    <n v="105.48"/>
    <x v="0"/>
    <x v="0"/>
    <n v="4.5"/>
    <n v="14"/>
    <n v="7"/>
    <n v="122.65116279069768"/>
    <n v="17.171162790697679"/>
    <x v="2"/>
    <m/>
  </r>
  <r>
    <n v="20"/>
    <n v="22"/>
    <x v="0"/>
    <x v="8"/>
    <x v="16"/>
    <n v="173.52"/>
    <x v="3"/>
    <x v="0"/>
    <n v="3.6"/>
    <n v="18"/>
    <n v="4"/>
    <n v="211.60975609756096"/>
    <n v="38.089756097560951"/>
    <x v="3"/>
    <m/>
  </r>
  <r>
    <n v="21"/>
    <n v="61"/>
    <x v="0"/>
    <x v="7"/>
    <x v="13"/>
    <n v="68.69"/>
    <x v="0"/>
    <x v="0"/>
    <n v="4.9000000000000004"/>
    <n v="22"/>
    <n v="6"/>
    <n v="88.064102564102555"/>
    <n v="19.374102564102557"/>
    <x v="0"/>
    <m/>
  </r>
  <r>
    <n v="22"/>
    <n v="65"/>
    <x v="0"/>
    <x v="2"/>
    <x v="12"/>
    <n v="31.21"/>
    <x v="1"/>
    <x v="1"/>
    <n v="3.8"/>
    <n v="14"/>
    <n v="7"/>
    <n v="36.29069767441861"/>
    <n v="5.0806976744186088"/>
    <x v="2"/>
    <m/>
  </r>
  <r>
    <n v="23"/>
    <n v="25"/>
    <x v="1"/>
    <x v="2"/>
    <x v="2"/>
    <n v="142.5"/>
    <x v="0"/>
    <x v="0"/>
    <n v="5"/>
    <n v="13"/>
    <n v="4"/>
    <n v="163.79310344827587"/>
    <n v="21.293103448275872"/>
    <x v="5"/>
    <m/>
  </r>
  <r>
    <n v="24"/>
    <n v="35"/>
    <x v="1"/>
    <x v="1"/>
    <x v="14"/>
    <n v="36.979999999999997"/>
    <x v="3"/>
    <x v="0"/>
    <n v="4.2"/>
    <n v="13"/>
    <n v="4"/>
    <n v="42.505747126436781"/>
    <n v="5.5257471264367837"/>
    <x v="1"/>
    <m/>
  </r>
  <r>
    <n v="25"/>
    <n v="28"/>
    <x v="0"/>
    <x v="8"/>
    <x v="17"/>
    <n v="56.59"/>
    <x v="2"/>
    <x v="0"/>
    <n v="4.0999999999999996"/>
    <n v="26"/>
    <n v="8"/>
    <n v="76.472972972972983"/>
    <n v="19.882972972972979"/>
    <x v="5"/>
    <m/>
  </r>
  <r>
    <n v="26"/>
    <n v="41"/>
    <x v="1"/>
    <x v="2"/>
    <x v="2"/>
    <n v="46.19"/>
    <x v="2"/>
    <x v="1"/>
    <n v="3.3"/>
    <n v="11"/>
    <n v="3"/>
    <n v="51.898876404494381"/>
    <n v="5.7088764044943829"/>
    <x v="1"/>
    <m/>
  </r>
  <r>
    <n v="27"/>
    <n v="58"/>
    <x v="0"/>
    <x v="3"/>
    <x v="15"/>
    <n v="137.6"/>
    <x v="0"/>
    <x v="0"/>
    <n v="3.7"/>
    <n v="11"/>
    <n v="3"/>
    <n v="154.6067415730337"/>
    <n v="17.006741573033707"/>
    <x v="0"/>
    <m/>
  </r>
  <r>
    <n v="28"/>
    <n v="24"/>
    <x v="1"/>
    <x v="2"/>
    <x v="10"/>
    <n v="30.97"/>
    <x v="0"/>
    <x v="0"/>
    <n v="4.4000000000000004"/>
    <n v="20"/>
    <n v="10"/>
    <n v="38.712499999999999"/>
    <n v="7.7424999999999997"/>
    <x v="3"/>
    <m/>
  </r>
  <r>
    <n v="29"/>
    <n v="50"/>
    <x v="0"/>
    <x v="2"/>
    <x v="10"/>
    <n v="178.68"/>
    <x v="1"/>
    <x v="0"/>
    <n v="3.7"/>
    <n v="11"/>
    <n v="3"/>
    <n v="200.76404494382024"/>
    <n v="22.084044943820231"/>
    <x v="4"/>
    <m/>
  </r>
  <r>
    <n v="30"/>
    <n v="69"/>
    <x v="1"/>
    <x v="2"/>
    <x v="2"/>
    <n v="205.78"/>
    <x v="0"/>
    <x v="0"/>
    <n v="2.7"/>
    <n v="22"/>
    <n v="6"/>
    <n v="263.82051282051282"/>
    <n v="58.040512820512816"/>
    <x v="2"/>
    <m/>
  </r>
  <r>
    <n v="31"/>
    <n v="43"/>
    <x v="1"/>
    <x v="5"/>
    <x v="7"/>
    <n v="1572.49"/>
    <x v="0"/>
    <x v="0"/>
    <n v="3.5"/>
    <n v="14"/>
    <n v="7"/>
    <n v="1828.4767441860465"/>
    <n v="255.98674418604651"/>
    <x v="1"/>
    <m/>
  </r>
  <r>
    <n v="32"/>
    <n v="33"/>
    <x v="1"/>
    <x v="7"/>
    <x v="8"/>
    <n v="172.69"/>
    <x v="1"/>
    <x v="0"/>
    <n v="4.5999999999999996"/>
    <n v="19"/>
    <n v="7"/>
    <n v="213.19753086419752"/>
    <n v="40.50753086419752"/>
    <x v="5"/>
    <m/>
  </r>
  <r>
    <n v="33"/>
    <n v="58"/>
    <x v="0"/>
    <x v="6"/>
    <x v="6"/>
    <n v="135.4"/>
    <x v="1"/>
    <x v="0"/>
    <n v="3.7"/>
    <n v="9"/>
    <n v="2"/>
    <n v="148.79120879120879"/>
    <n v="13.391208791208783"/>
    <x v="0"/>
    <m/>
  </r>
  <r>
    <n v="34"/>
    <n v="26"/>
    <x v="0"/>
    <x v="8"/>
    <x v="18"/>
    <n v="169.72"/>
    <x v="0"/>
    <x v="0"/>
    <n v="3.8"/>
    <n v="14"/>
    <n v="2"/>
    <n v="197.34883720930233"/>
    <n v="27.628837209302333"/>
    <x v="5"/>
    <m/>
  </r>
  <r>
    <n v="35"/>
    <n v="67"/>
    <x v="1"/>
    <x v="2"/>
    <x v="2"/>
    <n v="238.13"/>
    <x v="2"/>
    <x v="0"/>
    <n v="3.3"/>
    <n v="17"/>
    <n v="6"/>
    <n v="286.90361445783134"/>
    <n v="48.773614457831343"/>
    <x v="2"/>
    <m/>
  </r>
  <r>
    <n v="36"/>
    <n v="32"/>
    <x v="0"/>
    <x v="8"/>
    <x v="14"/>
    <n v="50.2"/>
    <x v="2"/>
    <x v="1"/>
    <n v="2.4"/>
    <n v="12"/>
    <n v="6"/>
    <n v="57.045454545454547"/>
    <n v="6.8454545454545439"/>
    <x v="5"/>
    <m/>
  </r>
  <r>
    <n v="37"/>
    <n v="25"/>
    <x v="0"/>
    <x v="4"/>
    <x v="19"/>
    <n v="29.2"/>
    <x v="3"/>
    <x v="1"/>
    <n v="5"/>
    <n v="8"/>
    <n v="4"/>
    <n v="31.739130434782606"/>
    <n v="2.5391304347826065"/>
    <x v="5"/>
    <m/>
  </r>
  <r>
    <n v="38"/>
    <n v="50"/>
    <x v="1"/>
    <x v="1"/>
    <x v="20"/>
    <n v="183.2"/>
    <x v="0"/>
    <x v="0"/>
    <n v="3.9"/>
    <n v="8"/>
    <n v="4"/>
    <n v="199.13043478260869"/>
    <n v="15.9304347826087"/>
    <x v="4"/>
    <m/>
  </r>
  <r>
    <n v="39"/>
    <n v="47"/>
    <x v="0"/>
    <x v="8"/>
    <x v="14"/>
    <n v="129.22"/>
    <x v="2"/>
    <x v="0"/>
    <n v="3.7"/>
    <n v="14"/>
    <n v="7"/>
    <n v="150.25581395348837"/>
    <n v="21.035813953488372"/>
    <x v="4"/>
    <m/>
  </r>
  <r>
    <n v="40"/>
    <n v="66"/>
    <x v="1"/>
    <x v="2"/>
    <x v="10"/>
    <n v="219.86"/>
    <x v="1"/>
    <x v="0"/>
    <n v="4"/>
    <n v="2"/>
    <n v="1"/>
    <n v="224.34693877551021"/>
    <n v="4.4869387755101968"/>
    <x v="2"/>
    <m/>
  </r>
  <r>
    <n v="41"/>
    <n v="20"/>
    <x v="0"/>
    <x v="6"/>
    <x v="6"/>
    <n v="97.24"/>
    <x v="1"/>
    <x v="0"/>
    <n v="4.0999999999999996"/>
    <n v="19"/>
    <n v="7"/>
    <n v="120.04938271604937"/>
    <n v="22.80938271604937"/>
    <x v="3"/>
    <m/>
  </r>
  <r>
    <n v="42"/>
    <n v="22"/>
    <x v="1"/>
    <x v="5"/>
    <x v="21"/>
    <n v="2392.6999999999998"/>
    <x v="2"/>
    <x v="0"/>
    <n v="5"/>
    <n v="6"/>
    <n v="3"/>
    <n v="2545.4255319148938"/>
    <n v="152.72553191489396"/>
    <x v="3"/>
    <m/>
  </r>
  <r>
    <n v="43"/>
    <n v="23"/>
    <x v="0"/>
    <x v="7"/>
    <x v="8"/>
    <n v="115.21"/>
    <x v="3"/>
    <x v="0"/>
    <n v="4.2"/>
    <n v="19"/>
    <n v="7"/>
    <n v="142.23456790123456"/>
    <n v="27.024567901234562"/>
    <x v="3"/>
    <m/>
  </r>
  <r>
    <n v="44"/>
    <n v="66"/>
    <x v="1"/>
    <x v="5"/>
    <x v="5"/>
    <n v="2260.1999999999998"/>
    <x v="1"/>
    <x v="0"/>
    <n v="4.5999999999999996"/>
    <n v="9"/>
    <n v="2"/>
    <n v="2483.7362637362635"/>
    <n v="223.53626373626366"/>
    <x v="2"/>
    <m/>
  </r>
  <r>
    <n v="45"/>
    <n v="53"/>
    <x v="0"/>
    <x v="0"/>
    <x v="22"/>
    <n v="164.67"/>
    <x v="0"/>
    <x v="0"/>
    <n v="2.6"/>
    <n v="14"/>
    <n v="7"/>
    <n v="191.47674418604649"/>
    <n v="26.806744186046501"/>
    <x v="4"/>
    <m/>
  </r>
  <r>
    <n v="46"/>
    <n v="24"/>
    <x v="0"/>
    <x v="8"/>
    <x v="18"/>
    <n v="65.55"/>
    <x v="0"/>
    <x v="0"/>
    <n v="3.7"/>
    <n v="14"/>
    <n v="7"/>
    <n v="76.220930232558132"/>
    <n v="10.670930232558135"/>
    <x v="3"/>
    <m/>
  </r>
  <r>
    <n v="47"/>
    <n v="22"/>
    <x v="1"/>
    <x v="1"/>
    <x v="1"/>
    <n v="62.69"/>
    <x v="2"/>
    <x v="0"/>
    <n v="3.6"/>
    <n v="4"/>
    <n v="2"/>
    <n v="65.302083333333329"/>
    <n v="2.6120833333333309"/>
    <x v="3"/>
    <m/>
  </r>
  <r>
    <n v="48"/>
    <n v="31"/>
    <x v="0"/>
    <x v="6"/>
    <x v="23"/>
    <n v="62.91"/>
    <x v="0"/>
    <x v="0"/>
    <n v="3.5"/>
    <n v="18"/>
    <n v="4"/>
    <n v="76.719512195121936"/>
    <n v="13.80951219512194"/>
    <x v="5"/>
    <m/>
  </r>
  <r>
    <n v="49"/>
    <n v="36"/>
    <x v="0"/>
    <x v="7"/>
    <x v="13"/>
    <n v="165.43"/>
    <x v="3"/>
    <x v="0"/>
    <n v="4.5999999999999996"/>
    <n v="24"/>
    <n v="7"/>
    <n v="217.67105263157896"/>
    <n v="52.241052631578953"/>
    <x v="1"/>
    <m/>
  </r>
  <r>
    <n v="50"/>
    <n v="42"/>
    <x v="0"/>
    <x v="7"/>
    <x v="13"/>
    <n v="222.12"/>
    <x v="2"/>
    <x v="0"/>
    <n v="3.2"/>
    <n v="18"/>
    <n v="4"/>
    <n v="270.8780487804878"/>
    <n v="48.758048780487798"/>
    <x v="1"/>
    <m/>
  </r>
  <r>
    <n v="51"/>
    <n v="36"/>
    <x v="1"/>
    <x v="3"/>
    <x v="15"/>
    <n v="270.44"/>
    <x v="2"/>
    <x v="0"/>
    <n v="2.2999999999999998"/>
    <n v="12"/>
    <n v="6"/>
    <n v="307.31818181818181"/>
    <n v="36.878181818181815"/>
    <x v="1"/>
    <m/>
  </r>
  <r>
    <n v="52"/>
    <n v="25"/>
    <x v="0"/>
    <x v="8"/>
    <x v="16"/>
    <n v="90.54"/>
    <x v="0"/>
    <x v="1"/>
    <n v="4.5999999999999996"/>
    <n v="18"/>
    <n v="4"/>
    <n v="110.41463414634146"/>
    <n v="19.87463414634145"/>
    <x v="5"/>
    <m/>
  </r>
  <r>
    <n v="53"/>
    <n v="49"/>
    <x v="1"/>
    <x v="3"/>
    <x v="24"/>
    <n v="45.03"/>
    <x v="3"/>
    <x v="1"/>
    <n v="3.9"/>
    <n v="4"/>
    <n v="2"/>
    <n v="46.90625"/>
    <n v="1.8762499999999989"/>
    <x v="4"/>
    <m/>
  </r>
  <r>
    <n v="54"/>
    <n v="25"/>
    <x v="0"/>
    <x v="7"/>
    <x v="8"/>
    <n v="180.42"/>
    <x v="0"/>
    <x v="0"/>
    <n v="3.9"/>
    <n v="22"/>
    <n v="6"/>
    <n v="231.30769230769229"/>
    <n v="50.887692307692305"/>
    <x v="5"/>
    <m/>
  </r>
  <r>
    <n v="55"/>
    <n v="52"/>
    <x v="0"/>
    <x v="0"/>
    <x v="0"/>
    <n v="117.7"/>
    <x v="2"/>
    <x v="0"/>
    <n v="3.1"/>
    <n v="8"/>
    <n v="4"/>
    <n v="127.93478260869566"/>
    <n v="10.234782608695653"/>
    <x v="4"/>
    <m/>
  </r>
  <r>
    <n v="56"/>
    <n v="42"/>
    <x v="0"/>
    <x v="6"/>
    <x v="23"/>
    <n v="31.42"/>
    <x v="3"/>
    <x v="0"/>
    <n v="2"/>
    <n v="2"/>
    <n v="1"/>
    <n v="32.061224489795919"/>
    <n v="0.64122448979591695"/>
    <x v="1"/>
    <m/>
  </r>
  <r>
    <n v="57"/>
    <n v="43"/>
    <x v="0"/>
    <x v="8"/>
    <x v="16"/>
    <n v="188.02"/>
    <x v="0"/>
    <x v="0"/>
    <n v="4.2"/>
    <n v="17"/>
    <n v="6"/>
    <n v="226.53012048192772"/>
    <n v="38.510120481927714"/>
    <x v="1"/>
    <m/>
  </r>
  <r>
    <n v="58"/>
    <n v="49"/>
    <x v="1"/>
    <x v="4"/>
    <x v="4"/>
    <n v="54.89"/>
    <x v="3"/>
    <x v="0"/>
    <n v="4.4000000000000004"/>
    <n v="19"/>
    <n v="7"/>
    <n v="67.76543209876543"/>
    <n v="12.87543209876543"/>
    <x v="4"/>
    <m/>
  </r>
  <r>
    <n v="59"/>
    <n v="34"/>
    <x v="1"/>
    <x v="5"/>
    <x v="25"/>
    <n v="1459.73"/>
    <x v="1"/>
    <x v="0"/>
    <n v="4"/>
    <n v="24"/>
    <n v="7"/>
    <n v="1920.6973684210527"/>
    <n v="460.9673684210527"/>
    <x v="5"/>
    <m/>
  </r>
  <r>
    <n v="60"/>
    <n v="58"/>
    <x v="1"/>
    <x v="1"/>
    <x v="1"/>
    <n v="82.99"/>
    <x v="1"/>
    <x v="1"/>
    <n v="4.4000000000000004"/>
    <n v="9"/>
    <n v="2"/>
    <n v="91.19780219780219"/>
    <n v="8.2078021978021951"/>
    <x v="0"/>
    <m/>
  </r>
  <r>
    <n v="61"/>
    <n v="24"/>
    <x v="1"/>
    <x v="1"/>
    <x v="14"/>
    <n v="121.2"/>
    <x v="3"/>
    <x v="0"/>
    <n v="4.3"/>
    <n v="12"/>
    <n v="6"/>
    <n v="137.72727272727272"/>
    <n v="16.527272727272717"/>
    <x v="3"/>
    <m/>
  </r>
  <r>
    <n v="62"/>
    <n v="55"/>
    <x v="0"/>
    <x v="0"/>
    <x v="0"/>
    <n v="152.29"/>
    <x v="2"/>
    <x v="0"/>
    <n v="4.7"/>
    <n v="15"/>
    <n v="5"/>
    <n v="179.16470588235293"/>
    <n v="26.874705882352941"/>
    <x v="0"/>
    <m/>
  </r>
  <r>
    <n v="63"/>
    <n v="59"/>
    <x v="0"/>
    <x v="4"/>
    <x v="4"/>
    <n v="59.46"/>
    <x v="2"/>
    <x v="1"/>
    <n v="4"/>
    <n v="18"/>
    <n v="4"/>
    <n v="72.512195121951208"/>
    <n v="13.052195121951208"/>
    <x v="0"/>
    <m/>
  </r>
  <r>
    <n v="64"/>
    <n v="70"/>
    <x v="1"/>
    <x v="4"/>
    <x v="26"/>
    <n v="73.3"/>
    <x v="2"/>
    <x v="0"/>
    <n v="2.9"/>
    <n v="9"/>
    <n v="2"/>
    <n v="80.54945054945054"/>
    <n v="7.2494505494505432"/>
    <x v="2"/>
    <m/>
  </r>
  <r>
    <n v="65"/>
    <n v="20"/>
    <x v="1"/>
    <x v="7"/>
    <x v="11"/>
    <n v="123.79"/>
    <x v="1"/>
    <x v="0"/>
    <n v="3.5"/>
    <n v="6"/>
    <n v="3"/>
    <n v="131.69148936170214"/>
    <n v="7.9014893617021329"/>
    <x v="3"/>
    <m/>
  </r>
  <r>
    <n v="66"/>
    <n v="30"/>
    <x v="0"/>
    <x v="8"/>
    <x v="16"/>
    <n v="155.38"/>
    <x v="3"/>
    <x v="0"/>
    <n v="3"/>
    <n v="6"/>
    <n v="3"/>
    <n v="165.29787234042553"/>
    <n v="9.9178723404255322"/>
    <x v="5"/>
    <m/>
  </r>
  <r>
    <n v="67"/>
    <n v="25"/>
    <x v="1"/>
    <x v="5"/>
    <x v="21"/>
    <n v="1951.47"/>
    <x v="0"/>
    <x v="0"/>
    <n v="3.8"/>
    <n v="14"/>
    <n v="2"/>
    <n v="2269.1511627906975"/>
    <n v="317.6811627906975"/>
    <x v="5"/>
    <m/>
  </r>
  <r>
    <n v="68"/>
    <n v="41"/>
    <x v="0"/>
    <x v="7"/>
    <x v="13"/>
    <n v="102.92"/>
    <x v="1"/>
    <x v="0"/>
    <n v="4"/>
    <n v="12"/>
    <n v="6"/>
    <n v="116.95454545454545"/>
    <n v="14.034545454545452"/>
    <x v="1"/>
    <m/>
  </r>
  <r>
    <n v="69"/>
    <n v="35"/>
    <x v="0"/>
    <x v="6"/>
    <x v="23"/>
    <n v="112.83"/>
    <x v="1"/>
    <x v="0"/>
    <n v="3.8"/>
    <n v="10"/>
    <n v="5"/>
    <n v="125.36666666666666"/>
    <n v="12.536666666666662"/>
    <x v="1"/>
    <m/>
  </r>
  <r>
    <n v="70"/>
    <n v="29"/>
    <x v="1"/>
    <x v="2"/>
    <x v="2"/>
    <n v="30.71"/>
    <x v="0"/>
    <x v="0"/>
    <n v="3.7"/>
    <n v="16"/>
    <n v="3"/>
    <n v="36.55952380952381"/>
    <n v="5.8495238095238093"/>
    <x v="5"/>
    <m/>
  </r>
  <r>
    <n v="71"/>
    <n v="42"/>
    <x v="1"/>
    <x v="2"/>
    <x v="10"/>
    <n v="101.34"/>
    <x v="1"/>
    <x v="0"/>
    <n v="3"/>
    <n v="32"/>
    <n v="11"/>
    <n v="149.02941176470591"/>
    <n v="47.689411764705909"/>
    <x v="1"/>
    <m/>
  </r>
  <r>
    <n v="72"/>
    <n v="20"/>
    <x v="1"/>
    <x v="7"/>
    <x v="8"/>
    <n v="213.27"/>
    <x v="2"/>
    <x v="0"/>
    <n v="5"/>
    <n v="11"/>
    <n v="3"/>
    <n v="239.62921348314609"/>
    <n v="26.359213483146078"/>
    <x v="3"/>
    <m/>
  </r>
  <r>
    <n v="73"/>
    <n v="53"/>
    <x v="1"/>
    <x v="2"/>
    <x v="10"/>
    <n v="196.81"/>
    <x v="2"/>
    <x v="0"/>
    <n v="4.4000000000000004"/>
    <n v="17"/>
    <n v="6"/>
    <n v="237.12048192771087"/>
    <n v="40.310481927710867"/>
    <x v="4"/>
    <m/>
  </r>
  <r>
    <n v="74"/>
    <n v="58"/>
    <x v="1"/>
    <x v="2"/>
    <x v="10"/>
    <n v="246.49"/>
    <x v="0"/>
    <x v="0"/>
    <n v="4.5"/>
    <n v="11"/>
    <n v="3"/>
    <n v="276.95505617977528"/>
    <n v="30.465056179775274"/>
    <x v="0"/>
    <m/>
  </r>
  <r>
    <n v="75"/>
    <n v="40"/>
    <x v="0"/>
    <x v="8"/>
    <x v="17"/>
    <n v="124.21"/>
    <x v="3"/>
    <x v="0"/>
    <n v="3"/>
    <n v="6"/>
    <n v="3"/>
    <n v="132.13829787234042"/>
    <n v="7.9282978723404227"/>
    <x v="1"/>
    <m/>
  </r>
  <r>
    <n v="76"/>
    <n v="59"/>
    <x v="0"/>
    <x v="6"/>
    <x v="27"/>
    <n v="42.8"/>
    <x v="2"/>
    <x v="0"/>
    <n v="3.1"/>
    <n v="13"/>
    <n v="4"/>
    <n v="49.195402298850574"/>
    <n v="6.395402298850577"/>
    <x v="0"/>
    <m/>
  </r>
  <r>
    <n v="77"/>
    <n v="70"/>
    <x v="1"/>
    <x v="1"/>
    <x v="1"/>
    <n v="96.18"/>
    <x v="0"/>
    <x v="0"/>
    <n v="2.7"/>
    <n v="20"/>
    <n v="5"/>
    <n v="120.22500000000001"/>
    <n v="24.045000000000002"/>
    <x v="2"/>
    <m/>
  </r>
  <r>
    <n v="78"/>
    <n v="38"/>
    <x v="1"/>
    <x v="5"/>
    <x v="5"/>
    <n v="2888.09"/>
    <x v="2"/>
    <x v="0"/>
    <n v="3.6"/>
    <n v="8"/>
    <n v="4"/>
    <n v="3139.228260869565"/>
    <n v="251.13826086956487"/>
    <x v="1"/>
    <m/>
  </r>
  <r>
    <n v="79"/>
    <n v="62"/>
    <x v="0"/>
    <x v="0"/>
    <x v="22"/>
    <n v="151.06"/>
    <x v="0"/>
    <x v="0"/>
    <n v="4.0999999999999996"/>
    <n v="20"/>
    <n v="5"/>
    <n v="188.82499999999999"/>
    <n v="37.764999999999986"/>
    <x v="0"/>
    <m/>
  </r>
  <r>
    <n v="80"/>
    <n v="35"/>
    <x v="0"/>
    <x v="0"/>
    <x v="0"/>
    <n v="141.44999999999999"/>
    <x v="0"/>
    <x v="0"/>
    <n v="5"/>
    <n v="19"/>
    <n v="7"/>
    <n v="174.62962962962959"/>
    <n v="33.179629629629602"/>
    <x v="1"/>
    <m/>
  </r>
  <r>
    <n v="81"/>
    <n v="26"/>
    <x v="1"/>
    <x v="4"/>
    <x v="26"/>
    <n v="73.66"/>
    <x v="1"/>
    <x v="0"/>
    <n v="4.7"/>
    <n v="11"/>
    <n v="3"/>
    <n v="82.764044943820224"/>
    <n v="9.1040449438202273"/>
    <x v="5"/>
    <m/>
  </r>
  <r>
    <n v="82"/>
    <n v="58"/>
    <x v="1"/>
    <x v="1"/>
    <x v="20"/>
    <n v="36.29"/>
    <x v="0"/>
    <x v="0"/>
    <n v="3.4"/>
    <n v="6"/>
    <n v="3"/>
    <n v="38.606382978723403"/>
    <n v="2.3163829787234036"/>
    <x v="0"/>
    <m/>
  </r>
  <r>
    <n v="83"/>
    <n v="45"/>
    <x v="1"/>
    <x v="7"/>
    <x v="11"/>
    <n v="208.84"/>
    <x v="3"/>
    <x v="0"/>
    <n v="4.4000000000000004"/>
    <n v="18"/>
    <n v="9"/>
    <n v="254.68292682926827"/>
    <n v="45.842926829268265"/>
    <x v="4"/>
    <m/>
  </r>
  <r>
    <n v="84"/>
    <n v="58"/>
    <x v="0"/>
    <x v="8"/>
    <x v="18"/>
    <n v="98.33"/>
    <x v="1"/>
    <x v="0"/>
    <n v="4.0999999999999996"/>
    <n v="26"/>
    <n v="8"/>
    <n v="132.87837837837839"/>
    <n v="34.548378378378388"/>
    <x v="0"/>
    <m/>
  </r>
  <r>
    <n v="85"/>
    <n v="49"/>
    <x v="0"/>
    <x v="8"/>
    <x v="18"/>
    <n v="37.159999999999997"/>
    <x v="3"/>
    <x v="1"/>
    <n v="3.7"/>
    <n v="16"/>
    <n v="3"/>
    <n v="44.238095238095234"/>
    <n v="7.0780952380952371"/>
    <x v="4"/>
    <m/>
  </r>
  <r>
    <n v="86"/>
    <n v="65"/>
    <x v="0"/>
    <x v="6"/>
    <x v="23"/>
    <n v="41.71"/>
    <x v="2"/>
    <x v="0"/>
    <n v="3.3"/>
    <n v="19"/>
    <n v="7"/>
    <n v="51.493827160493822"/>
    <n v="9.7838271604938214"/>
    <x v="2"/>
    <m/>
  </r>
  <r>
    <n v="87"/>
    <n v="22"/>
    <x v="0"/>
    <x v="6"/>
    <x v="23"/>
    <n v="145.97999999999999"/>
    <x v="3"/>
    <x v="0"/>
    <n v="3.5"/>
    <n v="24"/>
    <n v="7"/>
    <n v="192.07894736842104"/>
    <n v="46.098947368421051"/>
    <x v="3"/>
    <m/>
  </r>
  <r>
    <n v="88"/>
    <n v="44"/>
    <x v="1"/>
    <x v="5"/>
    <x v="5"/>
    <n v="1643.58"/>
    <x v="0"/>
    <x v="0"/>
    <n v="3.2"/>
    <n v="11"/>
    <n v="3"/>
    <n v="1846.7191011235955"/>
    <n v="203.13910112359554"/>
    <x v="1"/>
    <m/>
  </r>
  <r>
    <n v="89"/>
    <n v="61"/>
    <x v="1"/>
    <x v="5"/>
    <x v="21"/>
    <n v="2338.0300000000002"/>
    <x v="1"/>
    <x v="0"/>
    <n v="3.8"/>
    <n v="14"/>
    <n v="2"/>
    <n v="2718.6395348837214"/>
    <n v="380.60953488372115"/>
    <x v="0"/>
    <m/>
  </r>
  <r>
    <n v="90"/>
    <n v="56"/>
    <x v="0"/>
    <x v="4"/>
    <x v="19"/>
    <n v="68.84"/>
    <x v="3"/>
    <x v="1"/>
    <n v="5"/>
    <n v="19"/>
    <n v="7"/>
    <n v="84.987654320987659"/>
    <n v="16.147654320987655"/>
    <x v="0"/>
    <m/>
  </r>
  <r>
    <n v="91"/>
    <n v="35"/>
    <x v="0"/>
    <x v="0"/>
    <x v="22"/>
    <n v="45.66"/>
    <x v="1"/>
    <x v="1"/>
    <n v="4.5999999999999996"/>
    <n v="18"/>
    <n v="4"/>
    <n v="55.682926829268283"/>
    <n v="10.022926829268286"/>
    <x v="1"/>
    <m/>
  </r>
  <r>
    <n v="92"/>
    <n v="51"/>
    <x v="1"/>
    <x v="7"/>
    <x v="11"/>
    <n v="40.24"/>
    <x v="2"/>
    <x v="0"/>
    <n v="3.8"/>
    <n v="18"/>
    <n v="4"/>
    <n v="49.073170731707314"/>
    <n v="8.8331707317073125"/>
    <x v="4"/>
    <m/>
  </r>
  <r>
    <n v="93"/>
    <n v="36"/>
    <x v="0"/>
    <x v="7"/>
    <x v="13"/>
    <n v="203.77"/>
    <x v="1"/>
    <x v="0"/>
    <n v="4.4000000000000004"/>
    <n v="19"/>
    <n v="7"/>
    <n v="251.5679012345679"/>
    <n v="47.797901234567888"/>
    <x v="1"/>
    <m/>
  </r>
  <r>
    <n v="94"/>
    <n v="20"/>
    <x v="0"/>
    <x v="0"/>
    <x v="28"/>
    <n v="159.44999999999999"/>
    <x v="2"/>
    <x v="0"/>
    <n v="4.5999999999999996"/>
    <n v="20"/>
    <n v="5"/>
    <n v="199.31249999999997"/>
    <n v="39.862499999999983"/>
    <x v="3"/>
    <m/>
  </r>
  <r>
    <n v="95"/>
    <n v="25"/>
    <x v="1"/>
    <x v="7"/>
    <x v="11"/>
    <n v="183.49"/>
    <x v="0"/>
    <x v="0"/>
    <n v="3.5"/>
    <n v="20"/>
    <n v="5"/>
    <n v="229.36250000000001"/>
    <n v="45.872500000000002"/>
    <x v="5"/>
    <m/>
  </r>
  <r>
    <n v="96"/>
    <n v="21"/>
    <x v="1"/>
    <x v="1"/>
    <x v="20"/>
    <n v="76.45"/>
    <x v="3"/>
    <x v="0"/>
    <n v="4.4000000000000004"/>
    <n v="12"/>
    <n v="6"/>
    <n v="86.875"/>
    <n v="10.424999999999997"/>
    <x v="3"/>
    <m/>
  </r>
  <r>
    <n v="97"/>
    <n v="20"/>
    <x v="0"/>
    <x v="0"/>
    <x v="28"/>
    <n v="54.1"/>
    <x v="3"/>
    <x v="0"/>
    <n v="4.0999999999999996"/>
    <n v="16"/>
    <n v="3"/>
    <n v="64.404761904761912"/>
    <n v="10.304761904761911"/>
    <x v="3"/>
    <m/>
  </r>
  <r>
    <n v="98"/>
    <n v="65"/>
    <x v="0"/>
    <x v="0"/>
    <x v="0"/>
    <n v="41"/>
    <x v="0"/>
    <x v="1"/>
    <n v="4"/>
    <n v="10"/>
    <n v="5"/>
    <n v="45.555555555555557"/>
    <n v="4.5555555555555571"/>
    <x v="2"/>
    <m/>
  </r>
  <r>
    <n v="99"/>
    <n v="39"/>
    <x v="0"/>
    <x v="7"/>
    <x v="13"/>
    <n v="73.77"/>
    <x v="1"/>
    <x v="0"/>
    <n v="3.5"/>
    <n v="17"/>
    <n v="6"/>
    <n v="88.879518072289159"/>
    <n v="15.109518072289163"/>
    <x v="1"/>
    <m/>
  </r>
  <r>
    <n v="100"/>
    <n v="51"/>
    <x v="1"/>
    <x v="5"/>
    <x v="7"/>
    <n v="2449.63"/>
    <x v="0"/>
    <x v="0"/>
    <n v="1.9"/>
    <n v="4"/>
    <n v="2"/>
    <n v="2551.697916666667"/>
    <n v="102.06791666666686"/>
    <x v="4"/>
    <m/>
  </r>
  <r>
    <n v="101"/>
    <n v="65"/>
    <x v="0"/>
    <x v="3"/>
    <x v="3"/>
    <n v="86.79"/>
    <x v="1"/>
    <x v="1"/>
    <n v="3.6"/>
    <n v="12"/>
    <n v="6"/>
    <n v="98.625"/>
    <n v="11.834999999999994"/>
    <x v="2"/>
    <m/>
  </r>
  <r>
    <n v="102"/>
    <n v="58"/>
    <x v="0"/>
    <x v="8"/>
    <x v="16"/>
    <n v="64.03"/>
    <x v="3"/>
    <x v="0"/>
    <n v="3.2"/>
    <n v="13"/>
    <n v="4"/>
    <n v="73.597701149425291"/>
    <n v="9.5677011494252895"/>
    <x v="0"/>
    <m/>
  </r>
  <r>
    <n v="103"/>
    <n v="50"/>
    <x v="0"/>
    <x v="7"/>
    <x v="8"/>
    <n v="171.31"/>
    <x v="0"/>
    <x v="0"/>
    <n v="5"/>
    <n v="21"/>
    <n v="8"/>
    <n v="216.84810126582278"/>
    <n v="45.538101265822775"/>
    <x v="4"/>
    <m/>
  </r>
  <r>
    <n v="104"/>
    <n v="42"/>
    <x v="0"/>
    <x v="4"/>
    <x v="4"/>
    <n v="21.44"/>
    <x v="0"/>
    <x v="0"/>
    <n v="3.6"/>
    <n v="19"/>
    <n v="7"/>
    <n v="26.469135802469136"/>
    <n v="5.0291358024691348"/>
    <x v="1"/>
    <m/>
  </r>
  <r>
    <n v="105"/>
    <n v="60"/>
    <x v="1"/>
    <x v="1"/>
    <x v="20"/>
    <n v="145.63999999999999"/>
    <x v="2"/>
    <x v="0"/>
    <n v="3.3"/>
    <n v="2"/>
    <n v="1"/>
    <n v="148.61224489795919"/>
    <n v="2.9722448979592002"/>
    <x v="0"/>
    <m/>
  </r>
  <r>
    <n v="106"/>
    <n v="50"/>
    <x v="0"/>
    <x v="7"/>
    <x v="13"/>
    <n v="112.65"/>
    <x v="1"/>
    <x v="0"/>
    <n v="3.9"/>
    <n v="10"/>
    <n v="5"/>
    <n v="125.16666666666667"/>
    <n v="12.516666666666666"/>
    <x v="4"/>
    <m/>
  </r>
  <r>
    <n v="107"/>
    <n v="55"/>
    <x v="0"/>
    <x v="7"/>
    <x v="8"/>
    <n v="177.55"/>
    <x v="3"/>
    <x v="0"/>
    <n v="4.2"/>
    <n v="17"/>
    <n v="6"/>
    <n v="213.91566265060243"/>
    <n v="36.365662650602417"/>
    <x v="0"/>
    <m/>
  </r>
  <r>
    <n v="108"/>
    <n v="61"/>
    <x v="0"/>
    <x v="8"/>
    <x v="16"/>
    <n v="100.22"/>
    <x v="3"/>
    <x v="0"/>
    <n v="3.8"/>
    <n v="4"/>
    <n v="2"/>
    <n v="104.39583333333334"/>
    <n v="4.1758333333333439"/>
    <x v="0"/>
    <m/>
  </r>
  <r>
    <n v="109"/>
    <n v="33"/>
    <x v="0"/>
    <x v="7"/>
    <x v="8"/>
    <n v="60"/>
    <x v="3"/>
    <x v="0"/>
    <n v="3.3"/>
    <n v="8"/>
    <n v="4"/>
    <n v="65.217391304347828"/>
    <n v="5.2173913043478279"/>
    <x v="5"/>
    <m/>
  </r>
  <r>
    <n v="110"/>
    <n v="66"/>
    <x v="1"/>
    <x v="7"/>
    <x v="8"/>
    <n v="75.650000000000006"/>
    <x v="2"/>
    <x v="0"/>
    <n v="4"/>
    <n v="14"/>
    <n v="7"/>
    <n v="87.965116279069775"/>
    <n v="12.31511627906977"/>
    <x v="2"/>
    <m/>
  </r>
  <r>
    <n v="111"/>
    <n v="66"/>
    <x v="1"/>
    <x v="5"/>
    <x v="21"/>
    <n v="2263.46"/>
    <x v="0"/>
    <x v="0"/>
    <n v="3.8"/>
    <n v="13"/>
    <n v="4"/>
    <n v="2601.6781609195405"/>
    <n v="338.21816091954042"/>
    <x v="2"/>
    <m/>
  </r>
  <r>
    <n v="112"/>
    <n v="45"/>
    <x v="1"/>
    <x v="7"/>
    <x v="8"/>
    <n v="77.8"/>
    <x v="2"/>
    <x v="1"/>
    <n v="3.2"/>
    <n v="9"/>
    <n v="2"/>
    <n v="85.494505494505489"/>
    <n v="7.694505494505492"/>
    <x v="4"/>
    <m/>
  </r>
  <r>
    <n v="113"/>
    <n v="69"/>
    <x v="0"/>
    <x v="8"/>
    <x v="17"/>
    <n v="84.93"/>
    <x v="0"/>
    <x v="1"/>
    <n v="4.5999999999999996"/>
    <n v="17"/>
    <n v="6"/>
    <n v="102.3253012048193"/>
    <n v="17.39530120481929"/>
    <x v="2"/>
    <m/>
  </r>
  <r>
    <n v="114"/>
    <n v="27"/>
    <x v="0"/>
    <x v="2"/>
    <x v="2"/>
    <n v="124.84"/>
    <x v="1"/>
    <x v="0"/>
    <n v="3.2"/>
    <n v="20"/>
    <n v="10"/>
    <n v="156.04999999999998"/>
    <n v="31.20999999999998"/>
    <x v="5"/>
    <m/>
  </r>
  <r>
    <n v="115"/>
    <n v="23"/>
    <x v="1"/>
    <x v="7"/>
    <x v="8"/>
    <n v="122.71"/>
    <x v="3"/>
    <x v="0"/>
    <n v="3.4"/>
    <n v="8"/>
    <n v="4"/>
    <n v="133.38043478260869"/>
    <n v="10.670434782608694"/>
    <x v="3"/>
    <m/>
  </r>
  <r>
    <n v="116"/>
    <n v="60"/>
    <x v="1"/>
    <x v="5"/>
    <x v="5"/>
    <n v="1317.58"/>
    <x v="2"/>
    <x v="0"/>
    <n v="4.2"/>
    <n v="26"/>
    <n v="8"/>
    <n v="1780.5135135135135"/>
    <n v="462.93351351351362"/>
    <x v="0"/>
    <m/>
  </r>
  <r>
    <n v="117"/>
    <n v="31"/>
    <x v="0"/>
    <x v="6"/>
    <x v="6"/>
    <n v="70.510000000000005"/>
    <x v="1"/>
    <x v="1"/>
    <n v="4.2"/>
    <n v="18"/>
    <n v="4"/>
    <n v="85.987804878048777"/>
    <n v="15.477804878048772"/>
    <x v="5"/>
    <m/>
  </r>
  <r>
    <n v="118"/>
    <n v="28"/>
    <x v="1"/>
    <x v="2"/>
    <x v="10"/>
    <n v="132.82"/>
    <x v="0"/>
    <x v="0"/>
    <n v="2.9"/>
    <n v="9"/>
    <n v="2"/>
    <n v="145.95604395604394"/>
    <n v="13.136043956043949"/>
    <x v="5"/>
    <m/>
  </r>
  <r>
    <n v="119"/>
    <n v="56"/>
    <x v="1"/>
    <x v="7"/>
    <x v="11"/>
    <n v="200.63"/>
    <x v="3"/>
    <x v="0"/>
    <n v="4"/>
    <n v="18"/>
    <n v="4"/>
    <n v="244.67073170731706"/>
    <n v="44.040731707317065"/>
    <x v="0"/>
    <m/>
  </r>
  <r>
    <n v="120"/>
    <n v="34"/>
    <x v="0"/>
    <x v="8"/>
    <x v="16"/>
    <n v="47.24"/>
    <x v="1"/>
    <x v="1"/>
    <n v="4.0999999999999996"/>
    <n v="15"/>
    <n v="5"/>
    <n v="55.576470588235296"/>
    <n v="8.3364705882352936"/>
    <x v="5"/>
    <m/>
  </r>
  <r>
    <n v="121"/>
    <n v="37"/>
    <x v="0"/>
    <x v="7"/>
    <x v="8"/>
    <n v="65.599999999999994"/>
    <x v="2"/>
    <x v="1"/>
    <n v="3.2"/>
    <n v="15"/>
    <n v="5"/>
    <n v="77.17647058823529"/>
    <n v="11.576470588235296"/>
    <x v="1"/>
    <m/>
  </r>
  <r>
    <n v="122"/>
    <n v="63"/>
    <x v="0"/>
    <x v="0"/>
    <x v="22"/>
    <n v="20.41"/>
    <x v="0"/>
    <x v="1"/>
    <n v="3.7"/>
    <n v="17"/>
    <n v="6"/>
    <n v="24.590361445783135"/>
    <n v="4.1803614457831344"/>
    <x v="0"/>
    <m/>
  </r>
  <r>
    <n v="123"/>
    <n v="35"/>
    <x v="1"/>
    <x v="5"/>
    <x v="7"/>
    <n v="1187.02"/>
    <x v="0"/>
    <x v="0"/>
    <n v="3.5"/>
    <n v="15"/>
    <n v="5"/>
    <n v="1396.4941176470588"/>
    <n v="209.47411764705885"/>
    <x v="1"/>
    <m/>
  </r>
  <r>
    <n v="124"/>
    <n v="53"/>
    <x v="1"/>
    <x v="5"/>
    <x v="5"/>
    <n v="559.1"/>
    <x v="0"/>
    <x v="0"/>
    <n v="3.4"/>
    <n v="17"/>
    <n v="6"/>
    <n v="673.61445783132535"/>
    <n v="114.51445783132533"/>
    <x v="4"/>
    <m/>
  </r>
  <r>
    <n v="125"/>
    <n v="54"/>
    <x v="1"/>
    <x v="7"/>
    <x v="8"/>
    <n v="129.91999999999999"/>
    <x v="2"/>
    <x v="0"/>
    <n v="4.2"/>
    <n v="13"/>
    <n v="4"/>
    <n v="149.33333333333331"/>
    <n v="19.413333333333327"/>
    <x v="4"/>
    <m/>
  </r>
  <r>
    <n v="126"/>
    <n v="65"/>
    <x v="0"/>
    <x v="4"/>
    <x v="29"/>
    <n v="19.39"/>
    <x v="1"/>
    <x v="1"/>
    <n v="3.4"/>
    <n v="6"/>
    <n v="3"/>
    <n v="20.627659574468087"/>
    <n v="1.2376595744680863"/>
    <x v="2"/>
    <m/>
  </r>
  <r>
    <n v="127"/>
    <n v="24"/>
    <x v="0"/>
    <x v="6"/>
    <x v="23"/>
    <n v="97.07"/>
    <x v="0"/>
    <x v="1"/>
    <n v="2.4"/>
    <n v="13"/>
    <n v="4"/>
    <n v="111.57471264367815"/>
    <n v="14.504712643678161"/>
    <x v="3"/>
    <m/>
  </r>
  <r>
    <n v="128"/>
    <n v="55"/>
    <x v="1"/>
    <x v="2"/>
    <x v="12"/>
    <n v="70.209999999999994"/>
    <x v="1"/>
    <x v="1"/>
    <n v="3.4"/>
    <n v="18"/>
    <n v="4"/>
    <n v="85.621951219512184"/>
    <n v="15.41195121951219"/>
    <x v="0"/>
    <m/>
  </r>
  <r>
    <n v="129"/>
    <n v="64"/>
    <x v="1"/>
    <x v="2"/>
    <x v="10"/>
    <n v="248.31"/>
    <x v="2"/>
    <x v="0"/>
    <n v="3.7"/>
    <n v="19"/>
    <n v="7"/>
    <n v="306.55555555555554"/>
    <n v="58.245555555555541"/>
    <x v="0"/>
    <m/>
  </r>
  <r>
    <n v="130"/>
    <n v="21"/>
    <x v="1"/>
    <x v="2"/>
    <x v="2"/>
    <n v="149.61000000000001"/>
    <x v="0"/>
    <x v="0"/>
    <n v="3.6"/>
    <n v="21"/>
    <n v="8"/>
    <n v="189.37974683544306"/>
    <n v="39.769746835443044"/>
    <x v="3"/>
    <m/>
  </r>
  <r>
    <n v="131"/>
    <n v="66"/>
    <x v="1"/>
    <x v="3"/>
    <x v="15"/>
    <n v="132.77000000000001"/>
    <x v="1"/>
    <x v="0"/>
    <n v="3.5"/>
    <n v="17"/>
    <n v="6"/>
    <n v="159.96385542168676"/>
    <n v="27.193855421686749"/>
    <x v="2"/>
    <m/>
  </r>
  <r>
    <n v="132"/>
    <n v="39"/>
    <x v="0"/>
    <x v="6"/>
    <x v="23"/>
    <n v="37.229999999999997"/>
    <x v="2"/>
    <x v="0"/>
    <n v="3.4"/>
    <n v="14"/>
    <n v="7"/>
    <n v="43.290697674418603"/>
    <n v="6.0606976744186056"/>
    <x v="1"/>
    <m/>
  </r>
  <r>
    <n v="133"/>
    <n v="53"/>
    <x v="0"/>
    <x v="7"/>
    <x v="13"/>
    <n v="88.84"/>
    <x v="3"/>
    <x v="1"/>
    <n v="1.8"/>
    <n v="16"/>
    <n v="3"/>
    <n v="105.76190476190477"/>
    <n v="16.92190476190477"/>
    <x v="4"/>
    <m/>
  </r>
  <r>
    <n v="134"/>
    <n v="25"/>
    <x v="0"/>
    <x v="8"/>
    <x v="17"/>
    <n v="140.53"/>
    <x v="1"/>
    <x v="0"/>
    <n v="3.9"/>
    <n v="11"/>
    <n v="3"/>
    <n v="157.89887640449439"/>
    <n v="17.368876404494387"/>
    <x v="5"/>
    <m/>
  </r>
  <r>
    <n v="135"/>
    <n v="30"/>
    <x v="0"/>
    <x v="2"/>
    <x v="2"/>
    <n v="121.83"/>
    <x v="0"/>
    <x v="0"/>
    <n v="3.5"/>
    <n v="16"/>
    <n v="3"/>
    <n v="145.03571428571428"/>
    <n v="23.205714285714279"/>
    <x v="5"/>
    <m/>
  </r>
  <r>
    <n v="136"/>
    <n v="23"/>
    <x v="1"/>
    <x v="5"/>
    <x v="25"/>
    <n v="1052.01"/>
    <x v="0"/>
    <x v="0"/>
    <n v="4.0999999999999996"/>
    <n v="24"/>
    <n v="7"/>
    <n v="1384.2236842105262"/>
    <n v="332.21368421052625"/>
    <x v="3"/>
    <m/>
  </r>
  <r>
    <n v="137"/>
    <n v="41"/>
    <x v="0"/>
    <x v="4"/>
    <x v="26"/>
    <n v="77.290000000000006"/>
    <x v="2"/>
    <x v="0"/>
    <n v="3.9"/>
    <n v="18"/>
    <n v="4"/>
    <n v="94.256097560975604"/>
    <n v="16.966097560975598"/>
    <x v="1"/>
    <m/>
  </r>
  <r>
    <n v="138"/>
    <n v="40"/>
    <x v="0"/>
    <x v="6"/>
    <x v="27"/>
    <n v="124.2"/>
    <x v="1"/>
    <x v="0"/>
    <n v="3.1"/>
    <n v="17"/>
    <n v="6"/>
    <n v="149.63855421686748"/>
    <n v="25.438554216867473"/>
    <x v="1"/>
    <m/>
  </r>
  <r>
    <n v="139"/>
    <n v="23"/>
    <x v="0"/>
    <x v="7"/>
    <x v="8"/>
    <n v="139.96"/>
    <x v="0"/>
    <x v="0"/>
    <n v="4.0999999999999996"/>
    <n v="18"/>
    <n v="9"/>
    <n v="170.6829268292683"/>
    <n v="30.722926829268289"/>
    <x v="3"/>
    <m/>
  </r>
  <r>
    <n v="140"/>
    <n v="59"/>
    <x v="1"/>
    <x v="7"/>
    <x v="8"/>
    <n v="121.13"/>
    <x v="3"/>
    <x v="0"/>
    <n v="3.6"/>
    <n v="10"/>
    <n v="5"/>
    <n v="134.58888888888887"/>
    <n v="13.458888888888879"/>
    <x v="0"/>
    <m/>
  </r>
  <r>
    <n v="141"/>
    <n v="56"/>
    <x v="0"/>
    <x v="4"/>
    <x v="4"/>
    <n v="58.72"/>
    <x v="0"/>
    <x v="0"/>
    <n v="2.6"/>
    <n v="2"/>
    <n v="1"/>
    <n v="59.918367346938773"/>
    <n v="1.1983673469387739"/>
    <x v="0"/>
    <m/>
  </r>
  <r>
    <n v="142"/>
    <n v="34"/>
    <x v="1"/>
    <x v="2"/>
    <x v="12"/>
    <n v="64.17"/>
    <x v="0"/>
    <x v="0"/>
    <n v="3"/>
    <n v="8"/>
    <n v="4"/>
    <n v="69.75"/>
    <n v="5.5799999999999983"/>
    <x v="5"/>
    <m/>
  </r>
  <r>
    <n v="143"/>
    <n v="59"/>
    <x v="1"/>
    <x v="7"/>
    <x v="8"/>
    <n v="42.19"/>
    <x v="1"/>
    <x v="1"/>
    <n v="3.2"/>
    <n v="4"/>
    <n v="2"/>
    <n v="43.947916666666664"/>
    <n v="1.7579166666666666"/>
    <x v="0"/>
    <m/>
  </r>
  <r>
    <n v="144"/>
    <n v="40"/>
    <x v="0"/>
    <x v="7"/>
    <x v="8"/>
    <n v="166.4"/>
    <x v="0"/>
    <x v="0"/>
    <n v="3.8"/>
    <n v="14"/>
    <n v="7"/>
    <n v="193.48837209302326"/>
    <n v="27.088372093023253"/>
    <x v="1"/>
    <m/>
  </r>
  <r>
    <n v="145"/>
    <n v="33"/>
    <x v="0"/>
    <x v="8"/>
    <x v="17"/>
    <n v="76.540000000000006"/>
    <x v="3"/>
    <x v="0"/>
    <n v="4.2"/>
    <n v="6"/>
    <n v="3"/>
    <n v="81.425531914893625"/>
    <n v="4.8855319148936189"/>
    <x v="5"/>
    <m/>
  </r>
  <r>
    <n v="146"/>
    <n v="68"/>
    <x v="0"/>
    <x v="8"/>
    <x v="18"/>
    <n v="158.36000000000001"/>
    <x v="1"/>
    <x v="0"/>
    <n v="3.6"/>
    <n v="23"/>
    <n v="9"/>
    <n v="205.66233766233768"/>
    <n v="47.302337662337663"/>
    <x v="2"/>
    <m/>
  </r>
  <r>
    <n v="147"/>
    <n v="48"/>
    <x v="1"/>
    <x v="7"/>
    <x v="8"/>
    <n v="84.84"/>
    <x v="3"/>
    <x v="0"/>
    <n v="4.7"/>
    <n v="26"/>
    <n v="8"/>
    <n v="114.64864864864866"/>
    <n v="29.808648648648656"/>
    <x v="4"/>
    <m/>
  </r>
  <r>
    <n v="148"/>
    <n v="27"/>
    <x v="0"/>
    <x v="7"/>
    <x v="13"/>
    <n v="195.76"/>
    <x v="3"/>
    <x v="0"/>
    <n v="4"/>
    <n v="17"/>
    <n v="6"/>
    <n v="235.85542168674698"/>
    <n v="40.095421686746988"/>
    <x v="5"/>
    <m/>
  </r>
  <r>
    <n v="149"/>
    <n v="46"/>
    <x v="1"/>
    <x v="2"/>
    <x v="2"/>
    <n v="146.21"/>
    <x v="3"/>
    <x v="0"/>
    <n v="3.6"/>
    <n v="8"/>
    <n v="4"/>
    <n v="158.92391304347825"/>
    <n v="12.713913043478243"/>
    <x v="4"/>
    <m/>
  </r>
  <r>
    <n v="150"/>
    <n v="35"/>
    <x v="1"/>
    <x v="1"/>
    <x v="9"/>
    <n v="115.35"/>
    <x v="2"/>
    <x v="0"/>
    <n v="4.0999999999999996"/>
    <n v="13"/>
    <n v="4"/>
    <n v="132.58620689655172"/>
    <n v="17.236206896551721"/>
    <x v="1"/>
    <m/>
  </r>
  <r>
    <n v="151"/>
    <n v="57"/>
    <x v="1"/>
    <x v="2"/>
    <x v="2"/>
    <n v="31.54"/>
    <x v="2"/>
    <x v="1"/>
    <n v="5"/>
    <n v="16"/>
    <n v="3"/>
    <n v="37.547619047619051"/>
    <n v="6.0076190476190519"/>
    <x v="0"/>
    <m/>
  </r>
  <r>
    <n v="152"/>
    <n v="35"/>
    <x v="0"/>
    <x v="7"/>
    <x v="8"/>
    <n v="142.19"/>
    <x v="1"/>
    <x v="0"/>
    <n v="3.6"/>
    <n v="16"/>
    <n v="3"/>
    <n v="169.27380952380952"/>
    <n v="27.083809523809521"/>
    <x v="1"/>
    <m/>
  </r>
  <r>
    <n v="153"/>
    <n v="38"/>
    <x v="0"/>
    <x v="7"/>
    <x v="8"/>
    <n v="246.21"/>
    <x v="0"/>
    <x v="0"/>
    <n v="3.1"/>
    <n v="8"/>
    <n v="4"/>
    <n v="267.61956521739131"/>
    <n v="21.409565217391304"/>
    <x v="1"/>
    <m/>
  </r>
  <r>
    <n v="154"/>
    <n v="68"/>
    <x v="1"/>
    <x v="7"/>
    <x v="11"/>
    <n v="194.06"/>
    <x v="1"/>
    <x v="0"/>
    <n v="3.8"/>
    <n v="18"/>
    <n v="4"/>
    <n v="236.65853658536585"/>
    <n v="42.598536585365849"/>
    <x v="2"/>
    <m/>
  </r>
  <r>
    <n v="155"/>
    <n v="66"/>
    <x v="0"/>
    <x v="0"/>
    <x v="0"/>
    <n v="172.05"/>
    <x v="2"/>
    <x v="0"/>
    <n v="2.5"/>
    <n v="17"/>
    <n v="6"/>
    <n v="207.28915662650604"/>
    <n v="35.239156626506031"/>
    <x v="2"/>
    <m/>
  </r>
  <r>
    <n v="156"/>
    <n v="38"/>
    <x v="0"/>
    <x v="8"/>
    <x v="16"/>
    <n v="94.08"/>
    <x v="3"/>
    <x v="1"/>
    <n v="4.0999999999999996"/>
    <n v="22"/>
    <n v="6"/>
    <n v="120.61538461538461"/>
    <n v="26.535384615384615"/>
    <x v="1"/>
    <m/>
  </r>
  <r>
    <n v="157"/>
    <n v="20"/>
    <x v="0"/>
    <x v="8"/>
    <x v="18"/>
    <n v="57.01"/>
    <x v="3"/>
    <x v="0"/>
    <n v="3.1"/>
    <n v="15"/>
    <n v="5"/>
    <n v="67.07058823529411"/>
    <n v="10.060588235294112"/>
    <x v="3"/>
    <m/>
  </r>
  <r>
    <n v="158"/>
    <n v="47"/>
    <x v="0"/>
    <x v="7"/>
    <x v="8"/>
    <n v="130.07"/>
    <x v="1"/>
    <x v="0"/>
    <n v="3.1"/>
    <n v="13"/>
    <n v="4"/>
    <n v="149.50574712643677"/>
    <n v="19.43574712643678"/>
    <x v="4"/>
    <m/>
  </r>
  <r>
    <n v="159"/>
    <n v="62"/>
    <x v="1"/>
    <x v="1"/>
    <x v="1"/>
    <n v="161.22"/>
    <x v="0"/>
    <x v="0"/>
    <n v="4.7"/>
    <n v="18"/>
    <n v="4"/>
    <n v="196.60975609756096"/>
    <n v="35.389756097560962"/>
    <x v="0"/>
    <m/>
  </r>
  <r>
    <n v="160"/>
    <n v="33"/>
    <x v="1"/>
    <x v="5"/>
    <x v="5"/>
    <n v="862.41"/>
    <x v="1"/>
    <x v="0"/>
    <n v="3.5"/>
    <n v="12"/>
    <n v="6"/>
    <n v="980.01136363636363"/>
    <n v="117.60136363636366"/>
    <x v="5"/>
    <m/>
  </r>
  <r>
    <n v="161"/>
    <n v="23"/>
    <x v="1"/>
    <x v="7"/>
    <x v="8"/>
    <n v="157.86000000000001"/>
    <x v="1"/>
    <x v="0"/>
    <n v="5"/>
    <n v="13"/>
    <n v="4"/>
    <n v="181.44827586206898"/>
    <n v="23.588275862068969"/>
    <x v="3"/>
    <m/>
  </r>
  <r>
    <n v="162"/>
    <n v="25"/>
    <x v="0"/>
    <x v="6"/>
    <x v="27"/>
    <n v="142.94"/>
    <x v="0"/>
    <x v="0"/>
    <n v="4.5"/>
    <n v="17"/>
    <n v="6"/>
    <n v="172.21686746987953"/>
    <n v="29.276867469879534"/>
    <x v="5"/>
    <m/>
  </r>
  <r>
    <n v="163"/>
    <n v="29"/>
    <x v="1"/>
    <x v="2"/>
    <x v="2"/>
    <n v="70.31"/>
    <x v="3"/>
    <x v="1"/>
    <n v="3"/>
    <n v="8"/>
    <n v="4"/>
    <n v="76.423913043478265"/>
    <n v="6.1139130434782629"/>
    <x v="5"/>
    <m/>
  </r>
  <r>
    <n v="164"/>
    <n v="60"/>
    <x v="0"/>
    <x v="8"/>
    <x v="18"/>
    <n v="34.619999999999997"/>
    <x v="3"/>
    <x v="0"/>
    <n v="4.2"/>
    <n v="20"/>
    <n v="5"/>
    <n v="43.274999999999991"/>
    <n v="8.654999999999994"/>
    <x v="0"/>
    <m/>
  </r>
  <r>
    <n v="165"/>
    <n v="69"/>
    <x v="1"/>
    <x v="7"/>
    <x v="11"/>
    <n v="82.79"/>
    <x v="3"/>
    <x v="1"/>
    <n v="5"/>
    <n v="21"/>
    <n v="8"/>
    <n v="104.79746835443038"/>
    <n v="22.007468354430372"/>
    <x v="2"/>
    <m/>
  </r>
  <r>
    <n v="166"/>
    <n v="35"/>
    <x v="1"/>
    <x v="7"/>
    <x v="8"/>
    <n v="75.459999999999994"/>
    <x v="0"/>
    <x v="0"/>
    <n v="2.5"/>
    <n v="16"/>
    <n v="3"/>
    <n v="89.833333333333329"/>
    <n v="14.373333333333335"/>
    <x v="1"/>
    <m/>
  </r>
  <r>
    <n v="167"/>
    <n v="49"/>
    <x v="0"/>
    <x v="0"/>
    <x v="0"/>
    <n v="148.58000000000001"/>
    <x v="3"/>
    <x v="0"/>
    <n v="4.3"/>
    <n v="26"/>
    <n v="8"/>
    <n v="200.7837837837838"/>
    <n v="52.203783783783791"/>
    <x v="4"/>
    <m/>
  </r>
  <r>
    <n v="168"/>
    <n v="52"/>
    <x v="0"/>
    <x v="8"/>
    <x v="17"/>
    <n v="43.5"/>
    <x v="0"/>
    <x v="1"/>
    <n v="3.4"/>
    <n v="24"/>
    <n v="7"/>
    <n v="57.236842105263158"/>
    <n v="13.736842105263158"/>
    <x v="4"/>
    <m/>
  </r>
  <r>
    <n v="169"/>
    <n v="28"/>
    <x v="1"/>
    <x v="1"/>
    <x v="20"/>
    <n v="179.57"/>
    <x v="2"/>
    <x v="0"/>
    <n v="3.2"/>
    <n v="6"/>
    <n v="3"/>
    <n v="191.03191489361703"/>
    <n v="11.461914893617035"/>
    <x v="5"/>
    <m/>
  </r>
  <r>
    <n v="170"/>
    <n v="70"/>
    <x v="1"/>
    <x v="2"/>
    <x v="2"/>
    <n v="122.99"/>
    <x v="0"/>
    <x v="0"/>
    <n v="3.4"/>
    <n v="10"/>
    <n v="5"/>
    <n v="136.65555555555554"/>
    <n v="13.665555555555542"/>
    <x v="2"/>
    <m/>
  </r>
  <r>
    <n v="171"/>
    <n v="53"/>
    <x v="0"/>
    <x v="7"/>
    <x v="11"/>
    <n v="76.73"/>
    <x v="0"/>
    <x v="1"/>
    <n v="5"/>
    <n v="24"/>
    <n v="7"/>
    <n v="100.96052631578948"/>
    <n v="24.230526315789476"/>
    <x v="4"/>
    <m/>
  </r>
  <r>
    <n v="172"/>
    <n v="36"/>
    <x v="1"/>
    <x v="2"/>
    <x v="2"/>
    <n v="227.24"/>
    <x v="3"/>
    <x v="0"/>
    <n v="3.4"/>
    <n v="14"/>
    <n v="2"/>
    <n v="264.23255813953489"/>
    <n v="36.992558139534879"/>
    <x v="1"/>
    <m/>
  </r>
  <r>
    <n v="173"/>
    <n v="53"/>
    <x v="0"/>
    <x v="8"/>
    <x v="14"/>
    <n v="94.87"/>
    <x v="2"/>
    <x v="1"/>
    <n v="3.6"/>
    <n v="13"/>
    <n v="4"/>
    <n v="109.04597701149426"/>
    <n v="14.175977011494254"/>
    <x v="4"/>
    <m/>
  </r>
  <r>
    <n v="174"/>
    <n v="38"/>
    <x v="0"/>
    <x v="8"/>
    <x v="16"/>
    <n v="166.83"/>
    <x v="2"/>
    <x v="0"/>
    <n v="4.0999999999999996"/>
    <n v="16"/>
    <n v="3"/>
    <n v="198.60714285714289"/>
    <n v="31.777142857142877"/>
    <x v="1"/>
    <m/>
  </r>
  <r>
    <n v="175"/>
    <n v="38"/>
    <x v="1"/>
    <x v="2"/>
    <x v="10"/>
    <n v="52.06"/>
    <x v="2"/>
    <x v="0"/>
    <n v="2.2999999999999998"/>
    <n v="4"/>
    <n v="2"/>
    <n v="54.229166666666671"/>
    <n v="2.1691666666666691"/>
    <x v="1"/>
    <m/>
  </r>
  <r>
    <n v="176"/>
    <n v="54"/>
    <x v="1"/>
    <x v="1"/>
    <x v="1"/>
    <n v="38.18"/>
    <x v="2"/>
    <x v="1"/>
    <n v="3.5"/>
    <n v="12"/>
    <n v="6"/>
    <n v="43.386363636363633"/>
    <n v="5.2063636363636334"/>
    <x v="4"/>
    <m/>
  </r>
  <r>
    <n v="177"/>
    <n v="67"/>
    <x v="0"/>
    <x v="0"/>
    <x v="28"/>
    <n v="156.91"/>
    <x v="3"/>
    <x v="0"/>
    <n v="3.3"/>
    <n v="8"/>
    <n v="4"/>
    <n v="170.55434782608694"/>
    <n v="13.644347826086943"/>
    <x v="2"/>
    <m/>
  </r>
  <r>
    <n v="178"/>
    <n v="36"/>
    <x v="0"/>
    <x v="6"/>
    <x v="27"/>
    <n v="110.28"/>
    <x v="1"/>
    <x v="0"/>
    <n v="3.8"/>
    <n v="16"/>
    <n v="3"/>
    <n v="131.28571428571431"/>
    <n v="21.005714285714305"/>
    <x v="1"/>
    <m/>
  </r>
  <r>
    <n v="179"/>
    <n v="48"/>
    <x v="0"/>
    <x v="0"/>
    <x v="28"/>
    <n v="114.67"/>
    <x v="2"/>
    <x v="0"/>
    <n v="3.5"/>
    <n v="8"/>
    <n v="4"/>
    <n v="124.64130434782608"/>
    <n v="9.9713043478260772"/>
    <x v="4"/>
    <m/>
  </r>
  <r>
    <n v="180"/>
    <n v="20"/>
    <x v="0"/>
    <x v="8"/>
    <x v="17"/>
    <n v="73.25"/>
    <x v="2"/>
    <x v="0"/>
    <n v="2.5"/>
    <n v="11"/>
    <n v="3"/>
    <n v="82.303370786516851"/>
    <n v="9.0533707865168509"/>
    <x v="3"/>
    <m/>
  </r>
  <r>
    <n v="181"/>
    <n v="48"/>
    <x v="1"/>
    <x v="2"/>
    <x v="10"/>
    <n v="162.43"/>
    <x v="3"/>
    <x v="0"/>
    <n v="3.4"/>
    <n v="11"/>
    <n v="3"/>
    <n v="182.50561797752809"/>
    <n v="20.075617977528083"/>
    <x v="4"/>
    <m/>
  </r>
  <r>
    <n v="182"/>
    <n v="40"/>
    <x v="1"/>
    <x v="1"/>
    <x v="14"/>
    <n v="79.89"/>
    <x v="3"/>
    <x v="0"/>
    <n v="4.4000000000000004"/>
    <n v="18"/>
    <n v="4"/>
    <n v="97.426829268292678"/>
    <n v="17.536829268292678"/>
    <x v="1"/>
    <m/>
  </r>
  <r>
    <n v="183"/>
    <n v="60"/>
    <x v="1"/>
    <x v="7"/>
    <x v="8"/>
    <n v="248.49"/>
    <x v="0"/>
    <x v="0"/>
    <n v="4.2"/>
    <n v="6"/>
    <n v="3"/>
    <n v="264.35106382978728"/>
    <n v="15.86106382978727"/>
    <x v="0"/>
    <m/>
  </r>
  <r>
    <n v="184"/>
    <n v="52"/>
    <x v="1"/>
    <x v="2"/>
    <x v="10"/>
    <n v="187.31"/>
    <x v="2"/>
    <x v="0"/>
    <n v="4.7"/>
    <n v="7"/>
    <n v="1"/>
    <n v="201.40860215053766"/>
    <n v="14.098602150537658"/>
    <x v="4"/>
    <m/>
  </r>
  <r>
    <n v="185"/>
    <n v="66"/>
    <x v="1"/>
    <x v="3"/>
    <x v="3"/>
    <n v="60.91"/>
    <x v="2"/>
    <x v="0"/>
    <n v="4"/>
    <n v="8"/>
    <n v="4"/>
    <n v="66.206521739130423"/>
    <n v="5.2965217391304265"/>
    <x v="2"/>
    <m/>
  </r>
  <r>
    <n v="186"/>
    <n v="60"/>
    <x v="0"/>
    <x v="0"/>
    <x v="0"/>
    <n v="21.62"/>
    <x v="1"/>
    <x v="1"/>
    <n v="3.8"/>
    <n v="19"/>
    <n v="7"/>
    <n v="26.691358024691358"/>
    <n v="5.0713580246913565"/>
    <x v="0"/>
    <m/>
  </r>
  <r>
    <n v="187"/>
    <n v="36"/>
    <x v="1"/>
    <x v="7"/>
    <x v="11"/>
    <n v="142.06"/>
    <x v="0"/>
    <x v="0"/>
    <n v="3.5"/>
    <n v="4"/>
    <n v="2"/>
    <n v="147.97916666666669"/>
    <n v="5.9191666666666833"/>
    <x v="1"/>
    <m/>
  </r>
  <r>
    <n v="188"/>
    <n v="57"/>
    <x v="0"/>
    <x v="0"/>
    <x v="28"/>
    <n v="84.62"/>
    <x v="0"/>
    <x v="0"/>
    <n v="2.8"/>
    <n v="18"/>
    <n v="4"/>
    <n v="103.19512195121951"/>
    <n v="18.575121951219501"/>
    <x v="0"/>
    <m/>
  </r>
  <r>
    <n v="189"/>
    <n v="63"/>
    <x v="1"/>
    <x v="7"/>
    <x v="11"/>
    <n v="162.26"/>
    <x v="0"/>
    <x v="0"/>
    <n v="3.5"/>
    <n v="12"/>
    <n v="6"/>
    <n v="184.38636363636363"/>
    <n v="22.126363636363635"/>
    <x v="0"/>
    <m/>
  </r>
  <r>
    <n v="190"/>
    <n v="38"/>
    <x v="1"/>
    <x v="1"/>
    <x v="9"/>
    <n v="31.14"/>
    <x v="3"/>
    <x v="0"/>
    <n v="4.4000000000000004"/>
    <n v="19"/>
    <n v="7"/>
    <n v="38.444444444444443"/>
    <n v="7.3044444444444423"/>
    <x v="1"/>
    <m/>
  </r>
  <r>
    <n v="191"/>
    <n v="23"/>
    <x v="1"/>
    <x v="4"/>
    <x v="26"/>
    <n v="7.07"/>
    <x v="1"/>
    <x v="1"/>
    <n v="3.7"/>
    <n v="18"/>
    <n v="4"/>
    <n v="8.6219512195121943"/>
    <n v="1.5519512195121941"/>
    <x v="3"/>
    <m/>
  </r>
  <r>
    <n v="192"/>
    <n v="56"/>
    <x v="0"/>
    <x v="3"/>
    <x v="15"/>
    <n v="157.97999999999999"/>
    <x v="2"/>
    <x v="0"/>
    <n v="4.8"/>
    <n v="10"/>
    <n v="5"/>
    <n v="175.53333333333333"/>
    <n v="17.553333333333342"/>
    <x v="0"/>
    <m/>
  </r>
  <r>
    <n v="193"/>
    <n v="51"/>
    <x v="0"/>
    <x v="6"/>
    <x v="27"/>
    <n v="82.12"/>
    <x v="2"/>
    <x v="0"/>
    <n v="3.2"/>
    <n v="13"/>
    <n v="4"/>
    <n v="94.390804597701148"/>
    <n v="12.270804597701144"/>
    <x v="4"/>
    <m/>
  </r>
  <r>
    <n v="194"/>
    <n v="65"/>
    <x v="1"/>
    <x v="2"/>
    <x v="12"/>
    <n v="150.47999999999999"/>
    <x v="2"/>
    <x v="0"/>
    <n v="3.5"/>
    <n v="20"/>
    <n v="5"/>
    <n v="188.09999999999997"/>
    <n v="37.619999999999976"/>
    <x v="2"/>
    <m/>
  </r>
  <r>
    <n v="195"/>
    <n v="36"/>
    <x v="1"/>
    <x v="2"/>
    <x v="10"/>
    <n v="153.11000000000001"/>
    <x v="3"/>
    <x v="0"/>
    <n v="4"/>
    <n v="6"/>
    <n v="3"/>
    <n v="162.88297872340428"/>
    <n v="9.7729787234042647"/>
    <x v="1"/>
    <m/>
  </r>
  <r>
    <n v="196"/>
    <n v="46"/>
    <x v="1"/>
    <x v="1"/>
    <x v="1"/>
    <n v="107.94"/>
    <x v="1"/>
    <x v="0"/>
    <n v="3.8"/>
    <n v="6"/>
    <n v="3"/>
    <n v="114.82978723404256"/>
    <n v="6.8897872340425579"/>
    <x v="4"/>
    <m/>
  </r>
  <r>
    <n v="197"/>
    <n v="31"/>
    <x v="0"/>
    <x v="2"/>
    <x v="10"/>
    <n v="245.72"/>
    <x v="2"/>
    <x v="0"/>
    <n v="4.0999999999999996"/>
    <n v="20"/>
    <n v="5"/>
    <n v="307.14999999999998"/>
    <n v="61.429999999999978"/>
    <x v="5"/>
    <m/>
  </r>
  <r>
    <n v="198"/>
    <n v="70"/>
    <x v="0"/>
    <x v="6"/>
    <x v="23"/>
    <n v="79.28"/>
    <x v="2"/>
    <x v="0"/>
    <n v="2"/>
    <n v="12"/>
    <n v="6"/>
    <n v="90.090909090909093"/>
    <n v="10.810909090909092"/>
    <x v="2"/>
    <m/>
  </r>
  <r>
    <n v="199"/>
    <n v="68"/>
    <x v="1"/>
    <x v="7"/>
    <x v="11"/>
    <n v="225.53"/>
    <x v="1"/>
    <x v="0"/>
    <n v="4.5"/>
    <n v="13"/>
    <n v="4"/>
    <n v="259.22988505747128"/>
    <n v="33.699885057471278"/>
    <x v="2"/>
    <m/>
  </r>
  <r>
    <n v="200"/>
    <n v="29"/>
    <x v="0"/>
    <x v="6"/>
    <x v="23"/>
    <n v="63.34"/>
    <x v="3"/>
    <x v="0"/>
    <n v="4.5"/>
    <n v="17"/>
    <n v="6"/>
    <n v="76.313253012048207"/>
    <n v="12.973253012048204"/>
    <x v="5"/>
    <m/>
  </r>
  <r>
    <n v="201"/>
    <n v="20"/>
    <x v="0"/>
    <x v="6"/>
    <x v="6"/>
    <n v="38.57"/>
    <x v="1"/>
    <x v="0"/>
    <n v="4.5999999999999996"/>
    <n v="19"/>
    <n v="7"/>
    <n v="47.617283950617278"/>
    <n v="9.0472839506172775"/>
    <x v="3"/>
    <m/>
  </r>
  <r>
    <n v="202"/>
    <n v="30"/>
    <x v="1"/>
    <x v="1"/>
    <x v="9"/>
    <n v="128.1"/>
    <x v="3"/>
    <x v="0"/>
    <n v="3"/>
    <n v="12"/>
    <n v="1"/>
    <n v="145.56818181818181"/>
    <n v="17.468181818181819"/>
    <x v="5"/>
    <m/>
  </r>
  <r>
    <n v="203"/>
    <n v="57"/>
    <x v="0"/>
    <x v="6"/>
    <x v="6"/>
    <n v="129.47"/>
    <x v="1"/>
    <x v="0"/>
    <n v="4.4000000000000004"/>
    <n v="15"/>
    <n v="5"/>
    <n v="152.31764705882352"/>
    <n v="22.847647058823526"/>
    <x v="0"/>
    <m/>
  </r>
  <r>
    <n v="204"/>
    <n v="46"/>
    <x v="0"/>
    <x v="6"/>
    <x v="6"/>
    <n v="49.38"/>
    <x v="1"/>
    <x v="1"/>
    <n v="3.4"/>
    <n v="19"/>
    <n v="7"/>
    <n v="60.962962962962962"/>
    <n v="11.582962962962959"/>
    <x v="4"/>
    <m/>
  </r>
  <r>
    <n v="205"/>
    <n v="55"/>
    <x v="0"/>
    <x v="7"/>
    <x v="8"/>
    <n v="90.81"/>
    <x v="0"/>
    <x v="0"/>
    <n v="4.4000000000000004"/>
    <n v="24"/>
    <n v="7"/>
    <n v="119.48684210526316"/>
    <n v="28.676842105263162"/>
    <x v="0"/>
    <m/>
  </r>
  <r>
    <n v="206"/>
    <n v="68"/>
    <x v="1"/>
    <x v="4"/>
    <x v="26"/>
    <n v="63.73"/>
    <x v="2"/>
    <x v="0"/>
    <n v="4.5"/>
    <n v="24"/>
    <n v="7"/>
    <n v="83.855263157894726"/>
    <n v="20.125263157894729"/>
    <x v="2"/>
    <m/>
  </r>
  <r>
    <n v="207"/>
    <n v="62"/>
    <x v="1"/>
    <x v="1"/>
    <x v="9"/>
    <n v="127.21"/>
    <x v="0"/>
    <x v="0"/>
    <n v="4.9000000000000004"/>
    <n v="14"/>
    <n v="7"/>
    <n v="147.91860465116278"/>
    <n v="20.708604651162787"/>
    <x v="0"/>
    <m/>
  </r>
  <r>
    <n v="208"/>
    <n v="29"/>
    <x v="1"/>
    <x v="4"/>
    <x v="4"/>
    <n v="54.98"/>
    <x v="0"/>
    <x v="1"/>
    <n v="2.9"/>
    <n v="16"/>
    <n v="8"/>
    <n v="65.452380952380949"/>
    <n v="10.472380952380952"/>
    <x v="5"/>
    <m/>
  </r>
  <r>
    <n v="209"/>
    <n v="58"/>
    <x v="0"/>
    <x v="0"/>
    <x v="22"/>
    <n v="37.76"/>
    <x v="0"/>
    <x v="0"/>
    <n v="3.5"/>
    <n v="14"/>
    <n v="2"/>
    <n v="43.906976744186046"/>
    <n v="6.1469767441860483"/>
    <x v="0"/>
    <m/>
  </r>
  <r>
    <n v="210"/>
    <n v="50"/>
    <x v="0"/>
    <x v="6"/>
    <x v="23"/>
    <n v="81.400000000000006"/>
    <x v="1"/>
    <x v="1"/>
    <n v="4.9000000000000004"/>
    <n v="20"/>
    <n v="5"/>
    <n v="101.75"/>
    <n v="20.349999999999994"/>
    <x v="4"/>
    <m/>
  </r>
  <r>
    <n v="211"/>
    <n v="22"/>
    <x v="0"/>
    <x v="7"/>
    <x v="13"/>
    <n v="183.26"/>
    <x v="2"/>
    <x v="0"/>
    <n v="2.4"/>
    <n v="6"/>
    <n v="3"/>
    <n v="194.95744680851064"/>
    <n v="11.697446808510648"/>
    <x v="3"/>
    <m/>
  </r>
  <r>
    <n v="212"/>
    <n v="29"/>
    <x v="0"/>
    <x v="8"/>
    <x v="14"/>
    <n v="172.51"/>
    <x v="0"/>
    <x v="0"/>
    <n v="3.8"/>
    <n v="13"/>
    <n v="4"/>
    <n v="198.28735632183907"/>
    <n v="25.777356321839079"/>
    <x v="5"/>
    <m/>
  </r>
  <r>
    <n v="213"/>
    <n v="43"/>
    <x v="1"/>
    <x v="2"/>
    <x v="10"/>
    <n v="141.78"/>
    <x v="2"/>
    <x v="0"/>
    <n v="2.9"/>
    <n v="24"/>
    <n v="7"/>
    <n v="186.55263157894737"/>
    <n v="44.772631578947369"/>
    <x v="1"/>
    <m/>
  </r>
  <r>
    <n v="214"/>
    <n v="25"/>
    <x v="1"/>
    <x v="4"/>
    <x v="19"/>
    <n v="62.99"/>
    <x v="0"/>
    <x v="0"/>
    <n v="2.9"/>
    <n v="16"/>
    <n v="3"/>
    <n v="74.988095238095241"/>
    <n v="11.998095238095239"/>
    <x v="5"/>
    <m/>
  </r>
  <r>
    <n v="215"/>
    <n v="32"/>
    <x v="1"/>
    <x v="7"/>
    <x v="13"/>
    <n v="154.86000000000001"/>
    <x v="1"/>
    <x v="0"/>
    <n v="4.0999999999999996"/>
    <n v="18"/>
    <n v="4"/>
    <n v="188.85365853658536"/>
    <n v="33.993658536585343"/>
    <x v="5"/>
    <m/>
  </r>
  <r>
    <n v="216"/>
    <n v="47"/>
    <x v="1"/>
    <x v="7"/>
    <x v="8"/>
    <n v="162.26"/>
    <x v="0"/>
    <x v="0"/>
    <n v="4"/>
    <n v="19"/>
    <n v="7"/>
    <n v="200.32098765432096"/>
    <n v="38.060987654320968"/>
    <x v="4"/>
    <m/>
  </r>
  <r>
    <n v="217"/>
    <n v="26"/>
    <x v="0"/>
    <x v="6"/>
    <x v="23"/>
    <n v="60.97"/>
    <x v="1"/>
    <x v="0"/>
    <n v="4.5999999999999996"/>
    <n v="21"/>
    <n v="8"/>
    <n v="77.177215189873408"/>
    <n v="16.207215189873409"/>
    <x v="5"/>
    <m/>
  </r>
  <r>
    <n v="218"/>
    <n v="69"/>
    <x v="0"/>
    <x v="4"/>
    <x v="29"/>
    <n v="52.32"/>
    <x v="2"/>
    <x v="1"/>
    <n v="3.6"/>
    <n v="10"/>
    <n v="5"/>
    <n v="58.133333333333333"/>
    <n v="5.8133333333333326"/>
    <x v="2"/>
    <m/>
  </r>
  <r>
    <n v="219"/>
    <n v="25"/>
    <x v="0"/>
    <x v="8"/>
    <x v="17"/>
    <n v="122.97"/>
    <x v="0"/>
    <x v="0"/>
    <n v="4.3"/>
    <n v="24"/>
    <n v="7"/>
    <n v="161.80263157894737"/>
    <n v="38.832631578947371"/>
    <x v="5"/>
    <m/>
  </r>
  <r>
    <n v="220"/>
    <n v="63"/>
    <x v="0"/>
    <x v="2"/>
    <x v="12"/>
    <n v="245.76"/>
    <x v="1"/>
    <x v="0"/>
    <n v="4"/>
    <n v="13"/>
    <n v="4"/>
    <n v="282.48275862068965"/>
    <n v="36.72275862068966"/>
    <x v="0"/>
    <m/>
  </r>
  <r>
    <n v="221"/>
    <n v="45"/>
    <x v="0"/>
    <x v="2"/>
    <x v="2"/>
    <n v="229.28"/>
    <x v="0"/>
    <x v="0"/>
    <n v="4.9000000000000004"/>
    <n v="16"/>
    <n v="8"/>
    <n v="272.95238095238096"/>
    <n v="43.672380952380962"/>
    <x v="4"/>
    <m/>
  </r>
  <r>
    <n v="222"/>
    <n v="43"/>
    <x v="0"/>
    <x v="8"/>
    <x v="14"/>
    <n v="32.06"/>
    <x v="3"/>
    <x v="0"/>
    <n v="3.5"/>
    <n v="7"/>
    <n v="1"/>
    <n v="34.473118279569896"/>
    <n v="2.4131182795698933"/>
    <x v="1"/>
    <m/>
  </r>
  <r>
    <n v="223"/>
    <n v="40"/>
    <x v="0"/>
    <x v="7"/>
    <x v="8"/>
    <n v="148.08000000000001"/>
    <x v="2"/>
    <x v="0"/>
    <n v="3.7"/>
    <n v="10"/>
    <n v="5"/>
    <n v="164.53333333333333"/>
    <n v="16.453333333333319"/>
    <x v="1"/>
    <m/>
  </r>
  <r>
    <n v="224"/>
    <n v="48"/>
    <x v="1"/>
    <x v="2"/>
    <x v="2"/>
    <n v="32.340000000000003"/>
    <x v="2"/>
    <x v="1"/>
    <n v="4.0999999999999996"/>
    <n v="6"/>
    <n v="3"/>
    <n v="34.404255319148945"/>
    <n v="2.0642553191489412"/>
    <x v="4"/>
    <m/>
  </r>
  <r>
    <n v="225"/>
    <n v="39"/>
    <x v="1"/>
    <x v="2"/>
    <x v="2"/>
    <n v="79.09"/>
    <x v="2"/>
    <x v="0"/>
    <n v="4"/>
    <n v="8"/>
    <n v="4"/>
    <n v="85.967391304347828"/>
    <n v="6.8773913043478245"/>
    <x v="1"/>
    <m/>
  </r>
  <r>
    <n v="226"/>
    <n v="23"/>
    <x v="1"/>
    <x v="2"/>
    <x v="12"/>
    <n v="121.19"/>
    <x v="0"/>
    <x v="0"/>
    <n v="3.2"/>
    <n v="17"/>
    <n v="6"/>
    <n v="146.01204819277109"/>
    <n v="24.822048192771092"/>
    <x v="3"/>
    <m/>
  </r>
  <r>
    <n v="227"/>
    <n v="42"/>
    <x v="0"/>
    <x v="8"/>
    <x v="14"/>
    <n v="64.760000000000005"/>
    <x v="3"/>
    <x v="0"/>
    <n v="3.7"/>
    <n v="11"/>
    <n v="3"/>
    <n v="72.764044943820224"/>
    <n v="8.0040449438202188"/>
    <x v="1"/>
    <m/>
  </r>
  <r>
    <n v="228"/>
    <n v="43"/>
    <x v="1"/>
    <x v="5"/>
    <x v="7"/>
    <n v="2234.0500000000002"/>
    <x v="3"/>
    <x v="0"/>
    <n v="4.2"/>
    <n v="12"/>
    <n v="6"/>
    <n v="2538.693181818182"/>
    <n v="304.6431818181818"/>
    <x v="1"/>
    <m/>
  </r>
  <r>
    <n v="229"/>
    <n v="60"/>
    <x v="1"/>
    <x v="2"/>
    <x v="10"/>
    <n v="106.49"/>
    <x v="3"/>
    <x v="0"/>
    <n v="3.4"/>
    <n v="16"/>
    <n v="3"/>
    <n v="126.77380952380952"/>
    <n v="20.283809523809524"/>
    <x v="0"/>
    <m/>
  </r>
  <r>
    <n v="230"/>
    <n v="55"/>
    <x v="1"/>
    <x v="5"/>
    <x v="25"/>
    <n v="2024.08"/>
    <x v="3"/>
    <x v="0"/>
    <n v="3.2"/>
    <n v="18"/>
    <n v="4"/>
    <n v="2468.3902439024387"/>
    <n v="444.31024390243874"/>
    <x v="0"/>
    <m/>
  </r>
  <r>
    <n v="231"/>
    <n v="55"/>
    <x v="1"/>
    <x v="1"/>
    <x v="1"/>
    <n v="122.22"/>
    <x v="3"/>
    <x v="0"/>
    <n v="4.0999999999999996"/>
    <n v="13"/>
    <n v="4"/>
    <n v="140.48275862068965"/>
    <n v="18.262758620689652"/>
    <x v="0"/>
    <m/>
  </r>
  <r>
    <n v="232"/>
    <n v="51"/>
    <x v="0"/>
    <x v="6"/>
    <x v="6"/>
    <n v="112.88"/>
    <x v="0"/>
    <x v="0"/>
    <n v="4.9000000000000004"/>
    <n v="22"/>
    <n v="6"/>
    <n v="144.7179487179487"/>
    <n v="31.837948717948706"/>
    <x v="4"/>
    <m/>
  </r>
  <r>
    <n v="233"/>
    <n v="58"/>
    <x v="1"/>
    <x v="7"/>
    <x v="11"/>
    <n v="66.28"/>
    <x v="2"/>
    <x v="1"/>
    <n v="2.7"/>
    <n v="6"/>
    <n v="3"/>
    <n v="70.510638297872347"/>
    <n v="4.2306382978723462"/>
    <x v="0"/>
    <m/>
  </r>
  <r>
    <n v="234"/>
    <n v="22"/>
    <x v="1"/>
    <x v="2"/>
    <x v="12"/>
    <n v="122.95"/>
    <x v="0"/>
    <x v="0"/>
    <n v="3.1"/>
    <n v="22"/>
    <n v="6"/>
    <n v="157.62820512820514"/>
    <n v="34.678205128205136"/>
    <x v="3"/>
    <m/>
  </r>
  <r>
    <n v="235"/>
    <n v="54"/>
    <x v="0"/>
    <x v="6"/>
    <x v="23"/>
    <n v="129.63"/>
    <x v="1"/>
    <x v="0"/>
    <n v="5"/>
    <n v="10"/>
    <n v="5"/>
    <n v="144.03333333333333"/>
    <n v="14.403333333333336"/>
    <x v="4"/>
    <m/>
  </r>
  <r>
    <n v="236"/>
    <n v="59"/>
    <x v="1"/>
    <x v="1"/>
    <x v="20"/>
    <n v="191.92"/>
    <x v="0"/>
    <x v="0"/>
    <n v="3.9"/>
    <n v="21"/>
    <n v="8"/>
    <n v="242.93670886075947"/>
    <n v="51.016708860759479"/>
    <x v="0"/>
    <m/>
  </r>
  <r>
    <n v="237"/>
    <n v="22"/>
    <x v="0"/>
    <x v="0"/>
    <x v="22"/>
    <n v="21.95"/>
    <x v="2"/>
    <x v="1"/>
    <n v="3.6"/>
    <n v="16"/>
    <n v="3"/>
    <n v="26.13095238095238"/>
    <n v="4.1809523809523803"/>
    <x v="3"/>
    <m/>
  </r>
  <r>
    <n v="238"/>
    <n v="24"/>
    <x v="1"/>
    <x v="5"/>
    <x v="5"/>
    <n v="1117.83"/>
    <x v="3"/>
    <x v="0"/>
    <n v="2.9"/>
    <n v="13"/>
    <n v="4"/>
    <n v="1284.8620689655172"/>
    <n v="167.03206896551728"/>
    <x v="3"/>
    <m/>
  </r>
  <r>
    <n v="239"/>
    <n v="58"/>
    <x v="0"/>
    <x v="7"/>
    <x v="8"/>
    <n v="194.03"/>
    <x v="1"/>
    <x v="0"/>
    <n v="3"/>
    <n v="21"/>
    <n v="8"/>
    <n v="245.60759493670886"/>
    <n v="51.577594936708863"/>
    <x v="0"/>
    <m/>
  </r>
  <r>
    <n v="240"/>
    <n v="24"/>
    <x v="0"/>
    <x v="6"/>
    <x v="23"/>
    <n v="111.59"/>
    <x v="3"/>
    <x v="0"/>
    <n v="3.7"/>
    <n v="8"/>
    <n v="4"/>
    <n v="121.29347826086956"/>
    <n v="9.7034782608695593"/>
    <x v="3"/>
    <m/>
  </r>
  <r>
    <n v="241"/>
    <n v="35"/>
    <x v="0"/>
    <x v="8"/>
    <x v="17"/>
    <n v="194.65"/>
    <x v="0"/>
    <x v="0"/>
    <n v="3.6"/>
    <n v="9"/>
    <n v="2"/>
    <n v="213.90109890109889"/>
    <n v="19.251098901098885"/>
    <x v="1"/>
    <m/>
  </r>
  <r>
    <n v="242"/>
    <n v="63"/>
    <x v="1"/>
    <x v="7"/>
    <x v="8"/>
    <n v="96.15"/>
    <x v="2"/>
    <x v="0"/>
    <n v="3.2"/>
    <n v="9"/>
    <n v="2"/>
    <n v="105.65934065934066"/>
    <n v="9.5093406593406513"/>
    <x v="0"/>
    <m/>
  </r>
  <r>
    <n v="243"/>
    <n v="51"/>
    <x v="0"/>
    <x v="0"/>
    <x v="22"/>
    <n v="115.63"/>
    <x v="2"/>
    <x v="0"/>
    <n v="2.9"/>
    <n v="19"/>
    <n v="7"/>
    <n v="142.75308641975306"/>
    <n v="27.123086419753065"/>
    <x v="4"/>
    <m/>
  </r>
  <r>
    <n v="244"/>
    <n v="47"/>
    <x v="1"/>
    <x v="2"/>
    <x v="2"/>
    <n v="146.94999999999999"/>
    <x v="1"/>
    <x v="0"/>
    <n v="5"/>
    <n v="24"/>
    <n v="7"/>
    <n v="193.35526315789471"/>
    <n v="46.405263157894723"/>
    <x v="4"/>
    <m/>
  </r>
  <r>
    <n v="245"/>
    <n v="69"/>
    <x v="1"/>
    <x v="5"/>
    <x v="25"/>
    <n v="2517.9699999999998"/>
    <x v="0"/>
    <x v="0"/>
    <n v="4.3"/>
    <n v="28"/>
    <n v="9"/>
    <n v="3497.1805555555552"/>
    <n v="979.2105555555554"/>
    <x v="2"/>
    <m/>
  </r>
  <r>
    <n v="246"/>
    <n v="66"/>
    <x v="0"/>
    <x v="6"/>
    <x v="23"/>
    <n v="55.2"/>
    <x v="3"/>
    <x v="0"/>
    <n v="3.6"/>
    <n v="11"/>
    <n v="3"/>
    <n v="62.022471910112358"/>
    <n v="6.8224719101123554"/>
    <x v="2"/>
    <m/>
  </r>
  <r>
    <n v="247"/>
    <n v="35"/>
    <x v="0"/>
    <x v="0"/>
    <x v="28"/>
    <n v="161.59"/>
    <x v="1"/>
    <x v="0"/>
    <n v="3.4"/>
    <n v="22"/>
    <n v="6"/>
    <n v="207.16666666666666"/>
    <n v="45.576666666666654"/>
    <x v="1"/>
    <m/>
  </r>
  <r>
    <n v="248"/>
    <n v="36"/>
    <x v="1"/>
    <x v="7"/>
    <x v="13"/>
    <n v="110.06"/>
    <x v="1"/>
    <x v="0"/>
    <n v="3.9"/>
    <n v="19"/>
    <n v="7"/>
    <n v="135.87654320987653"/>
    <n v="25.816543209876528"/>
    <x v="1"/>
    <m/>
  </r>
  <r>
    <n v="249"/>
    <n v="59"/>
    <x v="0"/>
    <x v="0"/>
    <x v="0"/>
    <n v="145.44"/>
    <x v="3"/>
    <x v="0"/>
    <n v="4.5"/>
    <n v="22"/>
    <n v="6"/>
    <n v="186.46153846153845"/>
    <n v="41.021538461538455"/>
    <x v="0"/>
    <m/>
  </r>
  <r>
    <n v="250"/>
    <n v="20"/>
    <x v="1"/>
    <x v="1"/>
    <x v="14"/>
    <n v="99.49"/>
    <x v="0"/>
    <x v="1"/>
    <n v="3.8"/>
    <n v="18"/>
    <n v="9"/>
    <n v="121.32926829268291"/>
    <n v="21.839268292682917"/>
    <x v="3"/>
    <m/>
  </r>
  <r>
    <n v="251"/>
    <n v="46"/>
    <x v="0"/>
    <x v="6"/>
    <x v="27"/>
    <n v="116.53"/>
    <x v="2"/>
    <x v="0"/>
    <n v="4.2"/>
    <n v="12"/>
    <n v="6"/>
    <n v="132.42045454545453"/>
    <n v="15.890454545454531"/>
    <x v="4"/>
    <m/>
  </r>
  <r>
    <n v="252"/>
    <n v="68"/>
    <x v="1"/>
    <x v="1"/>
    <x v="20"/>
    <n v="170.91"/>
    <x v="2"/>
    <x v="0"/>
    <n v="3.8"/>
    <n v="14"/>
    <n v="7"/>
    <n v="198.73255813953489"/>
    <n v="27.822558139534891"/>
    <x v="2"/>
    <m/>
  </r>
  <r>
    <n v="253"/>
    <n v="66"/>
    <x v="1"/>
    <x v="2"/>
    <x v="10"/>
    <n v="111.58"/>
    <x v="0"/>
    <x v="0"/>
    <n v="3.4"/>
    <n v="21"/>
    <n v="8"/>
    <n v="141.24050632911391"/>
    <n v="29.660506329113915"/>
    <x v="2"/>
    <m/>
  </r>
  <r>
    <n v="254"/>
    <n v="70"/>
    <x v="0"/>
    <x v="3"/>
    <x v="24"/>
    <n v="96.25"/>
    <x v="0"/>
    <x v="1"/>
    <n v="2.9"/>
    <n v="14"/>
    <n v="2"/>
    <n v="111.91860465116279"/>
    <n v="15.668604651162795"/>
    <x v="2"/>
    <m/>
  </r>
  <r>
    <n v="255"/>
    <n v="43"/>
    <x v="0"/>
    <x v="6"/>
    <x v="6"/>
    <n v="118"/>
    <x v="2"/>
    <x v="0"/>
    <n v="4.0999999999999996"/>
    <n v="12"/>
    <n v="6"/>
    <n v="134.09090909090909"/>
    <n v="16.090909090909093"/>
    <x v="1"/>
    <m/>
  </r>
  <r>
    <n v="256"/>
    <n v="67"/>
    <x v="1"/>
    <x v="5"/>
    <x v="21"/>
    <n v="1597.74"/>
    <x v="3"/>
    <x v="0"/>
    <n v="5"/>
    <n v="30"/>
    <n v="10"/>
    <n v="2282.4857142857145"/>
    <n v="684.74571428571448"/>
    <x v="2"/>
    <m/>
  </r>
  <r>
    <n v="257"/>
    <n v="48"/>
    <x v="1"/>
    <x v="1"/>
    <x v="9"/>
    <n v="179.87"/>
    <x v="3"/>
    <x v="0"/>
    <n v="3.7"/>
    <n v="17"/>
    <n v="6"/>
    <n v="216.71084337349399"/>
    <n v="36.840843373493982"/>
    <x v="4"/>
    <m/>
  </r>
  <r>
    <n v="258"/>
    <n v="38"/>
    <x v="0"/>
    <x v="0"/>
    <x v="22"/>
    <n v="22.14"/>
    <x v="0"/>
    <x v="1"/>
    <n v="4.7"/>
    <n v="9"/>
    <n v="2"/>
    <n v="24.329670329670328"/>
    <n v="2.1896703296703279"/>
    <x v="1"/>
    <m/>
  </r>
  <r>
    <n v="259"/>
    <n v="41"/>
    <x v="0"/>
    <x v="6"/>
    <x v="6"/>
    <n v="28.65"/>
    <x v="3"/>
    <x v="0"/>
    <n v="2.2999999999999998"/>
    <n v="8"/>
    <n v="4"/>
    <n v="31.141304347826082"/>
    <n v="2.4913043478260839"/>
    <x v="1"/>
    <m/>
  </r>
  <r>
    <n v="260"/>
    <n v="33"/>
    <x v="0"/>
    <x v="0"/>
    <x v="28"/>
    <n v="79.92"/>
    <x v="3"/>
    <x v="1"/>
    <n v="4.2"/>
    <n v="14"/>
    <n v="2"/>
    <n v="92.930232558139537"/>
    <n v="13.010232558139535"/>
    <x v="5"/>
    <m/>
  </r>
  <r>
    <n v="261"/>
    <n v="21"/>
    <x v="0"/>
    <x v="6"/>
    <x v="6"/>
    <n v="124.58"/>
    <x v="3"/>
    <x v="0"/>
    <n v="4.3"/>
    <n v="19"/>
    <n v="7"/>
    <n v="153.80246913580245"/>
    <n v="29.222469135802456"/>
    <x v="3"/>
    <m/>
  </r>
  <r>
    <n v="262"/>
    <n v="26"/>
    <x v="0"/>
    <x v="3"/>
    <x v="15"/>
    <n v="72.84"/>
    <x v="3"/>
    <x v="0"/>
    <n v="3.1"/>
    <n v="14"/>
    <n v="7"/>
    <n v="84.697674418604663"/>
    <n v="11.85767441860466"/>
    <x v="5"/>
    <m/>
  </r>
  <r>
    <n v="263"/>
    <n v="35"/>
    <x v="0"/>
    <x v="6"/>
    <x v="27"/>
    <n v="47.94"/>
    <x v="1"/>
    <x v="0"/>
    <n v="3.6"/>
    <n v="13"/>
    <n v="4"/>
    <n v="55.103448275862064"/>
    <n v="7.1634482758620663"/>
    <x v="1"/>
    <m/>
  </r>
  <r>
    <n v="264"/>
    <n v="51"/>
    <x v="1"/>
    <x v="1"/>
    <x v="1"/>
    <n v="74.89"/>
    <x v="1"/>
    <x v="1"/>
    <n v="3.2"/>
    <n v="22"/>
    <n v="6"/>
    <n v="96.012820512820511"/>
    <n v="21.12282051282051"/>
    <x v="4"/>
    <m/>
  </r>
  <r>
    <n v="265"/>
    <n v="58"/>
    <x v="1"/>
    <x v="2"/>
    <x v="12"/>
    <n v="246.24"/>
    <x v="2"/>
    <x v="0"/>
    <n v="3.5"/>
    <n v="12"/>
    <n v="6"/>
    <n v="279.81818181818181"/>
    <n v="33.578181818181804"/>
    <x v="0"/>
    <m/>
  </r>
  <r>
    <n v="266"/>
    <n v="65"/>
    <x v="0"/>
    <x v="6"/>
    <x v="23"/>
    <n v="135.46"/>
    <x v="0"/>
    <x v="0"/>
    <n v="4.3"/>
    <n v="24"/>
    <n v="7"/>
    <n v="178.23684210526318"/>
    <n v="42.776842105263171"/>
    <x v="2"/>
    <m/>
  </r>
  <r>
    <n v="267"/>
    <n v="31"/>
    <x v="1"/>
    <x v="7"/>
    <x v="13"/>
    <n v="220.18"/>
    <x v="1"/>
    <x v="0"/>
    <n v="3.4"/>
    <n v="6"/>
    <n v="3"/>
    <n v="234.2340425531915"/>
    <n v="14.054042553191493"/>
    <x v="5"/>
    <m/>
  </r>
  <r>
    <n v="268"/>
    <n v="67"/>
    <x v="1"/>
    <x v="1"/>
    <x v="20"/>
    <n v="159.94"/>
    <x v="2"/>
    <x v="0"/>
    <n v="4.5"/>
    <n v="10"/>
    <n v="5"/>
    <n v="177.71111111111111"/>
    <n v="17.771111111111111"/>
    <x v="2"/>
    <m/>
  </r>
  <r>
    <n v="269"/>
    <n v="29"/>
    <x v="1"/>
    <x v="5"/>
    <x v="21"/>
    <n v="2391.83"/>
    <x v="2"/>
    <x v="0"/>
    <n v="3.4"/>
    <n v="14"/>
    <n v="7"/>
    <n v="2781.1976744186045"/>
    <n v="389.36767441860457"/>
    <x v="5"/>
    <m/>
  </r>
  <r>
    <n v="270"/>
    <n v="31"/>
    <x v="0"/>
    <x v="6"/>
    <x v="23"/>
    <n v="112.96"/>
    <x v="0"/>
    <x v="0"/>
    <n v="5"/>
    <n v="13"/>
    <n v="4"/>
    <n v="129.83908045977012"/>
    <n v="16.879080459770123"/>
    <x v="5"/>
    <m/>
  </r>
  <r>
    <n v="271"/>
    <n v="42"/>
    <x v="1"/>
    <x v="4"/>
    <x v="4"/>
    <n v="56.82"/>
    <x v="1"/>
    <x v="0"/>
    <n v="5"/>
    <n v="17"/>
    <n v="6"/>
    <n v="68.457831325301214"/>
    <n v="11.637831325301214"/>
    <x v="1"/>
    <m/>
  </r>
  <r>
    <n v="272"/>
    <n v="33"/>
    <x v="0"/>
    <x v="4"/>
    <x v="4"/>
    <n v="17.86"/>
    <x v="0"/>
    <x v="1"/>
    <n v="3.7"/>
    <n v="30"/>
    <n v="10"/>
    <n v="25.514285714285716"/>
    <n v="7.6542857142857166"/>
    <x v="5"/>
    <m/>
  </r>
  <r>
    <n v="273"/>
    <n v="59"/>
    <x v="1"/>
    <x v="4"/>
    <x v="29"/>
    <n v="22.31"/>
    <x v="1"/>
    <x v="0"/>
    <n v="3.9"/>
    <n v="28"/>
    <n v="9"/>
    <n v="30.986111111111111"/>
    <n v="8.676111111111112"/>
    <x v="0"/>
    <m/>
  </r>
  <r>
    <n v="274"/>
    <n v="36"/>
    <x v="1"/>
    <x v="5"/>
    <x v="7"/>
    <n v="2851.93"/>
    <x v="0"/>
    <x v="0"/>
    <n v="3.4"/>
    <n v="8"/>
    <n v="4"/>
    <n v="3099.923913043478"/>
    <n v="247.99391304347819"/>
    <x v="1"/>
    <m/>
  </r>
  <r>
    <n v="275"/>
    <n v="61"/>
    <x v="0"/>
    <x v="8"/>
    <x v="16"/>
    <n v="164.2"/>
    <x v="0"/>
    <x v="0"/>
    <n v="3.6"/>
    <n v="11"/>
    <n v="3"/>
    <n v="184.49438202247188"/>
    <n v="20.294382022471893"/>
    <x v="0"/>
    <m/>
  </r>
  <r>
    <n v="276"/>
    <n v="22"/>
    <x v="1"/>
    <x v="2"/>
    <x v="12"/>
    <n v="204.62"/>
    <x v="0"/>
    <x v="0"/>
    <n v="3.3"/>
    <n v="16"/>
    <n v="3"/>
    <n v="243.5952380952381"/>
    <n v="38.975238095238097"/>
    <x v="3"/>
    <m/>
  </r>
  <r>
    <n v="277"/>
    <n v="68"/>
    <x v="0"/>
    <x v="7"/>
    <x v="13"/>
    <n v="75.72"/>
    <x v="1"/>
    <x v="1"/>
    <n v="4.3"/>
    <n v="20"/>
    <n v="5"/>
    <n v="94.649999999999991"/>
    <n v="18.929999999999993"/>
    <x v="2"/>
    <m/>
  </r>
  <r>
    <n v="278"/>
    <n v="24"/>
    <x v="0"/>
    <x v="7"/>
    <x v="8"/>
    <n v="105.45"/>
    <x v="3"/>
    <x v="0"/>
    <n v="2.2999999999999998"/>
    <n v="5"/>
    <n v="0"/>
    <n v="111.00000000000001"/>
    <n v="5.5500000000000114"/>
    <x v="3"/>
    <m/>
  </r>
  <r>
    <n v="279"/>
    <n v="36"/>
    <x v="1"/>
    <x v="7"/>
    <x v="8"/>
    <n v="212.7"/>
    <x v="0"/>
    <x v="0"/>
    <n v="4"/>
    <n v="18"/>
    <n v="4"/>
    <n v="259.39024390243901"/>
    <n v="46.690243902439022"/>
    <x v="1"/>
    <m/>
  </r>
  <r>
    <n v="280"/>
    <n v="28"/>
    <x v="0"/>
    <x v="0"/>
    <x v="0"/>
    <n v="98.3"/>
    <x v="0"/>
    <x v="0"/>
    <n v="3.3"/>
    <n v="24"/>
    <n v="7"/>
    <n v="129.34210526315789"/>
    <n v="31.042105263157893"/>
    <x v="5"/>
    <m/>
  </r>
  <r>
    <n v="281"/>
    <n v="59"/>
    <x v="1"/>
    <x v="5"/>
    <x v="21"/>
    <n v="1775.37"/>
    <x v="2"/>
    <x v="0"/>
    <n v="3.2"/>
    <n v="16"/>
    <n v="8"/>
    <n v="2113.5357142857142"/>
    <n v="338.16571428571433"/>
    <x v="0"/>
    <m/>
  </r>
  <r>
    <n v="282"/>
    <n v="53"/>
    <x v="0"/>
    <x v="6"/>
    <x v="23"/>
    <n v="146.09"/>
    <x v="3"/>
    <x v="0"/>
    <n v="3.2"/>
    <n v="10"/>
    <n v="5"/>
    <n v="162.32222222222222"/>
    <n v="16.232222222222219"/>
    <x v="4"/>
    <m/>
  </r>
  <r>
    <n v="283"/>
    <n v="50"/>
    <x v="1"/>
    <x v="1"/>
    <x v="9"/>
    <n v="144.37"/>
    <x v="2"/>
    <x v="0"/>
    <n v="4.5999999999999996"/>
    <n v="8"/>
    <n v="4"/>
    <n v="156.92391304347825"/>
    <n v="12.553913043478246"/>
    <x v="4"/>
    <m/>
  </r>
  <r>
    <n v="284"/>
    <n v="39"/>
    <x v="0"/>
    <x v="8"/>
    <x v="14"/>
    <n v="107.92"/>
    <x v="0"/>
    <x v="0"/>
    <n v="4.9000000000000004"/>
    <n v="13"/>
    <n v="4"/>
    <n v="124.04597701149426"/>
    <n v="16.125977011494257"/>
    <x v="1"/>
    <m/>
  </r>
  <r>
    <n v="285"/>
    <n v="27"/>
    <x v="1"/>
    <x v="7"/>
    <x v="13"/>
    <n v="138.29"/>
    <x v="3"/>
    <x v="0"/>
    <n v="3.6"/>
    <n v="14"/>
    <n v="7"/>
    <n v="160.80232558139534"/>
    <n v="22.512325581395345"/>
    <x v="5"/>
    <m/>
  </r>
  <r>
    <n v="286"/>
    <n v="40"/>
    <x v="0"/>
    <x v="0"/>
    <x v="0"/>
    <n v="101.69"/>
    <x v="2"/>
    <x v="0"/>
    <n v="5"/>
    <n v="10"/>
    <n v="5"/>
    <n v="112.98888888888888"/>
    <n v="11.298888888888882"/>
    <x v="1"/>
    <m/>
  </r>
  <r>
    <n v="287"/>
    <n v="28"/>
    <x v="0"/>
    <x v="7"/>
    <x v="11"/>
    <n v="198.28"/>
    <x v="0"/>
    <x v="0"/>
    <n v="3.6"/>
    <n v="20"/>
    <n v="5"/>
    <n v="247.85"/>
    <n v="49.569999999999993"/>
    <x v="5"/>
    <m/>
  </r>
  <r>
    <n v="288"/>
    <n v="61"/>
    <x v="0"/>
    <x v="2"/>
    <x v="12"/>
    <n v="171.59"/>
    <x v="2"/>
    <x v="0"/>
    <n v="3"/>
    <n v="16"/>
    <n v="8"/>
    <n v="204.27380952380955"/>
    <n v="32.683809523809543"/>
    <x v="0"/>
    <m/>
  </r>
  <r>
    <n v="289"/>
    <n v="54"/>
    <x v="1"/>
    <x v="5"/>
    <x v="21"/>
    <n v="2903.73"/>
    <x v="1"/>
    <x v="0"/>
    <n v="3.7"/>
    <n v="30"/>
    <n v="10"/>
    <n v="4148.1857142857143"/>
    <n v="1244.4557142857143"/>
    <x v="4"/>
    <m/>
  </r>
  <r>
    <n v="290"/>
    <n v="51"/>
    <x v="1"/>
    <x v="7"/>
    <x v="8"/>
    <n v="206.84"/>
    <x v="3"/>
    <x v="0"/>
    <n v="2.2000000000000002"/>
    <n v="8"/>
    <n v="4"/>
    <n v="224.82608695652172"/>
    <n v="17.986086956521717"/>
    <x v="4"/>
    <m/>
  </r>
  <r>
    <n v="291"/>
    <n v="31"/>
    <x v="0"/>
    <x v="8"/>
    <x v="14"/>
    <n v="63.74"/>
    <x v="0"/>
    <x v="1"/>
    <n v="3.7"/>
    <n v="8"/>
    <n v="4"/>
    <n v="69.282608695652172"/>
    <n v="5.5426086956521701"/>
    <x v="5"/>
    <m/>
  </r>
  <r>
    <n v="292"/>
    <n v="61"/>
    <x v="1"/>
    <x v="2"/>
    <x v="10"/>
    <n v="64.87"/>
    <x v="3"/>
    <x v="1"/>
    <n v="1.8"/>
    <n v="22"/>
    <n v="6"/>
    <n v="83.166666666666671"/>
    <n v="18.296666666666667"/>
    <x v="0"/>
    <m/>
  </r>
  <r>
    <n v="293"/>
    <n v="50"/>
    <x v="0"/>
    <x v="0"/>
    <x v="22"/>
    <n v="67.819999999999993"/>
    <x v="1"/>
    <x v="0"/>
    <n v="2.5"/>
    <n v="14"/>
    <n v="7"/>
    <n v="78.860465116279059"/>
    <n v="11.040465116279066"/>
    <x v="4"/>
    <m/>
  </r>
  <r>
    <n v="294"/>
    <n v="65"/>
    <x v="0"/>
    <x v="6"/>
    <x v="27"/>
    <n v="95.87"/>
    <x v="0"/>
    <x v="0"/>
    <n v="4"/>
    <n v="14"/>
    <n v="2"/>
    <n v="111.47674418604652"/>
    <n v="15.606744186046512"/>
    <x v="2"/>
    <m/>
  </r>
  <r>
    <n v="295"/>
    <n v="46"/>
    <x v="0"/>
    <x v="2"/>
    <x v="10"/>
    <n v="142.71"/>
    <x v="1"/>
    <x v="0"/>
    <n v="3.2"/>
    <n v="10"/>
    <n v="5"/>
    <n v="158.56666666666666"/>
    <n v="15.856666666666655"/>
    <x v="4"/>
    <m/>
  </r>
  <r>
    <n v="296"/>
    <n v="48"/>
    <x v="1"/>
    <x v="3"/>
    <x v="15"/>
    <n v="218.92"/>
    <x v="2"/>
    <x v="0"/>
    <n v="3.7"/>
    <n v="21"/>
    <n v="8"/>
    <n v="277.11392405063287"/>
    <n v="58.193924050632887"/>
    <x v="4"/>
    <m/>
  </r>
  <r>
    <n v="297"/>
    <n v="58"/>
    <x v="1"/>
    <x v="2"/>
    <x v="12"/>
    <n v="57.47"/>
    <x v="2"/>
    <x v="0"/>
    <n v="2.5"/>
    <n v="2"/>
    <n v="1"/>
    <n v="58.642857142857146"/>
    <n v="1.172857142857147"/>
    <x v="0"/>
    <m/>
  </r>
  <r>
    <n v="298"/>
    <n v="20"/>
    <x v="1"/>
    <x v="1"/>
    <x v="14"/>
    <n v="170"/>
    <x v="1"/>
    <x v="0"/>
    <n v="3.6"/>
    <n v="12"/>
    <n v="6"/>
    <n v="193.18181818181819"/>
    <n v="23.181818181818187"/>
    <x v="3"/>
    <m/>
  </r>
  <r>
    <n v="299"/>
    <n v="36"/>
    <x v="0"/>
    <x v="8"/>
    <x v="16"/>
    <n v="67.61"/>
    <x v="1"/>
    <x v="1"/>
    <n v="3.8"/>
    <n v="19"/>
    <n v="7"/>
    <n v="83.469135802469125"/>
    <n v="15.859135802469126"/>
    <x v="1"/>
    <m/>
  </r>
  <r>
    <n v="300"/>
    <n v="66"/>
    <x v="1"/>
    <x v="1"/>
    <x v="14"/>
    <n v="141.21"/>
    <x v="3"/>
    <x v="0"/>
    <n v="3.4"/>
    <n v="22"/>
    <n v="6"/>
    <n v="181.03846153846155"/>
    <n v="39.828461538461539"/>
    <x v="2"/>
    <m/>
  </r>
  <r>
    <n v="301"/>
    <n v="66"/>
    <x v="0"/>
    <x v="0"/>
    <x v="22"/>
    <n v="57.04"/>
    <x v="0"/>
    <x v="1"/>
    <n v="3.5"/>
    <n v="18"/>
    <n v="4"/>
    <n v="69.560975609756085"/>
    <n v="12.520975609756086"/>
    <x v="2"/>
    <m/>
  </r>
  <r>
    <n v="302"/>
    <n v="32"/>
    <x v="0"/>
    <x v="8"/>
    <x v="18"/>
    <n v="41.92"/>
    <x v="0"/>
    <x v="1"/>
    <n v="3.5"/>
    <n v="8"/>
    <n v="4"/>
    <n v="45.565217391304351"/>
    <n v="3.6452173913043495"/>
    <x v="5"/>
    <m/>
  </r>
  <r>
    <n v="303"/>
    <n v="51"/>
    <x v="1"/>
    <x v="7"/>
    <x v="8"/>
    <n v="106.72"/>
    <x v="0"/>
    <x v="0"/>
    <n v="2.8"/>
    <n v="18"/>
    <n v="4"/>
    <n v="130.14634146341461"/>
    <n v="23.426341463414616"/>
    <x v="4"/>
    <m/>
  </r>
  <r>
    <n v="304"/>
    <n v="54"/>
    <x v="0"/>
    <x v="8"/>
    <x v="17"/>
    <n v="145.16"/>
    <x v="3"/>
    <x v="0"/>
    <n v="3.1"/>
    <n v="14"/>
    <n v="7"/>
    <n v="168.7906976744186"/>
    <n v="23.630697674418599"/>
    <x v="4"/>
    <m/>
  </r>
  <r>
    <n v="305"/>
    <n v="25"/>
    <x v="0"/>
    <x v="0"/>
    <x v="28"/>
    <n v="102.26"/>
    <x v="0"/>
    <x v="0"/>
    <n v="4.2"/>
    <n v="16"/>
    <n v="3"/>
    <n v="121.73809523809526"/>
    <n v="19.47809523809525"/>
    <x v="5"/>
    <m/>
  </r>
  <r>
    <n v="306"/>
    <n v="23"/>
    <x v="1"/>
    <x v="5"/>
    <x v="25"/>
    <n v="1364.52"/>
    <x v="1"/>
    <x v="0"/>
    <n v="4.5999999999999996"/>
    <n v="24"/>
    <n v="7"/>
    <n v="1795.421052631579"/>
    <n v="430.90105263157898"/>
    <x v="3"/>
    <m/>
  </r>
  <r>
    <n v="307"/>
    <n v="52"/>
    <x v="0"/>
    <x v="4"/>
    <x v="19"/>
    <n v="18.59"/>
    <x v="1"/>
    <x v="1"/>
    <n v="2.5"/>
    <n v="10"/>
    <n v="5"/>
    <n v="20.655555555555555"/>
    <n v="2.0655555555555551"/>
    <x v="4"/>
    <m/>
  </r>
  <r>
    <n v="308"/>
    <n v="61"/>
    <x v="1"/>
    <x v="1"/>
    <x v="20"/>
    <n v="166.84"/>
    <x v="3"/>
    <x v="0"/>
    <n v="5"/>
    <n v="9"/>
    <n v="2"/>
    <n v="183.34065934065933"/>
    <n v="16.500659340659325"/>
    <x v="0"/>
    <m/>
  </r>
  <r>
    <n v="309"/>
    <n v="30"/>
    <x v="1"/>
    <x v="1"/>
    <x v="1"/>
    <n v="81.78"/>
    <x v="3"/>
    <x v="0"/>
    <n v="2.4"/>
    <n v="11"/>
    <n v="3"/>
    <n v="91.887640449438209"/>
    <n v="10.107640449438207"/>
    <x v="5"/>
    <m/>
  </r>
  <r>
    <n v="310"/>
    <n v="45"/>
    <x v="0"/>
    <x v="2"/>
    <x v="12"/>
    <n v="80.77"/>
    <x v="3"/>
    <x v="0"/>
    <n v="4.5999999999999996"/>
    <n v="11"/>
    <n v="3"/>
    <n v="90.752808988764045"/>
    <n v="9.9828089887640488"/>
    <x v="4"/>
    <m/>
  </r>
  <r>
    <n v="311"/>
    <n v="46"/>
    <x v="1"/>
    <x v="7"/>
    <x v="11"/>
    <n v="118.69"/>
    <x v="3"/>
    <x v="0"/>
    <n v="2.7"/>
    <n v="10"/>
    <n v="5"/>
    <n v="131.87777777777777"/>
    <n v="13.187777777777768"/>
    <x v="4"/>
    <m/>
  </r>
  <r>
    <n v="312"/>
    <n v="35"/>
    <x v="0"/>
    <x v="6"/>
    <x v="27"/>
    <n v="77.47"/>
    <x v="3"/>
    <x v="0"/>
    <n v="4.3"/>
    <n v="8"/>
    <n v="4"/>
    <n v="84.206521739130423"/>
    <n v="6.7365217391304242"/>
    <x v="1"/>
    <m/>
  </r>
  <r>
    <n v="313"/>
    <n v="48"/>
    <x v="0"/>
    <x v="0"/>
    <x v="28"/>
    <n v="85.35"/>
    <x v="1"/>
    <x v="0"/>
    <n v="4.3"/>
    <n v="4"/>
    <n v="2"/>
    <n v="88.90625"/>
    <n v="3.5562500000000057"/>
    <x v="4"/>
    <m/>
  </r>
  <r>
    <n v="314"/>
    <n v="48"/>
    <x v="0"/>
    <x v="7"/>
    <x v="11"/>
    <n v="102.43"/>
    <x v="1"/>
    <x v="0"/>
    <n v="3.6"/>
    <n v="24"/>
    <n v="7"/>
    <n v="134.7763157894737"/>
    <n v="32.346315789473692"/>
    <x v="4"/>
    <m/>
  </r>
  <r>
    <n v="315"/>
    <n v="30"/>
    <x v="1"/>
    <x v="4"/>
    <x v="29"/>
    <n v="11.09"/>
    <x v="0"/>
    <x v="1"/>
    <n v="2.8"/>
    <n v="23"/>
    <n v="9"/>
    <n v="14.402597402597403"/>
    <n v="3.3125974025974028"/>
    <x v="5"/>
    <m/>
  </r>
  <r>
    <n v="316"/>
    <n v="43"/>
    <x v="1"/>
    <x v="2"/>
    <x v="10"/>
    <n v="30.29"/>
    <x v="3"/>
    <x v="1"/>
    <n v="2.4"/>
    <n v="16"/>
    <n v="3"/>
    <n v="36.05952380952381"/>
    <n v="5.7695238095238111"/>
    <x v="1"/>
    <m/>
  </r>
  <r>
    <n v="317"/>
    <n v="69"/>
    <x v="0"/>
    <x v="4"/>
    <x v="4"/>
    <n v="79.400000000000006"/>
    <x v="2"/>
    <x v="0"/>
    <n v="3.4"/>
    <n v="15"/>
    <n v="5"/>
    <n v="93.411764705882362"/>
    <n v="14.011764705882356"/>
    <x v="2"/>
    <m/>
  </r>
  <r>
    <n v="318"/>
    <n v="22"/>
    <x v="0"/>
    <x v="2"/>
    <x v="2"/>
    <n v="237.38"/>
    <x v="1"/>
    <x v="0"/>
    <n v="3.4"/>
    <n v="7"/>
    <n v="1"/>
    <n v="255.24731182795699"/>
    <n v="17.867311827956996"/>
    <x v="3"/>
    <m/>
  </r>
  <r>
    <n v="319"/>
    <n v="39"/>
    <x v="0"/>
    <x v="4"/>
    <x v="26"/>
    <n v="56.93"/>
    <x v="3"/>
    <x v="0"/>
    <n v="4.4000000000000004"/>
    <n v="8"/>
    <n v="4"/>
    <n v="61.880434782608695"/>
    <n v="4.9504347826086956"/>
    <x v="1"/>
    <m/>
  </r>
  <r>
    <n v="320"/>
    <n v="60"/>
    <x v="0"/>
    <x v="8"/>
    <x v="18"/>
    <n v="187.91"/>
    <x v="1"/>
    <x v="0"/>
    <n v="3.8"/>
    <n v="4"/>
    <n v="2"/>
    <n v="195.73958333333334"/>
    <n v="7.8295833333333462"/>
    <x v="0"/>
    <m/>
  </r>
  <r>
    <n v="321"/>
    <n v="67"/>
    <x v="0"/>
    <x v="8"/>
    <x v="18"/>
    <n v="144.38"/>
    <x v="1"/>
    <x v="0"/>
    <n v="3.4"/>
    <n v="24"/>
    <n v="7"/>
    <n v="189.9736842105263"/>
    <n v="45.593684210526305"/>
    <x v="2"/>
    <m/>
  </r>
  <r>
    <n v="322"/>
    <n v="56"/>
    <x v="0"/>
    <x v="3"/>
    <x v="3"/>
    <n v="139.78"/>
    <x v="1"/>
    <x v="0"/>
    <n v="3.9"/>
    <n v="19"/>
    <n v="7"/>
    <n v="172.5679012345679"/>
    <n v="32.787901234567897"/>
    <x v="0"/>
    <m/>
  </r>
  <r>
    <n v="323"/>
    <n v="22"/>
    <x v="1"/>
    <x v="2"/>
    <x v="12"/>
    <n v="232.96"/>
    <x v="3"/>
    <x v="0"/>
    <n v="4.0999999999999996"/>
    <n v="6"/>
    <n v="3"/>
    <n v="247.82978723404258"/>
    <n v="14.869787234042576"/>
    <x v="3"/>
    <m/>
  </r>
  <r>
    <n v="324"/>
    <n v="65"/>
    <x v="0"/>
    <x v="6"/>
    <x v="27"/>
    <n v="79.89"/>
    <x v="0"/>
    <x v="0"/>
    <n v="5"/>
    <n v="24"/>
    <n v="7"/>
    <n v="105.11842105263158"/>
    <n v="25.228421052631575"/>
    <x v="2"/>
    <m/>
  </r>
  <r>
    <n v="325"/>
    <n v="38"/>
    <x v="0"/>
    <x v="2"/>
    <x v="2"/>
    <n v="240.47"/>
    <x v="0"/>
    <x v="0"/>
    <n v="3.4"/>
    <n v="8"/>
    <n v="4"/>
    <n v="261.38043478260869"/>
    <n v="20.910434782608689"/>
    <x v="1"/>
    <m/>
  </r>
  <r>
    <n v="326"/>
    <n v="42"/>
    <x v="0"/>
    <x v="2"/>
    <x v="10"/>
    <n v="124.92"/>
    <x v="0"/>
    <x v="0"/>
    <n v="2.2000000000000002"/>
    <n v="21"/>
    <n v="8"/>
    <n v="158.12658227848101"/>
    <n v="33.206582278481008"/>
    <x v="1"/>
    <m/>
  </r>
  <r>
    <n v="327"/>
    <n v="48"/>
    <x v="0"/>
    <x v="2"/>
    <x v="12"/>
    <n v="174.99"/>
    <x v="2"/>
    <x v="0"/>
    <n v="4.4000000000000004"/>
    <n v="18"/>
    <n v="4"/>
    <n v="213.40243902439025"/>
    <n v="38.412439024390238"/>
    <x v="4"/>
    <m/>
  </r>
  <r>
    <n v="328"/>
    <n v="32"/>
    <x v="0"/>
    <x v="7"/>
    <x v="11"/>
    <n v="169.59"/>
    <x v="3"/>
    <x v="0"/>
    <n v="4.8"/>
    <n v="13"/>
    <n v="4"/>
    <n v="194.93103448275863"/>
    <n v="25.34103448275863"/>
    <x v="5"/>
    <m/>
  </r>
  <r>
    <n v="329"/>
    <n v="62"/>
    <x v="1"/>
    <x v="2"/>
    <x v="12"/>
    <n v="212.29"/>
    <x v="1"/>
    <x v="0"/>
    <n v="5"/>
    <n v="11"/>
    <n v="3"/>
    <n v="238.52808988764045"/>
    <n v="26.238089887640456"/>
    <x v="0"/>
    <m/>
  </r>
  <r>
    <n v="330"/>
    <n v="57"/>
    <x v="1"/>
    <x v="5"/>
    <x v="25"/>
    <n v="2524.81"/>
    <x v="0"/>
    <x v="0"/>
    <n v="3.8"/>
    <n v="17"/>
    <n v="6"/>
    <n v="3041.9397590361446"/>
    <n v="517.12975903614461"/>
    <x v="0"/>
    <m/>
  </r>
  <r>
    <n v="331"/>
    <n v="62"/>
    <x v="1"/>
    <x v="1"/>
    <x v="1"/>
    <n v="83.68"/>
    <x v="1"/>
    <x v="1"/>
    <n v="2.9"/>
    <n v="10"/>
    <n v="5"/>
    <n v="92.977777777777789"/>
    <n v="9.2977777777777817"/>
    <x v="0"/>
    <m/>
  </r>
  <r>
    <n v="332"/>
    <n v="60"/>
    <x v="1"/>
    <x v="1"/>
    <x v="9"/>
    <n v="128.55000000000001"/>
    <x v="1"/>
    <x v="0"/>
    <n v="4.5999999999999996"/>
    <n v="18"/>
    <n v="4"/>
    <n v="156.76829268292684"/>
    <n v="28.21829268292683"/>
    <x v="0"/>
    <m/>
  </r>
  <r>
    <n v="333"/>
    <n v="47"/>
    <x v="1"/>
    <x v="3"/>
    <x v="3"/>
    <n v="284.08"/>
    <x v="0"/>
    <x v="0"/>
    <n v="3.3"/>
    <n v="16"/>
    <n v="3"/>
    <n v="338.1904761904762"/>
    <n v="54.11047619047622"/>
    <x v="4"/>
    <m/>
  </r>
  <r>
    <n v="334"/>
    <n v="57"/>
    <x v="0"/>
    <x v="8"/>
    <x v="16"/>
    <n v="140.29"/>
    <x v="0"/>
    <x v="0"/>
    <n v="5"/>
    <n v="12"/>
    <n v="6"/>
    <n v="159.42045454545453"/>
    <n v="19.13045454545454"/>
    <x v="0"/>
    <m/>
  </r>
  <r>
    <n v="335"/>
    <n v="53"/>
    <x v="0"/>
    <x v="0"/>
    <x v="28"/>
    <n v="29.37"/>
    <x v="0"/>
    <x v="1"/>
    <n v="3.2"/>
    <n v="24"/>
    <n v="7"/>
    <n v="38.644736842105267"/>
    <n v="9.2747368421052663"/>
    <x v="4"/>
    <m/>
  </r>
  <r>
    <n v="336"/>
    <n v="48"/>
    <x v="0"/>
    <x v="0"/>
    <x v="22"/>
    <n v="79.45"/>
    <x v="1"/>
    <x v="0"/>
    <n v="4"/>
    <n v="15"/>
    <n v="5"/>
    <n v="93.47058823529413"/>
    <n v="14.020588235294127"/>
    <x v="4"/>
    <m/>
  </r>
  <r>
    <n v="337"/>
    <n v="63"/>
    <x v="0"/>
    <x v="8"/>
    <x v="17"/>
    <n v="77.099999999999994"/>
    <x v="2"/>
    <x v="1"/>
    <n v="2.1"/>
    <n v="17"/>
    <n v="6"/>
    <n v="92.891566265060234"/>
    <n v="15.79156626506024"/>
    <x v="0"/>
    <m/>
  </r>
  <r>
    <n v="338"/>
    <n v="49"/>
    <x v="1"/>
    <x v="1"/>
    <x v="1"/>
    <n v="163.61000000000001"/>
    <x v="2"/>
    <x v="0"/>
    <n v="2.9"/>
    <n v="6"/>
    <n v="3"/>
    <n v="174.05319148936172"/>
    <n v="10.443191489361709"/>
    <x v="4"/>
    <m/>
  </r>
  <r>
    <n v="339"/>
    <n v="62"/>
    <x v="0"/>
    <x v="8"/>
    <x v="14"/>
    <n v="34.1"/>
    <x v="0"/>
    <x v="0"/>
    <n v="2.8"/>
    <n v="9"/>
    <n v="2"/>
    <n v="37.472527472527474"/>
    <n v="3.372527472527473"/>
    <x v="0"/>
    <m/>
  </r>
  <r>
    <n v="340"/>
    <n v="50"/>
    <x v="0"/>
    <x v="0"/>
    <x v="28"/>
    <n v="62.32"/>
    <x v="2"/>
    <x v="0"/>
    <n v="3.5"/>
    <n v="18"/>
    <n v="4"/>
    <n v="76"/>
    <n v="13.68"/>
    <x v="4"/>
    <m/>
  </r>
  <r>
    <n v="341"/>
    <n v="35"/>
    <x v="1"/>
    <x v="2"/>
    <x v="12"/>
    <n v="165.77"/>
    <x v="3"/>
    <x v="0"/>
    <n v="3.3"/>
    <n v="14"/>
    <n v="2"/>
    <n v="192.7558139534884"/>
    <n v="26.985813953488389"/>
    <x v="1"/>
    <m/>
  </r>
  <r>
    <n v="342"/>
    <n v="29"/>
    <x v="1"/>
    <x v="7"/>
    <x v="11"/>
    <n v="132.79"/>
    <x v="3"/>
    <x v="0"/>
    <n v="4.4000000000000004"/>
    <n v="14"/>
    <n v="2"/>
    <n v="154.40697674418604"/>
    <n v="21.616976744186047"/>
    <x v="5"/>
    <m/>
  </r>
  <r>
    <n v="343"/>
    <n v="25"/>
    <x v="0"/>
    <x v="6"/>
    <x v="27"/>
    <n v="82.83"/>
    <x v="0"/>
    <x v="0"/>
    <n v="4.4000000000000004"/>
    <n v="8"/>
    <n v="4"/>
    <n v="90.032608695652172"/>
    <n v="7.2026086956521738"/>
    <x v="5"/>
    <m/>
  </r>
  <r>
    <n v="344"/>
    <n v="28"/>
    <x v="0"/>
    <x v="6"/>
    <x v="27"/>
    <n v="139.28"/>
    <x v="0"/>
    <x v="0"/>
    <n v="5"/>
    <n v="21"/>
    <n v="8"/>
    <n v="176.30379746835442"/>
    <n v="37.023797468354417"/>
    <x v="5"/>
    <m/>
  </r>
  <r>
    <n v="345"/>
    <n v="44"/>
    <x v="1"/>
    <x v="1"/>
    <x v="9"/>
    <n v="145.69"/>
    <x v="1"/>
    <x v="0"/>
    <n v="3.4"/>
    <n v="6"/>
    <n v="3"/>
    <n v="154.98936170212767"/>
    <n v="9.2993617021276691"/>
    <x v="1"/>
    <m/>
  </r>
  <r>
    <n v="346"/>
    <n v="47"/>
    <x v="0"/>
    <x v="0"/>
    <x v="0"/>
    <n v="28.87"/>
    <x v="0"/>
    <x v="1"/>
    <n v="3"/>
    <n v="10"/>
    <n v="5"/>
    <n v="32.077777777777776"/>
    <n v="3.2077777777777747"/>
    <x v="4"/>
    <m/>
  </r>
  <r>
    <n v="347"/>
    <n v="22"/>
    <x v="0"/>
    <x v="7"/>
    <x v="11"/>
    <n v="122.56"/>
    <x v="2"/>
    <x v="0"/>
    <n v="4.0999999999999996"/>
    <n v="14"/>
    <n v="2"/>
    <n v="142.51162790697674"/>
    <n v="19.951627906976739"/>
    <x v="3"/>
    <m/>
  </r>
  <r>
    <n v="348"/>
    <n v="69"/>
    <x v="1"/>
    <x v="7"/>
    <x v="13"/>
    <n v="98.93"/>
    <x v="3"/>
    <x v="0"/>
    <n v="3"/>
    <n v="24"/>
    <n v="7"/>
    <n v="130.17105263157896"/>
    <n v="31.241052631578953"/>
    <x v="2"/>
    <m/>
  </r>
  <r>
    <n v="349"/>
    <n v="41"/>
    <x v="1"/>
    <x v="2"/>
    <x v="10"/>
    <n v="207.36"/>
    <x v="1"/>
    <x v="0"/>
    <n v="3.9"/>
    <n v="13"/>
    <n v="4"/>
    <n v="238.34482758620692"/>
    <n v="30.984827586206904"/>
    <x v="1"/>
    <m/>
  </r>
  <r>
    <n v="350"/>
    <n v="54"/>
    <x v="0"/>
    <x v="6"/>
    <x v="23"/>
    <n v="87.55"/>
    <x v="1"/>
    <x v="0"/>
    <n v="3.6"/>
    <n v="18"/>
    <n v="4"/>
    <n v="106.76829268292681"/>
    <n v="19.218292682926815"/>
    <x v="4"/>
    <m/>
  </r>
  <r>
    <n v="351"/>
    <n v="40"/>
    <x v="0"/>
    <x v="6"/>
    <x v="27"/>
    <n v="47.08"/>
    <x v="2"/>
    <x v="0"/>
    <n v="3"/>
    <n v="12"/>
    <n v="6"/>
    <n v="53.5"/>
    <n v="6.4200000000000017"/>
    <x v="1"/>
    <m/>
  </r>
  <r>
    <n v="352"/>
    <n v="63"/>
    <x v="0"/>
    <x v="2"/>
    <x v="12"/>
    <n v="104.84"/>
    <x v="1"/>
    <x v="0"/>
    <n v="4.3"/>
    <n v="18"/>
    <n v="9"/>
    <n v="127.85365853658536"/>
    <n v="23.013658536585353"/>
    <x v="0"/>
    <m/>
  </r>
  <r>
    <n v="353"/>
    <n v="47"/>
    <x v="1"/>
    <x v="1"/>
    <x v="1"/>
    <n v="84.24"/>
    <x v="0"/>
    <x v="1"/>
    <n v="3.1"/>
    <n v="13"/>
    <n v="4"/>
    <n v="96.827586206896541"/>
    <n v="12.587586206896546"/>
    <x v="4"/>
    <m/>
  </r>
  <r>
    <n v="354"/>
    <n v="68"/>
    <x v="0"/>
    <x v="6"/>
    <x v="6"/>
    <n v="136.55000000000001"/>
    <x v="3"/>
    <x v="0"/>
    <n v="3.6"/>
    <n v="7"/>
    <n v="1"/>
    <n v="146.82795698924733"/>
    <n v="10.277956989247315"/>
    <x v="2"/>
    <m/>
  </r>
  <r>
    <n v="355"/>
    <n v="53"/>
    <x v="1"/>
    <x v="5"/>
    <x v="25"/>
    <n v="2520.9899999999998"/>
    <x v="2"/>
    <x v="0"/>
    <n v="3.1"/>
    <n v="18"/>
    <n v="4"/>
    <n v="3074.3780487804875"/>
    <n v="553.38804878048768"/>
    <x v="4"/>
    <m/>
  </r>
  <r>
    <n v="356"/>
    <n v="25"/>
    <x v="1"/>
    <x v="2"/>
    <x v="2"/>
    <n v="43.35"/>
    <x v="3"/>
    <x v="0"/>
    <n v="2.2000000000000002"/>
    <n v="6"/>
    <n v="3"/>
    <n v="46.11702127659575"/>
    <n v="2.7670212765957487"/>
    <x v="5"/>
    <m/>
  </r>
  <r>
    <n v="357"/>
    <n v="34"/>
    <x v="0"/>
    <x v="6"/>
    <x v="27"/>
    <n v="123.83"/>
    <x v="1"/>
    <x v="0"/>
    <n v="5"/>
    <n v="4"/>
    <n v="2"/>
    <n v="128.98958333333334"/>
    <n v="5.1595833333333445"/>
    <x v="5"/>
    <m/>
  </r>
  <r>
    <n v="358"/>
    <n v="66"/>
    <x v="0"/>
    <x v="7"/>
    <x v="8"/>
    <n v="194.54"/>
    <x v="1"/>
    <x v="0"/>
    <n v="2.6"/>
    <n v="6"/>
    <n v="3"/>
    <n v="206.95744680851064"/>
    <n v="12.417446808510647"/>
    <x v="2"/>
    <m/>
  </r>
  <r>
    <n v="359"/>
    <n v="30"/>
    <x v="1"/>
    <x v="1"/>
    <x v="1"/>
    <n v="65.61"/>
    <x v="3"/>
    <x v="0"/>
    <n v="3.3"/>
    <n v="16"/>
    <n v="3"/>
    <n v="78.107142857142861"/>
    <n v="12.497142857142862"/>
    <x v="5"/>
    <m/>
  </r>
  <r>
    <n v="360"/>
    <n v="59"/>
    <x v="0"/>
    <x v="0"/>
    <x v="0"/>
    <n v="68.540000000000006"/>
    <x v="1"/>
    <x v="0"/>
    <n v="2.7"/>
    <n v="21"/>
    <n v="8"/>
    <n v="86.759493670886073"/>
    <n v="18.219493670886067"/>
    <x v="0"/>
    <m/>
  </r>
  <r>
    <n v="361"/>
    <n v="22"/>
    <x v="0"/>
    <x v="2"/>
    <x v="10"/>
    <n v="95.48"/>
    <x v="2"/>
    <x v="1"/>
    <n v="4.0999999999999996"/>
    <n v="9"/>
    <n v="2"/>
    <n v="104.92307692307692"/>
    <n v="9.4430769230769158"/>
    <x v="3"/>
    <m/>
  </r>
  <r>
    <n v="362"/>
    <n v="23"/>
    <x v="1"/>
    <x v="7"/>
    <x v="11"/>
    <n v="217.69"/>
    <x v="1"/>
    <x v="0"/>
    <n v="3.4"/>
    <n v="18"/>
    <n v="4"/>
    <n v="265.47560975609753"/>
    <n v="47.785609756097529"/>
    <x v="3"/>
    <m/>
  </r>
  <r>
    <n v="363"/>
    <n v="59"/>
    <x v="1"/>
    <x v="2"/>
    <x v="12"/>
    <n v="221.98"/>
    <x v="3"/>
    <x v="0"/>
    <n v="3"/>
    <n v="16"/>
    <n v="8"/>
    <n v="264.26190476190476"/>
    <n v="42.281904761904769"/>
    <x v="0"/>
    <m/>
  </r>
  <r>
    <n v="364"/>
    <n v="70"/>
    <x v="0"/>
    <x v="0"/>
    <x v="22"/>
    <n v="157.83000000000001"/>
    <x v="3"/>
    <x v="0"/>
    <n v="4.5"/>
    <n v="24"/>
    <n v="7"/>
    <n v="207.67105263157896"/>
    <n v="49.841052631578947"/>
    <x v="2"/>
    <m/>
  </r>
  <r>
    <n v="365"/>
    <n v="28"/>
    <x v="1"/>
    <x v="7"/>
    <x v="8"/>
    <n v="92.99"/>
    <x v="2"/>
    <x v="0"/>
    <n v="3.8"/>
    <n v="16"/>
    <n v="3"/>
    <n v="110.70238095238095"/>
    <n v="17.712380952380954"/>
    <x v="5"/>
    <m/>
  </r>
  <r>
    <n v="366"/>
    <n v="30"/>
    <x v="0"/>
    <x v="8"/>
    <x v="16"/>
    <n v="152.47"/>
    <x v="0"/>
    <x v="0"/>
    <n v="4"/>
    <n v="24"/>
    <n v="7"/>
    <n v="200.61842105263156"/>
    <n v="48.148421052631562"/>
    <x v="5"/>
    <m/>
  </r>
  <r>
    <n v="367"/>
    <n v="50"/>
    <x v="1"/>
    <x v="2"/>
    <x v="12"/>
    <n v="162.69999999999999"/>
    <x v="3"/>
    <x v="0"/>
    <n v="2.8"/>
    <n v="11"/>
    <n v="3"/>
    <n v="182.80898876404493"/>
    <n v="20.108988764044938"/>
    <x v="4"/>
    <m/>
  </r>
  <r>
    <n v="368"/>
    <n v="66"/>
    <x v="1"/>
    <x v="2"/>
    <x v="2"/>
    <n v="56.33"/>
    <x v="1"/>
    <x v="1"/>
    <n v="4.0999999999999996"/>
    <n v="2"/>
    <n v="1"/>
    <n v="57.479591836734691"/>
    <n v="1.1495918367346931"/>
    <x v="2"/>
    <m/>
  </r>
  <r>
    <n v="369"/>
    <n v="34"/>
    <x v="0"/>
    <x v="6"/>
    <x v="23"/>
    <n v="41.77"/>
    <x v="2"/>
    <x v="1"/>
    <n v="3.5"/>
    <n v="4"/>
    <n v="2"/>
    <n v="43.510416666666671"/>
    <n v="1.7404166666666683"/>
    <x v="5"/>
    <m/>
  </r>
  <r>
    <n v="370"/>
    <n v="49"/>
    <x v="1"/>
    <x v="5"/>
    <x v="21"/>
    <n v="2544.06"/>
    <x v="3"/>
    <x v="0"/>
    <n v="3.6"/>
    <n v="10"/>
    <n v="5"/>
    <n v="2826.7333333333331"/>
    <n v="282.67333333333318"/>
    <x v="4"/>
    <m/>
  </r>
  <r>
    <n v="371"/>
    <n v="53"/>
    <x v="0"/>
    <x v="0"/>
    <x v="0"/>
    <n v="89.64"/>
    <x v="1"/>
    <x v="1"/>
    <n v="4.0999999999999996"/>
    <n v="6"/>
    <n v="3"/>
    <n v="95.361702127659584"/>
    <n v="5.721702127659583"/>
    <x v="4"/>
    <m/>
  </r>
  <r>
    <n v="372"/>
    <n v="53"/>
    <x v="1"/>
    <x v="7"/>
    <x v="8"/>
    <n v="224"/>
    <x v="0"/>
    <x v="0"/>
    <n v="5"/>
    <n v="20"/>
    <n v="5"/>
    <n v="280"/>
    <n v="56"/>
    <x v="4"/>
    <m/>
  </r>
  <r>
    <n v="373"/>
    <n v="52"/>
    <x v="0"/>
    <x v="0"/>
    <x v="28"/>
    <n v="37.28"/>
    <x v="2"/>
    <x v="0"/>
    <n v="3.3"/>
    <n v="13"/>
    <n v="4"/>
    <n v="42.850574712643677"/>
    <n v="5.5705747126436762"/>
    <x v="4"/>
    <m/>
  </r>
  <r>
    <n v="374"/>
    <n v="61"/>
    <x v="1"/>
    <x v="7"/>
    <x v="8"/>
    <n v="42.08"/>
    <x v="1"/>
    <x v="1"/>
    <n v="2.5"/>
    <n v="20"/>
    <n v="10"/>
    <n v="52.599999999999994"/>
    <n v="10.519999999999996"/>
    <x v="0"/>
    <m/>
  </r>
  <r>
    <n v="375"/>
    <n v="28"/>
    <x v="1"/>
    <x v="1"/>
    <x v="20"/>
    <n v="50.72"/>
    <x v="3"/>
    <x v="1"/>
    <n v="2.6"/>
    <n v="4"/>
    <n v="2"/>
    <n v="52.833333333333336"/>
    <n v="2.1133333333333368"/>
    <x v="5"/>
    <m/>
  </r>
  <r>
    <n v="376"/>
    <n v="54"/>
    <x v="0"/>
    <x v="8"/>
    <x v="16"/>
    <n v="183.9"/>
    <x v="1"/>
    <x v="0"/>
    <n v="4"/>
    <n v="18"/>
    <n v="4"/>
    <n v="224.26829268292681"/>
    <n v="40.368292682926807"/>
    <x v="4"/>
    <m/>
  </r>
  <r>
    <n v="377"/>
    <n v="36"/>
    <x v="0"/>
    <x v="6"/>
    <x v="6"/>
    <n v="121.81"/>
    <x v="2"/>
    <x v="0"/>
    <n v="3.8"/>
    <n v="16"/>
    <n v="3"/>
    <n v="145.01190476190476"/>
    <n v="23.201904761904757"/>
    <x v="1"/>
    <m/>
  </r>
  <r>
    <n v="378"/>
    <n v="35"/>
    <x v="0"/>
    <x v="8"/>
    <x v="14"/>
    <n v="66.09"/>
    <x v="3"/>
    <x v="0"/>
    <n v="2.9"/>
    <n v="16"/>
    <n v="3"/>
    <n v="78.678571428571431"/>
    <n v="12.588571428571427"/>
    <x v="1"/>
    <m/>
  </r>
  <r>
    <n v="379"/>
    <n v="63"/>
    <x v="1"/>
    <x v="7"/>
    <x v="8"/>
    <n v="119.18"/>
    <x v="1"/>
    <x v="0"/>
    <n v="4.5"/>
    <n v="8"/>
    <n v="4"/>
    <n v="129.54347826086956"/>
    <n v="10.363478260869556"/>
    <x v="0"/>
    <m/>
  </r>
  <r>
    <n v="380"/>
    <n v="51"/>
    <x v="1"/>
    <x v="1"/>
    <x v="20"/>
    <n v="123"/>
    <x v="2"/>
    <x v="0"/>
    <n v="3.6"/>
    <n v="11"/>
    <n v="3"/>
    <n v="138.20224719101122"/>
    <n v="15.202247191011224"/>
    <x v="4"/>
    <m/>
  </r>
  <r>
    <n v="381"/>
    <n v="26"/>
    <x v="1"/>
    <x v="1"/>
    <x v="1"/>
    <n v="37.33"/>
    <x v="1"/>
    <x v="0"/>
    <n v="3.6"/>
    <n v="20"/>
    <n v="5"/>
    <n v="46.662499999999994"/>
    <n v="9.332499999999996"/>
    <x v="5"/>
    <m/>
  </r>
  <r>
    <n v="382"/>
    <n v="54"/>
    <x v="1"/>
    <x v="5"/>
    <x v="5"/>
    <n v="1625.71"/>
    <x v="1"/>
    <x v="0"/>
    <n v="5"/>
    <n v="26"/>
    <n v="13"/>
    <n v="2196.9054054054054"/>
    <n v="571.19540540540538"/>
    <x v="4"/>
    <m/>
  </r>
  <r>
    <n v="383"/>
    <n v="70"/>
    <x v="1"/>
    <x v="7"/>
    <x v="13"/>
    <n v="150.47999999999999"/>
    <x v="1"/>
    <x v="0"/>
    <n v="4.5999999999999996"/>
    <n v="12"/>
    <n v="6"/>
    <n v="171"/>
    <n v="20.52000000000001"/>
    <x v="2"/>
    <m/>
  </r>
  <r>
    <n v="384"/>
    <n v="45"/>
    <x v="1"/>
    <x v="5"/>
    <x v="21"/>
    <n v="1400.99"/>
    <x v="2"/>
    <x v="0"/>
    <n v="2.8"/>
    <n v="6"/>
    <n v="3"/>
    <n v="1490.4148936170213"/>
    <n v="89.424893617021326"/>
    <x v="4"/>
    <m/>
  </r>
  <r>
    <n v="385"/>
    <n v="43"/>
    <x v="1"/>
    <x v="2"/>
    <x v="2"/>
    <n v="80.25"/>
    <x v="2"/>
    <x v="0"/>
    <n v="3.9"/>
    <n v="17"/>
    <n v="6"/>
    <n v="96.686746987951807"/>
    <n v="16.436746987951807"/>
    <x v="1"/>
    <m/>
  </r>
  <r>
    <n v="386"/>
    <n v="37"/>
    <x v="0"/>
    <x v="4"/>
    <x v="19"/>
    <n v="29.59"/>
    <x v="3"/>
    <x v="0"/>
    <n v="4.7"/>
    <n v="24"/>
    <n v="7"/>
    <n v="38.934210526315788"/>
    <n v="9.3442105263157877"/>
    <x v="1"/>
    <m/>
  </r>
  <r>
    <n v="387"/>
    <n v="47"/>
    <x v="1"/>
    <x v="1"/>
    <x v="9"/>
    <n v="112.86"/>
    <x v="2"/>
    <x v="0"/>
    <n v="4.5999999999999996"/>
    <n v="14"/>
    <n v="7"/>
    <n v="131.23255813953489"/>
    <n v="18.372558139534888"/>
    <x v="4"/>
    <m/>
  </r>
  <r>
    <n v="388"/>
    <n v="45"/>
    <x v="1"/>
    <x v="2"/>
    <x v="2"/>
    <n v="160.31"/>
    <x v="2"/>
    <x v="0"/>
    <n v="3"/>
    <n v="6"/>
    <n v="3"/>
    <n v="170.54255319148936"/>
    <n v="10.232553191489359"/>
    <x v="4"/>
    <m/>
  </r>
  <r>
    <n v="389"/>
    <n v="44"/>
    <x v="0"/>
    <x v="3"/>
    <x v="15"/>
    <n v="155.34"/>
    <x v="2"/>
    <x v="0"/>
    <n v="4.5"/>
    <n v="13"/>
    <n v="4"/>
    <n v="178.55172413793105"/>
    <n v="23.211724137931043"/>
    <x v="1"/>
    <m/>
  </r>
  <r>
    <n v="390"/>
    <n v="39"/>
    <x v="1"/>
    <x v="4"/>
    <x v="26"/>
    <n v="76.790000000000006"/>
    <x v="2"/>
    <x v="1"/>
    <n v="3.3"/>
    <n v="19"/>
    <n v="7"/>
    <n v="94.802469135802468"/>
    <n v="18.012469135802462"/>
    <x v="1"/>
    <m/>
  </r>
  <r>
    <n v="391"/>
    <n v="42"/>
    <x v="1"/>
    <x v="5"/>
    <x v="5"/>
    <n v="845.92"/>
    <x v="0"/>
    <x v="0"/>
    <n v="2.9"/>
    <n v="25"/>
    <n v="10"/>
    <n v="1127.8933333333332"/>
    <n v="281.97333333333324"/>
    <x v="1"/>
    <m/>
  </r>
  <r>
    <n v="392"/>
    <n v="26"/>
    <x v="0"/>
    <x v="8"/>
    <x v="14"/>
    <n v="177.84"/>
    <x v="2"/>
    <x v="0"/>
    <n v="4.5"/>
    <n v="13"/>
    <n v="4"/>
    <n v="204.41379310344828"/>
    <n v="26.573793103448281"/>
    <x v="5"/>
    <m/>
  </r>
  <r>
    <n v="393"/>
    <n v="42"/>
    <x v="1"/>
    <x v="7"/>
    <x v="11"/>
    <n v="81.260000000000005"/>
    <x v="3"/>
    <x v="0"/>
    <n v="4.0999999999999996"/>
    <n v="14"/>
    <n v="2"/>
    <n v="94.488372093023258"/>
    <n v="13.228372093023253"/>
    <x v="1"/>
    <m/>
  </r>
  <r>
    <n v="394"/>
    <n v="33"/>
    <x v="1"/>
    <x v="2"/>
    <x v="10"/>
    <n v="143.71"/>
    <x v="3"/>
    <x v="0"/>
    <n v="3.9"/>
    <n v="11"/>
    <n v="3"/>
    <n v="161.47191011235955"/>
    <n v="17.761910112359544"/>
    <x v="5"/>
    <m/>
  </r>
  <r>
    <n v="395"/>
    <n v="70"/>
    <x v="1"/>
    <x v="2"/>
    <x v="10"/>
    <n v="62.41"/>
    <x v="3"/>
    <x v="1"/>
    <n v="3.7"/>
    <n v="28"/>
    <n v="9"/>
    <n v="86.680555555555557"/>
    <n v="24.270555555555561"/>
    <x v="2"/>
    <m/>
  </r>
  <r>
    <n v="396"/>
    <n v="55"/>
    <x v="0"/>
    <x v="7"/>
    <x v="13"/>
    <n v="120.97"/>
    <x v="3"/>
    <x v="0"/>
    <n v="2.9"/>
    <n v="20"/>
    <n v="5"/>
    <n v="151.21249999999998"/>
    <n v="30.242499999999978"/>
    <x v="0"/>
    <m/>
  </r>
  <r>
    <n v="397"/>
    <n v="28"/>
    <x v="1"/>
    <x v="1"/>
    <x v="14"/>
    <n v="176.62"/>
    <x v="1"/>
    <x v="0"/>
    <n v="3.7"/>
    <n v="16"/>
    <n v="3"/>
    <n v="210.26190476190479"/>
    <n v="33.641904761904783"/>
    <x v="5"/>
    <m/>
  </r>
  <r>
    <n v="398"/>
    <n v="27"/>
    <x v="1"/>
    <x v="5"/>
    <x v="21"/>
    <n v="1091.52"/>
    <x v="3"/>
    <x v="0"/>
    <n v="4.9000000000000004"/>
    <n v="11"/>
    <n v="3"/>
    <n v="1226.4269662921347"/>
    <n v="134.90696629213471"/>
    <x v="5"/>
    <m/>
  </r>
  <r>
    <n v="399"/>
    <n v="29"/>
    <x v="0"/>
    <x v="8"/>
    <x v="14"/>
    <n v="196.8"/>
    <x v="3"/>
    <x v="0"/>
    <n v="3.7"/>
    <n v="26"/>
    <n v="8"/>
    <n v="265.94594594594594"/>
    <n v="69.145945945945925"/>
    <x v="5"/>
    <m/>
  </r>
  <r>
    <n v="400"/>
    <n v="70"/>
    <x v="0"/>
    <x v="8"/>
    <x v="17"/>
    <n v="89.53"/>
    <x v="1"/>
    <x v="1"/>
    <n v="3.8"/>
    <n v="16"/>
    <n v="8"/>
    <n v="106.58333333333334"/>
    <n v="17.053333333333342"/>
    <x v="2"/>
    <m/>
  </r>
  <r>
    <n v="401"/>
    <n v="38"/>
    <x v="0"/>
    <x v="0"/>
    <x v="28"/>
    <n v="141.24"/>
    <x v="1"/>
    <x v="0"/>
    <n v="3.9"/>
    <n v="11"/>
    <n v="3"/>
    <n v="158.69662921348316"/>
    <n v="17.456629213483154"/>
    <x v="1"/>
    <m/>
  </r>
  <r>
    <n v="402"/>
    <n v="32"/>
    <x v="1"/>
    <x v="1"/>
    <x v="9"/>
    <n v="125.07"/>
    <x v="2"/>
    <x v="0"/>
    <n v="4.2"/>
    <n v="9"/>
    <n v="2"/>
    <n v="137.43956043956044"/>
    <n v="12.369560439560445"/>
    <x v="5"/>
    <m/>
  </r>
  <r>
    <n v="403"/>
    <n v="56"/>
    <x v="0"/>
    <x v="0"/>
    <x v="0"/>
    <n v="83.05"/>
    <x v="0"/>
    <x v="1"/>
    <n v="4.0999999999999996"/>
    <n v="18"/>
    <n v="4"/>
    <n v="101.28048780487804"/>
    <n v="18.230487804878038"/>
    <x v="0"/>
    <m/>
  </r>
  <r>
    <n v="404"/>
    <n v="32"/>
    <x v="1"/>
    <x v="3"/>
    <x v="24"/>
    <n v="84.48"/>
    <x v="2"/>
    <x v="0"/>
    <n v="4.5"/>
    <n v="19"/>
    <n v="7"/>
    <n v="104.29629629629629"/>
    <n v="19.816296296296287"/>
    <x v="5"/>
    <m/>
  </r>
  <r>
    <n v="405"/>
    <n v="42"/>
    <x v="1"/>
    <x v="5"/>
    <x v="21"/>
    <n v="1607.07"/>
    <x v="0"/>
    <x v="0"/>
    <n v="4"/>
    <n v="21"/>
    <n v="8"/>
    <n v="2034.2658227848099"/>
    <n v="427.19582278480993"/>
    <x v="1"/>
    <m/>
  </r>
  <r>
    <n v="406"/>
    <n v="28"/>
    <x v="0"/>
    <x v="7"/>
    <x v="8"/>
    <n v="170.45"/>
    <x v="1"/>
    <x v="0"/>
    <n v="3.8"/>
    <n v="13"/>
    <n v="4"/>
    <n v="195.91954022988506"/>
    <n v="25.469540229885069"/>
    <x v="5"/>
    <m/>
  </r>
  <r>
    <n v="407"/>
    <n v="30"/>
    <x v="0"/>
    <x v="6"/>
    <x v="27"/>
    <n v="47.97"/>
    <x v="1"/>
    <x v="0"/>
    <n v="3.7"/>
    <n v="18"/>
    <n v="4"/>
    <n v="58.499999999999993"/>
    <n v="10.529999999999994"/>
    <x v="5"/>
    <m/>
  </r>
  <r>
    <n v="408"/>
    <n v="31"/>
    <x v="0"/>
    <x v="8"/>
    <x v="14"/>
    <n v="152"/>
    <x v="1"/>
    <x v="0"/>
    <n v="3.5"/>
    <n v="24"/>
    <n v="7"/>
    <n v="200"/>
    <n v="48"/>
    <x v="5"/>
    <m/>
  </r>
  <r>
    <n v="409"/>
    <n v="60"/>
    <x v="0"/>
    <x v="6"/>
    <x v="6"/>
    <n v="77.790000000000006"/>
    <x v="0"/>
    <x v="0"/>
    <n v="4.7"/>
    <n v="11"/>
    <n v="3"/>
    <n v="87.404494382022477"/>
    <n v="9.6144943820224711"/>
    <x v="0"/>
    <m/>
  </r>
  <r>
    <n v="410"/>
    <n v="46"/>
    <x v="0"/>
    <x v="8"/>
    <x v="17"/>
    <n v="55.8"/>
    <x v="3"/>
    <x v="1"/>
    <n v="3.1"/>
    <n v="22"/>
    <n v="6"/>
    <n v="71.538461538461533"/>
    <n v="15.738461538461536"/>
    <x v="4"/>
    <m/>
  </r>
  <r>
    <n v="411"/>
    <n v="66"/>
    <x v="1"/>
    <x v="2"/>
    <x v="12"/>
    <n v="140.76"/>
    <x v="2"/>
    <x v="0"/>
    <n v="3.7"/>
    <n v="26"/>
    <n v="8"/>
    <n v="190.2162162162162"/>
    <n v="49.456216216216205"/>
    <x v="2"/>
    <m/>
  </r>
  <r>
    <n v="412"/>
    <n v="69"/>
    <x v="1"/>
    <x v="2"/>
    <x v="12"/>
    <n v="31.84"/>
    <x v="0"/>
    <x v="1"/>
    <n v="4"/>
    <n v="18"/>
    <n v="4"/>
    <n v="38.829268292682926"/>
    <n v="6.9892682926829259"/>
    <x v="2"/>
    <m/>
  </r>
  <r>
    <n v="413"/>
    <n v="56"/>
    <x v="1"/>
    <x v="1"/>
    <x v="1"/>
    <n v="175.84"/>
    <x v="0"/>
    <x v="0"/>
    <n v="2.7"/>
    <n v="16"/>
    <n v="3"/>
    <n v="209.33333333333334"/>
    <n v="33.493333333333339"/>
    <x v="0"/>
    <m/>
  </r>
  <r>
    <n v="414"/>
    <n v="23"/>
    <x v="1"/>
    <x v="5"/>
    <x v="25"/>
    <n v="2970.31"/>
    <x v="0"/>
    <x v="0"/>
    <n v="3.6"/>
    <n v="12"/>
    <n v="6"/>
    <n v="3375.3522727272725"/>
    <n v="405.04227272727258"/>
    <x v="3"/>
    <m/>
  </r>
  <r>
    <n v="415"/>
    <n v="68"/>
    <x v="1"/>
    <x v="1"/>
    <x v="1"/>
    <n v="43.47"/>
    <x v="3"/>
    <x v="1"/>
    <n v="5"/>
    <n v="7"/>
    <n v="1"/>
    <n v="46.741935483870968"/>
    <n v="3.2719354838709691"/>
    <x v="2"/>
    <m/>
  </r>
  <r>
    <n v="416"/>
    <n v="38"/>
    <x v="0"/>
    <x v="6"/>
    <x v="23"/>
    <n v="99.24"/>
    <x v="0"/>
    <x v="0"/>
    <n v="3.5"/>
    <n v="23"/>
    <n v="9"/>
    <n v="128.88311688311688"/>
    <n v="29.643116883116889"/>
    <x v="1"/>
    <m/>
  </r>
  <r>
    <n v="417"/>
    <n v="39"/>
    <x v="0"/>
    <x v="7"/>
    <x v="13"/>
    <n v="69.989999999999995"/>
    <x v="3"/>
    <x v="0"/>
    <n v="3"/>
    <n v="10"/>
    <n v="5"/>
    <n v="77.766666666666666"/>
    <n v="7.7766666666666708"/>
    <x v="1"/>
    <m/>
  </r>
  <r>
    <n v="418"/>
    <n v="64"/>
    <x v="0"/>
    <x v="4"/>
    <x v="26"/>
    <n v="27.74"/>
    <x v="3"/>
    <x v="0"/>
    <n v="2.2999999999999998"/>
    <n v="15"/>
    <n v="5"/>
    <n v="32.635294117647057"/>
    <n v="4.8952941176470581"/>
    <x v="0"/>
    <m/>
  </r>
  <r>
    <n v="419"/>
    <n v="26"/>
    <x v="0"/>
    <x v="3"/>
    <x v="24"/>
    <n v="175.14"/>
    <x v="2"/>
    <x v="0"/>
    <n v="4.5"/>
    <n v="12"/>
    <n v="1"/>
    <n v="199.02272727272725"/>
    <n v="23.882727272727266"/>
    <x v="5"/>
    <m/>
  </r>
  <r>
    <n v="420"/>
    <n v="58"/>
    <x v="0"/>
    <x v="0"/>
    <x v="22"/>
    <n v="105.33"/>
    <x v="0"/>
    <x v="0"/>
    <n v="4.5"/>
    <n v="22"/>
    <n v="6"/>
    <n v="135.03846153846152"/>
    <n v="29.70846153846152"/>
    <x v="0"/>
    <m/>
  </r>
  <r>
    <n v="421"/>
    <n v="33"/>
    <x v="1"/>
    <x v="5"/>
    <x v="25"/>
    <n v="2028.35"/>
    <x v="2"/>
    <x v="0"/>
    <n v="3.6"/>
    <n v="8"/>
    <n v="4"/>
    <n v="2204.728260869565"/>
    <n v="176.37826086956511"/>
    <x v="5"/>
    <m/>
  </r>
  <r>
    <n v="422"/>
    <n v="54"/>
    <x v="0"/>
    <x v="6"/>
    <x v="27"/>
    <n v="44.38"/>
    <x v="1"/>
    <x v="1"/>
    <n v="4.9000000000000004"/>
    <n v="16"/>
    <n v="3"/>
    <n v="52.833333333333336"/>
    <n v="8.4533333333333331"/>
    <x v="4"/>
    <m/>
  </r>
  <r>
    <n v="423"/>
    <n v="37"/>
    <x v="0"/>
    <x v="0"/>
    <x v="28"/>
    <n v="124.7"/>
    <x v="1"/>
    <x v="0"/>
    <n v="4.5999999999999996"/>
    <n v="22"/>
    <n v="6"/>
    <n v="159.87179487179486"/>
    <n v="35.171794871794859"/>
    <x v="1"/>
    <m/>
  </r>
  <r>
    <n v="424"/>
    <n v="27"/>
    <x v="1"/>
    <x v="1"/>
    <x v="1"/>
    <n v="117.37"/>
    <x v="3"/>
    <x v="0"/>
    <n v="3.7"/>
    <n v="20"/>
    <n v="5"/>
    <n v="146.71250000000001"/>
    <n v="29.342500000000001"/>
    <x v="5"/>
    <m/>
  </r>
  <r>
    <n v="425"/>
    <n v="67"/>
    <x v="0"/>
    <x v="0"/>
    <x v="22"/>
    <n v="81.81"/>
    <x v="1"/>
    <x v="1"/>
    <n v="3.8"/>
    <n v="13"/>
    <n v="4"/>
    <n v="94.034482758620697"/>
    <n v="12.224482758620695"/>
    <x v="2"/>
    <m/>
  </r>
  <r>
    <n v="426"/>
    <n v="34"/>
    <x v="0"/>
    <x v="6"/>
    <x v="6"/>
    <n v="108.57"/>
    <x v="2"/>
    <x v="0"/>
    <n v="4.9000000000000004"/>
    <n v="13"/>
    <n v="4"/>
    <n v="124.79310344827586"/>
    <n v="16.223103448275864"/>
    <x v="5"/>
    <m/>
  </r>
  <r>
    <n v="427"/>
    <n v="70"/>
    <x v="0"/>
    <x v="0"/>
    <x v="28"/>
    <n v="150.37"/>
    <x v="0"/>
    <x v="0"/>
    <n v="4.5"/>
    <n v="10"/>
    <n v="5"/>
    <n v="167.07777777777778"/>
    <n v="16.707777777777778"/>
    <x v="2"/>
    <m/>
  </r>
  <r>
    <n v="428"/>
    <n v="21"/>
    <x v="0"/>
    <x v="4"/>
    <x v="29"/>
    <n v="21.02"/>
    <x v="0"/>
    <x v="0"/>
    <n v="2.7"/>
    <n v="14"/>
    <n v="7"/>
    <n v="24.441860465116278"/>
    <n v="3.4218604651162785"/>
    <x v="3"/>
    <m/>
  </r>
  <r>
    <n v="429"/>
    <n v="67"/>
    <x v="0"/>
    <x v="7"/>
    <x v="13"/>
    <n v="203.32"/>
    <x v="3"/>
    <x v="0"/>
    <n v="3.3"/>
    <n v="10"/>
    <n v="5"/>
    <n v="225.9111111111111"/>
    <n v="22.591111111111104"/>
    <x v="2"/>
    <m/>
  </r>
  <r>
    <n v="430"/>
    <n v="45"/>
    <x v="0"/>
    <x v="0"/>
    <x v="22"/>
    <n v="67.03"/>
    <x v="0"/>
    <x v="1"/>
    <n v="3.6"/>
    <n v="21"/>
    <n v="8"/>
    <n v="84.848101265822777"/>
    <n v="17.818101265822776"/>
    <x v="4"/>
    <m/>
  </r>
  <r>
    <n v="431"/>
    <n v="64"/>
    <x v="1"/>
    <x v="5"/>
    <x v="5"/>
    <n v="1948.28"/>
    <x v="3"/>
    <x v="0"/>
    <n v="4.2"/>
    <n v="20"/>
    <n v="5"/>
    <n v="2435.35"/>
    <n v="487.06999999999994"/>
    <x v="0"/>
    <m/>
  </r>
  <r>
    <n v="432"/>
    <n v="51"/>
    <x v="0"/>
    <x v="8"/>
    <x v="14"/>
    <n v="108.88"/>
    <x v="0"/>
    <x v="0"/>
    <n v="3.7"/>
    <n v="15"/>
    <n v="5"/>
    <n v="128.09411764705882"/>
    <n v="19.214117647058828"/>
    <x v="4"/>
    <m/>
  </r>
  <r>
    <n v="433"/>
    <n v="41"/>
    <x v="0"/>
    <x v="4"/>
    <x v="19"/>
    <n v="42.47"/>
    <x v="3"/>
    <x v="1"/>
    <n v="2.5"/>
    <n v="10"/>
    <n v="5"/>
    <n v="47.18888888888889"/>
    <n v="4.7188888888888911"/>
    <x v="1"/>
    <m/>
  </r>
  <r>
    <n v="434"/>
    <n v="61"/>
    <x v="1"/>
    <x v="1"/>
    <x v="20"/>
    <n v="57.77"/>
    <x v="3"/>
    <x v="0"/>
    <n v="3.5"/>
    <n v="18"/>
    <n v="4"/>
    <n v="70.451219512195124"/>
    <n v="12.681219512195121"/>
    <x v="0"/>
    <m/>
  </r>
  <r>
    <n v="435"/>
    <n v="47"/>
    <x v="1"/>
    <x v="4"/>
    <x v="4"/>
    <n v="28.68"/>
    <x v="3"/>
    <x v="1"/>
    <n v="3.8"/>
    <n v="15"/>
    <n v="5"/>
    <n v="33.741176470588236"/>
    <n v="5.0611764705882365"/>
    <x v="4"/>
    <m/>
  </r>
  <r>
    <n v="436"/>
    <n v="38"/>
    <x v="1"/>
    <x v="1"/>
    <x v="1"/>
    <n v="59"/>
    <x v="3"/>
    <x v="0"/>
    <n v="4.0999999999999996"/>
    <n v="12"/>
    <n v="6"/>
    <n v="67.045454545454547"/>
    <n v="8.0454545454545467"/>
    <x v="1"/>
    <m/>
  </r>
  <r>
    <n v="437"/>
    <n v="50"/>
    <x v="0"/>
    <x v="0"/>
    <x v="22"/>
    <n v="128.94999999999999"/>
    <x v="0"/>
    <x v="0"/>
    <n v="4.3"/>
    <n v="19"/>
    <n v="7"/>
    <n v="159.19753086419752"/>
    <n v="30.247530864197529"/>
    <x v="4"/>
    <m/>
  </r>
  <r>
    <n v="438"/>
    <n v="29"/>
    <x v="1"/>
    <x v="1"/>
    <x v="9"/>
    <n v="163.33000000000001"/>
    <x v="0"/>
    <x v="0"/>
    <n v="4.7"/>
    <n v="27"/>
    <n v="11"/>
    <n v="223.7397260273973"/>
    <n v="60.409726027397284"/>
    <x v="5"/>
    <m/>
  </r>
  <r>
    <n v="439"/>
    <n v="24"/>
    <x v="0"/>
    <x v="7"/>
    <x v="13"/>
    <n v="42.5"/>
    <x v="3"/>
    <x v="0"/>
    <n v="3.6"/>
    <n v="18"/>
    <n v="9"/>
    <n v="51.829268292682926"/>
    <n v="9.3292682926829258"/>
    <x v="3"/>
    <m/>
  </r>
  <r>
    <n v="440"/>
    <n v="57"/>
    <x v="1"/>
    <x v="1"/>
    <x v="20"/>
    <n v="34.25"/>
    <x v="3"/>
    <x v="1"/>
    <n v="4.3"/>
    <n v="20"/>
    <n v="10"/>
    <n v="42.8125"/>
    <n v="8.5625"/>
    <x v="0"/>
    <m/>
  </r>
  <r>
    <n v="441"/>
    <n v="42"/>
    <x v="1"/>
    <x v="2"/>
    <x v="10"/>
    <n v="36.03"/>
    <x v="3"/>
    <x v="1"/>
    <n v="4.4000000000000004"/>
    <n v="22"/>
    <n v="6"/>
    <n v="46.192307692307693"/>
    <n v="10.162307692307692"/>
    <x v="1"/>
    <m/>
  </r>
  <r>
    <n v="442"/>
    <n v="48"/>
    <x v="1"/>
    <x v="1"/>
    <x v="9"/>
    <n v="78.25"/>
    <x v="2"/>
    <x v="1"/>
    <n v="3.3"/>
    <n v="10"/>
    <n v="5"/>
    <n v="86.944444444444443"/>
    <n v="8.6944444444444429"/>
    <x v="4"/>
    <m/>
  </r>
  <r>
    <n v="443"/>
    <n v="22"/>
    <x v="0"/>
    <x v="8"/>
    <x v="18"/>
    <n v="162.85"/>
    <x v="2"/>
    <x v="0"/>
    <n v="3.7"/>
    <n v="10"/>
    <n v="5"/>
    <n v="180.94444444444443"/>
    <n v="18.094444444444434"/>
    <x v="3"/>
    <m/>
  </r>
  <r>
    <n v="444"/>
    <n v="64"/>
    <x v="0"/>
    <x v="0"/>
    <x v="28"/>
    <n v="143.93"/>
    <x v="2"/>
    <x v="0"/>
    <n v="3.3"/>
    <n v="4"/>
    <n v="2"/>
    <n v="149.92708333333334"/>
    <n v="5.997083333333336"/>
    <x v="0"/>
    <m/>
  </r>
  <r>
    <n v="445"/>
    <n v="43"/>
    <x v="1"/>
    <x v="2"/>
    <x v="12"/>
    <n v="170.33"/>
    <x v="0"/>
    <x v="0"/>
    <n v="3.8"/>
    <n v="20"/>
    <n v="5"/>
    <n v="212.91249999999999"/>
    <n v="42.582499999999982"/>
    <x v="1"/>
    <m/>
  </r>
  <r>
    <n v="446"/>
    <n v="26"/>
    <x v="1"/>
    <x v="5"/>
    <x v="7"/>
    <n v="2141.41"/>
    <x v="1"/>
    <x v="0"/>
    <n v="4.8"/>
    <n v="19"/>
    <n v="7"/>
    <n v="2643.7160493827155"/>
    <n v="502.30604938271563"/>
    <x v="5"/>
    <m/>
  </r>
  <r>
    <n v="447"/>
    <n v="55"/>
    <x v="1"/>
    <x v="2"/>
    <x v="10"/>
    <n v="140.47999999999999"/>
    <x v="0"/>
    <x v="0"/>
    <n v="2.8"/>
    <n v="12"/>
    <n v="6"/>
    <n v="159.63636363636363"/>
    <n v="19.156363636363636"/>
    <x v="0"/>
    <m/>
  </r>
  <r>
    <n v="448"/>
    <n v="63"/>
    <x v="1"/>
    <x v="4"/>
    <x v="26"/>
    <n v="17.91"/>
    <x v="0"/>
    <x v="1"/>
    <n v="3.3"/>
    <n v="13"/>
    <n v="4"/>
    <n v="20.586206896551726"/>
    <n v="2.6762068965517258"/>
    <x v="0"/>
    <m/>
  </r>
  <r>
    <n v="449"/>
    <n v="65"/>
    <x v="0"/>
    <x v="0"/>
    <x v="28"/>
    <n v="129.87"/>
    <x v="3"/>
    <x v="0"/>
    <n v="2.5"/>
    <n v="10"/>
    <n v="5"/>
    <n v="144.30000000000001"/>
    <n v="14.430000000000007"/>
    <x v="2"/>
    <m/>
  </r>
  <r>
    <n v="450"/>
    <n v="24"/>
    <x v="1"/>
    <x v="3"/>
    <x v="24"/>
    <n v="77.19"/>
    <x v="2"/>
    <x v="0"/>
    <n v="2.2999999999999998"/>
    <n v="8"/>
    <n v="4"/>
    <n v="83.90217391304347"/>
    <n v="6.7121739130434719"/>
    <x v="3"/>
    <m/>
  </r>
  <r>
    <n v="451"/>
    <n v="69"/>
    <x v="0"/>
    <x v="8"/>
    <x v="14"/>
    <n v="164.53"/>
    <x v="1"/>
    <x v="0"/>
    <n v="3.7"/>
    <n v="19"/>
    <n v="7"/>
    <n v="203.12345679012344"/>
    <n v="38.59345679012344"/>
    <x v="2"/>
    <m/>
  </r>
  <r>
    <n v="452"/>
    <n v="67"/>
    <x v="1"/>
    <x v="5"/>
    <x v="7"/>
    <n v="1534.27"/>
    <x v="3"/>
    <x v="0"/>
    <n v="4"/>
    <n v="8"/>
    <n v="4"/>
    <n v="1667.6847826086955"/>
    <n v="133.41478260869553"/>
    <x v="2"/>
    <m/>
  </r>
  <r>
    <n v="453"/>
    <n v="64"/>
    <x v="1"/>
    <x v="4"/>
    <x v="26"/>
    <n v="44.13"/>
    <x v="3"/>
    <x v="0"/>
    <n v="3.8"/>
    <n v="13"/>
    <n v="4"/>
    <n v="50.724137931034484"/>
    <n v="6.5941379310344814"/>
    <x v="0"/>
    <m/>
  </r>
  <r>
    <n v="454"/>
    <n v="32"/>
    <x v="1"/>
    <x v="7"/>
    <x v="11"/>
    <n v="99.11"/>
    <x v="3"/>
    <x v="1"/>
    <n v="3.8"/>
    <n v="12"/>
    <n v="1"/>
    <n v="112.625"/>
    <n v="13.515000000000001"/>
    <x v="5"/>
    <m/>
  </r>
  <r>
    <n v="455"/>
    <n v="21"/>
    <x v="0"/>
    <x v="8"/>
    <x v="18"/>
    <n v="105.8"/>
    <x v="3"/>
    <x v="0"/>
    <n v="2.6"/>
    <n v="15"/>
    <n v="5"/>
    <n v="124.47058823529412"/>
    <n v="18.670588235294119"/>
    <x v="3"/>
    <m/>
  </r>
  <r>
    <n v="456"/>
    <n v="45"/>
    <x v="1"/>
    <x v="5"/>
    <x v="5"/>
    <n v="2490.98"/>
    <x v="0"/>
    <x v="0"/>
    <n v="4.3"/>
    <n v="17"/>
    <n v="6"/>
    <n v="3001.1807228915663"/>
    <n v="510.20072289156633"/>
    <x v="4"/>
    <m/>
  </r>
  <r>
    <n v="457"/>
    <n v="41"/>
    <x v="1"/>
    <x v="1"/>
    <x v="20"/>
    <n v="155.13"/>
    <x v="0"/>
    <x v="0"/>
    <n v="3.2"/>
    <n v="24"/>
    <n v="7"/>
    <n v="204.11842105263156"/>
    <n v="48.988421052631566"/>
    <x v="1"/>
    <m/>
  </r>
  <r>
    <n v="458"/>
    <n v="69"/>
    <x v="0"/>
    <x v="7"/>
    <x v="13"/>
    <n v="70.56"/>
    <x v="2"/>
    <x v="1"/>
    <n v="5"/>
    <n v="15"/>
    <n v="5"/>
    <n v="83.011764705882356"/>
    <n v="12.451764705882354"/>
    <x v="2"/>
    <m/>
  </r>
  <r>
    <n v="459"/>
    <n v="24"/>
    <x v="1"/>
    <x v="1"/>
    <x v="20"/>
    <n v="177.39"/>
    <x v="2"/>
    <x v="0"/>
    <n v="1.9"/>
    <n v="20"/>
    <n v="5"/>
    <n v="221.73749999999998"/>
    <n v="44.347499999999997"/>
    <x v="3"/>
    <m/>
  </r>
  <r>
    <n v="460"/>
    <n v="57"/>
    <x v="0"/>
    <x v="8"/>
    <x v="17"/>
    <n v="106.69"/>
    <x v="1"/>
    <x v="0"/>
    <n v="4.0999999999999996"/>
    <n v="15"/>
    <n v="5"/>
    <n v="125.51764705882353"/>
    <n v="18.82764705882353"/>
    <x v="0"/>
    <m/>
  </r>
  <r>
    <n v="461"/>
    <n v="41"/>
    <x v="0"/>
    <x v="0"/>
    <x v="22"/>
    <n v="121.93"/>
    <x v="1"/>
    <x v="0"/>
    <n v="3.5"/>
    <n v="20"/>
    <n v="5"/>
    <n v="152.41249999999999"/>
    <n v="30.482499999999987"/>
    <x v="1"/>
    <m/>
  </r>
  <r>
    <n v="462"/>
    <n v="44"/>
    <x v="1"/>
    <x v="1"/>
    <x v="14"/>
    <n v="51.29"/>
    <x v="3"/>
    <x v="0"/>
    <n v="3.3"/>
    <n v="6"/>
    <n v="3"/>
    <n v="54.563829787234042"/>
    <n v="3.2738297872340425"/>
    <x v="1"/>
    <m/>
  </r>
  <r>
    <n v="463"/>
    <n v="37"/>
    <x v="1"/>
    <x v="2"/>
    <x v="2"/>
    <n v="242.01"/>
    <x v="0"/>
    <x v="0"/>
    <n v="2.8"/>
    <n v="6"/>
    <n v="3"/>
    <n v="257.45744680851067"/>
    <n v="15.447446808510676"/>
    <x v="1"/>
    <m/>
  </r>
  <r>
    <n v="464"/>
    <n v="43"/>
    <x v="1"/>
    <x v="7"/>
    <x v="11"/>
    <n v="208.11"/>
    <x v="3"/>
    <x v="0"/>
    <n v="3.1"/>
    <n v="6"/>
    <n v="3"/>
    <n v="221.39361702127661"/>
    <n v="13.283617021276598"/>
    <x v="1"/>
    <m/>
  </r>
  <r>
    <n v="465"/>
    <n v="35"/>
    <x v="0"/>
    <x v="2"/>
    <x v="10"/>
    <n v="85.49"/>
    <x v="1"/>
    <x v="0"/>
    <n v="2.7"/>
    <n v="12"/>
    <n v="6"/>
    <n v="97.147727272727266"/>
    <n v="11.657727272727271"/>
    <x v="1"/>
    <m/>
  </r>
  <r>
    <n v="466"/>
    <n v="42"/>
    <x v="1"/>
    <x v="5"/>
    <x v="25"/>
    <n v="2867.88"/>
    <x v="1"/>
    <x v="0"/>
    <n v="4.5999999999999996"/>
    <n v="21"/>
    <n v="8"/>
    <n v="3630.2278481012659"/>
    <n v="762.34784810126575"/>
    <x v="1"/>
    <m/>
  </r>
  <r>
    <n v="467"/>
    <n v="42"/>
    <x v="0"/>
    <x v="4"/>
    <x v="4"/>
    <n v="18.72"/>
    <x v="1"/>
    <x v="0"/>
    <n v="3.8"/>
    <n v="14"/>
    <n v="7"/>
    <n v="21.767441860465116"/>
    <n v="3.047441860465117"/>
    <x v="1"/>
    <m/>
  </r>
  <r>
    <n v="468"/>
    <n v="58"/>
    <x v="1"/>
    <x v="5"/>
    <x v="7"/>
    <n v="1855.04"/>
    <x v="1"/>
    <x v="0"/>
    <n v="3.6"/>
    <n v="13"/>
    <n v="4"/>
    <n v="2132.2298850574712"/>
    <n v="277.1898850574712"/>
    <x v="0"/>
    <m/>
  </r>
  <r>
    <n v="469"/>
    <n v="60"/>
    <x v="1"/>
    <x v="5"/>
    <x v="25"/>
    <n v="2649.85"/>
    <x v="3"/>
    <x v="0"/>
    <n v="2.8"/>
    <n v="13"/>
    <n v="4"/>
    <n v="3045.8045977011493"/>
    <n v="395.9545977011494"/>
    <x v="0"/>
    <m/>
  </r>
  <r>
    <n v="470"/>
    <n v="22"/>
    <x v="0"/>
    <x v="0"/>
    <x v="0"/>
    <n v="92.79"/>
    <x v="1"/>
    <x v="0"/>
    <n v="4.2"/>
    <n v="8"/>
    <n v="4"/>
    <n v="100.85869565217392"/>
    <n v="8.0686956521739148"/>
    <x v="3"/>
    <m/>
  </r>
  <r>
    <n v="471"/>
    <n v="58"/>
    <x v="1"/>
    <x v="3"/>
    <x v="24"/>
    <n v="150.83000000000001"/>
    <x v="1"/>
    <x v="0"/>
    <n v="2.6"/>
    <n v="7"/>
    <n v="1"/>
    <n v="162.18279569892476"/>
    <n v="11.352795698924751"/>
    <x v="0"/>
    <m/>
  </r>
  <r>
    <n v="472"/>
    <n v="34"/>
    <x v="0"/>
    <x v="4"/>
    <x v="26"/>
    <n v="29"/>
    <x v="3"/>
    <x v="1"/>
    <n v="4.8"/>
    <n v="18"/>
    <n v="4"/>
    <n v="35.365853658536579"/>
    <n v="6.3658536585365795"/>
    <x v="5"/>
    <m/>
  </r>
  <r>
    <n v="473"/>
    <n v="45"/>
    <x v="0"/>
    <x v="6"/>
    <x v="23"/>
    <n v="95.57"/>
    <x v="2"/>
    <x v="0"/>
    <n v="2.1"/>
    <n v="11"/>
    <n v="3"/>
    <n v="107.3820224719101"/>
    <n v="11.812022471910112"/>
    <x v="4"/>
    <m/>
  </r>
  <r>
    <n v="474"/>
    <n v="58"/>
    <x v="0"/>
    <x v="0"/>
    <x v="28"/>
    <n v="155.49"/>
    <x v="1"/>
    <x v="0"/>
    <n v="4.3"/>
    <n v="12"/>
    <n v="6"/>
    <n v="176.69318181818184"/>
    <n v="21.203181818181832"/>
    <x v="0"/>
    <m/>
  </r>
  <r>
    <n v="475"/>
    <n v="39"/>
    <x v="1"/>
    <x v="3"/>
    <x v="15"/>
    <n v="58.69"/>
    <x v="3"/>
    <x v="1"/>
    <n v="3.3"/>
    <n v="17"/>
    <n v="6"/>
    <n v="70.710843373493972"/>
    <n v="12.020843373493975"/>
    <x v="1"/>
    <m/>
  </r>
  <r>
    <n v="476"/>
    <n v="55"/>
    <x v="0"/>
    <x v="6"/>
    <x v="23"/>
    <n v="79.510000000000005"/>
    <x v="1"/>
    <x v="1"/>
    <n v="2.4"/>
    <n v="16"/>
    <n v="3"/>
    <n v="94.654761904761912"/>
    <n v="15.144761904761907"/>
    <x v="0"/>
    <m/>
  </r>
  <r>
    <n v="477"/>
    <n v="58"/>
    <x v="1"/>
    <x v="5"/>
    <x v="5"/>
    <n v="2792.69"/>
    <x v="0"/>
    <x v="0"/>
    <n v="3.7"/>
    <n v="14"/>
    <n v="7"/>
    <n v="3247.3139534883721"/>
    <n v="454.62395348837208"/>
    <x v="0"/>
    <m/>
  </r>
  <r>
    <n v="478"/>
    <n v="55"/>
    <x v="0"/>
    <x v="4"/>
    <x v="4"/>
    <n v="78.239999999999995"/>
    <x v="3"/>
    <x v="1"/>
    <n v="3.8"/>
    <n v="19"/>
    <n v="7"/>
    <n v="96.592592592592581"/>
    <n v="18.352592592592586"/>
    <x v="0"/>
    <m/>
  </r>
  <r>
    <n v="479"/>
    <n v="49"/>
    <x v="1"/>
    <x v="2"/>
    <x v="12"/>
    <n v="213.36"/>
    <x v="1"/>
    <x v="0"/>
    <n v="3.2"/>
    <n v="12"/>
    <n v="6"/>
    <n v="242.45454545454547"/>
    <n v="29.094545454545454"/>
    <x v="4"/>
    <m/>
  </r>
  <r>
    <n v="480"/>
    <n v="39"/>
    <x v="1"/>
    <x v="1"/>
    <x v="14"/>
    <n v="49.04"/>
    <x v="1"/>
    <x v="1"/>
    <n v="3.9"/>
    <n v="19"/>
    <n v="7"/>
    <n v="60.543209876543202"/>
    <n v="11.503209876543202"/>
    <x v="1"/>
    <m/>
  </r>
  <r>
    <n v="481"/>
    <n v="54"/>
    <x v="1"/>
    <x v="7"/>
    <x v="11"/>
    <n v="50.57"/>
    <x v="0"/>
    <x v="1"/>
    <n v="3.5"/>
    <n v="4"/>
    <n v="2"/>
    <n v="52.677083333333336"/>
    <n v="2.1070833333333354"/>
    <x v="4"/>
    <m/>
  </r>
  <r>
    <n v="482"/>
    <n v="51"/>
    <x v="0"/>
    <x v="6"/>
    <x v="23"/>
    <n v="78.510000000000005"/>
    <x v="3"/>
    <x v="0"/>
    <n v="5"/>
    <n v="10"/>
    <n v="5"/>
    <n v="87.233333333333334"/>
    <n v="8.7233333333333292"/>
    <x v="4"/>
    <m/>
  </r>
  <r>
    <n v="483"/>
    <n v="53"/>
    <x v="0"/>
    <x v="0"/>
    <x v="0"/>
    <n v="73.069999999999993"/>
    <x v="1"/>
    <x v="0"/>
    <n v="3.3"/>
    <n v="15"/>
    <n v="5"/>
    <n v="85.964705882352931"/>
    <n v="12.894705882352937"/>
    <x v="4"/>
    <m/>
  </r>
  <r>
    <n v="484"/>
    <n v="43"/>
    <x v="1"/>
    <x v="3"/>
    <x v="3"/>
    <n v="299.95999999999998"/>
    <x v="1"/>
    <x v="0"/>
    <n v="3.4"/>
    <n v="5"/>
    <n v="0"/>
    <n v="315.74736842105261"/>
    <n v="15.787368421052633"/>
    <x v="1"/>
    <m/>
  </r>
  <r>
    <n v="485"/>
    <n v="43"/>
    <x v="1"/>
    <x v="2"/>
    <x v="2"/>
    <n v="239.89"/>
    <x v="3"/>
    <x v="0"/>
    <n v="3.7"/>
    <n v="2"/>
    <n v="1"/>
    <n v="244.78571428571428"/>
    <n v="4.8957142857142912"/>
    <x v="1"/>
    <m/>
  </r>
  <r>
    <n v="486"/>
    <n v="48"/>
    <x v="0"/>
    <x v="8"/>
    <x v="17"/>
    <n v="98.38"/>
    <x v="2"/>
    <x v="1"/>
    <n v="4.2"/>
    <n v="14"/>
    <n v="2"/>
    <n v="114.3953488372093"/>
    <n v="16.015348837209302"/>
    <x v="4"/>
    <m/>
  </r>
  <r>
    <n v="487"/>
    <n v="52"/>
    <x v="1"/>
    <x v="2"/>
    <x v="12"/>
    <n v="152.29"/>
    <x v="1"/>
    <x v="0"/>
    <n v="3.2"/>
    <n v="14"/>
    <n v="2"/>
    <n v="177.08139534883719"/>
    <n v="24.791395348837199"/>
    <x v="4"/>
    <m/>
  </r>
  <r>
    <n v="488"/>
    <n v="69"/>
    <x v="0"/>
    <x v="8"/>
    <x v="14"/>
    <n v="96.34"/>
    <x v="2"/>
    <x v="0"/>
    <n v="3.8"/>
    <n v="26"/>
    <n v="8"/>
    <n v="130.18918918918919"/>
    <n v="33.84918918918919"/>
    <x v="2"/>
    <m/>
  </r>
  <r>
    <n v="489"/>
    <n v="26"/>
    <x v="0"/>
    <x v="0"/>
    <x v="28"/>
    <n v="100.05"/>
    <x v="3"/>
    <x v="0"/>
    <n v="3.7"/>
    <n v="11"/>
    <n v="3"/>
    <n v="112.41573033707864"/>
    <n v="12.365730337078645"/>
    <x v="5"/>
    <m/>
  </r>
  <r>
    <n v="490"/>
    <n v="34"/>
    <x v="0"/>
    <x v="8"/>
    <x v="16"/>
    <n v="96.07"/>
    <x v="1"/>
    <x v="0"/>
    <n v="3.1"/>
    <n v="12"/>
    <n v="6"/>
    <n v="109.17045454545453"/>
    <n v="13.100454545454539"/>
    <x v="5"/>
    <m/>
  </r>
  <r>
    <n v="491"/>
    <n v="30"/>
    <x v="0"/>
    <x v="8"/>
    <x v="17"/>
    <n v="46.55"/>
    <x v="3"/>
    <x v="0"/>
    <n v="4.0999999999999996"/>
    <n v="8"/>
    <n v="4"/>
    <n v="50.597826086956516"/>
    <n v="4.047826086956519"/>
    <x v="5"/>
    <m/>
  </r>
  <r>
    <n v="492"/>
    <n v="25"/>
    <x v="0"/>
    <x v="6"/>
    <x v="6"/>
    <n v="86.16"/>
    <x v="0"/>
    <x v="1"/>
    <n v="4.5"/>
    <n v="6"/>
    <n v="3"/>
    <n v="91.659574468085111"/>
    <n v="5.4995744680851146"/>
    <x v="5"/>
    <m/>
  </r>
  <r>
    <n v="493"/>
    <n v="61"/>
    <x v="0"/>
    <x v="0"/>
    <x v="22"/>
    <n v="174.31"/>
    <x v="1"/>
    <x v="0"/>
    <n v="5"/>
    <n v="24"/>
    <n v="7"/>
    <n v="229.35526315789474"/>
    <n v="55.045263157894738"/>
    <x v="0"/>
    <m/>
  </r>
  <r>
    <n v="494"/>
    <n v="27"/>
    <x v="0"/>
    <x v="7"/>
    <x v="8"/>
    <n v="150.44999999999999"/>
    <x v="1"/>
    <x v="0"/>
    <n v="3.7"/>
    <n v="14"/>
    <n v="7"/>
    <n v="174.94186046511626"/>
    <n v="24.491860465116275"/>
    <x v="5"/>
    <m/>
  </r>
  <r>
    <n v="495"/>
    <n v="40"/>
    <x v="1"/>
    <x v="2"/>
    <x v="2"/>
    <n v="106"/>
    <x v="2"/>
    <x v="0"/>
    <n v="3.4"/>
    <n v="18"/>
    <n v="4"/>
    <n v="129.26829268292681"/>
    <n v="23.268292682926813"/>
    <x v="1"/>
    <m/>
  </r>
  <r>
    <n v="496"/>
    <n v="44"/>
    <x v="1"/>
    <x v="2"/>
    <x v="12"/>
    <n v="119.84"/>
    <x v="0"/>
    <x v="0"/>
    <n v="3.6"/>
    <n v="9"/>
    <n v="2"/>
    <n v="131.69230769230768"/>
    <n v="11.852307692307676"/>
    <x v="1"/>
    <m/>
  </r>
  <r>
    <n v="497"/>
    <n v="49"/>
    <x v="0"/>
    <x v="6"/>
    <x v="6"/>
    <n v="102.61"/>
    <x v="0"/>
    <x v="0"/>
    <n v="4.5999999999999996"/>
    <n v="26"/>
    <n v="8"/>
    <n v="138.66216216216216"/>
    <n v="36.052162162162162"/>
    <x v="4"/>
    <m/>
  </r>
  <r>
    <n v="498"/>
    <n v="45"/>
    <x v="0"/>
    <x v="8"/>
    <x v="18"/>
    <n v="82.9"/>
    <x v="1"/>
    <x v="1"/>
    <n v="3.9"/>
    <n v="16"/>
    <n v="8"/>
    <n v="98.690476190476204"/>
    <n v="15.790476190476198"/>
    <x v="4"/>
    <m/>
  </r>
  <r>
    <n v="499"/>
    <n v="31"/>
    <x v="1"/>
    <x v="2"/>
    <x v="10"/>
    <n v="72.099999999999994"/>
    <x v="1"/>
    <x v="0"/>
    <n v="4.3"/>
    <n v="12"/>
    <n v="6"/>
    <n v="81.931818181818173"/>
    <n v="9.8318181818181785"/>
    <x v="5"/>
    <m/>
  </r>
  <r>
    <n v="500"/>
    <n v="51"/>
    <x v="1"/>
    <x v="7"/>
    <x v="13"/>
    <n v="214.97"/>
    <x v="0"/>
    <x v="0"/>
    <n v="4.0999999999999996"/>
    <n v="22"/>
    <n v="6"/>
    <n v="275.60256410256409"/>
    <n v="60.632564102564089"/>
    <x v="4"/>
    <m/>
  </r>
  <r>
    <n v="501"/>
    <n v="27"/>
    <x v="1"/>
    <x v="5"/>
    <x v="21"/>
    <n v="1871.95"/>
    <x v="1"/>
    <x v="0"/>
    <n v="4.3"/>
    <n v="15"/>
    <n v="5"/>
    <n v="2202.294117647059"/>
    <n v="330.34411764705897"/>
    <x v="5"/>
    <m/>
  </r>
  <r>
    <n v="502"/>
    <n v="50"/>
    <x v="0"/>
    <x v="0"/>
    <x v="0"/>
    <n v="40.1"/>
    <x v="0"/>
    <x v="1"/>
    <n v="3.9"/>
    <n v="19"/>
    <n v="7"/>
    <n v="49.506172839506171"/>
    <n v="9.4061728395061692"/>
    <x v="4"/>
    <m/>
  </r>
  <r>
    <n v="503"/>
    <n v="24"/>
    <x v="0"/>
    <x v="6"/>
    <x v="23"/>
    <n v="96.8"/>
    <x v="1"/>
    <x v="0"/>
    <n v="4.5999999999999996"/>
    <n v="21"/>
    <n v="8"/>
    <n v="122.53164556962024"/>
    <n v="25.731645569620241"/>
    <x v="3"/>
    <m/>
  </r>
  <r>
    <n v="504"/>
    <n v="59"/>
    <x v="1"/>
    <x v="3"/>
    <x v="3"/>
    <n v="43.39"/>
    <x v="0"/>
    <x v="1"/>
    <n v="5"/>
    <n v="12"/>
    <n v="1"/>
    <n v="49.30681818181818"/>
    <n v="5.9168181818181793"/>
    <x v="0"/>
    <m/>
  </r>
  <r>
    <n v="505"/>
    <n v="26"/>
    <x v="0"/>
    <x v="0"/>
    <x v="22"/>
    <n v="26.57"/>
    <x v="3"/>
    <x v="1"/>
    <n v="4.4000000000000004"/>
    <n v="22"/>
    <n v="6"/>
    <n v="34.064102564102562"/>
    <n v="7.4941025641025618"/>
    <x v="5"/>
    <m/>
  </r>
  <r>
    <n v="506"/>
    <n v="57"/>
    <x v="0"/>
    <x v="8"/>
    <x v="16"/>
    <n v="187.19"/>
    <x v="3"/>
    <x v="0"/>
    <n v="4.7"/>
    <n v="16"/>
    <n v="3"/>
    <n v="222.8452380952381"/>
    <n v="35.655238095238104"/>
    <x v="0"/>
    <m/>
  </r>
  <r>
    <n v="507"/>
    <n v="37"/>
    <x v="1"/>
    <x v="7"/>
    <x v="11"/>
    <n v="80.92"/>
    <x v="0"/>
    <x v="1"/>
    <n v="3"/>
    <n v="14"/>
    <n v="7"/>
    <n v="94.093023255813961"/>
    <n v="13.173023255813959"/>
    <x v="1"/>
    <m/>
  </r>
  <r>
    <n v="508"/>
    <n v="44"/>
    <x v="1"/>
    <x v="5"/>
    <x v="21"/>
    <n v="1002.94"/>
    <x v="3"/>
    <x v="0"/>
    <n v="2.2999999999999998"/>
    <n v="14"/>
    <n v="2"/>
    <n v="1166.2093023255816"/>
    <n v="163.26930232558152"/>
    <x v="1"/>
    <m/>
  </r>
  <r>
    <n v="509"/>
    <n v="23"/>
    <x v="0"/>
    <x v="6"/>
    <x v="6"/>
    <n v="65.349999999999994"/>
    <x v="3"/>
    <x v="0"/>
    <n v="2.7"/>
    <n v="16"/>
    <n v="3"/>
    <n v="77.797619047619037"/>
    <n v="12.447619047619042"/>
    <x v="3"/>
    <m/>
  </r>
  <r>
    <n v="510"/>
    <n v="21"/>
    <x v="1"/>
    <x v="7"/>
    <x v="8"/>
    <n v="87.39"/>
    <x v="0"/>
    <x v="0"/>
    <n v="3.7"/>
    <n v="6"/>
    <n v="3"/>
    <n v="92.968085106382986"/>
    <n v="5.5780851063829857"/>
    <x v="3"/>
    <m/>
  </r>
  <r>
    <n v="511"/>
    <n v="38"/>
    <x v="1"/>
    <x v="5"/>
    <x v="21"/>
    <n v="1886.55"/>
    <x v="3"/>
    <x v="0"/>
    <n v="3.8"/>
    <n v="16"/>
    <n v="3"/>
    <n v="2245.8928571428573"/>
    <n v="359.34285714285738"/>
    <x v="1"/>
    <m/>
  </r>
  <r>
    <n v="512"/>
    <n v="58"/>
    <x v="0"/>
    <x v="8"/>
    <x v="17"/>
    <n v="166.84"/>
    <x v="1"/>
    <x v="0"/>
    <n v="4.5999999999999996"/>
    <n v="18"/>
    <n v="4"/>
    <n v="203.46341463414632"/>
    <n v="36.623414634146314"/>
    <x v="0"/>
    <m/>
  </r>
  <r>
    <n v="513"/>
    <n v="37"/>
    <x v="0"/>
    <x v="6"/>
    <x v="27"/>
    <n v="87.84"/>
    <x v="1"/>
    <x v="0"/>
    <n v="4.0999999999999996"/>
    <n v="7"/>
    <n v="1"/>
    <n v="94.451612903225822"/>
    <n v="6.6116129032258186"/>
    <x v="1"/>
    <m/>
  </r>
  <r>
    <n v="514"/>
    <n v="44"/>
    <x v="0"/>
    <x v="6"/>
    <x v="23"/>
    <n v="110.61"/>
    <x v="0"/>
    <x v="0"/>
    <n v="3.5"/>
    <n v="13"/>
    <n v="4"/>
    <n v="127.13793103448276"/>
    <n v="16.527931034482762"/>
    <x v="1"/>
    <m/>
  </r>
  <r>
    <n v="515"/>
    <n v="55"/>
    <x v="1"/>
    <x v="3"/>
    <x v="15"/>
    <n v="130.03"/>
    <x v="2"/>
    <x v="0"/>
    <n v="3.1"/>
    <n v="14"/>
    <n v="7"/>
    <n v="151.19767441860466"/>
    <n v="21.167674418604662"/>
    <x v="0"/>
    <m/>
  </r>
  <r>
    <n v="516"/>
    <n v="33"/>
    <x v="0"/>
    <x v="0"/>
    <x v="22"/>
    <n v="97.26"/>
    <x v="3"/>
    <x v="0"/>
    <n v="3.1"/>
    <n v="10"/>
    <n v="5"/>
    <n v="108.06666666666666"/>
    <n v="10.806666666666658"/>
    <x v="5"/>
    <m/>
  </r>
  <r>
    <n v="517"/>
    <n v="39"/>
    <x v="0"/>
    <x v="6"/>
    <x v="23"/>
    <n v="35.18"/>
    <x v="0"/>
    <x v="0"/>
    <n v="4.0999999999999996"/>
    <n v="17"/>
    <n v="6"/>
    <n v="42.385542168674704"/>
    <n v="7.2055421686747039"/>
    <x v="1"/>
    <m/>
  </r>
  <r>
    <n v="518"/>
    <n v="44"/>
    <x v="1"/>
    <x v="2"/>
    <x v="12"/>
    <n v="93.78"/>
    <x v="3"/>
    <x v="1"/>
    <n v="5"/>
    <n v="17"/>
    <n v="6"/>
    <n v="112.98795180722892"/>
    <n v="19.207951807228923"/>
    <x v="1"/>
    <m/>
  </r>
  <r>
    <n v="519"/>
    <n v="26"/>
    <x v="1"/>
    <x v="7"/>
    <x v="13"/>
    <n v="235.26"/>
    <x v="3"/>
    <x v="0"/>
    <n v="4.9000000000000004"/>
    <n v="13"/>
    <n v="4"/>
    <n v="270.41379310344826"/>
    <n v="35.153793103448265"/>
    <x v="5"/>
    <m/>
  </r>
  <r>
    <n v="520"/>
    <n v="62"/>
    <x v="1"/>
    <x v="2"/>
    <x v="12"/>
    <n v="136.94"/>
    <x v="0"/>
    <x v="0"/>
    <n v="3.6"/>
    <n v="15"/>
    <n v="5"/>
    <n v="161.10588235294117"/>
    <n v="24.165882352941168"/>
    <x v="0"/>
    <m/>
  </r>
  <r>
    <n v="521"/>
    <n v="60"/>
    <x v="0"/>
    <x v="7"/>
    <x v="8"/>
    <n v="149.44999999999999"/>
    <x v="2"/>
    <x v="0"/>
    <n v="3.3"/>
    <n v="6"/>
    <n v="3"/>
    <n v="158.98936170212767"/>
    <n v="9.5393617021276782"/>
    <x v="0"/>
    <m/>
  </r>
  <r>
    <n v="522"/>
    <n v="42"/>
    <x v="1"/>
    <x v="7"/>
    <x v="8"/>
    <n v="122.86"/>
    <x v="3"/>
    <x v="0"/>
    <n v="4.7"/>
    <n v="18"/>
    <n v="4"/>
    <n v="149.82926829268291"/>
    <n v="26.969268292682912"/>
    <x v="1"/>
    <m/>
  </r>
  <r>
    <n v="523"/>
    <n v="32"/>
    <x v="0"/>
    <x v="7"/>
    <x v="8"/>
    <n v="156.61000000000001"/>
    <x v="3"/>
    <x v="0"/>
    <n v="4.7"/>
    <n v="22"/>
    <n v="6"/>
    <n v="200.7820512820513"/>
    <n v="44.172051282051285"/>
    <x v="5"/>
    <m/>
  </r>
  <r>
    <n v="524"/>
    <n v="29"/>
    <x v="1"/>
    <x v="2"/>
    <x v="12"/>
    <n v="88.8"/>
    <x v="0"/>
    <x v="0"/>
    <n v="3.1"/>
    <n v="22"/>
    <n v="6"/>
    <n v="113.84615384615384"/>
    <n v="25.046153846153842"/>
    <x v="5"/>
    <m/>
  </r>
  <r>
    <n v="525"/>
    <n v="46"/>
    <x v="1"/>
    <x v="1"/>
    <x v="1"/>
    <n v="165.74"/>
    <x v="0"/>
    <x v="0"/>
    <n v="4.2"/>
    <n v="6"/>
    <n v="3"/>
    <n v="176.31914893617022"/>
    <n v="10.579148936170213"/>
    <x v="4"/>
    <m/>
  </r>
  <r>
    <n v="526"/>
    <n v="61"/>
    <x v="1"/>
    <x v="3"/>
    <x v="24"/>
    <n v="220.45"/>
    <x v="1"/>
    <x v="0"/>
    <n v="3.2"/>
    <n v="17"/>
    <n v="6"/>
    <n v="265.60240963855421"/>
    <n v="45.152409638554218"/>
    <x v="0"/>
    <m/>
  </r>
  <r>
    <n v="527"/>
    <n v="27"/>
    <x v="1"/>
    <x v="1"/>
    <x v="14"/>
    <n v="110.6"/>
    <x v="0"/>
    <x v="0"/>
    <n v="3.6"/>
    <n v="10"/>
    <n v="0"/>
    <n v="122.88888888888889"/>
    <n v="12.288888888888891"/>
    <x v="5"/>
    <m/>
  </r>
  <r>
    <n v="528"/>
    <n v="56"/>
    <x v="0"/>
    <x v="6"/>
    <x v="23"/>
    <n v="135.51"/>
    <x v="3"/>
    <x v="0"/>
    <n v="4.4000000000000004"/>
    <n v="26"/>
    <n v="8"/>
    <n v="183.12162162162161"/>
    <n v="47.611621621621623"/>
    <x v="0"/>
    <m/>
  </r>
  <r>
    <n v="529"/>
    <n v="54"/>
    <x v="1"/>
    <x v="1"/>
    <x v="14"/>
    <n v="118.11"/>
    <x v="1"/>
    <x v="0"/>
    <n v="3.2"/>
    <n v="13"/>
    <n v="4"/>
    <n v="135.75862068965517"/>
    <n v="17.648620689655175"/>
    <x v="4"/>
    <m/>
  </r>
  <r>
    <n v="530"/>
    <n v="56"/>
    <x v="1"/>
    <x v="1"/>
    <x v="1"/>
    <n v="125.17"/>
    <x v="0"/>
    <x v="0"/>
    <n v="3.6"/>
    <n v="22"/>
    <n v="6"/>
    <n v="160.47435897435898"/>
    <n v="35.304358974358976"/>
    <x v="0"/>
    <m/>
  </r>
  <r>
    <n v="531"/>
    <n v="57"/>
    <x v="0"/>
    <x v="2"/>
    <x v="10"/>
    <n v="157.33000000000001"/>
    <x v="3"/>
    <x v="0"/>
    <n v="3.9"/>
    <n v="13"/>
    <n v="4"/>
    <n v="180.83908045977012"/>
    <n v="23.509080459770104"/>
    <x v="0"/>
    <m/>
  </r>
  <r>
    <n v="532"/>
    <n v="29"/>
    <x v="0"/>
    <x v="4"/>
    <x v="19"/>
    <n v="56.63"/>
    <x v="1"/>
    <x v="0"/>
    <n v="4.5"/>
    <n v="13"/>
    <n v="4"/>
    <n v="65.091954022988503"/>
    <n v="8.4619540229885004"/>
    <x v="5"/>
    <m/>
  </r>
  <r>
    <n v="533"/>
    <n v="30"/>
    <x v="0"/>
    <x v="0"/>
    <x v="0"/>
    <n v="89.32"/>
    <x v="2"/>
    <x v="1"/>
    <n v="4.5"/>
    <n v="12"/>
    <n v="6"/>
    <n v="101.49999999999999"/>
    <n v="12.179999999999993"/>
    <x v="5"/>
    <m/>
  </r>
  <r>
    <n v="534"/>
    <n v="20"/>
    <x v="0"/>
    <x v="8"/>
    <x v="18"/>
    <n v="131.59"/>
    <x v="0"/>
    <x v="0"/>
    <n v="4.2"/>
    <n v="17"/>
    <n v="6"/>
    <n v="158.54216867469881"/>
    <n v="26.952168674698811"/>
    <x v="3"/>
    <m/>
  </r>
  <r>
    <n v="535"/>
    <n v="31"/>
    <x v="1"/>
    <x v="2"/>
    <x v="10"/>
    <n v="45.03"/>
    <x v="1"/>
    <x v="1"/>
    <n v="4.9000000000000004"/>
    <n v="12"/>
    <n v="6"/>
    <n v="51.170454545454547"/>
    <n v="6.1404545454545456"/>
    <x v="5"/>
    <m/>
  </r>
  <r>
    <n v="536"/>
    <n v="49"/>
    <x v="1"/>
    <x v="7"/>
    <x v="8"/>
    <n v="105.07"/>
    <x v="3"/>
    <x v="0"/>
    <n v="4.2"/>
    <n v="14"/>
    <n v="7"/>
    <n v="122.17441860465115"/>
    <n v="17.104418604651158"/>
    <x v="4"/>
    <m/>
  </r>
  <r>
    <n v="537"/>
    <n v="35"/>
    <x v="0"/>
    <x v="0"/>
    <x v="22"/>
    <n v="31.51"/>
    <x v="3"/>
    <x v="0"/>
    <n v="3.2"/>
    <n v="15"/>
    <n v="5"/>
    <n v="37.070588235294117"/>
    <n v="5.5605882352941158"/>
    <x v="1"/>
    <m/>
  </r>
  <r>
    <n v="538"/>
    <n v="60"/>
    <x v="1"/>
    <x v="2"/>
    <x v="10"/>
    <n v="98.94"/>
    <x v="1"/>
    <x v="0"/>
    <n v="3.4"/>
    <n v="10"/>
    <n v="5"/>
    <n v="109.93333333333332"/>
    <n v="10.993333333333325"/>
    <x v="0"/>
    <m/>
  </r>
  <r>
    <n v="539"/>
    <n v="23"/>
    <x v="1"/>
    <x v="7"/>
    <x v="11"/>
    <n v="236.7"/>
    <x v="1"/>
    <x v="0"/>
    <n v="4.5"/>
    <n v="17"/>
    <n v="6"/>
    <n v="285.18072289156629"/>
    <n v="48.480722891566302"/>
    <x v="3"/>
    <m/>
  </r>
  <r>
    <n v="540"/>
    <n v="59"/>
    <x v="0"/>
    <x v="8"/>
    <x v="17"/>
    <n v="111.87"/>
    <x v="2"/>
    <x v="0"/>
    <n v="3.9"/>
    <n v="21"/>
    <n v="8"/>
    <n v="141.60759493670886"/>
    <n v="29.737594936708859"/>
    <x v="0"/>
    <m/>
  </r>
  <r>
    <n v="541"/>
    <n v="31"/>
    <x v="1"/>
    <x v="2"/>
    <x v="2"/>
    <n v="90.67"/>
    <x v="0"/>
    <x v="1"/>
    <n v="5"/>
    <n v="12"/>
    <n v="6"/>
    <n v="103.03409090909091"/>
    <n v="12.364090909090905"/>
    <x v="5"/>
    <m/>
  </r>
  <r>
    <n v="542"/>
    <n v="28"/>
    <x v="1"/>
    <x v="1"/>
    <x v="14"/>
    <n v="141.19"/>
    <x v="2"/>
    <x v="0"/>
    <n v="4"/>
    <n v="4"/>
    <n v="2"/>
    <n v="147.07291666666666"/>
    <n v="5.8829166666666595"/>
    <x v="5"/>
    <m/>
  </r>
  <r>
    <n v="543"/>
    <n v="32"/>
    <x v="0"/>
    <x v="8"/>
    <x v="17"/>
    <n v="158.72"/>
    <x v="1"/>
    <x v="0"/>
    <n v="4.9000000000000004"/>
    <n v="16"/>
    <n v="3"/>
    <n v="188.95238095238096"/>
    <n v="30.232380952380964"/>
    <x v="5"/>
    <m/>
  </r>
  <r>
    <n v="544"/>
    <n v="32"/>
    <x v="0"/>
    <x v="7"/>
    <x v="8"/>
    <n v="91.02"/>
    <x v="2"/>
    <x v="0"/>
    <n v="4.0999999999999996"/>
    <n v="17"/>
    <n v="6"/>
    <n v="109.66265060240964"/>
    <n v="18.642650602409645"/>
    <x v="5"/>
    <m/>
  </r>
  <r>
    <n v="545"/>
    <n v="70"/>
    <x v="0"/>
    <x v="0"/>
    <x v="22"/>
    <n v="159.31"/>
    <x v="0"/>
    <x v="0"/>
    <n v="4.5"/>
    <n v="17"/>
    <n v="6"/>
    <n v="191.93975903614458"/>
    <n v="32.629759036144577"/>
    <x v="2"/>
    <m/>
  </r>
  <r>
    <n v="546"/>
    <n v="30"/>
    <x v="1"/>
    <x v="5"/>
    <x v="7"/>
    <n v="2428.11"/>
    <x v="1"/>
    <x v="0"/>
    <n v="3.9"/>
    <n v="4"/>
    <n v="2"/>
    <n v="2529.28125"/>
    <n v="101.17124999999987"/>
    <x v="5"/>
    <m/>
  </r>
  <r>
    <n v="547"/>
    <n v="28"/>
    <x v="0"/>
    <x v="6"/>
    <x v="6"/>
    <n v="25.24"/>
    <x v="2"/>
    <x v="0"/>
    <n v="3.7"/>
    <n v="21"/>
    <n v="8"/>
    <n v="31.949367088607591"/>
    <n v="6.7093670886075927"/>
    <x v="5"/>
    <m/>
  </r>
  <r>
    <n v="548"/>
    <n v="46"/>
    <x v="1"/>
    <x v="4"/>
    <x v="19"/>
    <n v="62.51"/>
    <x v="2"/>
    <x v="1"/>
    <n v="4.2"/>
    <n v="11"/>
    <n v="3"/>
    <n v="70.235955056179776"/>
    <n v="7.7259550561797781"/>
    <x v="4"/>
    <m/>
  </r>
  <r>
    <n v="549"/>
    <n v="22"/>
    <x v="1"/>
    <x v="7"/>
    <x v="8"/>
    <n v="80.22"/>
    <x v="3"/>
    <x v="0"/>
    <n v="4.5999999999999996"/>
    <n v="8"/>
    <n v="4"/>
    <n v="87.195652173913032"/>
    <n v="6.9756521739130335"/>
    <x v="3"/>
    <m/>
  </r>
  <r>
    <n v="550"/>
    <n v="28"/>
    <x v="1"/>
    <x v="5"/>
    <x v="25"/>
    <n v="600.16999999999996"/>
    <x v="2"/>
    <x v="0"/>
    <n v="3.8"/>
    <n v="10"/>
    <n v="5"/>
    <n v="666.8555555555555"/>
    <n v="66.685555555555538"/>
    <x v="5"/>
    <m/>
  </r>
  <r>
    <n v="551"/>
    <n v="63"/>
    <x v="1"/>
    <x v="1"/>
    <x v="14"/>
    <n v="106.27"/>
    <x v="3"/>
    <x v="0"/>
    <n v="3.5"/>
    <n v="14"/>
    <n v="7"/>
    <n v="123.56976744186046"/>
    <n v="17.299767441860467"/>
    <x v="0"/>
    <m/>
  </r>
  <r>
    <n v="552"/>
    <n v="27"/>
    <x v="1"/>
    <x v="7"/>
    <x v="11"/>
    <n v="141.6"/>
    <x v="2"/>
    <x v="0"/>
    <n v="4.0999999999999996"/>
    <n v="19"/>
    <n v="7"/>
    <n v="174.81481481481481"/>
    <n v="33.214814814814815"/>
    <x v="5"/>
    <m/>
  </r>
  <r>
    <n v="553"/>
    <n v="43"/>
    <x v="1"/>
    <x v="7"/>
    <x v="8"/>
    <n v="90.88"/>
    <x v="2"/>
    <x v="1"/>
    <n v="3.3"/>
    <n v="14"/>
    <n v="2"/>
    <n v="105.67441860465117"/>
    <n v="14.79441860465117"/>
    <x v="1"/>
    <m/>
  </r>
  <r>
    <n v="554"/>
    <n v="20"/>
    <x v="0"/>
    <x v="7"/>
    <x v="13"/>
    <n v="156.91"/>
    <x v="3"/>
    <x v="0"/>
    <n v="4.0999999999999996"/>
    <n v="22"/>
    <n v="6"/>
    <n v="201.16666666666666"/>
    <n v="44.256666666666661"/>
    <x v="3"/>
    <m/>
  </r>
  <r>
    <n v="555"/>
    <n v="41"/>
    <x v="1"/>
    <x v="2"/>
    <x v="2"/>
    <n v="232.73"/>
    <x v="2"/>
    <x v="0"/>
    <n v="3.7"/>
    <n v="15"/>
    <n v="5"/>
    <n v="273.8"/>
    <n v="41.070000000000022"/>
    <x v="1"/>
    <m/>
  </r>
  <r>
    <n v="556"/>
    <n v="29"/>
    <x v="0"/>
    <x v="0"/>
    <x v="28"/>
    <n v="53.93"/>
    <x v="3"/>
    <x v="0"/>
    <n v="2.5"/>
    <n v="18"/>
    <n v="4"/>
    <n v="65.768292682926827"/>
    <n v="11.838292682926827"/>
    <x v="5"/>
    <m/>
  </r>
  <r>
    <n v="557"/>
    <n v="61"/>
    <x v="1"/>
    <x v="7"/>
    <x v="13"/>
    <n v="65.72"/>
    <x v="3"/>
    <x v="1"/>
    <n v="2.8"/>
    <n v="8"/>
    <n v="4"/>
    <n v="71.434782608695642"/>
    <n v="5.7147826086956428"/>
    <x v="0"/>
    <m/>
  </r>
  <r>
    <n v="558"/>
    <n v="69"/>
    <x v="0"/>
    <x v="8"/>
    <x v="16"/>
    <n v="159.87"/>
    <x v="2"/>
    <x v="0"/>
    <n v="3.6"/>
    <n v="10"/>
    <n v="0"/>
    <n v="177.63333333333333"/>
    <n v="17.763333333333321"/>
    <x v="2"/>
    <m/>
  </r>
  <r>
    <n v="559"/>
    <n v="64"/>
    <x v="1"/>
    <x v="5"/>
    <x v="21"/>
    <n v="2435.63"/>
    <x v="2"/>
    <x v="0"/>
    <n v="3.3"/>
    <n v="18"/>
    <n v="4"/>
    <n v="2970.2804878048778"/>
    <n v="534.65048780487768"/>
    <x v="0"/>
    <m/>
  </r>
  <r>
    <n v="560"/>
    <n v="40"/>
    <x v="1"/>
    <x v="7"/>
    <x v="13"/>
    <n v="90.24"/>
    <x v="1"/>
    <x v="1"/>
    <n v="4.3"/>
    <n v="17"/>
    <n v="6"/>
    <n v="108.72289156626506"/>
    <n v="18.482891566265067"/>
    <x v="1"/>
    <m/>
  </r>
  <r>
    <n v="561"/>
    <n v="37"/>
    <x v="0"/>
    <x v="0"/>
    <x v="0"/>
    <n v="117.76"/>
    <x v="1"/>
    <x v="0"/>
    <n v="3.5"/>
    <n v="12"/>
    <n v="6"/>
    <n v="133.81818181818181"/>
    <n v="16.058181818181808"/>
    <x v="1"/>
    <m/>
  </r>
  <r>
    <n v="562"/>
    <n v="64"/>
    <x v="0"/>
    <x v="8"/>
    <x v="14"/>
    <n v="97.62"/>
    <x v="3"/>
    <x v="0"/>
    <n v="3.8"/>
    <n v="8"/>
    <n v="4"/>
    <n v="106.10869565217391"/>
    <n v="8.4886956521739023"/>
    <x v="0"/>
    <m/>
  </r>
  <r>
    <n v="563"/>
    <n v="66"/>
    <x v="0"/>
    <x v="6"/>
    <x v="23"/>
    <n v="98.66"/>
    <x v="0"/>
    <x v="0"/>
    <n v="2.7"/>
    <n v="22"/>
    <n v="6"/>
    <n v="126.48717948717947"/>
    <n v="27.827179487179478"/>
    <x v="2"/>
    <m/>
  </r>
  <r>
    <n v="564"/>
    <n v="66"/>
    <x v="0"/>
    <x v="8"/>
    <x v="17"/>
    <n v="185.56"/>
    <x v="1"/>
    <x v="0"/>
    <n v="3.7"/>
    <n v="21"/>
    <n v="8"/>
    <n v="234.88607594936707"/>
    <n v="49.326075949367066"/>
    <x v="2"/>
    <m/>
  </r>
  <r>
    <n v="565"/>
    <n v="60"/>
    <x v="0"/>
    <x v="4"/>
    <x v="19"/>
    <n v="12.59"/>
    <x v="1"/>
    <x v="0"/>
    <n v="3.4"/>
    <n v="12"/>
    <n v="1"/>
    <n v="14.306818181818182"/>
    <n v="1.7168181818181818"/>
    <x v="0"/>
    <m/>
  </r>
  <r>
    <n v="566"/>
    <n v="41"/>
    <x v="0"/>
    <x v="6"/>
    <x v="23"/>
    <n v="34.299999999999997"/>
    <x v="0"/>
    <x v="0"/>
    <n v="3.3"/>
    <n v="4"/>
    <n v="2"/>
    <n v="35.729166666666664"/>
    <n v="1.4291666666666671"/>
    <x v="1"/>
    <m/>
  </r>
  <r>
    <n v="567"/>
    <n v="29"/>
    <x v="1"/>
    <x v="2"/>
    <x v="2"/>
    <n v="162.96"/>
    <x v="3"/>
    <x v="0"/>
    <n v="3.9"/>
    <n v="19"/>
    <n v="7"/>
    <n v="201.18518518518519"/>
    <n v="38.225185185185182"/>
    <x v="5"/>
    <m/>
  </r>
  <r>
    <n v="568"/>
    <n v="45"/>
    <x v="1"/>
    <x v="5"/>
    <x v="21"/>
    <n v="2785.85"/>
    <x v="1"/>
    <x v="0"/>
    <n v="3.4"/>
    <n v="18"/>
    <n v="4"/>
    <n v="3397.3780487804875"/>
    <n v="611.52804878048755"/>
    <x v="4"/>
    <m/>
  </r>
  <r>
    <n v="569"/>
    <n v="67"/>
    <x v="1"/>
    <x v="7"/>
    <x v="11"/>
    <n v="79.989999999999995"/>
    <x v="1"/>
    <x v="0"/>
    <n v="3.5"/>
    <n v="12"/>
    <n v="1"/>
    <n v="90.897727272727266"/>
    <n v="10.907727272727271"/>
    <x v="2"/>
    <m/>
  </r>
  <r>
    <n v="570"/>
    <n v="24"/>
    <x v="0"/>
    <x v="8"/>
    <x v="14"/>
    <n v="33.979999999999997"/>
    <x v="1"/>
    <x v="0"/>
    <n v="2.1"/>
    <n v="15"/>
    <n v="5"/>
    <n v="39.976470588235294"/>
    <n v="5.9964705882352973"/>
    <x v="3"/>
    <m/>
  </r>
  <r>
    <n v="571"/>
    <n v="32"/>
    <x v="1"/>
    <x v="5"/>
    <x v="25"/>
    <n v="2562.09"/>
    <x v="2"/>
    <x v="0"/>
    <n v="3.7"/>
    <n v="14"/>
    <n v="7"/>
    <n v="2979.1744186046512"/>
    <n v="417.08441860465109"/>
    <x v="5"/>
    <m/>
  </r>
  <r>
    <n v="572"/>
    <n v="69"/>
    <x v="0"/>
    <x v="6"/>
    <x v="23"/>
    <n v="55.71"/>
    <x v="1"/>
    <x v="0"/>
    <n v="2.9"/>
    <n v="15"/>
    <n v="5"/>
    <n v="65.54117647058824"/>
    <n v="9.8311764705882396"/>
    <x v="2"/>
    <m/>
  </r>
  <r>
    <n v="573"/>
    <n v="61"/>
    <x v="1"/>
    <x v="7"/>
    <x v="11"/>
    <n v="41.13"/>
    <x v="3"/>
    <x v="1"/>
    <n v="5"/>
    <n v="17"/>
    <n v="6"/>
    <n v="49.554216867469883"/>
    <n v="8.4242168674698803"/>
    <x v="0"/>
    <m/>
  </r>
  <r>
    <n v="574"/>
    <n v="46"/>
    <x v="0"/>
    <x v="8"/>
    <x v="16"/>
    <n v="62.15"/>
    <x v="3"/>
    <x v="1"/>
    <n v="3.8"/>
    <n v="22"/>
    <n v="6"/>
    <n v="79.679487179487168"/>
    <n v="17.52948717948717"/>
    <x v="4"/>
    <m/>
  </r>
  <r>
    <n v="575"/>
    <n v="44"/>
    <x v="1"/>
    <x v="3"/>
    <x v="3"/>
    <n v="124.45"/>
    <x v="3"/>
    <x v="0"/>
    <n v="5"/>
    <n v="9"/>
    <n v="2"/>
    <n v="136.75824175824175"/>
    <n v="12.308241758241749"/>
    <x v="1"/>
    <m/>
  </r>
  <r>
    <n v="576"/>
    <n v="46"/>
    <x v="1"/>
    <x v="7"/>
    <x v="13"/>
    <n v="75.37"/>
    <x v="2"/>
    <x v="0"/>
    <n v="3.7"/>
    <n v="20"/>
    <n v="10"/>
    <n v="94.212500000000006"/>
    <n v="18.842500000000001"/>
    <x v="4"/>
    <m/>
  </r>
  <r>
    <n v="577"/>
    <n v="30"/>
    <x v="1"/>
    <x v="2"/>
    <x v="10"/>
    <n v="141.81"/>
    <x v="2"/>
    <x v="0"/>
    <n v="4.9000000000000004"/>
    <n v="13"/>
    <n v="4"/>
    <n v="163"/>
    <n v="21.189999999999998"/>
    <x v="5"/>
    <m/>
  </r>
  <r>
    <n v="578"/>
    <n v="38"/>
    <x v="1"/>
    <x v="1"/>
    <x v="14"/>
    <n v="173.03"/>
    <x v="0"/>
    <x v="0"/>
    <n v="2.6"/>
    <n v="13"/>
    <n v="4"/>
    <n v="198.88505747126436"/>
    <n v="25.855057471264359"/>
    <x v="1"/>
    <m/>
  </r>
  <r>
    <n v="579"/>
    <n v="26"/>
    <x v="0"/>
    <x v="3"/>
    <x v="3"/>
    <n v="174.88"/>
    <x v="0"/>
    <x v="0"/>
    <n v="4.4000000000000004"/>
    <n v="14"/>
    <n v="2"/>
    <n v="203.34883720930233"/>
    <n v="28.468837209302336"/>
    <x v="5"/>
    <m/>
  </r>
  <r>
    <n v="580"/>
    <n v="42"/>
    <x v="0"/>
    <x v="6"/>
    <x v="6"/>
    <n v="48.19"/>
    <x v="2"/>
    <x v="0"/>
    <n v="2.7"/>
    <n v="12"/>
    <n v="6"/>
    <n v="54.761363636363633"/>
    <n v="6.5713636363636354"/>
    <x v="1"/>
    <m/>
  </r>
  <r>
    <n v="581"/>
    <n v="37"/>
    <x v="1"/>
    <x v="5"/>
    <x v="21"/>
    <n v="714.78"/>
    <x v="2"/>
    <x v="0"/>
    <n v="4"/>
    <n v="12"/>
    <n v="6"/>
    <n v="812.25"/>
    <n v="97.470000000000027"/>
    <x v="1"/>
    <m/>
  </r>
  <r>
    <n v="582"/>
    <n v="54"/>
    <x v="0"/>
    <x v="2"/>
    <x v="12"/>
    <n v="30.19"/>
    <x v="0"/>
    <x v="1"/>
    <n v="4.2"/>
    <n v="13"/>
    <n v="4"/>
    <n v="34.701149425287355"/>
    <n v="4.5111494252873534"/>
    <x v="4"/>
    <m/>
  </r>
  <r>
    <n v="583"/>
    <n v="68"/>
    <x v="0"/>
    <x v="6"/>
    <x v="23"/>
    <n v="120.37"/>
    <x v="2"/>
    <x v="0"/>
    <n v="2.9"/>
    <n v="24"/>
    <n v="7"/>
    <n v="158.38157894736844"/>
    <n v="38.011578947368434"/>
    <x v="2"/>
    <m/>
  </r>
  <r>
    <n v="584"/>
    <n v="38"/>
    <x v="0"/>
    <x v="8"/>
    <x v="18"/>
    <n v="185.35"/>
    <x v="2"/>
    <x v="0"/>
    <n v="4.9000000000000004"/>
    <n v="12"/>
    <n v="6"/>
    <n v="210.625"/>
    <n v="25.275000000000006"/>
    <x v="1"/>
    <m/>
  </r>
  <r>
    <n v="585"/>
    <n v="25"/>
    <x v="1"/>
    <x v="5"/>
    <x v="7"/>
    <n v="1495.63"/>
    <x v="3"/>
    <x v="0"/>
    <n v="3.8"/>
    <n v="14"/>
    <n v="2"/>
    <n v="1739.1046511627908"/>
    <n v="243.47465116279068"/>
    <x v="5"/>
    <m/>
  </r>
  <r>
    <n v="586"/>
    <n v="42"/>
    <x v="1"/>
    <x v="5"/>
    <x v="5"/>
    <n v="1552.24"/>
    <x v="0"/>
    <x v="0"/>
    <n v="3.8"/>
    <n v="17"/>
    <n v="6"/>
    <n v="1870.1686746987953"/>
    <n v="317.92867469879525"/>
    <x v="1"/>
    <m/>
  </r>
  <r>
    <n v="587"/>
    <n v="26"/>
    <x v="1"/>
    <x v="2"/>
    <x v="2"/>
    <n v="175.47"/>
    <x v="0"/>
    <x v="0"/>
    <n v="3"/>
    <n v="13"/>
    <n v="4"/>
    <n v="201.68965517241378"/>
    <n v="26.219655172413781"/>
    <x v="5"/>
    <m/>
  </r>
  <r>
    <n v="588"/>
    <n v="45"/>
    <x v="1"/>
    <x v="2"/>
    <x v="2"/>
    <n v="136.12"/>
    <x v="1"/>
    <x v="0"/>
    <n v="4.5"/>
    <n v="23"/>
    <n v="9"/>
    <n v="176.77922077922079"/>
    <n v="40.659220779220789"/>
    <x v="4"/>
    <m/>
  </r>
  <r>
    <n v="589"/>
    <n v="22"/>
    <x v="0"/>
    <x v="7"/>
    <x v="13"/>
    <n v="174.5"/>
    <x v="0"/>
    <x v="0"/>
    <n v="3.7"/>
    <n v="14"/>
    <n v="2"/>
    <n v="202.90697674418604"/>
    <n v="28.406976744186039"/>
    <x v="3"/>
    <m/>
  </r>
  <r>
    <n v="590"/>
    <n v="40"/>
    <x v="1"/>
    <x v="3"/>
    <x v="15"/>
    <n v="136.29"/>
    <x v="2"/>
    <x v="0"/>
    <n v="2.9"/>
    <n v="13"/>
    <n v="4"/>
    <n v="156.65517241379308"/>
    <n v="20.36517241379309"/>
    <x v="1"/>
    <m/>
  </r>
  <r>
    <n v="591"/>
    <n v="44"/>
    <x v="0"/>
    <x v="7"/>
    <x v="11"/>
    <n v="62.11"/>
    <x v="3"/>
    <x v="0"/>
    <n v="2.9"/>
    <n v="19"/>
    <n v="7"/>
    <n v="76.679012345679013"/>
    <n v="14.569012345679013"/>
    <x v="1"/>
    <m/>
  </r>
  <r>
    <n v="592"/>
    <n v="31"/>
    <x v="1"/>
    <x v="2"/>
    <x v="2"/>
    <n v="209.64"/>
    <x v="0"/>
    <x v="0"/>
    <n v="4.5999999999999996"/>
    <n v="11"/>
    <n v="3"/>
    <n v="235.55056179775278"/>
    <n v="25.910561797752791"/>
    <x v="5"/>
    <m/>
  </r>
  <r>
    <n v="593"/>
    <n v="23"/>
    <x v="1"/>
    <x v="7"/>
    <x v="11"/>
    <n v="188.15"/>
    <x v="2"/>
    <x v="0"/>
    <n v="3.5"/>
    <n v="4"/>
    <n v="2"/>
    <n v="195.98958333333334"/>
    <n v="7.8395833333333371"/>
    <x v="3"/>
    <m/>
  </r>
  <r>
    <n v="594"/>
    <n v="27"/>
    <x v="0"/>
    <x v="0"/>
    <x v="0"/>
    <n v="31.87"/>
    <x v="2"/>
    <x v="1"/>
    <n v="5"/>
    <n v="22"/>
    <n v="6"/>
    <n v="40.858974358974358"/>
    <n v="8.9889743589743567"/>
    <x v="5"/>
    <m/>
  </r>
  <r>
    <n v="595"/>
    <n v="24"/>
    <x v="1"/>
    <x v="1"/>
    <x v="14"/>
    <n v="128.63999999999999"/>
    <x v="0"/>
    <x v="0"/>
    <n v="4.4000000000000004"/>
    <n v="22"/>
    <n v="6"/>
    <n v="164.92307692307691"/>
    <n v="36.283076923076919"/>
    <x v="3"/>
    <m/>
  </r>
  <r>
    <n v="596"/>
    <n v="57"/>
    <x v="0"/>
    <x v="7"/>
    <x v="13"/>
    <n v="107.31"/>
    <x v="2"/>
    <x v="0"/>
    <n v="3.6"/>
    <n v="16"/>
    <n v="8"/>
    <n v="127.75000000000001"/>
    <n v="20.440000000000012"/>
    <x v="0"/>
    <m/>
  </r>
  <r>
    <n v="597"/>
    <n v="37"/>
    <x v="0"/>
    <x v="2"/>
    <x v="2"/>
    <n v="160.72"/>
    <x v="1"/>
    <x v="0"/>
    <n v="3.8"/>
    <n v="8"/>
    <n v="4"/>
    <n v="174.69565217391303"/>
    <n v="13.975652173913033"/>
    <x v="1"/>
    <m/>
  </r>
  <r>
    <n v="598"/>
    <n v="44"/>
    <x v="1"/>
    <x v="1"/>
    <x v="20"/>
    <n v="74.66"/>
    <x v="0"/>
    <x v="1"/>
    <n v="3"/>
    <n v="13"/>
    <n v="4"/>
    <n v="85.81609195402298"/>
    <n v="11.156091954022983"/>
    <x v="1"/>
    <m/>
  </r>
  <r>
    <n v="599"/>
    <n v="69"/>
    <x v="1"/>
    <x v="7"/>
    <x v="13"/>
    <n v="210.5"/>
    <x v="2"/>
    <x v="0"/>
    <n v="3.8"/>
    <n v="13"/>
    <n v="4"/>
    <n v="241.95402298850576"/>
    <n v="31.454022988505756"/>
    <x v="2"/>
    <m/>
  </r>
  <r>
    <n v="600"/>
    <n v="24"/>
    <x v="1"/>
    <x v="1"/>
    <x v="1"/>
    <n v="35.35"/>
    <x v="2"/>
    <x v="0"/>
    <n v="3.6"/>
    <n v="21"/>
    <n v="8"/>
    <n v="44.746835443037973"/>
    <n v="9.3968354430379719"/>
    <x v="3"/>
    <m/>
  </r>
  <r>
    <n v="601"/>
    <n v="48"/>
    <x v="1"/>
    <x v="2"/>
    <x v="12"/>
    <n v="63.8"/>
    <x v="2"/>
    <x v="1"/>
    <n v="4.2"/>
    <n v="15"/>
    <n v="5"/>
    <n v="75.058823529411768"/>
    <n v="11.258823529411771"/>
    <x v="4"/>
    <m/>
  </r>
  <r>
    <n v="602"/>
    <n v="50"/>
    <x v="1"/>
    <x v="7"/>
    <x v="11"/>
    <n v="66.64"/>
    <x v="3"/>
    <x v="0"/>
    <n v="5"/>
    <n v="15"/>
    <n v="5"/>
    <n v="78.400000000000006"/>
    <n v="11.760000000000005"/>
    <x v="4"/>
    <m/>
  </r>
  <r>
    <n v="603"/>
    <n v="33"/>
    <x v="0"/>
    <x v="2"/>
    <x v="12"/>
    <n v="26.47"/>
    <x v="1"/>
    <x v="1"/>
    <n v="2.7"/>
    <n v="4"/>
    <n v="2"/>
    <n v="27.572916666666668"/>
    <n v="1.102916666666669"/>
    <x v="5"/>
    <m/>
  </r>
  <r>
    <n v="604"/>
    <n v="67"/>
    <x v="1"/>
    <x v="7"/>
    <x v="8"/>
    <n v="233.68"/>
    <x v="0"/>
    <x v="0"/>
    <n v="3.3"/>
    <n v="13"/>
    <n v="4"/>
    <n v="268.59770114942529"/>
    <n v="34.917701149425284"/>
    <x v="2"/>
    <m/>
  </r>
  <r>
    <n v="605"/>
    <n v="48"/>
    <x v="0"/>
    <x v="2"/>
    <x v="12"/>
    <n v="184.2"/>
    <x v="1"/>
    <x v="0"/>
    <n v="4.3"/>
    <n v="19"/>
    <n v="7"/>
    <n v="227.40740740740739"/>
    <n v="43.207407407407402"/>
    <x v="4"/>
    <m/>
  </r>
  <r>
    <n v="606"/>
    <n v="43"/>
    <x v="0"/>
    <x v="7"/>
    <x v="8"/>
    <n v="209.23"/>
    <x v="2"/>
    <x v="0"/>
    <n v="3"/>
    <n v="13"/>
    <n v="4"/>
    <n v="240.4942528735632"/>
    <n v="31.264252873563208"/>
    <x v="1"/>
    <m/>
  </r>
  <r>
    <n v="607"/>
    <n v="55"/>
    <x v="1"/>
    <x v="2"/>
    <x v="2"/>
    <n v="225.1"/>
    <x v="2"/>
    <x v="0"/>
    <n v="4.8"/>
    <n v="12"/>
    <n v="6"/>
    <n v="255.79545454545453"/>
    <n v="30.695454545454538"/>
    <x v="0"/>
    <m/>
  </r>
  <r>
    <n v="608"/>
    <n v="26"/>
    <x v="1"/>
    <x v="1"/>
    <x v="20"/>
    <n v="172.87"/>
    <x v="3"/>
    <x v="0"/>
    <n v="3.3"/>
    <n v="17"/>
    <n v="6"/>
    <n v="208.27710843373495"/>
    <n v="35.407108433734948"/>
    <x v="5"/>
    <m/>
  </r>
  <r>
    <n v="609"/>
    <n v="56"/>
    <x v="1"/>
    <x v="5"/>
    <x v="21"/>
    <n v="2831.6"/>
    <x v="0"/>
    <x v="0"/>
    <n v="4.7"/>
    <n v="15"/>
    <n v="5"/>
    <n v="3331.294117647059"/>
    <n v="499.6941176470591"/>
    <x v="0"/>
    <m/>
  </r>
  <r>
    <n v="610"/>
    <n v="52"/>
    <x v="0"/>
    <x v="0"/>
    <x v="0"/>
    <n v="20.11"/>
    <x v="1"/>
    <x v="0"/>
    <n v="5"/>
    <n v="8"/>
    <n v="4"/>
    <n v="21.85869565217391"/>
    <n v="1.748695652173911"/>
    <x v="4"/>
    <m/>
  </r>
  <r>
    <n v="611"/>
    <n v="32"/>
    <x v="1"/>
    <x v="4"/>
    <x v="4"/>
    <n v="58.96"/>
    <x v="2"/>
    <x v="1"/>
    <n v="4.8"/>
    <n v="4"/>
    <n v="2"/>
    <n v="61.416666666666671"/>
    <n v="2.4566666666666706"/>
    <x v="5"/>
    <m/>
  </r>
  <r>
    <n v="612"/>
    <n v="44"/>
    <x v="0"/>
    <x v="0"/>
    <x v="28"/>
    <n v="170.49"/>
    <x v="0"/>
    <x v="0"/>
    <n v="2.9"/>
    <n v="18"/>
    <n v="9"/>
    <n v="207.91463414634146"/>
    <n v="37.424634146341447"/>
    <x v="1"/>
    <m/>
  </r>
  <r>
    <n v="613"/>
    <n v="44"/>
    <x v="0"/>
    <x v="8"/>
    <x v="16"/>
    <n v="65.05"/>
    <x v="3"/>
    <x v="1"/>
    <n v="3.4"/>
    <n v="19"/>
    <n v="7"/>
    <n v="80.308641975308632"/>
    <n v="15.258641975308635"/>
    <x v="1"/>
    <m/>
  </r>
  <r>
    <n v="614"/>
    <n v="32"/>
    <x v="0"/>
    <x v="8"/>
    <x v="14"/>
    <n v="35.659999999999997"/>
    <x v="3"/>
    <x v="1"/>
    <n v="4.0999999999999996"/>
    <n v="17"/>
    <n v="6"/>
    <n v="42.963855421686745"/>
    <n v="7.3038554216867482"/>
    <x v="5"/>
    <m/>
  </r>
  <r>
    <n v="615"/>
    <n v="32"/>
    <x v="0"/>
    <x v="2"/>
    <x v="12"/>
    <n v="37.450000000000003"/>
    <x v="2"/>
    <x v="0"/>
    <n v="3.2"/>
    <n v="2"/>
    <n v="1"/>
    <n v="38.214285714285715"/>
    <n v="0.76428571428571246"/>
    <x v="5"/>
    <m/>
  </r>
  <r>
    <n v="616"/>
    <n v="26"/>
    <x v="0"/>
    <x v="0"/>
    <x v="22"/>
    <n v="170.43"/>
    <x v="1"/>
    <x v="0"/>
    <n v="3.1"/>
    <n v="17"/>
    <n v="6"/>
    <n v="205.33734939759037"/>
    <n v="34.907349397590366"/>
    <x v="5"/>
    <m/>
  </r>
  <r>
    <n v="617"/>
    <n v="30"/>
    <x v="0"/>
    <x v="7"/>
    <x v="11"/>
    <n v="61.98"/>
    <x v="1"/>
    <x v="0"/>
    <n v="3.5"/>
    <n v="10"/>
    <n v="5"/>
    <n v="68.86666666666666"/>
    <n v="6.8866666666666632"/>
    <x v="5"/>
    <m/>
  </r>
  <r>
    <n v="618"/>
    <n v="54"/>
    <x v="0"/>
    <x v="8"/>
    <x v="18"/>
    <n v="97.85"/>
    <x v="0"/>
    <x v="1"/>
    <n v="3.6"/>
    <n v="12"/>
    <n v="6"/>
    <n v="111.19318181818181"/>
    <n v="13.343181818181819"/>
    <x v="4"/>
    <m/>
  </r>
  <r>
    <n v="619"/>
    <n v="44"/>
    <x v="1"/>
    <x v="7"/>
    <x v="11"/>
    <n v="180.53"/>
    <x v="0"/>
    <x v="0"/>
    <n v="3.4"/>
    <n v="26"/>
    <n v="8"/>
    <n v="243.95945945945945"/>
    <n v="63.429459459459451"/>
    <x v="1"/>
    <m/>
  </r>
  <r>
    <n v="620"/>
    <n v="70"/>
    <x v="1"/>
    <x v="5"/>
    <x v="5"/>
    <n v="2658.73"/>
    <x v="3"/>
    <x v="0"/>
    <n v="4.3"/>
    <n v="22"/>
    <n v="6"/>
    <n v="3408.6282051282051"/>
    <n v="749.89820512820506"/>
    <x v="2"/>
    <m/>
  </r>
  <r>
    <n v="621"/>
    <n v="32"/>
    <x v="1"/>
    <x v="7"/>
    <x v="11"/>
    <n v="158.28"/>
    <x v="0"/>
    <x v="0"/>
    <n v="4.0999999999999996"/>
    <n v="26"/>
    <n v="8"/>
    <n v="213.8918918918919"/>
    <n v="55.611891891891901"/>
    <x v="5"/>
    <m/>
  </r>
  <r>
    <n v="622"/>
    <n v="57"/>
    <x v="1"/>
    <x v="2"/>
    <x v="10"/>
    <n v="222.98"/>
    <x v="2"/>
    <x v="0"/>
    <n v="3.5"/>
    <n v="24"/>
    <n v="7"/>
    <n v="293.39473684210526"/>
    <n v="70.41473684210527"/>
    <x v="0"/>
    <m/>
  </r>
  <r>
    <n v="623"/>
    <n v="49"/>
    <x v="1"/>
    <x v="1"/>
    <x v="1"/>
    <n v="197.05"/>
    <x v="2"/>
    <x v="0"/>
    <n v="4.4000000000000004"/>
    <n v="17"/>
    <n v="6"/>
    <n v="237.40963855421688"/>
    <n v="40.359638554216872"/>
    <x v="4"/>
    <m/>
  </r>
  <r>
    <n v="624"/>
    <n v="48"/>
    <x v="1"/>
    <x v="2"/>
    <x v="10"/>
    <n v="97.69"/>
    <x v="3"/>
    <x v="1"/>
    <n v="3.4"/>
    <n v="19"/>
    <n v="7"/>
    <n v="120.60493827160492"/>
    <n v="22.914938271604925"/>
    <x v="4"/>
    <m/>
  </r>
  <r>
    <n v="625"/>
    <n v="35"/>
    <x v="1"/>
    <x v="5"/>
    <x v="5"/>
    <n v="761.2"/>
    <x v="3"/>
    <x v="0"/>
    <n v="5"/>
    <n v="24"/>
    <n v="7"/>
    <n v="1001.5789473684212"/>
    <n v="240.37894736842111"/>
    <x v="1"/>
    <m/>
  </r>
  <r>
    <n v="626"/>
    <n v="63"/>
    <x v="0"/>
    <x v="7"/>
    <x v="8"/>
    <n v="208.69"/>
    <x v="2"/>
    <x v="0"/>
    <n v="3.2"/>
    <n v="13"/>
    <n v="4"/>
    <n v="239.87356321839081"/>
    <n v="31.183563218390816"/>
    <x v="0"/>
    <m/>
  </r>
  <r>
    <n v="627"/>
    <n v="60"/>
    <x v="0"/>
    <x v="8"/>
    <x v="18"/>
    <n v="31.81"/>
    <x v="1"/>
    <x v="0"/>
    <n v="3.5"/>
    <n v="12"/>
    <n v="6"/>
    <n v="36.147727272727273"/>
    <n v="4.3377272727272747"/>
    <x v="0"/>
    <m/>
  </r>
  <r>
    <n v="628"/>
    <n v="29"/>
    <x v="1"/>
    <x v="5"/>
    <x v="21"/>
    <n v="1170.69"/>
    <x v="3"/>
    <x v="0"/>
    <n v="3.5"/>
    <n v="16"/>
    <n v="3"/>
    <n v="1393.6785714285716"/>
    <n v="222.9885714285715"/>
    <x v="5"/>
    <m/>
  </r>
  <r>
    <n v="629"/>
    <n v="54"/>
    <x v="1"/>
    <x v="7"/>
    <x v="8"/>
    <n v="66.739999999999995"/>
    <x v="0"/>
    <x v="1"/>
    <n v="4.3"/>
    <n v="12"/>
    <n v="6"/>
    <n v="75.840909090909079"/>
    <n v="9.1009090909090844"/>
    <x v="4"/>
    <m/>
  </r>
  <r>
    <n v="630"/>
    <n v="23"/>
    <x v="0"/>
    <x v="6"/>
    <x v="27"/>
    <n v="39.909999999999997"/>
    <x v="1"/>
    <x v="1"/>
    <n v="3.3"/>
    <n v="2"/>
    <n v="1"/>
    <n v="40.724489795918366"/>
    <n v="0.81448979591836945"/>
    <x v="3"/>
    <m/>
  </r>
  <r>
    <n v="631"/>
    <n v="42"/>
    <x v="0"/>
    <x v="4"/>
    <x v="26"/>
    <n v="10.19"/>
    <x v="0"/>
    <x v="1"/>
    <n v="4.0999999999999996"/>
    <n v="14"/>
    <n v="7"/>
    <n v="11.848837209302324"/>
    <n v="1.6588372093023249"/>
    <x v="1"/>
    <m/>
  </r>
  <r>
    <n v="632"/>
    <n v="70"/>
    <x v="1"/>
    <x v="1"/>
    <x v="14"/>
    <n v="69.05"/>
    <x v="0"/>
    <x v="0"/>
    <n v="3.9"/>
    <n v="8"/>
    <n v="4"/>
    <n v="75.054347826086953"/>
    <n v="6.0043478260869563"/>
    <x v="2"/>
    <m/>
  </r>
  <r>
    <n v="633"/>
    <n v="29"/>
    <x v="1"/>
    <x v="7"/>
    <x v="13"/>
    <n v="91.99"/>
    <x v="2"/>
    <x v="0"/>
    <n v="2.9"/>
    <n v="25"/>
    <n v="10"/>
    <n v="122.65333333333332"/>
    <n v="30.663333333333327"/>
    <x v="5"/>
    <m/>
  </r>
  <r>
    <n v="634"/>
    <n v="38"/>
    <x v="0"/>
    <x v="7"/>
    <x v="8"/>
    <n v="247.76"/>
    <x v="2"/>
    <x v="0"/>
    <n v="3.3"/>
    <n v="11"/>
    <n v="3"/>
    <n v="278.38202247191009"/>
    <n v="30.6220224719101"/>
    <x v="1"/>
    <m/>
  </r>
  <r>
    <n v="635"/>
    <n v="45"/>
    <x v="1"/>
    <x v="7"/>
    <x v="8"/>
    <n v="203.46"/>
    <x v="0"/>
    <x v="0"/>
    <n v="3.1"/>
    <n v="10"/>
    <n v="5"/>
    <n v="226.06666666666666"/>
    <n v="22.606666666666655"/>
    <x v="4"/>
    <m/>
  </r>
  <r>
    <n v="636"/>
    <n v="61"/>
    <x v="1"/>
    <x v="7"/>
    <x v="8"/>
    <n v="118.53"/>
    <x v="3"/>
    <x v="0"/>
    <n v="4.9000000000000004"/>
    <n v="14"/>
    <n v="2"/>
    <n v="137.82558139534885"/>
    <n v="19.295581395348847"/>
    <x v="0"/>
    <m/>
  </r>
  <r>
    <n v="637"/>
    <n v="66"/>
    <x v="1"/>
    <x v="1"/>
    <x v="1"/>
    <n v="63.45"/>
    <x v="2"/>
    <x v="0"/>
    <n v="3.6"/>
    <n v="15"/>
    <n v="5"/>
    <n v="74.64705882352942"/>
    <n v="11.197058823529417"/>
    <x v="2"/>
    <m/>
  </r>
  <r>
    <n v="638"/>
    <n v="66"/>
    <x v="0"/>
    <x v="0"/>
    <x v="22"/>
    <n v="129.69"/>
    <x v="2"/>
    <x v="0"/>
    <n v="3.1"/>
    <n v="17"/>
    <n v="6"/>
    <n v="156.25301204819277"/>
    <n v="26.563012048192775"/>
    <x v="2"/>
    <m/>
  </r>
  <r>
    <n v="639"/>
    <n v="27"/>
    <x v="1"/>
    <x v="5"/>
    <x v="7"/>
    <n v="736.92"/>
    <x v="0"/>
    <x v="0"/>
    <n v="3.3"/>
    <n v="12"/>
    <n v="1"/>
    <n v="837.40909090909088"/>
    <n v="100.48909090909092"/>
    <x v="5"/>
    <m/>
  </r>
  <r>
    <n v="640"/>
    <n v="52"/>
    <x v="0"/>
    <x v="6"/>
    <x v="27"/>
    <n v="87.62"/>
    <x v="0"/>
    <x v="0"/>
    <n v="2.9"/>
    <n v="10"/>
    <n v="5"/>
    <n v="97.355555555555554"/>
    <n v="9.7355555555555497"/>
    <x v="4"/>
    <m/>
  </r>
  <r>
    <n v="641"/>
    <n v="43"/>
    <x v="0"/>
    <x v="3"/>
    <x v="24"/>
    <n v="140"/>
    <x v="3"/>
    <x v="0"/>
    <n v="3.9"/>
    <n v="15"/>
    <n v="5"/>
    <n v="164.70588235294119"/>
    <n v="24.705882352941188"/>
    <x v="1"/>
    <m/>
  </r>
  <r>
    <n v="642"/>
    <n v="35"/>
    <x v="1"/>
    <x v="2"/>
    <x v="2"/>
    <n v="107.57"/>
    <x v="3"/>
    <x v="0"/>
    <n v="3.9"/>
    <n v="12"/>
    <n v="6"/>
    <n v="122.23863636363636"/>
    <n v="14.668636363636367"/>
    <x v="1"/>
    <m/>
  </r>
  <r>
    <n v="643"/>
    <n v="34"/>
    <x v="1"/>
    <x v="4"/>
    <x v="26"/>
    <n v="78.16"/>
    <x v="1"/>
    <x v="1"/>
    <n v="2.2000000000000002"/>
    <n v="4"/>
    <n v="2"/>
    <n v="81.416666666666671"/>
    <n v="3.2566666666666748"/>
    <x v="5"/>
    <m/>
  </r>
  <r>
    <n v="644"/>
    <n v="51"/>
    <x v="0"/>
    <x v="8"/>
    <x v="18"/>
    <n v="47.3"/>
    <x v="0"/>
    <x v="1"/>
    <n v="3.9"/>
    <n v="7"/>
    <n v="1"/>
    <n v="50.86021505376344"/>
    <n v="3.5602150537634429"/>
    <x v="4"/>
    <m/>
  </r>
  <r>
    <n v="645"/>
    <n v="43"/>
    <x v="0"/>
    <x v="8"/>
    <x v="16"/>
    <n v="143.80000000000001"/>
    <x v="0"/>
    <x v="0"/>
    <n v="3.6"/>
    <n v="12"/>
    <n v="6"/>
    <n v="163.40909090909093"/>
    <n v="19.609090909090924"/>
    <x v="1"/>
    <m/>
  </r>
  <r>
    <n v="646"/>
    <n v="50"/>
    <x v="1"/>
    <x v="2"/>
    <x v="12"/>
    <n v="208.8"/>
    <x v="3"/>
    <x v="0"/>
    <n v="3.4"/>
    <n v="4"/>
    <n v="2"/>
    <n v="217.50000000000003"/>
    <n v="8.7000000000000171"/>
    <x v="4"/>
    <m/>
  </r>
  <r>
    <n v="647"/>
    <n v="33"/>
    <x v="1"/>
    <x v="3"/>
    <x v="15"/>
    <n v="170.58"/>
    <x v="3"/>
    <x v="0"/>
    <n v="4.2"/>
    <n v="8"/>
    <n v="4"/>
    <n v="185.41304347826087"/>
    <n v="14.833043478260862"/>
    <x v="5"/>
    <m/>
  </r>
  <r>
    <n v="648"/>
    <n v="30"/>
    <x v="1"/>
    <x v="1"/>
    <x v="14"/>
    <n v="42.67"/>
    <x v="0"/>
    <x v="1"/>
    <n v="4.0999999999999996"/>
    <n v="8"/>
    <n v="4"/>
    <n v="46.380434782608695"/>
    <n v="3.7104347826086936"/>
    <x v="5"/>
    <m/>
  </r>
  <r>
    <n v="649"/>
    <n v="54"/>
    <x v="1"/>
    <x v="1"/>
    <x v="14"/>
    <n v="170.85"/>
    <x v="3"/>
    <x v="0"/>
    <n v="3.4"/>
    <n v="13"/>
    <n v="4"/>
    <n v="196.37931034482759"/>
    <n v="25.529310344827593"/>
    <x v="4"/>
    <m/>
  </r>
  <r>
    <n v="650"/>
    <n v="70"/>
    <x v="1"/>
    <x v="7"/>
    <x v="8"/>
    <n v="174.39"/>
    <x v="3"/>
    <x v="0"/>
    <n v="3.2"/>
    <n v="20"/>
    <n v="5"/>
    <n v="217.98749999999998"/>
    <n v="43.597499999999997"/>
    <x v="2"/>
    <m/>
  </r>
  <r>
    <n v="651"/>
    <n v="58"/>
    <x v="1"/>
    <x v="2"/>
    <x v="2"/>
    <n v="124.28"/>
    <x v="1"/>
    <x v="0"/>
    <n v="3.1"/>
    <n v="16"/>
    <n v="3"/>
    <n v="147.95238095238096"/>
    <n v="23.672380952380962"/>
    <x v="0"/>
    <m/>
  </r>
  <r>
    <n v="652"/>
    <n v="69"/>
    <x v="1"/>
    <x v="2"/>
    <x v="12"/>
    <n v="100.45"/>
    <x v="2"/>
    <x v="0"/>
    <n v="3.6"/>
    <n v="13"/>
    <n v="4"/>
    <n v="115.45977011494253"/>
    <n v="15.009770114942526"/>
    <x v="2"/>
    <m/>
  </r>
  <r>
    <n v="653"/>
    <n v="52"/>
    <x v="1"/>
    <x v="3"/>
    <x v="24"/>
    <n v="56.48"/>
    <x v="1"/>
    <x v="1"/>
    <n v="5"/>
    <n v="29"/>
    <n v="12"/>
    <n v="79.549295774647888"/>
    <n v="23.069295774647891"/>
    <x v="4"/>
    <m/>
  </r>
  <r>
    <n v="654"/>
    <n v="60"/>
    <x v="0"/>
    <x v="0"/>
    <x v="28"/>
    <n v="30.06"/>
    <x v="0"/>
    <x v="0"/>
    <n v="4.5999999999999996"/>
    <n v="22"/>
    <n v="6"/>
    <n v="38.538461538461533"/>
    <n v="8.4784615384615343"/>
    <x v="0"/>
    <m/>
  </r>
  <r>
    <n v="655"/>
    <n v="70"/>
    <x v="0"/>
    <x v="7"/>
    <x v="11"/>
    <n v="54"/>
    <x v="0"/>
    <x v="0"/>
    <n v="2.8"/>
    <n v="30"/>
    <n v="10"/>
    <n v="77.142857142857153"/>
    <n v="23.142857142857153"/>
    <x v="2"/>
    <m/>
  </r>
  <r>
    <n v="656"/>
    <n v="67"/>
    <x v="1"/>
    <x v="1"/>
    <x v="14"/>
    <n v="174.5"/>
    <x v="3"/>
    <x v="0"/>
    <n v="4.5"/>
    <n v="15"/>
    <n v="5"/>
    <n v="205.29411764705884"/>
    <n v="30.79411764705884"/>
    <x v="2"/>
    <m/>
  </r>
  <r>
    <n v="657"/>
    <n v="20"/>
    <x v="0"/>
    <x v="0"/>
    <x v="22"/>
    <n v="92.35"/>
    <x v="0"/>
    <x v="0"/>
    <n v="3.3"/>
    <n v="12"/>
    <n v="1"/>
    <n v="104.94318181818181"/>
    <n v="12.593181818181819"/>
    <x v="3"/>
    <m/>
  </r>
  <r>
    <n v="658"/>
    <n v="33"/>
    <x v="0"/>
    <x v="0"/>
    <x v="28"/>
    <n v="40.85"/>
    <x v="3"/>
    <x v="1"/>
    <n v="4.2"/>
    <n v="18"/>
    <n v="4"/>
    <n v="49.817073170731703"/>
    <n v="8.9670731707317017"/>
    <x v="5"/>
    <m/>
  </r>
  <r>
    <n v="659"/>
    <n v="27"/>
    <x v="1"/>
    <x v="2"/>
    <x v="10"/>
    <n v="68.16"/>
    <x v="1"/>
    <x v="0"/>
    <n v="4.0999999999999996"/>
    <n v="10"/>
    <n v="5"/>
    <n v="75.733333333333334"/>
    <n v="7.5733333333333377"/>
    <x v="5"/>
    <m/>
  </r>
  <r>
    <n v="660"/>
    <n v="33"/>
    <x v="0"/>
    <x v="6"/>
    <x v="23"/>
    <n v="107.56"/>
    <x v="1"/>
    <x v="0"/>
    <n v="2.6"/>
    <n v="8"/>
    <n v="4"/>
    <n v="116.91304347826086"/>
    <n v="9.353043478260858"/>
    <x v="5"/>
    <m/>
  </r>
  <r>
    <n v="661"/>
    <n v="54"/>
    <x v="0"/>
    <x v="7"/>
    <x v="13"/>
    <n v="242.06"/>
    <x v="1"/>
    <x v="0"/>
    <n v="4.0999999999999996"/>
    <n v="19"/>
    <n v="7"/>
    <n v="298.83950617283949"/>
    <n v="56.77950617283949"/>
    <x v="4"/>
    <m/>
  </r>
  <r>
    <n v="662"/>
    <n v="45"/>
    <x v="0"/>
    <x v="6"/>
    <x v="6"/>
    <n v="144.31"/>
    <x v="0"/>
    <x v="0"/>
    <n v="3.8"/>
    <n v="0"/>
    <n v="0"/>
    <n v="144.31"/>
    <n v="0"/>
    <x v="4"/>
    <m/>
  </r>
  <r>
    <n v="663"/>
    <n v="28"/>
    <x v="0"/>
    <x v="6"/>
    <x v="6"/>
    <n v="119.55"/>
    <x v="2"/>
    <x v="0"/>
    <n v="3.6"/>
    <n v="6"/>
    <n v="3"/>
    <n v="127.18085106382979"/>
    <n v="7.6308510638297946"/>
    <x v="5"/>
    <m/>
  </r>
  <r>
    <n v="664"/>
    <n v="46"/>
    <x v="1"/>
    <x v="2"/>
    <x v="2"/>
    <n v="56.34"/>
    <x v="2"/>
    <x v="1"/>
    <n v="2.9"/>
    <n v="11"/>
    <n v="3"/>
    <n v="63.303370786516858"/>
    <n v="6.9633707865168546"/>
    <x v="4"/>
    <m/>
  </r>
  <r>
    <n v="665"/>
    <n v="25"/>
    <x v="1"/>
    <x v="3"/>
    <x v="15"/>
    <n v="279.19"/>
    <x v="3"/>
    <x v="0"/>
    <n v="4.5"/>
    <n v="8"/>
    <n v="4"/>
    <n v="303.46739130434781"/>
    <n v="24.277391304347816"/>
    <x v="5"/>
    <m/>
  </r>
  <r>
    <n v="666"/>
    <n v="31"/>
    <x v="0"/>
    <x v="6"/>
    <x v="23"/>
    <n v="34.01"/>
    <x v="3"/>
    <x v="0"/>
    <n v="3.8"/>
    <n v="22"/>
    <n v="6"/>
    <n v="43.602564102564095"/>
    <n v="9.5925641025640971"/>
    <x v="5"/>
    <m/>
  </r>
  <r>
    <n v="667"/>
    <n v="60"/>
    <x v="1"/>
    <x v="7"/>
    <x v="13"/>
    <n v="99.93"/>
    <x v="2"/>
    <x v="0"/>
    <n v="3.5"/>
    <n v="28"/>
    <n v="9"/>
    <n v="138.79166666666669"/>
    <n v="38.861666666666679"/>
    <x v="0"/>
    <m/>
  </r>
  <r>
    <n v="668"/>
    <n v="64"/>
    <x v="1"/>
    <x v="5"/>
    <x v="25"/>
    <n v="1514.05"/>
    <x v="2"/>
    <x v="0"/>
    <n v="3.7"/>
    <n v="20"/>
    <n v="5"/>
    <n v="1892.5624999999998"/>
    <n v="378.51249999999982"/>
    <x v="0"/>
    <m/>
  </r>
  <r>
    <n v="669"/>
    <n v="62"/>
    <x v="1"/>
    <x v="1"/>
    <x v="9"/>
    <n v="182.98"/>
    <x v="0"/>
    <x v="0"/>
    <n v="3.1"/>
    <n v="13"/>
    <n v="4"/>
    <n v="210.32183908045977"/>
    <n v="27.341839080459778"/>
    <x v="0"/>
    <m/>
  </r>
  <r>
    <n v="670"/>
    <n v="24"/>
    <x v="1"/>
    <x v="3"/>
    <x v="3"/>
    <n v="237.47"/>
    <x v="2"/>
    <x v="0"/>
    <n v="3.2"/>
    <n v="28"/>
    <n v="9"/>
    <n v="329.81944444444446"/>
    <n v="92.349444444444458"/>
    <x v="3"/>
    <m/>
  </r>
  <r>
    <n v="671"/>
    <n v="64"/>
    <x v="1"/>
    <x v="5"/>
    <x v="21"/>
    <n v="1417.01"/>
    <x v="1"/>
    <x v="0"/>
    <n v="4"/>
    <n v="2"/>
    <n v="1"/>
    <n v="1445.9285714285716"/>
    <n v="28.918571428571568"/>
    <x v="0"/>
    <m/>
  </r>
  <r>
    <n v="672"/>
    <n v="27"/>
    <x v="0"/>
    <x v="8"/>
    <x v="16"/>
    <n v="43.52"/>
    <x v="3"/>
    <x v="1"/>
    <n v="4.0999999999999996"/>
    <n v="13"/>
    <n v="4"/>
    <n v="50.022988505747129"/>
    <n v="6.5029885057471262"/>
    <x v="5"/>
    <m/>
  </r>
  <r>
    <n v="673"/>
    <n v="33"/>
    <x v="0"/>
    <x v="8"/>
    <x v="16"/>
    <n v="116.95"/>
    <x v="3"/>
    <x v="0"/>
    <n v="4.5999999999999996"/>
    <n v="21"/>
    <n v="8"/>
    <n v="148.03797468354429"/>
    <n v="31.087974683544289"/>
    <x v="5"/>
    <m/>
  </r>
  <r>
    <n v="674"/>
    <n v="61"/>
    <x v="0"/>
    <x v="8"/>
    <x v="14"/>
    <n v="196.34"/>
    <x v="2"/>
    <x v="0"/>
    <n v="3"/>
    <n v="16"/>
    <n v="8"/>
    <n v="233.73809523809524"/>
    <n v="37.398095238095237"/>
    <x v="0"/>
    <m/>
  </r>
  <r>
    <n v="675"/>
    <n v="68"/>
    <x v="0"/>
    <x v="7"/>
    <x v="11"/>
    <n v="163.6"/>
    <x v="1"/>
    <x v="0"/>
    <n v="4.3"/>
    <n v="22"/>
    <n v="6"/>
    <n v="209.74358974358972"/>
    <n v="46.143589743589729"/>
    <x v="2"/>
    <m/>
  </r>
  <r>
    <n v="676"/>
    <n v="54"/>
    <x v="1"/>
    <x v="7"/>
    <x v="13"/>
    <n v="144.58000000000001"/>
    <x v="1"/>
    <x v="0"/>
    <n v="3.9"/>
    <n v="24"/>
    <n v="7"/>
    <n v="190.23684210526318"/>
    <n v="45.656842105263166"/>
    <x v="4"/>
    <m/>
  </r>
  <r>
    <n v="677"/>
    <n v="22"/>
    <x v="1"/>
    <x v="2"/>
    <x v="10"/>
    <n v="158.63999999999999"/>
    <x v="1"/>
    <x v="0"/>
    <n v="3.9"/>
    <n v="21"/>
    <n v="8"/>
    <n v="200.81012658227846"/>
    <n v="42.170126582278471"/>
    <x v="3"/>
    <m/>
  </r>
  <r>
    <n v="678"/>
    <n v="52"/>
    <x v="0"/>
    <x v="4"/>
    <x v="29"/>
    <n v="5.89"/>
    <x v="3"/>
    <x v="0"/>
    <n v="3.6"/>
    <n v="7"/>
    <n v="1"/>
    <n v="6.333333333333333"/>
    <n v="0.44333333333333336"/>
    <x v="4"/>
    <m/>
  </r>
  <r>
    <n v="679"/>
    <n v="63"/>
    <x v="0"/>
    <x v="0"/>
    <x v="0"/>
    <n v="168.46"/>
    <x v="2"/>
    <x v="0"/>
    <n v="3.1"/>
    <n v="20"/>
    <n v="5"/>
    <n v="210.57499999999999"/>
    <n v="42.114999999999981"/>
    <x v="0"/>
    <m/>
  </r>
  <r>
    <n v="680"/>
    <n v="53"/>
    <x v="0"/>
    <x v="8"/>
    <x v="14"/>
    <n v="102.52"/>
    <x v="1"/>
    <x v="0"/>
    <n v="4.3"/>
    <n v="16"/>
    <n v="8"/>
    <n v="122.04761904761905"/>
    <n v="19.527619047619055"/>
    <x v="4"/>
    <m/>
  </r>
  <r>
    <n v="681"/>
    <n v="31"/>
    <x v="0"/>
    <x v="6"/>
    <x v="27"/>
    <n v="47.92"/>
    <x v="3"/>
    <x v="0"/>
    <n v="3.6"/>
    <n v="8"/>
    <n v="4"/>
    <n v="52.086956521739133"/>
    <n v="4.1669565217391309"/>
    <x v="5"/>
    <m/>
  </r>
  <r>
    <n v="682"/>
    <n v="27"/>
    <x v="1"/>
    <x v="2"/>
    <x v="12"/>
    <n v="119.22"/>
    <x v="2"/>
    <x v="0"/>
    <n v="4"/>
    <n v="16"/>
    <n v="3"/>
    <n v="141.92857142857144"/>
    <n v="22.708571428571446"/>
    <x v="5"/>
    <m/>
  </r>
  <r>
    <n v="683"/>
    <n v="22"/>
    <x v="1"/>
    <x v="3"/>
    <x v="15"/>
    <n v="83.17"/>
    <x v="3"/>
    <x v="1"/>
    <n v="4.5999999999999996"/>
    <n v="22"/>
    <n v="6"/>
    <n v="106.62820512820512"/>
    <n v="23.458205128205122"/>
    <x v="3"/>
    <m/>
  </r>
  <r>
    <n v="684"/>
    <n v="41"/>
    <x v="1"/>
    <x v="5"/>
    <x v="21"/>
    <n v="1496.4"/>
    <x v="1"/>
    <x v="0"/>
    <n v="3.9"/>
    <n v="16"/>
    <n v="3"/>
    <n v="1781.4285714285716"/>
    <n v="285.02857142857147"/>
    <x v="1"/>
    <m/>
  </r>
  <r>
    <n v="685"/>
    <n v="35"/>
    <x v="0"/>
    <x v="3"/>
    <x v="3"/>
    <n v="121.52"/>
    <x v="3"/>
    <x v="0"/>
    <n v="3.6"/>
    <n v="10"/>
    <n v="5"/>
    <n v="135.02222222222221"/>
    <n v="13.502222222222215"/>
    <x v="1"/>
    <m/>
  </r>
  <r>
    <n v="686"/>
    <n v="51"/>
    <x v="0"/>
    <x v="6"/>
    <x v="23"/>
    <n v="101.58"/>
    <x v="1"/>
    <x v="0"/>
    <n v="3.7"/>
    <n v="14"/>
    <n v="2"/>
    <n v="118.11627906976744"/>
    <n v="16.536279069767446"/>
    <x v="4"/>
    <m/>
  </r>
  <r>
    <n v="687"/>
    <n v="20"/>
    <x v="0"/>
    <x v="0"/>
    <x v="28"/>
    <n v="96.93"/>
    <x v="1"/>
    <x v="1"/>
    <n v="3.2"/>
    <n v="12"/>
    <n v="6"/>
    <n v="110.14772727272728"/>
    <n v="13.217727272727274"/>
    <x v="3"/>
    <m/>
  </r>
  <r>
    <n v="688"/>
    <n v="63"/>
    <x v="1"/>
    <x v="2"/>
    <x v="2"/>
    <n v="195.87"/>
    <x v="1"/>
    <x v="0"/>
    <n v="4"/>
    <n v="18"/>
    <n v="4"/>
    <n v="238.86585365853657"/>
    <n v="42.995853658536561"/>
    <x v="0"/>
    <m/>
  </r>
  <r>
    <n v="689"/>
    <n v="57"/>
    <x v="0"/>
    <x v="7"/>
    <x v="13"/>
    <n v="152.19"/>
    <x v="1"/>
    <x v="0"/>
    <n v="5"/>
    <n v="13"/>
    <n v="4"/>
    <n v="174.93103448275861"/>
    <n v="22.741034482758607"/>
    <x v="0"/>
    <m/>
  </r>
  <r>
    <n v="690"/>
    <n v="68"/>
    <x v="1"/>
    <x v="1"/>
    <x v="9"/>
    <n v="71.13"/>
    <x v="2"/>
    <x v="1"/>
    <n v="3.8"/>
    <n v="10"/>
    <n v="5"/>
    <n v="79.033333333333331"/>
    <n v="7.903333333333336"/>
    <x v="2"/>
    <m/>
  </r>
  <r>
    <n v="691"/>
    <n v="68"/>
    <x v="0"/>
    <x v="6"/>
    <x v="27"/>
    <n v="139.63999999999999"/>
    <x v="1"/>
    <x v="0"/>
    <n v="4.0999999999999996"/>
    <n v="20"/>
    <n v="5"/>
    <n v="174.54999999999998"/>
    <n v="34.909999999999997"/>
    <x v="2"/>
    <m/>
  </r>
  <r>
    <n v="692"/>
    <n v="65"/>
    <x v="1"/>
    <x v="7"/>
    <x v="11"/>
    <n v="134.93"/>
    <x v="3"/>
    <x v="0"/>
    <n v="4"/>
    <n v="15"/>
    <n v="5"/>
    <n v="158.74117647058824"/>
    <n v="23.811176470588236"/>
    <x v="2"/>
    <m/>
  </r>
  <r>
    <n v="693"/>
    <n v="30"/>
    <x v="1"/>
    <x v="7"/>
    <x v="11"/>
    <n v="75.61"/>
    <x v="0"/>
    <x v="1"/>
    <n v="3.1"/>
    <n v="17"/>
    <n v="6"/>
    <n v="91.096385542168676"/>
    <n v="15.486385542168676"/>
    <x v="5"/>
    <m/>
  </r>
  <r>
    <n v="694"/>
    <n v="23"/>
    <x v="0"/>
    <x v="0"/>
    <x v="22"/>
    <n v="115.77"/>
    <x v="2"/>
    <x v="0"/>
    <n v="4.5"/>
    <n v="13"/>
    <n v="4"/>
    <n v="133.06896551724137"/>
    <n v="17.298965517241371"/>
    <x v="3"/>
    <m/>
  </r>
  <r>
    <n v="695"/>
    <n v="23"/>
    <x v="0"/>
    <x v="7"/>
    <x v="11"/>
    <n v="223.09"/>
    <x v="1"/>
    <x v="0"/>
    <n v="4.0999999999999996"/>
    <n v="16"/>
    <n v="3"/>
    <n v="265.58333333333337"/>
    <n v="42.493333333333368"/>
    <x v="3"/>
    <m/>
  </r>
  <r>
    <n v="696"/>
    <n v="59"/>
    <x v="0"/>
    <x v="6"/>
    <x v="27"/>
    <n v="127.79"/>
    <x v="2"/>
    <x v="0"/>
    <n v="3.8"/>
    <n v="6"/>
    <n v="3"/>
    <n v="135.94680851063831"/>
    <n v="8.1568085106382995"/>
    <x v="0"/>
    <m/>
  </r>
  <r>
    <n v="697"/>
    <n v="35"/>
    <x v="1"/>
    <x v="4"/>
    <x v="26"/>
    <n v="49.52"/>
    <x v="1"/>
    <x v="1"/>
    <n v="3.6"/>
    <n v="13"/>
    <n v="4"/>
    <n v="56.919540229885058"/>
    <n v="7.399540229885055"/>
    <x v="1"/>
    <m/>
  </r>
  <r>
    <n v="698"/>
    <n v="59"/>
    <x v="0"/>
    <x v="7"/>
    <x v="13"/>
    <n v="105.81"/>
    <x v="2"/>
    <x v="0"/>
    <n v="3.8"/>
    <n v="23"/>
    <n v="9"/>
    <n v="137.41558441558442"/>
    <n v="31.605584415584417"/>
    <x v="0"/>
    <m/>
  </r>
  <r>
    <n v="699"/>
    <n v="42"/>
    <x v="0"/>
    <x v="8"/>
    <x v="18"/>
    <n v="178.77"/>
    <x v="3"/>
    <x v="0"/>
    <n v="3.4"/>
    <n v="9"/>
    <n v="2"/>
    <n v="196.45054945054946"/>
    <n v="17.680549450549449"/>
    <x v="1"/>
    <m/>
  </r>
  <r>
    <n v="700"/>
    <n v="28"/>
    <x v="1"/>
    <x v="4"/>
    <x v="19"/>
    <n v="54.61"/>
    <x v="2"/>
    <x v="0"/>
    <n v="4.0999999999999996"/>
    <n v="8"/>
    <n v="4"/>
    <n v="59.358695652173907"/>
    <n v="4.7486956521739074"/>
    <x v="5"/>
    <m/>
  </r>
  <r>
    <n v="701"/>
    <n v="49"/>
    <x v="1"/>
    <x v="5"/>
    <x v="7"/>
    <n v="1321.86"/>
    <x v="1"/>
    <x v="0"/>
    <n v="4.4000000000000004"/>
    <n v="24"/>
    <n v="7"/>
    <n v="1739.2894736842104"/>
    <n v="417.42947368421051"/>
    <x v="4"/>
    <m/>
  </r>
  <r>
    <n v="702"/>
    <n v="36"/>
    <x v="1"/>
    <x v="7"/>
    <x v="13"/>
    <n v="157.33000000000001"/>
    <x v="3"/>
    <x v="0"/>
    <n v="3.7"/>
    <n v="17"/>
    <n v="6"/>
    <n v="189.5542168674699"/>
    <n v="32.224216867469892"/>
    <x v="1"/>
    <m/>
  </r>
  <r>
    <n v="703"/>
    <n v="31"/>
    <x v="1"/>
    <x v="7"/>
    <x v="8"/>
    <n v="157.43"/>
    <x v="2"/>
    <x v="0"/>
    <n v="3"/>
    <n v="6"/>
    <n v="3"/>
    <n v="167.47872340425533"/>
    <n v="10.048723404255327"/>
    <x v="5"/>
    <m/>
  </r>
  <r>
    <n v="704"/>
    <n v="38"/>
    <x v="1"/>
    <x v="1"/>
    <x v="20"/>
    <n v="160.97999999999999"/>
    <x v="1"/>
    <x v="0"/>
    <n v="2.9"/>
    <n v="20"/>
    <n v="5"/>
    <n v="201.22499999999997"/>
    <n v="40.244999999999976"/>
    <x v="1"/>
    <m/>
  </r>
  <r>
    <n v="705"/>
    <n v="46"/>
    <x v="1"/>
    <x v="2"/>
    <x v="10"/>
    <n v="107.82"/>
    <x v="2"/>
    <x v="0"/>
    <n v="3.9"/>
    <n v="7"/>
    <n v="1"/>
    <n v="115.93548387096774"/>
    <n v="8.1154838709677506"/>
    <x v="4"/>
    <m/>
  </r>
  <r>
    <n v="706"/>
    <n v="39"/>
    <x v="0"/>
    <x v="7"/>
    <x v="8"/>
    <n v="217.69"/>
    <x v="3"/>
    <x v="0"/>
    <n v="2.6"/>
    <n v="10"/>
    <n v="5"/>
    <n v="241.87777777777777"/>
    <n v="24.187777777777768"/>
    <x v="1"/>
    <m/>
  </r>
  <r>
    <n v="707"/>
    <n v="45"/>
    <x v="1"/>
    <x v="2"/>
    <x v="10"/>
    <n v="141.27000000000001"/>
    <x v="0"/>
    <x v="0"/>
    <n v="3.2"/>
    <n v="16"/>
    <n v="3"/>
    <n v="168.17857142857144"/>
    <n v="26.908571428571435"/>
    <x v="4"/>
    <m/>
  </r>
  <r>
    <n v="708"/>
    <n v="57"/>
    <x v="1"/>
    <x v="7"/>
    <x v="11"/>
    <n v="233.72"/>
    <x v="3"/>
    <x v="0"/>
    <n v="2.8"/>
    <n v="14"/>
    <n v="7"/>
    <n v="271.76744186046511"/>
    <n v="38.047441860465113"/>
    <x v="0"/>
    <m/>
  </r>
  <r>
    <n v="709"/>
    <n v="53"/>
    <x v="1"/>
    <x v="5"/>
    <x v="25"/>
    <n v="1792.88"/>
    <x v="2"/>
    <x v="0"/>
    <n v="3.6"/>
    <n v="19"/>
    <n v="7"/>
    <n v="2213.4320987654319"/>
    <n v="420.55209876543177"/>
    <x v="4"/>
    <m/>
  </r>
  <r>
    <n v="710"/>
    <n v="24"/>
    <x v="1"/>
    <x v="5"/>
    <x v="7"/>
    <n v="1064.7"/>
    <x v="2"/>
    <x v="0"/>
    <n v="5"/>
    <n v="18"/>
    <n v="4"/>
    <n v="1298.4146341463413"/>
    <n v="233.71463414634127"/>
    <x v="3"/>
    <m/>
  </r>
  <r>
    <n v="711"/>
    <n v="44"/>
    <x v="0"/>
    <x v="0"/>
    <x v="22"/>
    <n v="103.15"/>
    <x v="0"/>
    <x v="0"/>
    <n v="3.6"/>
    <n v="13"/>
    <n v="4"/>
    <n v="118.56321839080461"/>
    <n v="15.413218390804602"/>
    <x v="1"/>
    <m/>
  </r>
  <r>
    <n v="712"/>
    <n v="69"/>
    <x v="1"/>
    <x v="7"/>
    <x v="11"/>
    <n v="48.78"/>
    <x v="3"/>
    <x v="0"/>
    <n v="1.9"/>
    <n v="17"/>
    <n v="6"/>
    <n v="58.7710843373494"/>
    <n v="9.9910843373493989"/>
    <x v="2"/>
    <m/>
  </r>
  <r>
    <n v="713"/>
    <n v="64"/>
    <x v="0"/>
    <x v="6"/>
    <x v="6"/>
    <n v="74.05"/>
    <x v="1"/>
    <x v="0"/>
    <n v="4.9000000000000004"/>
    <n v="21"/>
    <n v="8"/>
    <n v="93.73417721518986"/>
    <n v="19.684177215189862"/>
    <x v="0"/>
    <m/>
  </r>
  <r>
    <n v="714"/>
    <n v="59"/>
    <x v="0"/>
    <x v="8"/>
    <x v="18"/>
    <n v="35.33"/>
    <x v="3"/>
    <x v="1"/>
    <n v="3.7"/>
    <n v="13"/>
    <n v="4"/>
    <n v="40.609195402298852"/>
    <n v="5.2791954022988534"/>
    <x v="0"/>
    <m/>
  </r>
  <r>
    <n v="715"/>
    <n v="68"/>
    <x v="0"/>
    <x v="8"/>
    <x v="14"/>
    <n v="114.33"/>
    <x v="3"/>
    <x v="0"/>
    <n v="2.9"/>
    <n v="10"/>
    <n v="5"/>
    <n v="127.03333333333333"/>
    <n v="12.703333333333333"/>
    <x v="2"/>
    <m/>
  </r>
  <r>
    <n v="716"/>
    <n v="48"/>
    <x v="0"/>
    <x v="0"/>
    <x v="0"/>
    <n v="41.13"/>
    <x v="2"/>
    <x v="0"/>
    <n v="3.2"/>
    <n v="9"/>
    <n v="2"/>
    <n v="45.197802197802197"/>
    <n v="4.0678021978021945"/>
    <x v="4"/>
    <m/>
  </r>
  <r>
    <n v="717"/>
    <n v="56"/>
    <x v="0"/>
    <x v="3"/>
    <x v="24"/>
    <n v="245.44"/>
    <x v="1"/>
    <x v="0"/>
    <n v="3.2"/>
    <n v="2"/>
    <n v="1"/>
    <n v="250.44897959183675"/>
    <n v="5.0089795918367486"/>
    <x v="0"/>
    <m/>
  </r>
  <r>
    <n v="718"/>
    <n v="36"/>
    <x v="0"/>
    <x v="8"/>
    <x v="14"/>
    <n v="153.84"/>
    <x v="2"/>
    <x v="0"/>
    <n v="3.2"/>
    <n v="0"/>
    <n v="0"/>
    <n v="153.84"/>
    <n v="0"/>
    <x v="1"/>
    <m/>
  </r>
  <r>
    <n v="719"/>
    <n v="44"/>
    <x v="0"/>
    <x v="7"/>
    <x v="11"/>
    <n v="236.11"/>
    <x v="3"/>
    <x v="0"/>
    <n v="5"/>
    <n v="23"/>
    <n v="9"/>
    <n v="306.63636363636363"/>
    <n v="70.526363636363612"/>
    <x v="1"/>
    <m/>
  </r>
  <r>
    <n v="720"/>
    <n v="54"/>
    <x v="0"/>
    <x v="8"/>
    <x v="18"/>
    <n v="165.35"/>
    <x v="0"/>
    <x v="0"/>
    <n v="3.7"/>
    <n v="10"/>
    <n v="0"/>
    <n v="183.7222222222222"/>
    <n v="18.372222222222206"/>
    <x v="4"/>
    <m/>
  </r>
  <r>
    <n v="721"/>
    <n v="30"/>
    <x v="0"/>
    <x v="0"/>
    <x v="22"/>
    <n v="59.51"/>
    <x v="2"/>
    <x v="0"/>
    <n v="3.8"/>
    <n v="24"/>
    <n v="7"/>
    <n v="78.30263157894737"/>
    <n v="18.792631578947372"/>
    <x v="5"/>
    <m/>
  </r>
  <r>
    <n v="722"/>
    <n v="61"/>
    <x v="1"/>
    <x v="2"/>
    <x v="12"/>
    <n v="190.26"/>
    <x v="2"/>
    <x v="0"/>
    <n v="4.4000000000000004"/>
    <n v="14"/>
    <n v="2"/>
    <n v="221.23255813953489"/>
    <n v="30.972558139534897"/>
    <x v="0"/>
    <m/>
  </r>
  <r>
    <n v="723"/>
    <n v="63"/>
    <x v="0"/>
    <x v="3"/>
    <x v="24"/>
    <n v="168.64"/>
    <x v="0"/>
    <x v="0"/>
    <n v="3.2"/>
    <n v="6"/>
    <n v="3"/>
    <n v="179.40425531914894"/>
    <n v="10.764255319148958"/>
    <x v="0"/>
    <m/>
  </r>
  <r>
    <n v="724"/>
    <n v="42"/>
    <x v="1"/>
    <x v="5"/>
    <x v="25"/>
    <n v="2517.98"/>
    <x v="3"/>
    <x v="0"/>
    <n v="3.2"/>
    <n v="17"/>
    <n v="6"/>
    <n v="3033.7108433734943"/>
    <n v="515.73084337349428"/>
    <x v="1"/>
    <m/>
  </r>
  <r>
    <n v="725"/>
    <n v="35"/>
    <x v="1"/>
    <x v="2"/>
    <x v="2"/>
    <n v="240.4"/>
    <x v="2"/>
    <x v="0"/>
    <n v="3.7"/>
    <n v="10"/>
    <n v="5"/>
    <n v="267.11111111111109"/>
    <n v="26.71111111111108"/>
    <x v="1"/>
    <m/>
  </r>
  <r>
    <n v="726"/>
    <n v="66"/>
    <x v="0"/>
    <x v="4"/>
    <x v="29"/>
    <n v="75.72"/>
    <x v="1"/>
    <x v="0"/>
    <n v="3.9"/>
    <n v="14"/>
    <n v="7"/>
    <n v="88.04651162790698"/>
    <n v="12.326511627906982"/>
    <x v="2"/>
    <m/>
  </r>
  <r>
    <n v="727"/>
    <n v="37"/>
    <x v="1"/>
    <x v="7"/>
    <x v="8"/>
    <n v="229.47"/>
    <x v="1"/>
    <x v="0"/>
    <n v="4.2"/>
    <n v="14"/>
    <n v="7"/>
    <n v="266.82558139534882"/>
    <n v="37.355581395348821"/>
    <x v="1"/>
    <m/>
  </r>
  <r>
    <n v="728"/>
    <n v="31"/>
    <x v="0"/>
    <x v="2"/>
    <x v="2"/>
    <n v="103.72"/>
    <x v="2"/>
    <x v="0"/>
    <n v="3.4"/>
    <n v="20"/>
    <n v="5"/>
    <n v="129.64999999999998"/>
    <n v="25.929999999999978"/>
    <x v="5"/>
    <m/>
  </r>
  <r>
    <n v="729"/>
    <n v="46"/>
    <x v="0"/>
    <x v="8"/>
    <x v="14"/>
    <n v="134.76"/>
    <x v="3"/>
    <x v="0"/>
    <n v="4.5999999999999996"/>
    <n v="20"/>
    <n v="5"/>
    <n v="168.45"/>
    <n v="33.69"/>
    <x v="4"/>
    <m/>
  </r>
  <r>
    <n v="730"/>
    <n v="46"/>
    <x v="1"/>
    <x v="4"/>
    <x v="19"/>
    <n v="59.16"/>
    <x v="0"/>
    <x v="0"/>
    <n v="4.5"/>
    <n v="24"/>
    <n v="7"/>
    <n v="77.84210526315789"/>
    <n v="18.682105263157894"/>
    <x v="4"/>
    <m/>
  </r>
  <r>
    <n v="731"/>
    <n v="51"/>
    <x v="1"/>
    <x v="1"/>
    <x v="9"/>
    <n v="99.13"/>
    <x v="3"/>
    <x v="0"/>
    <n v="4.0999999999999996"/>
    <n v="17"/>
    <n v="6"/>
    <n v="119.43373493975903"/>
    <n v="20.303734939759039"/>
    <x v="4"/>
    <m/>
  </r>
  <r>
    <n v="732"/>
    <n v="38"/>
    <x v="1"/>
    <x v="2"/>
    <x v="12"/>
    <n v="205.6"/>
    <x v="1"/>
    <x v="0"/>
    <n v="4.5"/>
    <n v="22"/>
    <n v="6"/>
    <n v="263.58974358974359"/>
    <n v="57.989743589743597"/>
    <x v="1"/>
    <m/>
  </r>
  <r>
    <n v="733"/>
    <n v="31"/>
    <x v="1"/>
    <x v="7"/>
    <x v="8"/>
    <n v="51.91"/>
    <x v="3"/>
    <x v="1"/>
    <n v="2.2000000000000002"/>
    <n v="2"/>
    <n v="1"/>
    <n v="52.969387755102041"/>
    <n v="1.0593877551020441"/>
    <x v="5"/>
    <m/>
  </r>
  <r>
    <n v="734"/>
    <n v="26"/>
    <x v="0"/>
    <x v="6"/>
    <x v="23"/>
    <n v="64.09"/>
    <x v="2"/>
    <x v="0"/>
    <n v="4.5"/>
    <n v="11"/>
    <n v="3"/>
    <n v="72.011235955056179"/>
    <n v="7.9212359550561757"/>
    <x v="5"/>
    <m/>
  </r>
  <r>
    <n v="735"/>
    <n v="46"/>
    <x v="0"/>
    <x v="7"/>
    <x v="11"/>
    <n v="44.74"/>
    <x v="2"/>
    <x v="1"/>
    <n v="3.6"/>
    <n v="13"/>
    <n v="4"/>
    <n v="51.425287356321839"/>
    <n v="6.6852873563218367"/>
    <x v="4"/>
    <m/>
  </r>
  <r>
    <n v="736"/>
    <n v="42"/>
    <x v="0"/>
    <x v="3"/>
    <x v="15"/>
    <n v="44.21"/>
    <x v="3"/>
    <x v="0"/>
    <n v="3.4"/>
    <n v="15"/>
    <n v="5"/>
    <n v="52.011764705882356"/>
    <n v="7.8017647058823556"/>
    <x v="1"/>
    <m/>
  </r>
  <r>
    <n v="737"/>
    <n v="24"/>
    <x v="0"/>
    <x v="0"/>
    <x v="0"/>
    <n v="177.47"/>
    <x v="2"/>
    <x v="0"/>
    <n v="3.3"/>
    <n v="8"/>
    <n v="4"/>
    <n v="192.90217391304347"/>
    <n v="15.432173913043471"/>
    <x v="3"/>
    <m/>
  </r>
  <r>
    <n v="738"/>
    <n v="30"/>
    <x v="0"/>
    <x v="6"/>
    <x v="23"/>
    <n v="114.32"/>
    <x v="1"/>
    <x v="0"/>
    <n v="4"/>
    <n v="7"/>
    <n v="1"/>
    <n v="122.9247311827957"/>
    <n v="8.6047311827957031"/>
    <x v="5"/>
    <m/>
  </r>
  <r>
    <n v="739"/>
    <n v="53"/>
    <x v="1"/>
    <x v="7"/>
    <x v="8"/>
    <n v="139.94"/>
    <x v="0"/>
    <x v="0"/>
    <n v="3.5"/>
    <n v="13"/>
    <n v="4"/>
    <n v="160.85057471264366"/>
    <n v="20.910574712643665"/>
    <x v="4"/>
    <m/>
  </r>
  <r>
    <n v="740"/>
    <n v="29"/>
    <x v="1"/>
    <x v="7"/>
    <x v="13"/>
    <n v="247.94"/>
    <x v="2"/>
    <x v="0"/>
    <n v="3.4"/>
    <n v="8"/>
    <n v="4"/>
    <n v="269.5"/>
    <n v="21.560000000000002"/>
    <x v="5"/>
    <m/>
  </r>
  <r>
    <n v="741"/>
    <n v="49"/>
    <x v="1"/>
    <x v="5"/>
    <x v="21"/>
    <n v="2588.27"/>
    <x v="3"/>
    <x v="0"/>
    <n v="4.9000000000000004"/>
    <n v="11"/>
    <n v="3"/>
    <n v="2908.1685393258426"/>
    <n v="319.89853932584265"/>
    <x v="4"/>
    <m/>
  </r>
  <r>
    <n v="742"/>
    <n v="70"/>
    <x v="1"/>
    <x v="5"/>
    <x v="5"/>
    <n v="780.6"/>
    <x v="0"/>
    <x v="0"/>
    <n v="4.7"/>
    <n v="20"/>
    <n v="5"/>
    <n v="975.75"/>
    <n v="195.14999999999998"/>
    <x v="2"/>
    <m/>
  </r>
  <r>
    <n v="743"/>
    <n v="35"/>
    <x v="1"/>
    <x v="7"/>
    <x v="11"/>
    <n v="113.18"/>
    <x v="1"/>
    <x v="0"/>
    <n v="3.8"/>
    <n v="12"/>
    <n v="6"/>
    <n v="128.61363636363637"/>
    <n v="15.433636363636367"/>
    <x v="1"/>
    <m/>
  </r>
  <r>
    <n v="744"/>
    <n v="57"/>
    <x v="1"/>
    <x v="3"/>
    <x v="15"/>
    <n v="107.82"/>
    <x v="2"/>
    <x v="0"/>
    <n v="4.0999999999999996"/>
    <n v="16"/>
    <n v="3"/>
    <n v="128.35714285714286"/>
    <n v="20.537142857142868"/>
    <x v="0"/>
    <m/>
  </r>
  <r>
    <n v="745"/>
    <n v="36"/>
    <x v="1"/>
    <x v="3"/>
    <x v="15"/>
    <n v="224.49"/>
    <x v="0"/>
    <x v="0"/>
    <n v="4.5"/>
    <n v="12"/>
    <n v="6"/>
    <n v="255.10227272727275"/>
    <n v="30.612272727272739"/>
    <x v="1"/>
    <m/>
  </r>
  <r>
    <n v="746"/>
    <n v="52"/>
    <x v="1"/>
    <x v="1"/>
    <x v="20"/>
    <n v="132.43"/>
    <x v="3"/>
    <x v="0"/>
    <n v="3.5"/>
    <n v="12"/>
    <n v="1"/>
    <n v="150.48863636363637"/>
    <n v="18.058636363636367"/>
    <x v="4"/>
    <m/>
  </r>
  <r>
    <n v="747"/>
    <n v="47"/>
    <x v="0"/>
    <x v="2"/>
    <x v="2"/>
    <n v="57.77"/>
    <x v="1"/>
    <x v="1"/>
    <n v="2.9"/>
    <n v="16"/>
    <n v="3"/>
    <n v="68.773809523809533"/>
    <n v="11.003809523809529"/>
    <x v="4"/>
    <m/>
  </r>
  <r>
    <n v="748"/>
    <n v="24"/>
    <x v="1"/>
    <x v="2"/>
    <x v="10"/>
    <n v="139.11000000000001"/>
    <x v="1"/>
    <x v="0"/>
    <n v="3.1"/>
    <n v="19"/>
    <n v="7"/>
    <n v="171.74074074074073"/>
    <n v="32.63074074074072"/>
    <x v="3"/>
    <m/>
  </r>
  <r>
    <n v="749"/>
    <n v="55"/>
    <x v="0"/>
    <x v="0"/>
    <x v="28"/>
    <n v="159.49"/>
    <x v="1"/>
    <x v="0"/>
    <n v="3.4"/>
    <n v="18"/>
    <n v="4"/>
    <n v="194.5"/>
    <n v="35.009999999999991"/>
    <x v="0"/>
    <m/>
  </r>
  <r>
    <n v="750"/>
    <n v="22"/>
    <x v="1"/>
    <x v="4"/>
    <x v="26"/>
    <n v="36.590000000000003"/>
    <x v="1"/>
    <x v="1"/>
    <n v="3.2"/>
    <n v="15"/>
    <n v="5"/>
    <n v="43.047058823529419"/>
    <n v="6.4570588235294153"/>
    <x v="3"/>
    <m/>
  </r>
  <r>
    <n v="751"/>
    <n v="36"/>
    <x v="0"/>
    <x v="8"/>
    <x v="17"/>
    <n v="114.62"/>
    <x v="3"/>
    <x v="0"/>
    <n v="3.4"/>
    <n v="16"/>
    <n v="3"/>
    <n v="136.45238095238096"/>
    <n v="21.832380952380959"/>
    <x v="1"/>
    <m/>
  </r>
  <r>
    <n v="752"/>
    <n v="60"/>
    <x v="1"/>
    <x v="2"/>
    <x v="12"/>
    <n v="79.86"/>
    <x v="1"/>
    <x v="1"/>
    <n v="4.4000000000000004"/>
    <n v="19"/>
    <n v="7"/>
    <n v="98.592592592592581"/>
    <n v="18.732592592592582"/>
    <x v="0"/>
    <m/>
  </r>
  <r>
    <n v="753"/>
    <n v="43"/>
    <x v="1"/>
    <x v="1"/>
    <x v="20"/>
    <n v="110.06"/>
    <x v="3"/>
    <x v="0"/>
    <n v="3.3"/>
    <n v="20"/>
    <n v="10"/>
    <n v="137.57499999999999"/>
    <n v="27.514999999999986"/>
    <x v="1"/>
    <m/>
  </r>
  <r>
    <n v="754"/>
    <n v="57"/>
    <x v="1"/>
    <x v="2"/>
    <x v="10"/>
    <n v="203.13"/>
    <x v="2"/>
    <x v="0"/>
    <n v="3.3"/>
    <n v="11"/>
    <n v="3"/>
    <n v="228.23595505617976"/>
    <n v="25.105955056179766"/>
    <x v="0"/>
    <m/>
  </r>
  <r>
    <n v="755"/>
    <n v="54"/>
    <x v="1"/>
    <x v="5"/>
    <x v="21"/>
    <n v="1829.89"/>
    <x v="2"/>
    <x v="0"/>
    <n v="4.9000000000000004"/>
    <n v="30"/>
    <n v="10"/>
    <n v="2614.1285714285718"/>
    <n v="784.23857142857173"/>
    <x v="4"/>
    <m/>
  </r>
  <r>
    <n v="756"/>
    <n v="33"/>
    <x v="0"/>
    <x v="2"/>
    <x v="2"/>
    <n v="183.9"/>
    <x v="3"/>
    <x v="0"/>
    <n v="2.6"/>
    <n v="15"/>
    <n v="5"/>
    <n v="216.35294117647061"/>
    <n v="32.452941176470603"/>
    <x v="5"/>
    <m/>
  </r>
  <r>
    <n v="757"/>
    <n v="63"/>
    <x v="0"/>
    <x v="7"/>
    <x v="8"/>
    <n v="108.4"/>
    <x v="1"/>
    <x v="0"/>
    <n v="2.6"/>
    <n v="16"/>
    <n v="3"/>
    <n v="129.04761904761907"/>
    <n v="20.64761904761906"/>
    <x v="0"/>
    <m/>
  </r>
  <r>
    <n v="758"/>
    <n v="66"/>
    <x v="1"/>
    <x v="4"/>
    <x v="4"/>
    <n v="37.9"/>
    <x v="2"/>
    <x v="0"/>
    <n v="3.5"/>
    <n v="14"/>
    <n v="7"/>
    <n v="44.069767441860463"/>
    <n v="6.1697674418604649"/>
    <x v="2"/>
    <m/>
  </r>
  <r>
    <n v="759"/>
    <n v="30"/>
    <x v="1"/>
    <x v="1"/>
    <x v="9"/>
    <n v="30.45"/>
    <x v="3"/>
    <x v="0"/>
    <n v="3.6"/>
    <n v="15"/>
    <n v="5"/>
    <n v="35.823529411764703"/>
    <n v="5.3735294117647037"/>
    <x v="5"/>
    <m/>
  </r>
  <r>
    <n v="760"/>
    <n v="55"/>
    <x v="1"/>
    <x v="2"/>
    <x v="10"/>
    <n v="54.84"/>
    <x v="1"/>
    <x v="1"/>
    <n v="1.1000000000000001"/>
    <n v="8"/>
    <n v="4"/>
    <n v="59.608695652173914"/>
    <n v="4.7686956521739106"/>
    <x v="0"/>
    <m/>
  </r>
  <r>
    <n v="761"/>
    <n v="35"/>
    <x v="0"/>
    <x v="0"/>
    <x v="22"/>
    <n v="154.72"/>
    <x v="1"/>
    <x v="0"/>
    <n v="3.2"/>
    <n v="26"/>
    <n v="8"/>
    <n v="209.08108108108109"/>
    <n v="54.361081081081096"/>
    <x v="1"/>
    <m/>
  </r>
  <r>
    <n v="762"/>
    <n v="33"/>
    <x v="1"/>
    <x v="5"/>
    <x v="25"/>
    <n v="2603.54"/>
    <x v="0"/>
    <x v="0"/>
    <n v="4.4000000000000004"/>
    <n v="12"/>
    <n v="6"/>
    <n v="2958.568181818182"/>
    <n v="355.02818181818202"/>
    <x v="5"/>
    <m/>
  </r>
  <r>
    <n v="763"/>
    <n v="28"/>
    <x v="1"/>
    <x v="7"/>
    <x v="11"/>
    <n v="192.41"/>
    <x v="2"/>
    <x v="0"/>
    <n v="3.2"/>
    <n v="8"/>
    <n v="4"/>
    <n v="209.14130434782606"/>
    <n v="16.731304347826068"/>
    <x v="5"/>
    <m/>
  </r>
  <r>
    <n v="764"/>
    <n v="38"/>
    <x v="1"/>
    <x v="2"/>
    <x v="10"/>
    <n v="248.91"/>
    <x v="0"/>
    <x v="0"/>
    <n v="4.8"/>
    <n v="26"/>
    <n v="8"/>
    <n v="336.36486486486484"/>
    <n v="87.454864864864845"/>
    <x v="1"/>
    <m/>
  </r>
  <r>
    <n v="765"/>
    <n v="51"/>
    <x v="1"/>
    <x v="4"/>
    <x v="29"/>
    <n v="43.81"/>
    <x v="2"/>
    <x v="1"/>
    <n v="4.0999999999999996"/>
    <n v="7"/>
    <n v="1"/>
    <n v="47.107526881720439"/>
    <n v="3.2975268817204366"/>
    <x v="4"/>
    <m/>
  </r>
  <r>
    <n v="766"/>
    <n v="24"/>
    <x v="1"/>
    <x v="4"/>
    <x v="26"/>
    <n v="63.21"/>
    <x v="1"/>
    <x v="1"/>
    <n v="4"/>
    <n v="10"/>
    <n v="5"/>
    <n v="70.233333333333334"/>
    <n v="7.0233333333333334"/>
    <x v="3"/>
    <m/>
  </r>
  <r>
    <n v="767"/>
    <n v="62"/>
    <x v="1"/>
    <x v="3"/>
    <x v="3"/>
    <n v="98"/>
    <x v="1"/>
    <x v="1"/>
    <n v="5"/>
    <n v="28"/>
    <n v="9"/>
    <n v="136.11111111111111"/>
    <n v="38.111111111111114"/>
    <x v="0"/>
    <m/>
  </r>
  <r>
    <n v="768"/>
    <n v="63"/>
    <x v="1"/>
    <x v="2"/>
    <x v="10"/>
    <n v="117.1"/>
    <x v="0"/>
    <x v="0"/>
    <n v="3.6"/>
    <n v="8"/>
    <n v="4"/>
    <n v="127.28260869565216"/>
    <n v="10.182608695652164"/>
    <x v="0"/>
    <m/>
  </r>
  <r>
    <n v="769"/>
    <n v="60"/>
    <x v="0"/>
    <x v="2"/>
    <x v="12"/>
    <n v="248.11"/>
    <x v="0"/>
    <x v="0"/>
    <n v="3.9"/>
    <n v="20"/>
    <n v="5"/>
    <n v="310.13749999999999"/>
    <n v="62.027499999999975"/>
    <x v="0"/>
    <m/>
  </r>
  <r>
    <n v="770"/>
    <n v="26"/>
    <x v="0"/>
    <x v="8"/>
    <x v="18"/>
    <n v="43.35"/>
    <x v="1"/>
    <x v="0"/>
    <n v="4.4000000000000004"/>
    <n v="14"/>
    <n v="7"/>
    <n v="50.406976744186046"/>
    <n v="7.0569767441860449"/>
    <x v="5"/>
    <m/>
  </r>
  <r>
    <n v="771"/>
    <n v="56"/>
    <x v="0"/>
    <x v="4"/>
    <x v="29"/>
    <n v="62.63"/>
    <x v="0"/>
    <x v="0"/>
    <n v="3.7"/>
    <n v="18"/>
    <n v="4"/>
    <n v="76.378048780487802"/>
    <n v="13.7480487804878"/>
    <x v="0"/>
    <m/>
  </r>
  <r>
    <n v="772"/>
    <n v="21"/>
    <x v="0"/>
    <x v="8"/>
    <x v="17"/>
    <n v="92.13"/>
    <x v="2"/>
    <x v="1"/>
    <n v="3.5"/>
    <n v="20"/>
    <n v="5"/>
    <n v="115.16249999999999"/>
    <n v="23.032499999999999"/>
    <x v="3"/>
    <m/>
  </r>
  <r>
    <n v="773"/>
    <n v="31"/>
    <x v="0"/>
    <x v="0"/>
    <x v="28"/>
    <n v="136.74"/>
    <x v="2"/>
    <x v="0"/>
    <n v="2.9"/>
    <n v="8"/>
    <n v="4"/>
    <n v="148.63043478260869"/>
    <n v="11.890434782608679"/>
    <x v="5"/>
    <m/>
  </r>
  <r>
    <n v="774"/>
    <n v="51"/>
    <x v="0"/>
    <x v="6"/>
    <x v="23"/>
    <n v="101.97"/>
    <x v="0"/>
    <x v="0"/>
    <n v="3.4"/>
    <n v="9"/>
    <n v="2"/>
    <n v="112.05494505494505"/>
    <n v="10.084945054945052"/>
    <x v="4"/>
    <m/>
  </r>
  <r>
    <n v="775"/>
    <n v="38"/>
    <x v="0"/>
    <x v="8"/>
    <x v="17"/>
    <n v="50.83"/>
    <x v="0"/>
    <x v="0"/>
    <n v="3.9"/>
    <n v="7"/>
    <n v="1"/>
    <n v="54.655913978494624"/>
    <n v="3.8259139784946257"/>
    <x v="1"/>
    <m/>
  </r>
  <r>
    <n v="776"/>
    <n v="52"/>
    <x v="1"/>
    <x v="7"/>
    <x v="11"/>
    <n v="161.58000000000001"/>
    <x v="1"/>
    <x v="0"/>
    <n v="2.6"/>
    <n v="22"/>
    <n v="11"/>
    <n v="207.15384615384616"/>
    <n v="45.573846153846148"/>
    <x v="4"/>
    <m/>
  </r>
  <r>
    <n v="777"/>
    <n v="36"/>
    <x v="0"/>
    <x v="4"/>
    <x v="29"/>
    <n v="11.85"/>
    <x v="1"/>
    <x v="1"/>
    <n v="3.6"/>
    <n v="19"/>
    <n v="7"/>
    <n v="14.629629629629628"/>
    <n v="2.7796296296296283"/>
    <x v="1"/>
    <m/>
  </r>
  <r>
    <n v="778"/>
    <n v="42"/>
    <x v="1"/>
    <x v="7"/>
    <x v="13"/>
    <n v="205.2"/>
    <x v="2"/>
    <x v="0"/>
    <n v="2.9"/>
    <n v="4"/>
    <n v="2"/>
    <n v="213.75"/>
    <n v="8.5500000000000114"/>
    <x v="1"/>
    <m/>
  </r>
  <r>
    <n v="779"/>
    <n v="69"/>
    <x v="1"/>
    <x v="3"/>
    <x v="15"/>
    <n v="120.93"/>
    <x v="3"/>
    <x v="0"/>
    <n v="4.5"/>
    <n v="28"/>
    <n v="9"/>
    <n v="167.95833333333334"/>
    <n v="47.028333333333336"/>
    <x v="2"/>
    <m/>
  </r>
  <r>
    <n v="780"/>
    <n v="67"/>
    <x v="1"/>
    <x v="1"/>
    <x v="20"/>
    <n v="35.68"/>
    <x v="0"/>
    <x v="1"/>
    <n v="3.5"/>
    <n v="10"/>
    <n v="5"/>
    <n v="39.644444444444446"/>
    <n v="3.964444444444446"/>
    <x v="2"/>
    <m/>
  </r>
  <r>
    <n v="781"/>
    <n v="69"/>
    <x v="1"/>
    <x v="2"/>
    <x v="12"/>
    <n v="109.07"/>
    <x v="2"/>
    <x v="0"/>
    <n v="3.3"/>
    <n v="10"/>
    <n v="5"/>
    <n v="121.18888888888888"/>
    <n v="12.11888888888889"/>
    <x v="2"/>
    <m/>
  </r>
  <r>
    <n v="782"/>
    <n v="30"/>
    <x v="0"/>
    <x v="7"/>
    <x v="8"/>
    <n v="109.86"/>
    <x v="2"/>
    <x v="0"/>
    <n v="3.6"/>
    <n v="9"/>
    <n v="2"/>
    <n v="120.72527472527472"/>
    <n v="10.865274725274716"/>
    <x v="5"/>
    <m/>
  </r>
  <r>
    <n v="783"/>
    <n v="40"/>
    <x v="0"/>
    <x v="8"/>
    <x v="16"/>
    <n v="34.85"/>
    <x v="3"/>
    <x v="1"/>
    <n v="3"/>
    <n v="14"/>
    <n v="2"/>
    <n v="40.52325581395349"/>
    <n v="5.6732558139534888"/>
    <x v="1"/>
    <m/>
  </r>
  <r>
    <n v="784"/>
    <n v="41"/>
    <x v="0"/>
    <x v="4"/>
    <x v="4"/>
    <n v="70.84"/>
    <x v="0"/>
    <x v="0"/>
    <n v="4.4000000000000004"/>
    <n v="12"/>
    <n v="6"/>
    <n v="80.5"/>
    <n v="9.6599999999999966"/>
    <x v="1"/>
    <m/>
  </r>
  <r>
    <n v="785"/>
    <n v="20"/>
    <x v="1"/>
    <x v="7"/>
    <x v="11"/>
    <n v="170.06"/>
    <x v="2"/>
    <x v="0"/>
    <n v="4.4000000000000004"/>
    <n v="12"/>
    <n v="1"/>
    <n v="193.25"/>
    <n v="23.189999999999998"/>
    <x v="3"/>
    <m/>
  </r>
  <r>
    <n v="786"/>
    <n v="39"/>
    <x v="0"/>
    <x v="3"/>
    <x v="15"/>
    <n v="80.69"/>
    <x v="1"/>
    <x v="1"/>
    <n v="3.8"/>
    <n v="16"/>
    <n v="8"/>
    <n v="96.05952380952381"/>
    <n v="15.369523809523812"/>
    <x v="1"/>
    <m/>
  </r>
  <r>
    <n v="787"/>
    <n v="54"/>
    <x v="1"/>
    <x v="5"/>
    <x v="21"/>
    <n v="980.43"/>
    <x v="3"/>
    <x v="0"/>
    <n v="3.6"/>
    <n v="14"/>
    <n v="2"/>
    <n v="1140.0348837209301"/>
    <n v="159.60488372093016"/>
    <x v="4"/>
    <m/>
  </r>
  <r>
    <n v="788"/>
    <n v="66"/>
    <x v="1"/>
    <x v="2"/>
    <x v="2"/>
    <n v="103.3"/>
    <x v="1"/>
    <x v="0"/>
    <n v="2.6"/>
    <n v="6"/>
    <n v="3"/>
    <n v="109.8936170212766"/>
    <n v="6.5936170212766001"/>
    <x v="2"/>
    <m/>
  </r>
  <r>
    <n v="789"/>
    <n v="39"/>
    <x v="1"/>
    <x v="2"/>
    <x v="2"/>
    <n v="245.18"/>
    <x v="2"/>
    <x v="0"/>
    <n v="4"/>
    <n v="20"/>
    <n v="5"/>
    <n v="306.47499999999997"/>
    <n v="61.294999999999959"/>
    <x v="1"/>
    <m/>
  </r>
  <r>
    <n v="790"/>
    <n v="39"/>
    <x v="0"/>
    <x v="0"/>
    <x v="0"/>
    <n v="128.03"/>
    <x v="1"/>
    <x v="0"/>
    <n v="3.7"/>
    <n v="8"/>
    <n v="4"/>
    <n v="139.16304347826087"/>
    <n v="11.133043478260873"/>
    <x v="1"/>
    <m/>
  </r>
  <r>
    <n v="791"/>
    <n v="21"/>
    <x v="1"/>
    <x v="2"/>
    <x v="10"/>
    <n v="231.08"/>
    <x v="1"/>
    <x v="0"/>
    <n v="4.7"/>
    <n v="18"/>
    <n v="4"/>
    <n v="281.80487804878049"/>
    <n v="50.724878048780482"/>
    <x v="3"/>
    <m/>
  </r>
  <r>
    <n v="792"/>
    <n v="60"/>
    <x v="0"/>
    <x v="8"/>
    <x v="14"/>
    <n v="48.29"/>
    <x v="2"/>
    <x v="1"/>
    <n v="3.9"/>
    <n v="22"/>
    <n v="6"/>
    <n v="61.910256410256409"/>
    <n v="13.62025641025641"/>
    <x v="0"/>
    <m/>
  </r>
  <r>
    <n v="793"/>
    <n v="27"/>
    <x v="1"/>
    <x v="5"/>
    <x v="21"/>
    <n v="677.89"/>
    <x v="3"/>
    <x v="0"/>
    <n v="3.3"/>
    <n v="16"/>
    <n v="8"/>
    <n v="807.01190476190482"/>
    <n v="129.12190476190483"/>
    <x v="5"/>
    <m/>
  </r>
  <r>
    <n v="794"/>
    <n v="36"/>
    <x v="1"/>
    <x v="2"/>
    <x v="2"/>
    <n v="163.62"/>
    <x v="2"/>
    <x v="0"/>
    <n v="2.9"/>
    <n v="15"/>
    <n v="5"/>
    <n v="192.49411764705883"/>
    <n v="28.874117647058824"/>
    <x v="1"/>
    <m/>
  </r>
  <r>
    <n v="795"/>
    <n v="21"/>
    <x v="0"/>
    <x v="4"/>
    <x v="19"/>
    <n v="23.18"/>
    <x v="1"/>
    <x v="0"/>
    <n v="4.4000000000000004"/>
    <n v="11"/>
    <n v="3"/>
    <n v="26.04494382022472"/>
    <n v="2.8649438202247204"/>
    <x v="3"/>
    <m/>
  </r>
  <r>
    <n v="796"/>
    <n v="63"/>
    <x v="1"/>
    <x v="2"/>
    <x v="12"/>
    <n v="136.33000000000001"/>
    <x v="0"/>
    <x v="0"/>
    <n v="4.5999999999999996"/>
    <n v="15"/>
    <n v="5"/>
    <n v="160.38823529411766"/>
    <n v="24.058235294117651"/>
    <x v="0"/>
    <m/>
  </r>
  <r>
    <n v="797"/>
    <n v="67"/>
    <x v="1"/>
    <x v="5"/>
    <x v="21"/>
    <n v="2406.63"/>
    <x v="2"/>
    <x v="0"/>
    <n v="3.2"/>
    <n v="16"/>
    <n v="3"/>
    <n v="2865.0357142857147"/>
    <n v="458.40571428571457"/>
    <x v="2"/>
    <m/>
  </r>
  <r>
    <n v="798"/>
    <n v="27"/>
    <x v="1"/>
    <x v="7"/>
    <x v="13"/>
    <n v="172.16"/>
    <x v="2"/>
    <x v="0"/>
    <n v="3.4"/>
    <n v="14"/>
    <n v="7"/>
    <n v="200.18604651162789"/>
    <n v="28.026046511627897"/>
    <x v="5"/>
    <m/>
  </r>
  <r>
    <n v="799"/>
    <n v="69"/>
    <x v="1"/>
    <x v="7"/>
    <x v="13"/>
    <n v="242.66"/>
    <x v="1"/>
    <x v="0"/>
    <n v="5"/>
    <n v="2"/>
    <n v="1"/>
    <n v="247.61224489795919"/>
    <n v="4.95224489795919"/>
    <x v="2"/>
    <m/>
  </r>
  <r>
    <n v="800"/>
    <n v="64"/>
    <x v="1"/>
    <x v="2"/>
    <x v="2"/>
    <n v="99.39"/>
    <x v="0"/>
    <x v="0"/>
    <n v="3.6"/>
    <n v="16"/>
    <n v="8"/>
    <n v="118.32142857142857"/>
    <n v="18.931428571428569"/>
    <x v="0"/>
    <m/>
  </r>
  <r>
    <n v="801"/>
    <n v="62"/>
    <x v="0"/>
    <x v="6"/>
    <x v="6"/>
    <n v="36.869999999999997"/>
    <x v="2"/>
    <x v="0"/>
    <n v="4.7"/>
    <n v="23"/>
    <n v="9"/>
    <n v="47.883116883116877"/>
    <n v="11.013116883116879"/>
    <x v="0"/>
    <m/>
  </r>
  <r>
    <n v="802"/>
    <n v="55"/>
    <x v="1"/>
    <x v="5"/>
    <x v="21"/>
    <n v="2855.84"/>
    <x v="0"/>
    <x v="0"/>
    <n v="3.7"/>
    <n v="11"/>
    <n v="3"/>
    <n v="3208.8089887640449"/>
    <n v="352.96898876404475"/>
    <x v="0"/>
    <m/>
  </r>
  <r>
    <n v="803"/>
    <n v="49"/>
    <x v="0"/>
    <x v="0"/>
    <x v="0"/>
    <n v="135.05000000000001"/>
    <x v="1"/>
    <x v="0"/>
    <n v="2.9"/>
    <n v="6"/>
    <n v="3"/>
    <n v="143.67021276595747"/>
    <n v="8.6202127659574614"/>
    <x v="4"/>
    <m/>
  </r>
  <r>
    <n v="804"/>
    <n v="34"/>
    <x v="1"/>
    <x v="2"/>
    <x v="2"/>
    <n v="49.52"/>
    <x v="1"/>
    <x v="1"/>
    <n v="2.2999999999999998"/>
    <n v="9"/>
    <n v="2"/>
    <n v="54.417582417582416"/>
    <n v="4.897582417582413"/>
    <x v="5"/>
    <m/>
  </r>
  <r>
    <n v="805"/>
    <n v="42"/>
    <x v="1"/>
    <x v="7"/>
    <x v="13"/>
    <n v="161.18"/>
    <x v="1"/>
    <x v="0"/>
    <n v="4.5"/>
    <n v="20"/>
    <n v="5"/>
    <n v="201.47499999999999"/>
    <n v="40.294999999999987"/>
    <x v="1"/>
    <m/>
  </r>
  <r>
    <n v="806"/>
    <n v="70"/>
    <x v="0"/>
    <x v="4"/>
    <x v="26"/>
    <n v="36.299999999999997"/>
    <x v="2"/>
    <x v="0"/>
    <n v="3.1"/>
    <n v="12"/>
    <n v="6"/>
    <n v="41.25"/>
    <n v="4.9500000000000028"/>
    <x v="2"/>
    <m/>
  </r>
  <r>
    <n v="807"/>
    <n v="42"/>
    <x v="1"/>
    <x v="5"/>
    <x v="5"/>
    <n v="2889.05"/>
    <x v="1"/>
    <x v="0"/>
    <n v="4.0999999999999996"/>
    <n v="12"/>
    <n v="1"/>
    <n v="3283.011363636364"/>
    <n v="393.96136363636379"/>
    <x v="1"/>
    <m/>
  </r>
  <r>
    <n v="808"/>
    <n v="49"/>
    <x v="0"/>
    <x v="7"/>
    <x v="8"/>
    <n v="185.74"/>
    <x v="1"/>
    <x v="0"/>
    <n v="2.5"/>
    <n v="13"/>
    <n v="4"/>
    <n v="213.49425287356323"/>
    <n v="27.754252873563217"/>
    <x v="4"/>
    <m/>
  </r>
  <r>
    <n v="809"/>
    <n v="57"/>
    <x v="0"/>
    <x v="8"/>
    <x v="18"/>
    <n v="149.82"/>
    <x v="1"/>
    <x v="0"/>
    <n v="3.3"/>
    <n v="16"/>
    <n v="8"/>
    <n v="178.35714285714286"/>
    <n v="28.537142857142868"/>
    <x v="0"/>
    <m/>
  </r>
  <r>
    <n v="810"/>
    <n v="45"/>
    <x v="0"/>
    <x v="2"/>
    <x v="10"/>
    <n v="159.87"/>
    <x v="2"/>
    <x v="0"/>
    <n v="3.6"/>
    <n v="11"/>
    <n v="3"/>
    <n v="179.62921348314606"/>
    <n v="19.759213483146056"/>
    <x v="4"/>
    <m/>
  </r>
  <r>
    <n v="811"/>
    <n v="47"/>
    <x v="0"/>
    <x v="7"/>
    <x v="13"/>
    <n v="116.66"/>
    <x v="1"/>
    <x v="0"/>
    <n v="4.0999999999999996"/>
    <n v="16"/>
    <n v="8"/>
    <n v="138.88095238095238"/>
    <n v="22.220952380952383"/>
    <x v="4"/>
    <m/>
  </r>
  <r>
    <n v="812"/>
    <n v="60"/>
    <x v="1"/>
    <x v="7"/>
    <x v="8"/>
    <n v="69.97"/>
    <x v="2"/>
    <x v="0"/>
    <n v="4.5999999999999996"/>
    <n v="24"/>
    <n v="7"/>
    <n v="92.065789473684205"/>
    <n v="22.095789473684206"/>
    <x v="0"/>
    <m/>
  </r>
  <r>
    <n v="813"/>
    <n v="43"/>
    <x v="0"/>
    <x v="7"/>
    <x v="13"/>
    <n v="243.54"/>
    <x v="2"/>
    <x v="0"/>
    <n v="4.0999999999999996"/>
    <n v="22"/>
    <n v="6"/>
    <n v="312.23076923076923"/>
    <n v="68.690769230769234"/>
    <x v="1"/>
    <m/>
  </r>
  <r>
    <n v="814"/>
    <n v="64"/>
    <x v="1"/>
    <x v="2"/>
    <x v="2"/>
    <n v="182"/>
    <x v="3"/>
    <x v="0"/>
    <n v="4.5"/>
    <n v="11"/>
    <n v="3"/>
    <n v="204.49438202247191"/>
    <n v="22.49438202247191"/>
    <x v="0"/>
    <m/>
  </r>
  <r>
    <n v="815"/>
    <n v="55"/>
    <x v="0"/>
    <x v="6"/>
    <x v="23"/>
    <n v="129.26"/>
    <x v="1"/>
    <x v="0"/>
    <n v="3.2"/>
    <n v="8"/>
    <n v="4"/>
    <n v="140.49999999999997"/>
    <n v="11.239999999999981"/>
    <x v="0"/>
    <m/>
  </r>
  <r>
    <n v="816"/>
    <n v="62"/>
    <x v="0"/>
    <x v="7"/>
    <x v="8"/>
    <n v="199.51"/>
    <x v="1"/>
    <x v="0"/>
    <n v="5"/>
    <n v="26"/>
    <n v="13"/>
    <n v="269.60810810810813"/>
    <n v="70.098108108108136"/>
    <x v="0"/>
    <m/>
  </r>
  <r>
    <n v="817"/>
    <n v="48"/>
    <x v="0"/>
    <x v="4"/>
    <x v="4"/>
    <n v="42.88"/>
    <x v="3"/>
    <x v="1"/>
    <n v="3.9"/>
    <n v="22"/>
    <n v="6"/>
    <n v="54.974358974358978"/>
    <n v="12.094358974358975"/>
    <x v="4"/>
    <m/>
  </r>
  <r>
    <n v="818"/>
    <n v="65"/>
    <x v="0"/>
    <x v="8"/>
    <x v="16"/>
    <n v="108.5"/>
    <x v="3"/>
    <x v="0"/>
    <n v="3.4"/>
    <n v="16"/>
    <n v="8"/>
    <n v="129.16666666666669"/>
    <n v="20.666666666666686"/>
    <x v="2"/>
    <m/>
  </r>
  <r>
    <n v="819"/>
    <n v="27"/>
    <x v="0"/>
    <x v="6"/>
    <x v="23"/>
    <n v="38.35"/>
    <x v="3"/>
    <x v="1"/>
    <n v="5"/>
    <n v="13"/>
    <n v="4"/>
    <n v="44.080459770114942"/>
    <n v="5.7304597701149405"/>
    <x v="5"/>
    <m/>
  </r>
  <r>
    <n v="820"/>
    <n v="68"/>
    <x v="0"/>
    <x v="4"/>
    <x v="19"/>
    <n v="28.85"/>
    <x v="3"/>
    <x v="0"/>
    <n v="4.4000000000000004"/>
    <n v="17"/>
    <n v="6"/>
    <n v="34.759036144578317"/>
    <n v="5.9090361445783159"/>
    <x v="2"/>
    <m/>
  </r>
  <r>
    <n v="821"/>
    <n v="64"/>
    <x v="1"/>
    <x v="5"/>
    <x v="21"/>
    <n v="1305.74"/>
    <x v="3"/>
    <x v="0"/>
    <n v="4.8"/>
    <n v="12"/>
    <n v="6"/>
    <n v="1483.7954545454545"/>
    <n v="178.0554545454545"/>
    <x v="0"/>
    <m/>
  </r>
  <r>
    <n v="822"/>
    <n v="31"/>
    <x v="1"/>
    <x v="5"/>
    <x v="5"/>
    <n v="2370.9899999999998"/>
    <x v="1"/>
    <x v="0"/>
    <n v="3.6"/>
    <n v="20"/>
    <n v="5"/>
    <n v="2963.7374999999997"/>
    <n v="592.74749999999995"/>
    <x v="5"/>
    <m/>
  </r>
  <r>
    <n v="823"/>
    <n v="56"/>
    <x v="0"/>
    <x v="2"/>
    <x v="2"/>
    <n v="197.64"/>
    <x v="3"/>
    <x v="0"/>
    <n v="5"/>
    <n v="22"/>
    <n v="6"/>
    <n v="253.38461538461536"/>
    <n v="55.744615384615372"/>
    <x v="0"/>
    <m/>
  </r>
  <r>
    <n v="824"/>
    <n v="55"/>
    <x v="0"/>
    <x v="8"/>
    <x v="17"/>
    <n v="33.4"/>
    <x v="3"/>
    <x v="1"/>
    <n v="4.9000000000000004"/>
    <n v="14"/>
    <n v="2"/>
    <n v="38.837209302325583"/>
    <n v="5.4372093023255843"/>
    <x v="0"/>
    <m/>
  </r>
  <r>
    <n v="825"/>
    <n v="57"/>
    <x v="0"/>
    <x v="4"/>
    <x v="29"/>
    <n v="68.77"/>
    <x v="1"/>
    <x v="0"/>
    <n v="4.2"/>
    <n v="32"/>
    <n v="11"/>
    <n v="101.13235294117648"/>
    <n v="32.362352941176482"/>
    <x v="0"/>
    <m/>
  </r>
  <r>
    <n v="826"/>
    <n v="36"/>
    <x v="0"/>
    <x v="8"/>
    <x v="14"/>
    <n v="42.75"/>
    <x v="3"/>
    <x v="0"/>
    <n v="3.8"/>
    <n v="17"/>
    <n v="6"/>
    <n v="51.506024096385545"/>
    <n v="8.7560240963855449"/>
    <x v="1"/>
    <m/>
  </r>
  <r>
    <n v="827"/>
    <n v="41"/>
    <x v="0"/>
    <x v="3"/>
    <x v="3"/>
    <n v="157.96"/>
    <x v="3"/>
    <x v="0"/>
    <n v="4.4000000000000004"/>
    <n v="10"/>
    <n v="5"/>
    <n v="175.51111111111112"/>
    <n v="17.551111111111112"/>
    <x v="1"/>
    <m/>
  </r>
  <r>
    <n v="828"/>
    <n v="38"/>
    <x v="1"/>
    <x v="5"/>
    <x v="25"/>
    <n v="2502.52"/>
    <x v="0"/>
    <x v="0"/>
    <n v="2.9"/>
    <n v="15"/>
    <n v="5"/>
    <n v="2944.1411764705881"/>
    <n v="441.62117647058813"/>
    <x v="1"/>
    <m/>
  </r>
  <r>
    <n v="829"/>
    <n v="43"/>
    <x v="0"/>
    <x v="2"/>
    <x v="10"/>
    <n v="93.26"/>
    <x v="2"/>
    <x v="0"/>
    <n v="4.3"/>
    <n v="10"/>
    <n v="5"/>
    <n v="103.62222222222222"/>
    <n v="10.362222222222215"/>
    <x v="1"/>
    <m/>
  </r>
  <r>
    <n v="830"/>
    <n v="46"/>
    <x v="1"/>
    <x v="7"/>
    <x v="11"/>
    <n v="160.09"/>
    <x v="0"/>
    <x v="0"/>
    <n v="4"/>
    <n v="8"/>
    <n v="4"/>
    <n v="174.01086956521738"/>
    <n v="13.920869565217373"/>
    <x v="4"/>
    <m/>
  </r>
  <r>
    <n v="831"/>
    <n v="38"/>
    <x v="1"/>
    <x v="5"/>
    <x v="25"/>
    <n v="2841.72"/>
    <x v="0"/>
    <x v="0"/>
    <n v="4"/>
    <n v="23"/>
    <n v="9"/>
    <n v="3690.545454545454"/>
    <n v="848.82545454545425"/>
    <x v="1"/>
    <m/>
  </r>
  <r>
    <n v="832"/>
    <n v="32"/>
    <x v="1"/>
    <x v="3"/>
    <x v="3"/>
    <n v="220.24"/>
    <x v="3"/>
    <x v="0"/>
    <n v="5"/>
    <n v="16"/>
    <n v="3"/>
    <n v="262.1904761904762"/>
    <n v="41.950476190476195"/>
    <x v="5"/>
    <m/>
  </r>
  <r>
    <n v="833"/>
    <n v="59"/>
    <x v="1"/>
    <x v="7"/>
    <x v="11"/>
    <n v="239.65"/>
    <x v="2"/>
    <x v="0"/>
    <n v="2.7"/>
    <n v="9"/>
    <n v="2"/>
    <n v="263.35164835164835"/>
    <n v="23.701648351648345"/>
    <x v="0"/>
    <m/>
  </r>
  <r>
    <n v="834"/>
    <n v="37"/>
    <x v="0"/>
    <x v="8"/>
    <x v="14"/>
    <n v="41.62"/>
    <x v="2"/>
    <x v="0"/>
    <n v="3.5"/>
    <n v="21"/>
    <n v="8"/>
    <n v="52.683544303797461"/>
    <n v="11.063544303797464"/>
    <x v="1"/>
    <m/>
  </r>
  <r>
    <n v="835"/>
    <n v="36"/>
    <x v="1"/>
    <x v="3"/>
    <x v="15"/>
    <n v="254.85"/>
    <x v="3"/>
    <x v="0"/>
    <n v="3"/>
    <n v="8"/>
    <n v="4"/>
    <n v="277.01086956521738"/>
    <n v="22.160869565217382"/>
    <x v="1"/>
    <m/>
  </r>
  <r>
    <n v="836"/>
    <n v="34"/>
    <x v="0"/>
    <x v="8"/>
    <x v="18"/>
    <n v="46.13"/>
    <x v="3"/>
    <x v="1"/>
    <n v="3.5"/>
    <n v="21"/>
    <n v="8"/>
    <n v="58.392405063291143"/>
    <n v="12.262405063291141"/>
    <x v="5"/>
    <m/>
  </r>
  <r>
    <n v="837"/>
    <n v="62"/>
    <x v="0"/>
    <x v="0"/>
    <x v="0"/>
    <n v="144.18"/>
    <x v="2"/>
    <x v="0"/>
    <n v="3.7"/>
    <n v="6"/>
    <n v="3"/>
    <n v="153.38297872340428"/>
    <n v="9.2029787234042715"/>
    <x v="0"/>
    <m/>
  </r>
  <r>
    <n v="838"/>
    <n v="59"/>
    <x v="1"/>
    <x v="2"/>
    <x v="2"/>
    <n v="140.99"/>
    <x v="1"/>
    <x v="0"/>
    <n v="2.7"/>
    <n v="12"/>
    <n v="6"/>
    <n v="160.21590909090909"/>
    <n v="19.225909090909084"/>
    <x v="0"/>
    <m/>
  </r>
  <r>
    <n v="839"/>
    <n v="38"/>
    <x v="1"/>
    <x v="3"/>
    <x v="15"/>
    <n v="140.12"/>
    <x v="3"/>
    <x v="0"/>
    <n v="4.9000000000000004"/>
    <n v="14"/>
    <n v="7"/>
    <n v="162.93023255813955"/>
    <n v="22.810232558139546"/>
    <x v="1"/>
    <m/>
  </r>
  <r>
    <n v="840"/>
    <n v="31"/>
    <x v="1"/>
    <x v="1"/>
    <x v="20"/>
    <n v="81.16"/>
    <x v="0"/>
    <x v="0"/>
    <n v="3.9"/>
    <n v="21"/>
    <n v="8"/>
    <n v="102.73417721518986"/>
    <n v="21.574177215189863"/>
    <x v="5"/>
    <m/>
  </r>
  <r>
    <n v="841"/>
    <n v="40"/>
    <x v="0"/>
    <x v="0"/>
    <x v="0"/>
    <n v="74.23"/>
    <x v="1"/>
    <x v="0"/>
    <n v="4.4000000000000004"/>
    <n v="11"/>
    <n v="3"/>
    <n v="83.404494382022477"/>
    <n v="9.1744943820224734"/>
    <x v="1"/>
    <m/>
  </r>
  <r>
    <n v="842"/>
    <n v="51"/>
    <x v="0"/>
    <x v="0"/>
    <x v="22"/>
    <n v="125.26"/>
    <x v="1"/>
    <x v="0"/>
    <n v="4.7"/>
    <n v="14"/>
    <n v="2"/>
    <n v="145.65116279069767"/>
    <n v="20.391162790697663"/>
    <x v="4"/>
    <m/>
  </r>
  <r>
    <n v="843"/>
    <n v="24"/>
    <x v="1"/>
    <x v="7"/>
    <x v="11"/>
    <n v="214.97"/>
    <x v="2"/>
    <x v="0"/>
    <n v="4.2"/>
    <n v="19"/>
    <n v="7"/>
    <n v="265.39506172839504"/>
    <n v="50.425061728395036"/>
    <x v="3"/>
    <m/>
  </r>
  <r>
    <n v="844"/>
    <n v="23"/>
    <x v="1"/>
    <x v="5"/>
    <x v="5"/>
    <n v="1810.64"/>
    <x v="0"/>
    <x v="0"/>
    <n v="4.5"/>
    <n v="11"/>
    <n v="3"/>
    <n v="2034.4269662921349"/>
    <n v="223.78696629213482"/>
    <x v="3"/>
    <m/>
  </r>
  <r>
    <n v="845"/>
    <n v="33"/>
    <x v="1"/>
    <x v="1"/>
    <x v="14"/>
    <n v="140.65"/>
    <x v="3"/>
    <x v="0"/>
    <n v="4.7"/>
    <n v="20"/>
    <n v="5"/>
    <n v="175.8125"/>
    <n v="35.162499999999994"/>
    <x v="5"/>
    <m/>
  </r>
  <r>
    <n v="846"/>
    <n v="33"/>
    <x v="1"/>
    <x v="5"/>
    <x v="5"/>
    <n v="2064.65"/>
    <x v="0"/>
    <x v="0"/>
    <n v="4.7"/>
    <n v="17"/>
    <n v="6"/>
    <n v="2487.530120481928"/>
    <n v="422.88012048192786"/>
    <x v="5"/>
    <m/>
  </r>
  <r>
    <n v="847"/>
    <n v="36"/>
    <x v="0"/>
    <x v="4"/>
    <x v="26"/>
    <n v="11.44"/>
    <x v="0"/>
    <x v="0"/>
    <n v="3.1"/>
    <n v="13"/>
    <n v="4"/>
    <n v="13.149425287356321"/>
    <n v="1.7094252873563214"/>
    <x v="1"/>
    <m/>
  </r>
  <r>
    <n v="848"/>
    <n v="54"/>
    <x v="0"/>
    <x v="6"/>
    <x v="6"/>
    <n v="76.66"/>
    <x v="1"/>
    <x v="1"/>
    <n v="4.3"/>
    <n v="12"/>
    <n v="6"/>
    <n v="87.11363636363636"/>
    <n v="10.453636363636363"/>
    <x v="4"/>
    <m/>
  </r>
  <r>
    <n v="849"/>
    <n v="64"/>
    <x v="0"/>
    <x v="0"/>
    <x v="28"/>
    <n v="97.05"/>
    <x v="0"/>
    <x v="1"/>
    <n v="4.3"/>
    <n v="17"/>
    <n v="6"/>
    <n v="116.92771084337349"/>
    <n v="19.877710843373492"/>
    <x v="0"/>
    <m/>
  </r>
  <r>
    <n v="850"/>
    <n v="24"/>
    <x v="1"/>
    <x v="2"/>
    <x v="2"/>
    <n v="214.49"/>
    <x v="0"/>
    <x v="0"/>
    <n v="4.4000000000000004"/>
    <n v="7"/>
    <n v="1"/>
    <n v="230.63440860215056"/>
    <n v="16.144408602150548"/>
    <x v="3"/>
    <m/>
  </r>
  <r>
    <n v="851"/>
    <n v="27"/>
    <x v="1"/>
    <x v="1"/>
    <x v="20"/>
    <n v="43.04"/>
    <x v="3"/>
    <x v="1"/>
    <n v="2"/>
    <n v="13"/>
    <n v="4"/>
    <n v="49.47126436781609"/>
    <n v="6.431264367816091"/>
    <x v="5"/>
    <m/>
  </r>
  <r>
    <n v="852"/>
    <n v="42"/>
    <x v="0"/>
    <x v="0"/>
    <x v="22"/>
    <n v="60.96"/>
    <x v="1"/>
    <x v="0"/>
    <n v="3.2"/>
    <n v="4"/>
    <n v="2"/>
    <n v="63.5"/>
    <n v="2.5399999999999991"/>
    <x v="1"/>
    <m/>
  </r>
  <r>
    <n v="853"/>
    <n v="40"/>
    <x v="0"/>
    <x v="3"/>
    <x v="15"/>
    <n v="198.03"/>
    <x v="0"/>
    <x v="0"/>
    <n v="3"/>
    <n v="20"/>
    <n v="5"/>
    <n v="247.53749999999999"/>
    <n v="49.507499999999993"/>
    <x v="1"/>
    <m/>
  </r>
  <r>
    <n v="854"/>
    <n v="44"/>
    <x v="0"/>
    <x v="2"/>
    <x v="12"/>
    <n v="218.22"/>
    <x v="1"/>
    <x v="0"/>
    <n v="3.3"/>
    <n v="19"/>
    <n v="7"/>
    <n v="269.40740740740739"/>
    <n v="51.187407407407392"/>
    <x v="1"/>
    <m/>
  </r>
  <r>
    <n v="855"/>
    <n v="51"/>
    <x v="0"/>
    <x v="3"/>
    <x v="3"/>
    <n v="207.52"/>
    <x v="1"/>
    <x v="0"/>
    <n v="3.6"/>
    <n v="17"/>
    <n v="6"/>
    <n v="250.02409638554218"/>
    <n v="42.504096385542169"/>
    <x v="4"/>
    <m/>
  </r>
  <r>
    <n v="856"/>
    <n v="55"/>
    <x v="0"/>
    <x v="6"/>
    <x v="27"/>
    <n v="72.03"/>
    <x v="0"/>
    <x v="0"/>
    <n v="4.2"/>
    <n v="12"/>
    <n v="6"/>
    <n v="81.852272727272734"/>
    <n v="9.8222727272727326"/>
    <x v="0"/>
    <m/>
  </r>
  <r>
    <n v="857"/>
    <n v="60"/>
    <x v="1"/>
    <x v="7"/>
    <x v="11"/>
    <n v="186.72"/>
    <x v="1"/>
    <x v="0"/>
    <n v="4"/>
    <n v="18"/>
    <n v="4"/>
    <n v="227.70731707317071"/>
    <n v="40.987317073170715"/>
    <x v="0"/>
    <m/>
  </r>
  <r>
    <n v="858"/>
    <n v="62"/>
    <x v="1"/>
    <x v="7"/>
    <x v="8"/>
    <n v="114.97"/>
    <x v="0"/>
    <x v="0"/>
    <n v="2.9"/>
    <n v="22"/>
    <n v="11"/>
    <n v="147.39743589743588"/>
    <n v="32.427435897435885"/>
    <x v="0"/>
    <m/>
  </r>
  <r>
    <n v="859"/>
    <n v="22"/>
    <x v="1"/>
    <x v="4"/>
    <x v="4"/>
    <n v="40.19"/>
    <x v="1"/>
    <x v="1"/>
    <n v="3.7"/>
    <n v="14"/>
    <n v="2"/>
    <n v="46.732558139534881"/>
    <n v="6.5425581395348829"/>
    <x v="3"/>
    <m/>
  </r>
  <r>
    <n v="860"/>
    <n v="32"/>
    <x v="0"/>
    <x v="8"/>
    <x v="14"/>
    <n v="120.08"/>
    <x v="1"/>
    <x v="0"/>
    <n v="3.5"/>
    <n v="8"/>
    <n v="4"/>
    <n v="130.52173913043478"/>
    <n v="10.441739130434783"/>
    <x v="5"/>
    <m/>
  </r>
  <r>
    <n v="861"/>
    <n v="58"/>
    <x v="1"/>
    <x v="5"/>
    <x v="21"/>
    <n v="2431.86"/>
    <x v="3"/>
    <x v="0"/>
    <n v="4.5999999999999996"/>
    <n v="15"/>
    <n v="5"/>
    <n v="2861.0117647058828"/>
    <n v="429.15176470588267"/>
    <x v="0"/>
    <m/>
  </r>
  <r>
    <n v="862"/>
    <n v="59"/>
    <x v="1"/>
    <x v="5"/>
    <x v="25"/>
    <n v="1129"/>
    <x v="2"/>
    <x v="0"/>
    <n v="2.5"/>
    <n v="11"/>
    <n v="3"/>
    <n v="1268.5393258426966"/>
    <n v="139.5393258426966"/>
    <x v="0"/>
    <m/>
  </r>
  <r>
    <n v="863"/>
    <n v="40"/>
    <x v="1"/>
    <x v="7"/>
    <x v="13"/>
    <n v="96.21"/>
    <x v="2"/>
    <x v="1"/>
    <n v="2.6"/>
    <n v="11"/>
    <n v="3"/>
    <n v="108.10112359550561"/>
    <n v="11.891123595505618"/>
    <x v="1"/>
    <m/>
  </r>
  <r>
    <n v="864"/>
    <n v="46"/>
    <x v="1"/>
    <x v="5"/>
    <x v="25"/>
    <n v="1454.05"/>
    <x v="3"/>
    <x v="0"/>
    <n v="3.5"/>
    <n v="23"/>
    <n v="9"/>
    <n v="1888.3766233766232"/>
    <n v="434.32662337662327"/>
    <x v="4"/>
    <m/>
  </r>
  <r>
    <n v="865"/>
    <n v="22"/>
    <x v="1"/>
    <x v="2"/>
    <x v="10"/>
    <n v="210.91"/>
    <x v="1"/>
    <x v="0"/>
    <n v="3.8"/>
    <n v="24"/>
    <n v="7"/>
    <n v="277.51315789473682"/>
    <n v="66.603157894736825"/>
    <x v="3"/>
    <m/>
  </r>
  <r>
    <n v="866"/>
    <n v="52"/>
    <x v="0"/>
    <x v="8"/>
    <x v="18"/>
    <n v="35.17"/>
    <x v="0"/>
    <x v="0"/>
    <n v="4.0999999999999996"/>
    <n v="26"/>
    <n v="8"/>
    <n v="47.527027027027032"/>
    <n v="12.35702702702703"/>
    <x v="4"/>
    <m/>
  </r>
  <r>
    <n v="867"/>
    <n v="70"/>
    <x v="1"/>
    <x v="5"/>
    <x v="5"/>
    <n v="2108.89"/>
    <x v="2"/>
    <x v="0"/>
    <n v="4.4000000000000004"/>
    <n v="23"/>
    <n v="9"/>
    <n v="2738.8181818181815"/>
    <n v="629.92818181818166"/>
    <x v="2"/>
    <m/>
  </r>
  <r>
    <n v="868"/>
    <n v="51"/>
    <x v="1"/>
    <x v="2"/>
    <x v="12"/>
    <n v="219.04"/>
    <x v="3"/>
    <x v="0"/>
    <n v="3.2"/>
    <n v="11"/>
    <n v="3"/>
    <n v="246.11235955056179"/>
    <n v="27.072359550561799"/>
    <x v="4"/>
    <m/>
  </r>
  <r>
    <n v="869"/>
    <n v="67"/>
    <x v="0"/>
    <x v="0"/>
    <x v="22"/>
    <n v="48.74"/>
    <x v="0"/>
    <x v="0"/>
    <n v="3.1"/>
    <n v="24"/>
    <n v="7"/>
    <n v="64.131578947368425"/>
    <n v="15.391578947368423"/>
    <x v="2"/>
    <m/>
  </r>
  <r>
    <n v="870"/>
    <n v="31"/>
    <x v="0"/>
    <x v="8"/>
    <x v="14"/>
    <n v="93.29"/>
    <x v="0"/>
    <x v="0"/>
    <n v="5"/>
    <n v="16"/>
    <n v="3"/>
    <n v="111.05952380952382"/>
    <n v="17.769523809523818"/>
    <x v="5"/>
    <m/>
  </r>
  <r>
    <n v="871"/>
    <n v="58"/>
    <x v="0"/>
    <x v="7"/>
    <x v="11"/>
    <n v="59.04"/>
    <x v="0"/>
    <x v="0"/>
    <n v="2.9"/>
    <n v="10"/>
    <n v="5"/>
    <n v="65.599999999999994"/>
    <n v="6.5599999999999952"/>
    <x v="0"/>
    <m/>
  </r>
  <r>
    <n v="872"/>
    <n v="30"/>
    <x v="1"/>
    <x v="7"/>
    <x v="8"/>
    <n v="87.7"/>
    <x v="0"/>
    <x v="0"/>
    <n v="4.2"/>
    <n v="19"/>
    <n v="7"/>
    <n v="108.27160493827161"/>
    <n v="20.571604938271605"/>
    <x v="5"/>
    <m/>
  </r>
  <r>
    <n v="873"/>
    <n v="39"/>
    <x v="0"/>
    <x v="6"/>
    <x v="6"/>
    <n v="58.21"/>
    <x v="2"/>
    <x v="0"/>
    <n v="2.5"/>
    <n v="7"/>
    <n v="1"/>
    <n v="62.591397849462368"/>
    <n v="4.3813978494623669"/>
    <x v="1"/>
    <m/>
  </r>
  <r>
    <n v="874"/>
    <n v="69"/>
    <x v="0"/>
    <x v="8"/>
    <x v="14"/>
    <n v="100.29"/>
    <x v="2"/>
    <x v="0"/>
    <n v="2.6"/>
    <n v="24"/>
    <n v="7"/>
    <n v="131.96052631578948"/>
    <n v="31.670526315789473"/>
    <x v="2"/>
    <m/>
  </r>
  <r>
    <n v="875"/>
    <n v="22"/>
    <x v="1"/>
    <x v="7"/>
    <x v="11"/>
    <n v="154.19999999999999"/>
    <x v="3"/>
    <x v="0"/>
    <n v="3.4"/>
    <n v="4"/>
    <n v="2"/>
    <n v="160.625"/>
    <n v="6.4250000000000114"/>
    <x v="3"/>
    <m/>
  </r>
  <r>
    <n v="876"/>
    <n v="32"/>
    <x v="1"/>
    <x v="5"/>
    <x v="21"/>
    <n v="1370.18"/>
    <x v="1"/>
    <x v="0"/>
    <n v="3"/>
    <n v="20"/>
    <n v="5"/>
    <n v="1712.7249999999999"/>
    <n v="342.54499999999985"/>
    <x v="5"/>
    <m/>
  </r>
  <r>
    <n v="877"/>
    <n v="40"/>
    <x v="1"/>
    <x v="7"/>
    <x v="13"/>
    <n v="123.96"/>
    <x v="3"/>
    <x v="0"/>
    <n v="4.0999999999999996"/>
    <n v="11"/>
    <n v="3"/>
    <n v="139.28089887640448"/>
    <n v="15.320898876404485"/>
    <x v="1"/>
    <m/>
  </r>
  <r>
    <n v="878"/>
    <n v="32"/>
    <x v="0"/>
    <x v="7"/>
    <x v="8"/>
    <n v="151.91"/>
    <x v="3"/>
    <x v="0"/>
    <n v="4.2"/>
    <n v="22"/>
    <n v="6"/>
    <n v="194.75641025641025"/>
    <n v="42.846410256410252"/>
    <x v="5"/>
    <m/>
  </r>
  <r>
    <n v="879"/>
    <n v="69"/>
    <x v="0"/>
    <x v="3"/>
    <x v="3"/>
    <n v="201.11"/>
    <x v="1"/>
    <x v="0"/>
    <n v="3.9"/>
    <n v="11"/>
    <n v="3"/>
    <n v="225.96629213483146"/>
    <n v="24.856292134831449"/>
    <x v="2"/>
    <m/>
  </r>
  <r>
    <n v="880"/>
    <n v="59"/>
    <x v="1"/>
    <x v="7"/>
    <x v="13"/>
    <n v="42.35"/>
    <x v="1"/>
    <x v="1"/>
    <n v="3.6"/>
    <n v="13"/>
    <n v="4"/>
    <n v="48.678160919540232"/>
    <n v="6.3281609195402311"/>
    <x v="0"/>
    <m/>
  </r>
  <r>
    <n v="881"/>
    <n v="70"/>
    <x v="0"/>
    <x v="6"/>
    <x v="23"/>
    <n v="142.85"/>
    <x v="2"/>
    <x v="0"/>
    <n v="3.2"/>
    <n v="20"/>
    <n v="5"/>
    <n v="178.56249999999997"/>
    <n v="35.712499999999977"/>
    <x v="2"/>
    <m/>
  </r>
  <r>
    <n v="882"/>
    <n v="46"/>
    <x v="1"/>
    <x v="5"/>
    <x v="5"/>
    <n v="533.08000000000004"/>
    <x v="3"/>
    <x v="0"/>
    <n v="5"/>
    <n v="16"/>
    <n v="3"/>
    <n v="634.61904761904771"/>
    <n v="101.53904761904766"/>
    <x v="4"/>
    <m/>
  </r>
  <r>
    <n v="883"/>
    <n v="36"/>
    <x v="0"/>
    <x v="3"/>
    <x v="24"/>
    <n v="100.72"/>
    <x v="0"/>
    <x v="0"/>
    <n v="2.8"/>
    <n v="22"/>
    <n v="6"/>
    <n v="129.12820512820511"/>
    <n v="28.408205128205111"/>
    <x v="1"/>
    <m/>
  </r>
  <r>
    <n v="884"/>
    <n v="31"/>
    <x v="0"/>
    <x v="0"/>
    <x v="22"/>
    <n v="172.26"/>
    <x v="3"/>
    <x v="0"/>
    <n v="2.8"/>
    <n v="20"/>
    <n v="5"/>
    <n v="215.32499999999999"/>
    <n v="43.064999999999998"/>
    <x v="5"/>
    <m/>
  </r>
  <r>
    <n v="885"/>
    <n v="46"/>
    <x v="0"/>
    <x v="2"/>
    <x v="12"/>
    <n v="200.96"/>
    <x v="3"/>
    <x v="0"/>
    <n v="4.2"/>
    <n v="16"/>
    <n v="3"/>
    <n v="239.23809523809527"/>
    <n v="38.278095238095261"/>
    <x v="4"/>
    <m/>
  </r>
  <r>
    <n v="886"/>
    <n v="66"/>
    <x v="0"/>
    <x v="7"/>
    <x v="13"/>
    <n v="113.39"/>
    <x v="1"/>
    <x v="0"/>
    <n v="3.4"/>
    <n v="23"/>
    <n v="9"/>
    <n v="147.25974025974025"/>
    <n v="33.869740259740254"/>
    <x v="2"/>
    <m/>
  </r>
  <r>
    <n v="887"/>
    <n v="36"/>
    <x v="0"/>
    <x v="0"/>
    <x v="28"/>
    <n v="65.17"/>
    <x v="3"/>
    <x v="1"/>
    <n v="4.5999999999999996"/>
    <n v="15"/>
    <n v="5"/>
    <n v="76.670588235294119"/>
    <n v="11.500588235294117"/>
    <x v="1"/>
    <m/>
  </r>
  <r>
    <n v="888"/>
    <n v="42"/>
    <x v="1"/>
    <x v="7"/>
    <x v="13"/>
    <n v="154.55000000000001"/>
    <x v="2"/>
    <x v="0"/>
    <n v="5"/>
    <n v="17"/>
    <n v="6"/>
    <n v="186.20481927710847"/>
    <n v="31.654819277108459"/>
    <x v="1"/>
    <m/>
  </r>
  <r>
    <n v="889"/>
    <n v="26"/>
    <x v="1"/>
    <x v="1"/>
    <x v="14"/>
    <n v="100.84"/>
    <x v="1"/>
    <x v="0"/>
    <n v="3.6"/>
    <n v="14"/>
    <n v="2"/>
    <n v="117.25581395348837"/>
    <n v="16.415813953488367"/>
    <x v="5"/>
    <m/>
  </r>
  <r>
    <n v="890"/>
    <n v="31"/>
    <x v="1"/>
    <x v="5"/>
    <x v="5"/>
    <n v="1142.03"/>
    <x v="2"/>
    <x v="0"/>
    <n v="4.2"/>
    <n v="10"/>
    <n v="5"/>
    <n v="1268.9222222222222"/>
    <n v="126.89222222222224"/>
    <x v="5"/>
    <m/>
  </r>
  <r>
    <n v="891"/>
    <n v="39"/>
    <x v="1"/>
    <x v="1"/>
    <x v="1"/>
    <n v="168.97"/>
    <x v="3"/>
    <x v="0"/>
    <n v="4.5999999999999996"/>
    <n v="24"/>
    <n v="7"/>
    <n v="222.32894736842104"/>
    <n v="53.358947368421042"/>
    <x v="1"/>
    <m/>
  </r>
  <r>
    <n v="892"/>
    <n v="64"/>
    <x v="1"/>
    <x v="7"/>
    <x v="11"/>
    <n v="220.97"/>
    <x v="0"/>
    <x v="0"/>
    <n v="5"/>
    <n v="4"/>
    <n v="2"/>
    <n v="230.17708333333334"/>
    <n v="9.2070833333333439"/>
    <x v="0"/>
    <m/>
  </r>
  <r>
    <n v="893"/>
    <n v="59"/>
    <x v="0"/>
    <x v="3"/>
    <x v="3"/>
    <n v="181.46"/>
    <x v="0"/>
    <x v="0"/>
    <n v="3.1"/>
    <n v="18"/>
    <n v="4"/>
    <n v="221.29268292682926"/>
    <n v="39.83268292682925"/>
    <x v="0"/>
    <m/>
  </r>
  <r>
    <n v="894"/>
    <n v="30"/>
    <x v="0"/>
    <x v="7"/>
    <x v="13"/>
    <n v="212.78"/>
    <x v="1"/>
    <x v="0"/>
    <n v="4.4000000000000004"/>
    <n v="22"/>
    <n v="6"/>
    <n v="272.79487179487177"/>
    <n v="60.014871794871766"/>
    <x v="5"/>
    <m/>
  </r>
  <r>
    <n v="895"/>
    <n v="30"/>
    <x v="0"/>
    <x v="2"/>
    <x v="10"/>
    <n v="102.27"/>
    <x v="1"/>
    <x v="0"/>
    <n v="3.1"/>
    <n v="16"/>
    <n v="8"/>
    <n v="121.75"/>
    <n v="19.480000000000004"/>
    <x v="5"/>
    <m/>
  </r>
  <r>
    <n v="896"/>
    <n v="40"/>
    <x v="1"/>
    <x v="2"/>
    <x v="12"/>
    <n v="101.71"/>
    <x v="1"/>
    <x v="0"/>
    <n v="3.8"/>
    <n v="17"/>
    <n v="6"/>
    <n v="122.5421686746988"/>
    <n v="20.832168674698806"/>
    <x v="1"/>
    <m/>
  </r>
  <r>
    <n v="897"/>
    <n v="57"/>
    <x v="1"/>
    <x v="2"/>
    <x v="10"/>
    <n v="166.23"/>
    <x v="1"/>
    <x v="0"/>
    <n v="4"/>
    <n v="20"/>
    <n v="5"/>
    <n v="207.78749999999997"/>
    <n v="41.557499999999976"/>
    <x v="0"/>
    <m/>
  </r>
  <r>
    <n v="898"/>
    <n v="59"/>
    <x v="1"/>
    <x v="7"/>
    <x v="13"/>
    <n v="82.01"/>
    <x v="1"/>
    <x v="1"/>
    <n v="3.3"/>
    <n v="16"/>
    <n v="3"/>
    <n v="97.630952380952394"/>
    <n v="15.620952380952389"/>
    <x v="0"/>
    <m/>
  </r>
  <r>
    <n v="899"/>
    <n v="23"/>
    <x v="0"/>
    <x v="7"/>
    <x v="11"/>
    <n v="214.88"/>
    <x v="2"/>
    <x v="0"/>
    <n v="5"/>
    <n v="20"/>
    <n v="5"/>
    <n v="268.59999999999997"/>
    <n v="53.71999999999997"/>
    <x v="3"/>
    <m/>
  </r>
  <r>
    <n v="900"/>
    <n v="64"/>
    <x v="0"/>
    <x v="0"/>
    <x v="0"/>
    <n v="110.37"/>
    <x v="1"/>
    <x v="0"/>
    <n v="4.2"/>
    <n v="17"/>
    <n v="6"/>
    <n v="132.97590361445785"/>
    <n v="22.605903614457844"/>
    <x v="0"/>
    <m/>
  </r>
  <r>
    <n v="901"/>
    <n v="23"/>
    <x v="1"/>
    <x v="7"/>
    <x v="13"/>
    <n v="144.05000000000001"/>
    <x v="3"/>
    <x v="0"/>
    <n v="2.6"/>
    <n v="18"/>
    <n v="4"/>
    <n v="175.67073170731706"/>
    <n v="31.620731707317049"/>
    <x v="3"/>
    <m/>
  </r>
  <r>
    <n v="902"/>
    <n v="47"/>
    <x v="0"/>
    <x v="0"/>
    <x v="22"/>
    <n v="134.41999999999999"/>
    <x v="2"/>
    <x v="0"/>
    <n v="4.0999999999999996"/>
    <n v="8"/>
    <n v="4"/>
    <n v="146.10869565217391"/>
    <n v="11.688695652173919"/>
    <x v="4"/>
    <m/>
  </r>
  <r>
    <n v="903"/>
    <n v="64"/>
    <x v="0"/>
    <x v="6"/>
    <x v="27"/>
    <n v="133.46"/>
    <x v="2"/>
    <x v="0"/>
    <n v="4.5999999999999996"/>
    <n v="10"/>
    <n v="5"/>
    <n v="148.28888888888889"/>
    <n v="14.828888888888883"/>
    <x v="0"/>
    <m/>
  </r>
  <r>
    <n v="904"/>
    <n v="70"/>
    <x v="0"/>
    <x v="3"/>
    <x v="15"/>
    <n v="256.37"/>
    <x v="3"/>
    <x v="0"/>
    <n v="3.6"/>
    <n v="24"/>
    <n v="7"/>
    <n v="337.32894736842104"/>
    <n v="80.958947368421036"/>
    <x v="2"/>
    <m/>
  </r>
  <r>
    <n v="905"/>
    <n v="59"/>
    <x v="1"/>
    <x v="2"/>
    <x v="12"/>
    <n v="160.41999999999999"/>
    <x v="1"/>
    <x v="0"/>
    <n v="4.3"/>
    <n v="22"/>
    <n v="6"/>
    <n v="205.66666666666666"/>
    <n v="45.24666666666667"/>
    <x v="0"/>
    <m/>
  </r>
  <r>
    <n v="906"/>
    <n v="31"/>
    <x v="1"/>
    <x v="5"/>
    <x v="5"/>
    <n v="1501.64"/>
    <x v="0"/>
    <x v="0"/>
    <n v="3.2"/>
    <n v="12"/>
    <n v="6"/>
    <n v="1706.409090909091"/>
    <n v="204.76909090909089"/>
    <x v="5"/>
    <m/>
  </r>
  <r>
    <n v="907"/>
    <n v="69"/>
    <x v="1"/>
    <x v="7"/>
    <x v="8"/>
    <n v="145.19999999999999"/>
    <x v="0"/>
    <x v="0"/>
    <n v="2.8"/>
    <n v="18"/>
    <n v="4"/>
    <n v="177.07317073170728"/>
    <n v="31.87317073170729"/>
    <x v="2"/>
    <m/>
  </r>
  <r>
    <n v="908"/>
    <n v="50"/>
    <x v="1"/>
    <x v="1"/>
    <x v="1"/>
    <n v="66.680000000000007"/>
    <x v="2"/>
    <x v="0"/>
    <n v="3.1"/>
    <n v="13"/>
    <n v="4"/>
    <n v="76.643678160919549"/>
    <n v="9.9636781609195424"/>
    <x v="4"/>
    <m/>
  </r>
  <r>
    <n v="909"/>
    <n v="60"/>
    <x v="1"/>
    <x v="5"/>
    <x v="7"/>
    <n v="592.23"/>
    <x v="1"/>
    <x v="0"/>
    <n v="3.6"/>
    <n v="13"/>
    <n v="4"/>
    <n v="680.72413793103453"/>
    <n v="88.494137931034516"/>
    <x v="0"/>
    <m/>
  </r>
  <r>
    <n v="910"/>
    <n v="39"/>
    <x v="1"/>
    <x v="5"/>
    <x v="5"/>
    <n v="646.99"/>
    <x v="2"/>
    <x v="0"/>
    <n v="4.0999999999999996"/>
    <n v="24"/>
    <n v="7"/>
    <n v="851.3026315789474"/>
    <n v="204.31263157894739"/>
    <x v="1"/>
    <m/>
  </r>
  <r>
    <n v="911"/>
    <n v="50"/>
    <x v="1"/>
    <x v="7"/>
    <x v="11"/>
    <n v="58.87"/>
    <x v="1"/>
    <x v="1"/>
    <n v="3.1"/>
    <n v="16"/>
    <n v="3"/>
    <n v="70.083333333333329"/>
    <n v="11.213333333333331"/>
    <x v="4"/>
    <m/>
  </r>
  <r>
    <n v="912"/>
    <n v="42"/>
    <x v="1"/>
    <x v="2"/>
    <x v="12"/>
    <n v="51.43"/>
    <x v="2"/>
    <x v="0"/>
    <n v="2.7"/>
    <n v="13"/>
    <n v="4"/>
    <n v="59.114942528735632"/>
    <n v="7.6849425287356325"/>
    <x v="1"/>
    <m/>
  </r>
  <r>
    <n v="913"/>
    <n v="56"/>
    <x v="0"/>
    <x v="3"/>
    <x v="15"/>
    <n v="235.41"/>
    <x v="3"/>
    <x v="0"/>
    <n v="2.6"/>
    <n v="2"/>
    <n v="1"/>
    <n v="240.21428571428572"/>
    <n v="4.8042857142857258"/>
    <x v="0"/>
    <m/>
  </r>
  <r>
    <n v="914"/>
    <n v="46"/>
    <x v="0"/>
    <x v="0"/>
    <x v="28"/>
    <n v="99.47"/>
    <x v="2"/>
    <x v="1"/>
    <n v="3.7"/>
    <n v="22"/>
    <n v="11"/>
    <n v="127.52564102564102"/>
    <n v="28.055641025641023"/>
    <x v="4"/>
    <m/>
  </r>
  <r>
    <n v="915"/>
    <n v="40"/>
    <x v="0"/>
    <x v="0"/>
    <x v="22"/>
    <n v="38.29"/>
    <x v="0"/>
    <x v="0"/>
    <n v="4.0999999999999996"/>
    <n v="18"/>
    <n v="9"/>
    <n v="46.695121951219505"/>
    <n v="8.4051219512195061"/>
    <x v="1"/>
    <m/>
  </r>
  <r>
    <n v="916"/>
    <n v="54"/>
    <x v="1"/>
    <x v="7"/>
    <x v="11"/>
    <n v="240.73"/>
    <x v="1"/>
    <x v="0"/>
    <n v="4.5"/>
    <n v="18"/>
    <n v="4"/>
    <n v="293.57317073170731"/>
    <n v="52.843170731707318"/>
    <x v="4"/>
    <m/>
  </r>
  <r>
    <n v="917"/>
    <n v="24"/>
    <x v="0"/>
    <x v="8"/>
    <x v="17"/>
    <n v="145.27000000000001"/>
    <x v="3"/>
    <x v="0"/>
    <n v="4.7"/>
    <n v="20"/>
    <n v="10"/>
    <n v="181.58750000000001"/>
    <n v="36.317499999999995"/>
    <x v="3"/>
    <m/>
  </r>
  <r>
    <n v="918"/>
    <n v="22"/>
    <x v="1"/>
    <x v="7"/>
    <x v="11"/>
    <n v="140.13"/>
    <x v="1"/>
    <x v="0"/>
    <n v="4.4000000000000004"/>
    <n v="16"/>
    <n v="3"/>
    <n v="166.82142857142858"/>
    <n v="26.691428571428588"/>
    <x v="3"/>
    <m/>
  </r>
  <r>
    <n v="919"/>
    <n v="43"/>
    <x v="1"/>
    <x v="7"/>
    <x v="13"/>
    <n v="192.45"/>
    <x v="0"/>
    <x v="0"/>
    <n v="3.3"/>
    <n v="7"/>
    <n v="1"/>
    <n v="206.93548387096774"/>
    <n v="14.485483870967755"/>
    <x v="1"/>
    <m/>
  </r>
  <r>
    <n v="920"/>
    <n v="21"/>
    <x v="1"/>
    <x v="5"/>
    <x v="25"/>
    <n v="2391.56"/>
    <x v="1"/>
    <x v="0"/>
    <n v="3.7"/>
    <n v="24"/>
    <n v="7"/>
    <n v="3146.7894736842104"/>
    <n v="755.22947368421046"/>
    <x v="3"/>
    <m/>
  </r>
  <r>
    <n v="921"/>
    <n v="58"/>
    <x v="0"/>
    <x v="3"/>
    <x v="3"/>
    <n v="246.33"/>
    <x v="2"/>
    <x v="0"/>
    <n v="3.9"/>
    <n v="12"/>
    <n v="6"/>
    <n v="279.92045454545456"/>
    <n v="33.590454545454548"/>
    <x v="0"/>
    <m/>
  </r>
  <r>
    <n v="922"/>
    <n v="57"/>
    <x v="1"/>
    <x v="2"/>
    <x v="12"/>
    <n v="39.18"/>
    <x v="3"/>
    <x v="1"/>
    <n v="3.4"/>
    <n v="23"/>
    <n v="9"/>
    <n v="50.883116883116884"/>
    <n v="11.703116883116884"/>
    <x v="0"/>
    <m/>
  </r>
  <r>
    <n v="923"/>
    <n v="25"/>
    <x v="0"/>
    <x v="6"/>
    <x v="27"/>
    <n v="21.93"/>
    <x v="0"/>
    <x v="1"/>
    <n v="4.5"/>
    <n v="18"/>
    <n v="4"/>
    <n v="26.743902439024389"/>
    <n v="4.813902439024389"/>
    <x v="5"/>
    <m/>
  </r>
  <r>
    <n v="924"/>
    <n v="35"/>
    <x v="1"/>
    <x v="1"/>
    <x v="9"/>
    <n v="35.65"/>
    <x v="0"/>
    <x v="0"/>
    <n v="4.5"/>
    <n v="13"/>
    <n v="4"/>
    <n v="40.977011494252871"/>
    <n v="5.3270114942528721"/>
    <x v="1"/>
    <m/>
  </r>
  <r>
    <n v="925"/>
    <n v="23"/>
    <x v="1"/>
    <x v="1"/>
    <x v="20"/>
    <n v="174.44"/>
    <x v="3"/>
    <x v="0"/>
    <n v="2.9"/>
    <n v="14"/>
    <n v="7"/>
    <n v="202.83720930232559"/>
    <n v="28.397209302325592"/>
    <x v="3"/>
    <m/>
  </r>
  <r>
    <n v="926"/>
    <n v="23"/>
    <x v="0"/>
    <x v="0"/>
    <x v="28"/>
    <n v="130.69999999999999"/>
    <x v="1"/>
    <x v="0"/>
    <n v="3.2"/>
    <n v="19"/>
    <n v="7"/>
    <n v="161.358024691358"/>
    <n v="30.658024691358008"/>
    <x v="3"/>
    <m/>
  </r>
  <r>
    <n v="927"/>
    <n v="31"/>
    <x v="1"/>
    <x v="2"/>
    <x v="2"/>
    <n v="231.91"/>
    <x v="2"/>
    <x v="0"/>
    <n v="4.4000000000000004"/>
    <n v="21"/>
    <n v="8"/>
    <n v="293.55696202531647"/>
    <n v="61.646962025316469"/>
    <x v="5"/>
    <m/>
  </r>
  <r>
    <n v="928"/>
    <n v="33"/>
    <x v="0"/>
    <x v="0"/>
    <x v="28"/>
    <n v="130.37"/>
    <x v="0"/>
    <x v="0"/>
    <n v="3.3"/>
    <n v="6"/>
    <n v="3"/>
    <n v="138.69148936170214"/>
    <n v="8.3214893617021346"/>
    <x v="5"/>
    <m/>
  </r>
  <r>
    <n v="929"/>
    <n v="45"/>
    <x v="0"/>
    <x v="8"/>
    <x v="17"/>
    <n v="185.7"/>
    <x v="0"/>
    <x v="0"/>
    <n v="2.8"/>
    <n v="8"/>
    <n v="4"/>
    <n v="201.8478260869565"/>
    <n v="16.147826086956513"/>
    <x v="4"/>
    <m/>
  </r>
  <r>
    <n v="930"/>
    <n v="59"/>
    <x v="1"/>
    <x v="4"/>
    <x v="4"/>
    <n v="8.6999999999999993"/>
    <x v="0"/>
    <x v="1"/>
    <n v="3.5"/>
    <n v="32"/>
    <n v="11"/>
    <n v="12.794117647058824"/>
    <n v="4.094117647058825"/>
    <x v="0"/>
    <m/>
  </r>
  <r>
    <n v="931"/>
    <n v="43"/>
    <x v="1"/>
    <x v="5"/>
    <x v="21"/>
    <n v="2197.9899999999998"/>
    <x v="3"/>
    <x v="0"/>
    <n v="4.0999999999999996"/>
    <n v="10"/>
    <n v="5"/>
    <n v="2442.2111111111108"/>
    <n v="244.22111111111099"/>
    <x v="1"/>
    <m/>
  </r>
  <r>
    <n v="932"/>
    <n v="27"/>
    <x v="1"/>
    <x v="2"/>
    <x v="10"/>
    <n v="113.14"/>
    <x v="3"/>
    <x v="0"/>
    <n v="4.4000000000000004"/>
    <n v="10"/>
    <n v="5"/>
    <n v="125.71111111111111"/>
    <n v="12.571111111111108"/>
    <x v="5"/>
    <m/>
  </r>
  <r>
    <n v="933"/>
    <n v="53"/>
    <x v="1"/>
    <x v="7"/>
    <x v="8"/>
    <n v="223.47"/>
    <x v="0"/>
    <x v="0"/>
    <n v="3.4"/>
    <n v="8"/>
    <n v="4"/>
    <n v="242.90217391304347"/>
    <n v="19.432173913043471"/>
    <x v="4"/>
    <m/>
  </r>
  <r>
    <n v="934"/>
    <n v="60"/>
    <x v="1"/>
    <x v="2"/>
    <x v="2"/>
    <n v="203.1"/>
    <x v="0"/>
    <x v="0"/>
    <n v="3.9"/>
    <n v="10"/>
    <n v="5"/>
    <n v="225.66666666666666"/>
    <n v="22.566666666666663"/>
    <x v="0"/>
    <m/>
  </r>
  <r>
    <n v="935"/>
    <n v="42"/>
    <x v="1"/>
    <x v="1"/>
    <x v="14"/>
    <n v="85.93"/>
    <x v="2"/>
    <x v="0"/>
    <n v="2.6"/>
    <n v="22"/>
    <n v="6"/>
    <n v="110.16666666666667"/>
    <n v="24.236666666666665"/>
    <x v="1"/>
    <m/>
  </r>
  <r>
    <n v="936"/>
    <n v="43"/>
    <x v="1"/>
    <x v="5"/>
    <x v="25"/>
    <n v="622.05999999999995"/>
    <x v="0"/>
    <x v="0"/>
    <n v="3.5"/>
    <n v="20"/>
    <n v="5"/>
    <n v="777.57499999999993"/>
    <n v="155.51499999999999"/>
    <x v="1"/>
    <m/>
  </r>
  <r>
    <n v="937"/>
    <n v="62"/>
    <x v="1"/>
    <x v="3"/>
    <x v="24"/>
    <n v="136.93"/>
    <x v="0"/>
    <x v="0"/>
    <n v="2"/>
    <n v="12"/>
    <n v="6"/>
    <n v="155.60227272727275"/>
    <n v="18.672272727272741"/>
    <x v="0"/>
    <m/>
  </r>
  <r>
    <n v="938"/>
    <n v="52"/>
    <x v="0"/>
    <x v="3"/>
    <x v="3"/>
    <n v="287.12"/>
    <x v="1"/>
    <x v="0"/>
    <n v="4.2"/>
    <n v="28"/>
    <n v="9"/>
    <n v="398.77777777777777"/>
    <n v="111.65777777777777"/>
    <x v="4"/>
    <m/>
  </r>
  <r>
    <n v="939"/>
    <n v="70"/>
    <x v="1"/>
    <x v="7"/>
    <x v="11"/>
    <n v="223.82"/>
    <x v="3"/>
    <x v="0"/>
    <n v="5"/>
    <n v="9"/>
    <n v="2"/>
    <n v="245.95604395604394"/>
    <n v="22.136043956043949"/>
    <x v="2"/>
    <m/>
  </r>
  <r>
    <n v="940"/>
    <n v="69"/>
    <x v="0"/>
    <x v="4"/>
    <x v="29"/>
    <n v="52.06"/>
    <x v="1"/>
    <x v="0"/>
    <n v="4.7"/>
    <n v="20"/>
    <n v="5"/>
    <n v="65.075000000000003"/>
    <n v="13.015000000000001"/>
    <x v="2"/>
    <m/>
  </r>
  <r>
    <n v="941"/>
    <n v="38"/>
    <x v="1"/>
    <x v="3"/>
    <x v="15"/>
    <n v="230.54"/>
    <x v="1"/>
    <x v="0"/>
    <n v="4.2"/>
    <n v="16"/>
    <n v="8"/>
    <n v="274.45238095238096"/>
    <n v="43.912380952380971"/>
    <x v="1"/>
    <m/>
  </r>
  <r>
    <n v="942"/>
    <n v="64"/>
    <x v="0"/>
    <x v="0"/>
    <x v="28"/>
    <n v="146.22999999999999"/>
    <x v="3"/>
    <x v="0"/>
    <n v="4"/>
    <n v="14"/>
    <n v="7"/>
    <n v="170.03488372093022"/>
    <n v="23.804883720930235"/>
    <x v="0"/>
    <m/>
  </r>
  <r>
    <n v="943"/>
    <n v="43"/>
    <x v="0"/>
    <x v="8"/>
    <x v="14"/>
    <n v="84.02"/>
    <x v="1"/>
    <x v="1"/>
    <n v="4"/>
    <n v="8"/>
    <n v="4"/>
    <n v="91.326086956521735"/>
    <n v="7.3060869565217388"/>
    <x v="1"/>
    <m/>
  </r>
  <r>
    <n v="944"/>
    <n v="40"/>
    <x v="1"/>
    <x v="5"/>
    <x v="21"/>
    <n v="570.66"/>
    <x v="2"/>
    <x v="0"/>
    <n v="3.7"/>
    <n v="7"/>
    <n v="1"/>
    <n v="613.61290322580646"/>
    <n v="42.952903225806494"/>
    <x v="1"/>
    <m/>
  </r>
  <r>
    <n v="945"/>
    <n v="59"/>
    <x v="1"/>
    <x v="7"/>
    <x v="11"/>
    <n v="208.68"/>
    <x v="2"/>
    <x v="0"/>
    <n v="2.9"/>
    <n v="22"/>
    <n v="6"/>
    <n v="267.53846153846155"/>
    <n v="58.85846153846154"/>
    <x v="0"/>
    <m/>
  </r>
  <r>
    <n v="946"/>
    <n v="55"/>
    <x v="1"/>
    <x v="1"/>
    <x v="1"/>
    <n v="105.92"/>
    <x v="1"/>
    <x v="0"/>
    <n v="4"/>
    <n v="14"/>
    <n v="2"/>
    <n v="123.16279069767442"/>
    <n v="17.242790697674423"/>
    <x v="0"/>
    <m/>
  </r>
  <r>
    <n v="947"/>
    <n v="67"/>
    <x v="1"/>
    <x v="5"/>
    <x v="7"/>
    <n v="594.99"/>
    <x v="2"/>
    <x v="0"/>
    <n v="4.7"/>
    <n v="15"/>
    <n v="5"/>
    <n v="699.98823529411766"/>
    <n v="104.99823529411765"/>
    <x v="2"/>
    <m/>
  </r>
  <r>
    <n v="948"/>
    <n v="48"/>
    <x v="1"/>
    <x v="2"/>
    <x v="2"/>
    <n v="122.6"/>
    <x v="1"/>
    <x v="0"/>
    <n v="3.6"/>
    <n v="14"/>
    <n v="7"/>
    <n v="142.55813953488371"/>
    <n v="19.958139534883713"/>
    <x v="4"/>
    <m/>
  </r>
  <r>
    <n v="949"/>
    <n v="62"/>
    <x v="0"/>
    <x v="6"/>
    <x v="27"/>
    <n v="105.62"/>
    <x v="2"/>
    <x v="0"/>
    <n v="3.6"/>
    <n v="29"/>
    <n v="12"/>
    <n v="148.7605633802817"/>
    <n v="43.140563380281691"/>
    <x v="0"/>
    <m/>
  </r>
  <r>
    <n v="950"/>
    <n v="57"/>
    <x v="0"/>
    <x v="3"/>
    <x v="3"/>
    <n v="57.08"/>
    <x v="2"/>
    <x v="1"/>
    <n v="3.9"/>
    <n v="10"/>
    <n v="5"/>
    <n v="63.422222222222217"/>
    <n v="6.3422222222222189"/>
    <x v="0"/>
    <m/>
  </r>
  <r>
    <n v="951"/>
    <n v="44"/>
    <x v="1"/>
    <x v="3"/>
    <x v="15"/>
    <n v="157.74"/>
    <x v="2"/>
    <x v="0"/>
    <n v="3.3"/>
    <n v="17"/>
    <n v="6"/>
    <n v="190.04819277108436"/>
    <n v="32.30819277108435"/>
    <x v="1"/>
    <m/>
  </r>
  <r>
    <n v="952"/>
    <n v="25"/>
    <x v="1"/>
    <x v="4"/>
    <x v="4"/>
    <n v="77.760000000000005"/>
    <x v="3"/>
    <x v="0"/>
    <n v="4.3"/>
    <n v="27"/>
    <n v="11"/>
    <n v="106.52054794520549"/>
    <n v="28.760547945205488"/>
    <x v="5"/>
    <m/>
  </r>
  <r>
    <n v="953"/>
    <n v="48"/>
    <x v="0"/>
    <x v="3"/>
    <x v="3"/>
    <n v="243.65"/>
    <x v="0"/>
    <x v="0"/>
    <n v="4.8"/>
    <n v="15"/>
    <n v="5"/>
    <n v="286.64705882352945"/>
    <n v="42.997058823529443"/>
    <x v="4"/>
    <m/>
  </r>
  <r>
    <n v="954"/>
    <n v="28"/>
    <x v="1"/>
    <x v="2"/>
    <x v="12"/>
    <n v="73.599999999999994"/>
    <x v="1"/>
    <x v="0"/>
    <n v="3.3"/>
    <n v="14"/>
    <n v="7"/>
    <n v="85.581395348837205"/>
    <n v="11.981395348837211"/>
    <x v="5"/>
    <m/>
  </r>
  <r>
    <n v="955"/>
    <n v="51"/>
    <x v="0"/>
    <x v="7"/>
    <x v="8"/>
    <n v="187.41"/>
    <x v="1"/>
    <x v="0"/>
    <n v="4.4000000000000004"/>
    <n v="20"/>
    <n v="5"/>
    <n v="234.26249999999999"/>
    <n v="46.852499999999992"/>
    <x v="4"/>
    <m/>
  </r>
  <r>
    <n v="956"/>
    <n v="46"/>
    <x v="0"/>
    <x v="7"/>
    <x v="13"/>
    <n v="191.13"/>
    <x v="1"/>
    <x v="0"/>
    <n v="3.9"/>
    <n v="12"/>
    <n v="6"/>
    <n v="217.19318181818181"/>
    <n v="26.063181818181818"/>
    <x v="4"/>
    <m/>
  </r>
  <r>
    <n v="957"/>
    <n v="24"/>
    <x v="1"/>
    <x v="5"/>
    <x v="7"/>
    <n v="2923.37"/>
    <x v="2"/>
    <x v="0"/>
    <n v="3.5"/>
    <n v="15"/>
    <n v="5"/>
    <n v="3439.2588235294115"/>
    <n v="515.88882352941164"/>
    <x v="3"/>
    <m/>
  </r>
  <r>
    <n v="958"/>
    <n v="66"/>
    <x v="0"/>
    <x v="4"/>
    <x v="4"/>
    <n v="56.64"/>
    <x v="3"/>
    <x v="1"/>
    <n v="4"/>
    <n v="18"/>
    <n v="9"/>
    <n v="69.073170731707307"/>
    <n v="12.433170731707307"/>
    <x v="2"/>
    <m/>
  </r>
  <r>
    <n v="959"/>
    <n v="47"/>
    <x v="1"/>
    <x v="4"/>
    <x v="26"/>
    <n v="54.21"/>
    <x v="3"/>
    <x v="1"/>
    <n v="3.7"/>
    <n v="15"/>
    <n v="5"/>
    <n v="63.776470588235298"/>
    <n v="9.5664705882352976"/>
    <x v="4"/>
    <m/>
  </r>
  <r>
    <n v="960"/>
    <n v="60"/>
    <x v="0"/>
    <x v="0"/>
    <x v="0"/>
    <n v="117.39"/>
    <x v="3"/>
    <x v="0"/>
    <n v="2.9"/>
    <n v="10"/>
    <n v="5"/>
    <n v="130.43333333333334"/>
    <n v="13.043333333333337"/>
    <x v="0"/>
    <m/>
  </r>
  <r>
    <n v="961"/>
    <n v="40"/>
    <x v="0"/>
    <x v="7"/>
    <x v="13"/>
    <n v="197.69"/>
    <x v="2"/>
    <x v="0"/>
    <n v="1.8"/>
    <n v="20"/>
    <n v="5"/>
    <n v="247.11249999999998"/>
    <n v="49.422499999999985"/>
    <x v="1"/>
    <m/>
  </r>
  <r>
    <n v="962"/>
    <n v="47"/>
    <x v="1"/>
    <x v="2"/>
    <x v="2"/>
    <n v="178.62"/>
    <x v="2"/>
    <x v="0"/>
    <n v="3.3"/>
    <n v="16"/>
    <n v="8"/>
    <n v="212.64285714285717"/>
    <n v="34.022857142857163"/>
    <x v="4"/>
    <m/>
  </r>
  <r>
    <n v="963"/>
    <n v="54"/>
    <x v="1"/>
    <x v="1"/>
    <x v="14"/>
    <n v="199.78"/>
    <x v="0"/>
    <x v="0"/>
    <n v="3"/>
    <n v="2"/>
    <n v="1"/>
    <n v="203.85714285714286"/>
    <n v="4.0771428571428601"/>
    <x v="4"/>
    <m/>
  </r>
  <r>
    <n v="964"/>
    <n v="31"/>
    <x v="1"/>
    <x v="2"/>
    <x v="10"/>
    <n v="243.71"/>
    <x v="2"/>
    <x v="0"/>
    <n v="3.8"/>
    <n v="4"/>
    <n v="2"/>
    <n v="253.86458333333334"/>
    <n v="10.154583333333335"/>
    <x v="5"/>
    <m/>
  </r>
  <r>
    <n v="965"/>
    <n v="37"/>
    <x v="1"/>
    <x v="5"/>
    <x v="21"/>
    <n v="2839.22"/>
    <x v="3"/>
    <x v="0"/>
    <n v="3.9"/>
    <n v="16"/>
    <n v="8"/>
    <n v="3380.0238095238096"/>
    <n v="540.80380952380983"/>
    <x v="1"/>
    <m/>
  </r>
  <r>
    <n v="966"/>
    <n v="55"/>
    <x v="0"/>
    <x v="7"/>
    <x v="8"/>
    <n v="103.82"/>
    <x v="0"/>
    <x v="0"/>
    <n v="4.5"/>
    <n v="16"/>
    <n v="3"/>
    <n v="123.59523809523809"/>
    <n v="19.775238095238095"/>
    <x v="0"/>
    <m/>
  </r>
  <r>
    <n v="967"/>
    <n v="60"/>
    <x v="0"/>
    <x v="0"/>
    <x v="0"/>
    <n v="131.19"/>
    <x v="0"/>
    <x v="0"/>
    <n v="3.8"/>
    <n v="6"/>
    <n v="3"/>
    <n v="139.56382978723406"/>
    <n v="8.3738297872340581"/>
    <x v="0"/>
    <m/>
  </r>
  <r>
    <n v="968"/>
    <n v="52"/>
    <x v="1"/>
    <x v="1"/>
    <x v="20"/>
    <n v="194.91"/>
    <x v="3"/>
    <x v="0"/>
    <n v="4.9000000000000004"/>
    <n v="23"/>
    <n v="9"/>
    <n v="253.12987012987011"/>
    <n v="58.219870129870117"/>
    <x v="4"/>
    <m/>
  </r>
  <r>
    <n v="969"/>
    <n v="48"/>
    <x v="1"/>
    <x v="7"/>
    <x v="8"/>
    <n v="113.38"/>
    <x v="1"/>
    <x v="0"/>
    <n v="2.6"/>
    <n v="11"/>
    <n v="3"/>
    <n v="127.39325842696628"/>
    <n v="14.013258426966289"/>
    <x v="4"/>
    <m/>
  </r>
  <r>
    <n v="970"/>
    <n v="55"/>
    <x v="0"/>
    <x v="7"/>
    <x v="8"/>
    <n v="122.62"/>
    <x v="1"/>
    <x v="0"/>
    <n v="2.7"/>
    <n v="13"/>
    <n v="4"/>
    <n v="140.94252873563218"/>
    <n v="18.322528735632176"/>
    <x v="0"/>
    <m/>
  </r>
  <r>
    <n v="971"/>
    <n v="39"/>
    <x v="0"/>
    <x v="6"/>
    <x v="27"/>
    <n v="126.77"/>
    <x v="1"/>
    <x v="0"/>
    <n v="3.7"/>
    <n v="24"/>
    <n v="7"/>
    <n v="166.80263157894737"/>
    <n v="40.032631578947374"/>
    <x v="1"/>
    <m/>
  </r>
  <r>
    <n v="972"/>
    <n v="56"/>
    <x v="1"/>
    <x v="7"/>
    <x v="11"/>
    <n v="247.66"/>
    <x v="2"/>
    <x v="0"/>
    <n v="4.5"/>
    <n v="22"/>
    <n v="6"/>
    <n v="317.5128205128205"/>
    <n v="69.8528205128205"/>
    <x v="0"/>
    <m/>
  </r>
  <r>
    <n v="973"/>
    <n v="55"/>
    <x v="1"/>
    <x v="2"/>
    <x v="12"/>
    <n v="245.63"/>
    <x v="2"/>
    <x v="0"/>
    <n v="4"/>
    <n v="15"/>
    <n v="5"/>
    <n v="288.97647058823532"/>
    <n v="43.34647058823532"/>
    <x v="0"/>
    <m/>
  </r>
  <r>
    <n v="974"/>
    <n v="59"/>
    <x v="1"/>
    <x v="2"/>
    <x v="2"/>
    <n v="42.7"/>
    <x v="2"/>
    <x v="0"/>
    <n v="2.9"/>
    <n v="8"/>
    <n v="4"/>
    <n v="46.413043478260867"/>
    <n v="3.7130434782608646"/>
    <x v="0"/>
    <m/>
  </r>
  <r>
    <n v="975"/>
    <n v="32"/>
    <x v="0"/>
    <x v="2"/>
    <x v="2"/>
    <n v="143.21"/>
    <x v="2"/>
    <x v="0"/>
    <n v="3.4"/>
    <n v="22"/>
    <n v="6"/>
    <n v="183.60256410256412"/>
    <n v="40.392564102564108"/>
    <x v="5"/>
    <m/>
  </r>
  <r>
    <n v="976"/>
    <n v="20"/>
    <x v="1"/>
    <x v="1"/>
    <x v="9"/>
    <n v="182.98"/>
    <x v="0"/>
    <x v="0"/>
    <n v="4.5"/>
    <n v="20"/>
    <n v="5"/>
    <n v="228.72499999999997"/>
    <n v="45.744999999999976"/>
    <x v="3"/>
    <m/>
  </r>
  <r>
    <n v="977"/>
    <n v="50"/>
    <x v="1"/>
    <x v="5"/>
    <x v="21"/>
    <n v="1854.1"/>
    <x v="0"/>
    <x v="0"/>
    <n v="4.2"/>
    <n v="12"/>
    <n v="6"/>
    <n v="2106.931818181818"/>
    <n v="252.83181818181811"/>
    <x v="4"/>
    <m/>
  </r>
  <r>
    <n v="978"/>
    <n v="32"/>
    <x v="1"/>
    <x v="7"/>
    <x v="8"/>
    <n v="122.08"/>
    <x v="0"/>
    <x v="0"/>
    <n v="3.4"/>
    <n v="18"/>
    <n v="4"/>
    <n v="148.8780487804878"/>
    <n v="26.798048780487804"/>
    <x v="5"/>
    <m/>
  </r>
  <r>
    <n v="979"/>
    <n v="52"/>
    <x v="0"/>
    <x v="0"/>
    <x v="28"/>
    <n v="81.599999999999994"/>
    <x v="0"/>
    <x v="0"/>
    <n v="4.3"/>
    <n v="22"/>
    <n v="6"/>
    <n v="104.6153846153846"/>
    <n v="23.015384615384605"/>
    <x v="4"/>
    <m/>
  </r>
  <r>
    <n v="980"/>
    <n v="20"/>
    <x v="0"/>
    <x v="7"/>
    <x v="13"/>
    <n v="191.41"/>
    <x v="2"/>
    <x v="0"/>
    <n v="3.6"/>
    <n v="15"/>
    <n v="5"/>
    <n v="225.18823529411765"/>
    <n v="33.77823529411765"/>
    <x v="3"/>
    <m/>
  </r>
  <r>
    <n v="981"/>
    <n v="24"/>
    <x v="1"/>
    <x v="2"/>
    <x v="10"/>
    <n v="31.49"/>
    <x v="2"/>
    <x v="0"/>
    <n v="3.5"/>
    <n v="16"/>
    <n v="3"/>
    <n v="37.488095238095241"/>
    <n v="5.9980952380952424"/>
    <x v="3"/>
    <m/>
  </r>
  <r>
    <n v="982"/>
    <n v="28"/>
    <x v="0"/>
    <x v="7"/>
    <x v="13"/>
    <n v="50.93"/>
    <x v="0"/>
    <x v="1"/>
    <n v="4.3"/>
    <n v="11"/>
    <n v="3"/>
    <n v="57.224719101123597"/>
    <n v="6.2947191011235972"/>
    <x v="5"/>
    <m/>
  </r>
  <r>
    <n v="983"/>
    <n v="52"/>
    <x v="0"/>
    <x v="0"/>
    <x v="22"/>
    <n v="167.87"/>
    <x v="2"/>
    <x v="0"/>
    <n v="3.5"/>
    <n v="26"/>
    <n v="8"/>
    <n v="226.85135135135135"/>
    <n v="58.98135135135135"/>
    <x v="4"/>
    <m/>
  </r>
  <r>
    <n v="984"/>
    <n v="50"/>
    <x v="1"/>
    <x v="7"/>
    <x v="8"/>
    <n v="119.8"/>
    <x v="0"/>
    <x v="0"/>
    <n v="4.7"/>
    <n v="22"/>
    <n v="6"/>
    <n v="153.58974358974359"/>
    <n v="33.789743589743594"/>
    <x v="4"/>
    <m/>
  </r>
  <r>
    <n v="985"/>
    <n v="34"/>
    <x v="1"/>
    <x v="1"/>
    <x v="20"/>
    <n v="93.54"/>
    <x v="1"/>
    <x v="1"/>
    <n v="3.4"/>
    <n v="16"/>
    <n v="8"/>
    <n v="111.35714285714288"/>
    <n v="17.817142857142869"/>
    <x v="5"/>
    <m/>
  </r>
  <r>
    <n v="986"/>
    <n v="47"/>
    <x v="1"/>
    <x v="2"/>
    <x v="12"/>
    <n v="194.21"/>
    <x v="0"/>
    <x v="0"/>
    <n v="3.5"/>
    <n v="16"/>
    <n v="3"/>
    <n v="231.20238095238096"/>
    <n v="36.992380952380955"/>
    <x v="4"/>
    <m/>
  </r>
  <r>
    <n v="987"/>
    <n v="46"/>
    <x v="1"/>
    <x v="2"/>
    <x v="10"/>
    <n v="96.22"/>
    <x v="0"/>
    <x v="1"/>
    <n v="3.1"/>
    <n v="20"/>
    <n v="5"/>
    <n v="120.27499999999999"/>
    <n v="24.054999999999993"/>
    <x v="4"/>
    <m/>
  </r>
  <r>
    <n v="988"/>
    <n v="60"/>
    <x v="1"/>
    <x v="5"/>
    <x v="25"/>
    <n v="802.1"/>
    <x v="0"/>
    <x v="0"/>
    <n v="4.0999999999999996"/>
    <n v="16"/>
    <n v="3"/>
    <n v="954.88095238095241"/>
    <n v="152.78095238095239"/>
    <x v="0"/>
    <m/>
  </r>
  <r>
    <n v="989"/>
    <n v="42"/>
    <x v="0"/>
    <x v="8"/>
    <x v="14"/>
    <n v="126.92"/>
    <x v="1"/>
    <x v="0"/>
    <n v="3.6"/>
    <n v="16"/>
    <n v="3"/>
    <n v="151.0952380952381"/>
    <n v="24.1752380952381"/>
    <x v="1"/>
    <m/>
  </r>
  <r>
    <n v="990"/>
    <n v="68"/>
    <x v="1"/>
    <x v="1"/>
    <x v="9"/>
    <n v="46.11"/>
    <x v="2"/>
    <x v="0"/>
    <n v="5"/>
    <n v="12"/>
    <n v="1"/>
    <n v="52.397727272727273"/>
    <n v="6.2877272727272739"/>
    <x v="2"/>
    <m/>
  </r>
  <r>
    <n v="991"/>
    <n v="66"/>
    <x v="1"/>
    <x v="2"/>
    <x v="2"/>
    <n v="172.75"/>
    <x v="0"/>
    <x v="0"/>
    <n v="4.2"/>
    <n v="20"/>
    <n v="5"/>
    <n v="215.9375"/>
    <n v="43.1875"/>
    <x v="2"/>
    <m/>
  </r>
  <r>
    <n v="992"/>
    <n v="43"/>
    <x v="1"/>
    <x v="5"/>
    <x v="25"/>
    <n v="1247.6600000000001"/>
    <x v="1"/>
    <x v="0"/>
    <n v="2.5"/>
    <n v="15"/>
    <n v="5"/>
    <n v="1467.8352941176472"/>
    <n v="220.17529411764713"/>
    <x v="1"/>
    <m/>
  </r>
  <r>
    <n v="993"/>
    <n v="61"/>
    <x v="1"/>
    <x v="7"/>
    <x v="13"/>
    <n v="70.459999999999994"/>
    <x v="3"/>
    <x v="0"/>
    <n v="4.5999999999999996"/>
    <n v="4"/>
    <n v="2"/>
    <n v="73.395833333333329"/>
    <n v="2.9358333333333348"/>
    <x v="0"/>
    <m/>
  </r>
  <r>
    <n v="994"/>
    <n v="33"/>
    <x v="1"/>
    <x v="2"/>
    <x v="10"/>
    <n v="90.86"/>
    <x v="0"/>
    <x v="0"/>
    <n v="4"/>
    <n v="16"/>
    <n v="8"/>
    <n v="108.16666666666667"/>
    <n v="17.306666666666672"/>
    <x v="5"/>
    <m/>
  </r>
  <r>
    <n v="995"/>
    <n v="36"/>
    <x v="1"/>
    <x v="1"/>
    <x v="9"/>
    <n v="56.95"/>
    <x v="2"/>
    <x v="0"/>
    <n v="3.9"/>
    <n v="12"/>
    <n v="6"/>
    <n v="64.715909090909093"/>
    <n v="7.7659090909090907"/>
    <x v="1"/>
    <m/>
  </r>
  <r>
    <n v="996"/>
    <n v="65"/>
    <x v="1"/>
    <x v="1"/>
    <x v="20"/>
    <n v="100.4"/>
    <x v="0"/>
    <x v="0"/>
    <n v="3.8"/>
    <n v="17"/>
    <n v="6"/>
    <n v="120.96385542168676"/>
    <n v="20.563855421686753"/>
    <x v="2"/>
    <m/>
  </r>
  <r>
    <n v="997"/>
    <n v="42"/>
    <x v="0"/>
    <x v="3"/>
    <x v="15"/>
    <n v="142.72999999999999"/>
    <x v="0"/>
    <x v="0"/>
    <n v="4.0999999999999996"/>
    <n v="15"/>
    <n v="5"/>
    <n v="167.91764705882352"/>
    <n v="25.187647058823529"/>
    <x v="1"/>
    <m/>
  </r>
  <r>
    <n v="998"/>
    <n v="34"/>
    <x v="1"/>
    <x v="5"/>
    <x v="21"/>
    <n v="2857.91"/>
    <x v="3"/>
    <x v="0"/>
    <n v="3.5"/>
    <n v="8"/>
    <n v="4"/>
    <n v="3106.423913043478"/>
    <n v="248.51391304347817"/>
    <x v="5"/>
    <m/>
  </r>
  <r>
    <n v="999"/>
    <n v="62"/>
    <x v="1"/>
    <x v="1"/>
    <x v="20"/>
    <n v="79.55"/>
    <x v="3"/>
    <x v="0"/>
    <n v="3.9"/>
    <n v="12"/>
    <n v="6"/>
    <n v="90.397727272727266"/>
    <n v="10.847727272727269"/>
    <x v="0"/>
    <m/>
  </r>
  <r>
    <n v="1000"/>
    <n v="46"/>
    <x v="0"/>
    <x v="4"/>
    <x v="19"/>
    <n v="17.850000000000001"/>
    <x v="2"/>
    <x v="1"/>
    <n v="5"/>
    <n v="26"/>
    <n v="8"/>
    <n v="24.121621621621625"/>
    <n v="6.2716216216216232"/>
    <x v="4"/>
    <m/>
  </r>
  <r>
    <n v="1001"/>
    <n v="21"/>
    <x v="1"/>
    <x v="3"/>
    <x v="15"/>
    <n v="113.93"/>
    <x v="0"/>
    <x v="0"/>
    <n v="3.7"/>
    <n v="19"/>
    <n v="7"/>
    <n v="140.65432098765433"/>
    <n v="26.724320987654323"/>
    <x v="3"/>
    <m/>
  </r>
  <r>
    <n v="1002"/>
    <n v="29"/>
    <x v="1"/>
    <x v="7"/>
    <x v="8"/>
    <n v="48.18"/>
    <x v="3"/>
    <x v="0"/>
    <n v="4.9000000000000004"/>
    <n v="34"/>
    <n v="12"/>
    <n v="73.000000000000014"/>
    <n v="24.820000000000014"/>
    <x v="5"/>
    <m/>
  </r>
  <r>
    <n v="1003"/>
    <n v="57"/>
    <x v="0"/>
    <x v="0"/>
    <x v="0"/>
    <n v="54.15"/>
    <x v="0"/>
    <x v="1"/>
    <n v="2.6"/>
    <n v="26"/>
    <n v="8"/>
    <n v="73.175675675675677"/>
    <n v="19.025675675675679"/>
    <x v="0"/>
    <m/>
  </r>
  <r>
    <n v="1004"/>
    <n v="41"/>
    <x v="0"/>
    <x v="8"/>
    <x v="14"/>
    <n v="58.88"/>
    <x v="3"/>
    <x v="1"/>
    <n v="4"/>
    <n v="11"/>
    <n v="3"/>
    <n v="66.157303370786522"/>
    <n v="7.2773033707865196"/>
    <x v="1"/>
    <m/>
  </r>
  <r>
    <n v="1005"/>
    <n v="63"/>
    <x v="1"/>
    <x v="1"/>
    <x v="9"/>
    <n v="127.76"/>
    <x v="3"/>
    <x v="0"/>
    <n v="3.2"/>
    <n v="4"/>
    <n v="2"/>
    <n v="133.08333333333334"/>
    <n v="5.3233333333333377"/>
    <x v="0"/>
    <m/>
  </r>
  <r>
    <n v="1006"/>
    <n v="45"/>
    <x v="1"/>
    <x v="1"/>
    <x v="20"/>
    <n v="88.21"/>
    <x v="0"/>
    <x v="1"/>
    <n v="2.2000000000000002"/>
    <n v="2"/>
    <n v="1"/>
    <n v="90.010204081632651"/>
    <n v="1.800204081632657"/>
    <x v="4"/>
    <m/>
  </r>
  <r>
    <n v="1007"/>
    <n v="65"/>
    <x v="0"/>
    <x v="8"/>
    <x v="16"/>
    <n v="154.19999999999999"/>
    <x v="3"/>
    <x v="0"/>
    <n v="3.8"/>
    <n v="16"/>
    <n v="8"/>
    <n v="183.57142857142856"/>
    <n v="29.371428571428567"/>
    <x v="2"/>
    <m/>
  </r>
  <r>
    <n v="1008"/>
    <n v="53"/>
    <x v="1"/>
    <x v="1"/>
    <x v="20"/>
    <n v="186.55"/>
    <x v="0"/>
    <x v="0"/>
    <n v="3.7"/>
    <n v="16"/>
    <n v="3"/>
    <n v="222.08333333333334"/>
    <n v="35.533333333333331"/>
    <x v="4"/>
    <m/>
  </r>
  <r>
    <n v="1009"/>
    <n v="63"/>
    <x v="1"/>
    <x v="7"/>
    <x v="8"/>
    <n v="55.74"/>
    <x v="1"/>
    <x v="1"/>
    <n v="4.8"/>
    <n v="22"/>
    <n v="6"/>
    <n v="71.461538461538467"/>
    <n v="15.721538461538465"/>
    <x v="0"/>
    <m/>
  </r>
  <r>
    <n v="1010"/>
    <n v="41"/>
    <x v="0"/>
    <x v="6"/>
    <x v="23"/>
    <n v="149.31"/>
    <x v="2"/>
    <x v="0"/>
    <n v="4"/>
    <n v="8"/>
    <n v="4"/>
    <n v="162.29347826086956"/>
    <n v="12.98347826086956"/>
    <x v="1"/>
    <m/>
  </r>
  <r>
    <n v="1011"/>
    <n v="65"/>
    <x v="1"/>
    <x v="1"/>
    <x v="20"/>
    <n v="71.91"/>
    <x v="2"/>
    <x v="1"/>
    <n v="3.5"/>
    <n v="19"/>
    <n v="7"/>
    <n v="88.777777777777771"/>
    <n v="16.867777777777775"/>
    <x v="2"/>
    <m/>
  </r>
  <r>
    <n v="1012"/>
    <n v="20"/>
    <x v="0"/>
    <x v="6"/>
    <x v="27"/>
    <n v="25.51"/>
    <x v="1"/>
    <x v="0"/>
    <n v="3.6"/>
    <n v="30"/>
    <n v="10"/>
    <n v="36.44285714285715"/>
    <n v="10.932857142857149"/>
    <x v="3"/>
    <m/>
  </r>
  <r>
    <n v="1013"/>
    <n v="57"/>
    <x v="0"/>
    <x v="6"/>
    <x v="23"/>
    <n v="140"/>
    <x v="0"/>
    <x v="0"/>
    <n v="3.5"/>
    <n v="20"/>
    <n v="5"/>
    <n v="175"/>
    <n v="35"/>
    <x v="0"/>
    <m/>
  </r>
  <r>
    <n v="1014"/>
    <n v="45"/>
    <x v="1"/>
    <x v="4"/>
    <x v="26"/>
    <n v="22.48"/>
    <x v="0"/>
    <x v="0"/>
    <n v="4.2"/>
    <n v="8"/>
    <n v="4"/>
    <n v="24.434782608695652"/>
    <n v="1.9547826086956519"/>
    <x v="4"/>
    <m/>
  </r>
  <r>
    <n v="1015"/>
    <n v="69"/>
    <x v="0"/>
    <x v="0"/>
    <x v="28"/>
    <n v="63.27"/>
    <x v="0"/>
    <x v="1"/>
    <n v="2.9"/>
    <n v="12"/>
    <n v="6"/>
    <n v="71.89772727272728"/>
    <n v="8.6277272727272774"/>
    <x v="2"/>
    <m/>
  </r>
  <r>
    <n v="1016"/>
    <n v="32"/>
    <x v="1"/>
    <x v="4"/>
    <x v="19"/>
    <n v="79.819999999999993"/>
    <x v="0"/>
    <x v="0"/>
    <n v="3.5"/>
    <n v="14"/>
    <n v="2"/>
    <n v="92.813953488372093"/>
    <n v="12.9939534883721"/>
    <x v="5"/>
    <m/>
  </r>
  <r>
    <n v="1017"/>
    <n v="69"/>
    <x v="0"/>
    <x v="6"/>
    <x v="6"/>
    <n v="68.75"/>
    <x v="1"/>
    <x v="0"/>
    <n v="3.8"/>
    <n v="8"/>
    <n v="4"/>
    <n v="74.728260869565219"/>
    <n v="5.9782608695652186"/>
    <x v="2"/>
    <m/>
  </r>
  <r>
    <n v="1018"/>
    <n v="43"/>
    <x v="1"/>
    <x v="5"/>
    <x v="7"/>
    <n v="1327.27"/>
    <x v="3"/>
    <x v="0"/>
    <n v="2.7"/>
    <n v="13"/>
    <n v="4"/>
    <n v="1525.5977011494253"/>
    <n v="198.32770114942537"/>
    <x v="1"/>
    <m/>
  </r>
  <r>
    <n v="1019"/>
    <n v="28"/>
    <x v="1"/>
    <x v="2"/>
    <x v="10"/>
    <n v="220.03"/>
    <x v="3"/>
    <x v="0"/>
    <n v="3.2"/>
    <n v="10"/>
    <n v="5"/>
    <n v="244.47777777777776"/>
    <n v="24.447777777777759"/>
    <x v="5"/>
    <m/>
  </r>
  <r>
    <n v="1020"/>
    <n v="53"/>
    <x v="0"/>
    <x v="2"/>
    <x v="2"/>
    <n v="233.03"/>
    <x v="1"/>
    <x v="0"/>
    <n v="3.7"/>
    <n v="18"/>
    <n v="4"/>
    <n v="284.1829268292683"/>
    <n v="51.152926829268296"/>
    <x v="4"/>
    <m/>
  </r>
  <r>
    <n v="1021"/>
    <n v="25"/>
    <x v="0"/>
    <x v="0"/>
    <x v="0"/>
    <n v="106.02"/>
    <x v="3"/>
    <x v="0"/>
    <n v="4.8"/>
    <n v="13"/>
    <n v="4"/>
    <n v="121.86206896551724"/>
    <n v="15.842068965517242"/>
    <x v="5"/>
    <m/>
  </r>
  <r>
    <n v="1022"/>
    <n v="30"/>
    <x v="1"/>
    <x v="2"/>
    <x v="2"/>
    <n v="74.36"/>
    <x v="2"/>
    <x v="0"/>
    <n v="5"/>
    <n v="15"/>
    <n v="5"/>
    <n v="87.482352941176472"/>
    <n v="13.122352941176473"/>
    <x v="5"/>
    <m/>
  </r>
  <r>
    <n v="1023"/>
    <n v="59"/>
    <x v="0"/>
    <x v="6"/>
    <x v="27"/>
    <n v="28.72"/>
    <x v="3"/>
    <x v="1"/>
    <n v="4.5"/>
    <n v="12"/>
    <n v="6"/>
    <n v="32.636363636363633"/>
    <n v="3.9163636363636343"/>
    <x v="0"/>
    <m/>
  </r>
  <r>
    <n v="1024"/>
    <n v="53"/>
    <x v="1"/>
    <x v="5"/>
    <x v="21"/>
    <n v="512"/>
    <x v="2"/>
    <x v="0"/>
    <n v="4"/>
    <n v="18"/>
    <n v="9"/>
    <n v="624.39024390243901"/>
    <n v="112.39024390243901"/>
    <x v="4"/>
    <m/>
  </r>
  <r>
    <n v="1025"/>
    <n v="60"/>
    <x v="0"/>
    <x v="8"/>
    <x v="17"/>
    <n v="108.63"/>
    <x v="0"/>
    <x v="0"/>
    <n v="3.5"/>
    <n v="28"/>
    <n v="9"/>
    <n v="150.875"/>
    <n v="42.245000000000005"/>
    <x v="0"/>
    <m/>
  </r>
  <r>
    <n v="1026"/>
    <n v="25"/>
    <x v="1"/>
    <x v="1"/>
    <x v="14"/>
    <n v="34.19"/>
    <x v="2"/>
    <x v="1"/>
    <n v="3.1"/>
    <n v="19"/>
    <n v="7"/>
    <n v="42.209876543209873"/>
    <n v="8.0198765432098753"/>
    <x v="5"/>
    <m/>
  </r>
  <r>
    <n v="1027"/>
    <n v="21"/>
    <x v="0"/>
    <x v="0"/>
    <x v="28"/>
    <n v="121.23"/>
    <x v="1"/>
    <x v="0"/>
    <n v="2.9"/>
    <n v="16"/>
    <n v="3"/>
    <n v="144.32142857142858"/>
    <n v="23.09142857142858"/>
    <x v="3"/>
    <m/>
  </r>
  <r>
    <n v="1028"/>
    <n v="31"/>
    <x v="1"/>
    <x v="3"/>
    <x v="3"/>
    <n v="39.869999999999997"/>
    <x v="0"/>
    <x v="1"/>
    <n v="3.1"/>
    <n v="14"/>
    <n v="7"/>
    <n v="46.360465116279066"/>
    <n v="6.4904651162790685"/>
    <x v="5"/>
    <m/>
  </r>
  <r>
    <n v="1029"/>
    <n v="65"/>
    <x v="0"/>
    <x v="8"/>
    <x v="14"/>
    <n v="194.79"/>
    <x v="2"/>
    <x v="0"/>
    <n v="4.0999999999999996"/>
    <n v="15"/>
    <n v="5"/>
    <n v="229.16470588235293"/>
    <n v="34.374705882352941"/>
    <x v="2"/>
    <m/>
  </r>
  <r>
    <n v="1030"/>
    <n v="45"/>
    <x v="0"/>
    <x v="8"/>
    <x v="18"/>
    <n v="192.67"/>
    <x v="1"/>
    <x v="0"/>
    <n v="4.3"/>
    <n v="20"/>
    <n v="5"/>
    <n v="240.83749999999998"/>
    <n v="48.16749999999999"/>
    <x v="4"/>
    <m/>
  </r>
  <r>
    <n v="1031"/>
    <n v="33"/>
    <x v="0"/>
    <x v="7"/>
    <x v="13"/>
    <n v="119.68"/>
    <x v="0"/>
    <x v="0"/>
    <n v="2.5"/>
    <n v="19"/>
    <n v="7"/>
    <n v="147.75308641975309"/>
    <n v="28.073086419753082"/>
    <x v="5"/>
    <m/>
  </r>
  <r>
    <n v="1032"/>
    <n v="40"/>
    <x v="0"/>
    <x v="4"/>
    <x v="26"/>
    <n v="12.42"/>
    <x v="1"/>
    <x v="0"/>
    <n v="4"/>
    <n v="20"/>
    <n v="5"/>
    <n v="15.524999999999999"/>
    <n v="3.1049999999999986"/>
    <x v="1"/>
    <m/>
  </r>
  <r>
    <n v="1033"/>
    <n v="55"/>
    <x v="0"/>
    <x v="2"/>
    <x v="12"/>
    <n v="91.6"/>
    <x v="3"/>
    <x v="1"/>
    <n v="3.7"/>
    <n v="17"/>
    <n v="6"/>
    <n v="110.36144578313252"/>
    <n v="18.76144578313253"/>
    <x v="0"/>
    <m/>
  </r>
  <r>
    <n v="1034"/>
    <n v="28"/>
    <x v="0"/>
    <x v="4"/>
    <x v="29"/>
    <n v="78.81"/>
    <x v="3"/>
    <x v="0"/>
    <n v="4.0999999999999996"/>
    <n v="15"/>
    <n v="5"/>
    <n v="92.71764705882353"/>
    <n v="13.907647058823528"/>
    <x v="5"/>
    <m/>
  </r>
  <r>
    <n v="1035"/>
    <n v="36"/>
    <x v="1"/>
    <x v="3"/>
    <x v="15"/>
    <n v="299.29000000000002"/>
    <x v="1"/>
    <x v="0"/>
    <n v="4.5999999999999996"/>
    <n v="10"/>
    <n v="5"/>
    <n v="332.54444444444448"/>
    <n v="33.254444444444459"/>
    <x v="1"/>
    <m/>
  </r>
  <r>
    <n v="1036"/>
    <n v="59"/>
    <x v="0"/>
    <x v="6"/>
    <x v="23"/>
    <n v="52.13"/>
    <x v="2"/>
    <x v="0"/>
    <n v="4.4000000000000004"/>
    <n v="14"/>
    <n v="2"/>
    <n v="60.616279069767444"/>
    <n v="8.4862790697674413"/>
    <x v="0"/>
    <m/>
  </r>
  <r>
    <n v="1037"/>
    <n v="42"/>
    <x v="0"/>
    <x v="0"/>
    <x v="0"/>
    <n v="73.709999999999994"/>
    <x v="0"/>
    <x v="0"/>
    <n v="2.8"/>
    <n v="8"/>
    <n v="4"/>
    <n v="80.119565217391298"/>
    <n v="6.4095652173913038"/>
    <x v="1"/>
    <m/>
  </r>
  <r>
    <n v="1038"/>
    <n v="21"/>
    <x v="0"/>
    <x v="0"/>
    <x v="28"/>
    <n v="108.59"/>
    <x v="2"/>
    <x v="0"/>
    <n v="4.3"/>
    <n v="26"/>
    <n v="8"/>
    <n v="146.74324324324326"/>
    <n v="38.153243243243253"/>
    <x v="3"/>
    <m/>
  </r>
  <r>
    <n v="1039"/>
    <n v="63"/>
    <x v="1"/>
    <x v="5"/>
    <x v="25"/>
    <n v="2738.93"/>
    <x v="3"/>
    <x v="0"/>
    <n v="4"/>
    <n v="12"/>
    <n v="6"/>
    <n v="3112.4204545454545"/>
    <n v="373.49045454545467"/>
    <x v="0"/>
    <m/>
  </r>
  <r>
    <n v="1040"/>
    <n v="32"/>
    <x v="0"/>
    <x v="0"/>
    <x v="22"/>
    <n v="159.16"/>
    <x v="3"/>
    <x v="0"/>
    <n v="4.0999999999999996"/>
    <n v="10"/>
    <n v="5"/>
    <n v="176.84444444444443"/>
    <n v="17.684444444444438"/>
    <x v="5"/>
    <m/>
  </r>
  <r>
    <n v="1041"/>
    <n v="32"/>
    <x v="0"/>
    <x v="8"/>
    <x v="17"/>
    <n v="193.19"/>
    <x v="1"/>
    <x v="0"/>
    <n v="4.9000000000000004"/>
    <n v="26"/>
    <n v="8"/>
    <n v="261.06756756756755"/>
    <n v="67.877567567567553"/>
    <x v="5"/>
    <m/>
  </r>
  <r>
    <n v="1042"/>
    <n v="45"/>
    <x v="1"/>
    <x v="7"/>
    <x v="11"/>
    <n v="143.72"/>
    <x v="3"/>
    <x v="0"/>
    <n v="2.6"/>
    <n v="20"/>
    <n v="5"/>
    <n v="179.64999999999998"/>
    <n v="35.929999999999978"/>
    <x v="4"/>
    <m/>
  </r>
  <r>
    <n v="1043"/>
    <n v="24"/>
    <x v="0"/>
    <x v="8"/>
    <x v="18"/>
    <n v="141.82"/>
    <x v="2"/>
    <x v="0"/>
    <n v="3.8"/>
    <n v="10"/>
    <n v="5"/>
    <n v="157.57777777777775"/>
    <n v="15.757777777777761"/>
    <x v="3"/>
    <m/>
  </r>
  <r>
    <n v="1044"/>
    <n v="44"/>
    <x v="0"/>
    <x v="8"/>
    <x v="17"/>
    <n v="177.01"/>
    <x v="1"/>
    <x v="0"/>
    <n v="1.9"/>
    <n v="7"/>
    <n v="1"/>
    <n v="190.33333333333334"/>
    <n v="13.323333333333352"/>
    <x v="1"/>
    <m/>
  </r>
  <r>
    <n v="1045"/>
    <n v="33"/>
    <x v="1"/>
    <x v="2"/>
    <x v="10"/>
    <n v="144.52000000000001"/>
    <x v="0"/>
    <x v="0"/>
    <n v="4.5999999999999996"/>
    <n v="10"/>
    <n v="5"/>
    <n v="160.57777777777778"/>
    <n v="16.057777777777773"/>
    <x v="5"/>
    <m/>
  </r>
  <r>
    <n v="1046"/>
    <n v="40"/>
    <x v="1"/>
    <x v="1"/>
    <x v="9"/>
    <n v="141.59"/>
    <x v="1"/>
    <x v="0"/>
    <n v="3.3"/>
    <n v="4"/>
    <n v="2"/>
    <n v="147.48958333333334"/>
    <n v="5.8995833333333394"/>
    <x v="1"/>
    <m/>
  </r>
  <r>
    <n v="1047"/>
    <n v="53"/>
    <x v="0"/>
    <x v="8"/>
    <x v="16"/>
    <n v="130.75"/>
    <x v="3"/>
    <x v="0"/>
    <n v="3.9"/>
    <n v="15"/>
    <n v="5"/>
    <n v="153.8235294117647"/>
    <n v="23.073529411764696"/>
    <x v="4"/>
    <m/>
  </r>
  <r>
    <n v="1048"/>
    <n v="55"/>
    <x v="1"/>
    <x v="7"/>
    <x v="11"/>
    <n v="57.48"/>
    <x v="3"/>
    <x v="0"/>
    <n v="4.0999999999999996"/>
    <n v="15"/>
    <n v="5"/>
    <n v="67.623529411764707"/>
    <n v="10.14352941176471"/>
    <x v="0"/>
    <m/>
  </r>
  <r>
    <n v="1049"/>
    <n v="40"/>
    <x v="0"/>
    <x v="8"/>
    <x v="18"/>
    <n v="75.56"/>
    <x v="2"/>
    <x v="1"/>
    <n v="4.0999999999999996"/>
    <n v="10"/>
    <n v="5"/>
    <n v="83.955555555555563"/>
    <n v="8.3955555555555605"/>
    <x v="1"/>
    <m/>
  </r>
  <r>
    <n v="1050"/>
    <n v="34"/>
    <x v="0"/>
    <x v="0"/>
    <x v="0"/>
    <n v="50.23"/>
    <x v="1"/>
    <x v="1"/>
    <n v="2.2000000000000002"/>
    <n v="6"/>
    <n v="3"/>
    <n v="53.436170212765958"/>
    <n v="3.2061702127659615"/>
    <x v="5"/>
    <m/>
  </r>
  <r>
    <n v="1051"/>
    <n v="45"/>
    <x v="0"/>
    <x v="0"/>
    <x v="0"/>
    <n v="56.28"/>
    <x v="3"/>
    <x v="1"/>
    <n v="4.5"/>
    <n v="18"/>
    <n v="4"/>
    <n v="68.634146341463406"/>
    <n v="12.354146341463405"/>
    <x v="4"/>
    <m/>
  </r>
  <r>
    <n v="1052"/>
    <n v="31"/>
    <x v="1"/>
    <x v="3"/>
    <x v="3"/>
    <n v="211.48"/>
    <x v="1"/>
    <x v="0"/>
    <n v="2.8"/>
    <n v="9"/>
    <n v="2"/>
    <n v="232.39560439560438"/>
    <n v="20.91560439560439"/>
    <x v="5"/>
    <m/>
  </r>
  <r>
    <n v="1053"/>
    <n v="37"/>
    <x v="0"/>
    <x v="3"/>
    <x v="15"/>
    <n v="75.819999999999993"/>
    <x v="2"/>
    <x v="0"/>
    <n v="4.3"/>
    <n v="12"/>
    <n v="1"/>
    <n v="86.159090909090907"/>
    <n v="10.339090909090913"/>
    <x v="1"/>
    <m/>
  </r>
  <r>
    <n v="1054"/>
    <n v="60"/>
    <x v="0"/>
    <x v="0"/>
    <x v="22"/>
    <n v="58.95"/>
    <x v="2"/>
    <x v="1"/>
    <n v="3.5"/>
    <n v="6"/>
    <n v="3"/>
    <n v="62.712765957446813"/>
    <n v="3.7627659574468098"/>
    <x v="0"/>
    <m/>
  </r>
  <r>
    <n v="1055"/>
    <n v="38"/>
    <x v="1"/>
    <x v="5"/>
    <x v="25"/>
    <n v="1948.69"/>
    <x v="3"/>
    <x v="0"/>
    <n v="2.9"/>
    <n v="16"/>
    <n v="8"/>
    <n v="2319.8690476190477"/>
    <n v="371.17904761904765"/>
    <x v="1"/>
    <m/>
  </r>
  <r>
    <n v="1056"/>
    <n v="60"/>
    <x v="1"/>
    <x v="2"/>
    <x v="10"/>
    <n v="221.58"/>
    <x v="3"/>
    <x v="0"/>
    <n v="3.2"/>
    <n v="10"/>
    <n v="5"/>
    <n v="246.20000000000002"/>
    <n v="24.620000000000005"/>
    <x v="0"/>
    <m/>
  </r>
  <r>
    <n v="1057"/>
    <n v="40"/>
    <x v="1"/>
    <x v="2"/>
    <x v="2"/>
    <n v="194.16"/>
    <x v="2"/>
    <x v="0"/>
    <n v="3.9"/>
    <n v="21"/>
    <n v="8"/>
    <n v="245.77215189873417"/>
    <n v="51.612151898734169"/>
    <x v="1"/>
    <m/>
  </r>
  <r>
    <n v="1058"/>
    <n v="33"/>
    <x v="0"/>
    <x v="7"/>
    <x v="13"/>
    <n v="40.299999999999997"/>
    <x v="2"/>
    <x v="0"/>
    <n v="2.5"/>
    <n v="22"/>
    <n v="6"/>
    <n v="51.666666666666664"/>
    <n v="11.366666666666667"/>
    <x v="5"/>
    <m/>
  </r>
  <r>
    <n v="1059"/>
    <n v="64"/>
    <x v="0"/>
    <x v="8"/>
    <x v="17"/>
    <n v="178.98"/>
    <x v="0"/>
    <x v="0"/>
    <n v="3.2"/>
    <n v="20"/>
    <n v="5"/>
    <n v="223.72499999999997"/>
    <n v="44.744999999999976"/>
    <x v="0"/>
    <m/>
  </r>
  <r>
    <n v="1060"/>
    <n v="64"/>
    <x v="0"/>
    <x v="8"/>
    <x v="17"/>
    <n v="190.01"/>
    <x v="1"/>
    <x v="0"/>
    <n v="4.0999999999999996"/>
    <n v="18"/>
    <n v="9"/>
    <n v="231.71951219512192"/>
    <n v="41.709512195121931"/>
    <x v="0"/>
    <m/>
  </r>
  <r>
    <n v="1061"/>
    <n v="66"/>
    <x v="0"/>
    <x v="8"/>
    <x v="16"/>
    <n v="114.31"/>
    <x v="0"/>
    <x v="0"/>
    <n v="5"/>
    <n v="8"/>
    <n v="4"/>
    <n v="124.25"/>
    <n v="9.9399999999999977"/>
    <x v="2"/>
    <m/>
  </r>
  <r>
    <n v="1062"/>
    <n v="21"/>
    <x v="1"/>
    <x v="1"/>
    <x v="1"/>
    <n v="114.03"/>
    <x v="0"/>
    <x v="0"/>
    <n v="2.6"/>
    <n v="12"/>
    <n v="1"/>
    <n v="129.57954545454547"/>
    <n v="15.549545454545466"/>
    <x v="3"/>
    <m/>
  </r>
  <r>
    <n v="1063"/>
    <n v="49"/>
    <x v="1"/>
    <x v="7"/>
    <x v="8"/>
    <n v="106.57"/>
    <x v="0"/>
    <x v="0"/>
    <n v="3.2"/>
    <n v="8"/>
    <n v="4"/>
    <n v="115.83695652173911"/>
    <n v="9.2669565217391181"/>
    <x v="4"/>
    <m/>
  </r>
  <r>
    <n v="1064"/>
    <n v="40"/>
    <x v="0"/>
    <x v="6"/>
    <x v="23"/>
    <n v="44.46"/>
    <x v="3"/>
    <x v="0"/>
    <n v="3.5"/>
    <n v="22"/>
    <n v="6"/>
    <n v="57"/>
    <n v="12.54"/>
    <x v="1"/>
    <m/>
  </r>
  <r>
    <n v="1065"/>
    <n v="49"/>
    <x v="0"/>
    <x v="8"/>
    <x v="16"/>
    <n v="43.75"/>
    <x v="1"/>
    <x v="0"/>
    <n v="3.8"/>
    <n v="22"/>
    <n v="6"/>
    <n v="56.089743589743591"/>
    <n v="12.339743589743591"/>
    <x v="4"/>
    <m/>
  </r>
  <r>
    <n v="1066"/>
    <n v="20"/>
    <x v="1"/>
    <x v="2"/>
    <x v="10"/>
    <n v="98.82"/>
    <x v="2"/>
    <x v="0"/>
    <n v="3.5"/>
    <n v="16"/>
    <n v="3"/>
    <n v="117.64285714285714"/>
    <n v="18.822857142857146"/>
    <x v="3"/>
    <m/>
  </r>
  <r>
    <n v="1067"/>
    <n v="53"/>
    <x v="1"/>
    <x v="1"/>
    <x v="14"/>
    <n v="176.35"/>
    <x v="0"/>
    <x v="0"/>
    <n v="4"/>
    <n v="6"/>
    <n v="3"/>
    <n v="187.60638297872342"/>
    <n v="11.256382978723423"/>
    <x v="4"/>
    <m/>
  </r>
  <r>
    <n v="1068"/>
    <n v="20"/>
    <x v="1"/>
    <x v="5"/>
    <x v="21"/>
    <n v="768.38"/>
    <x v="0"/>
    <x v="0"/>
    <n v="4.3"/>
    <n v="15"/>
    <n v="5"/>
    <n v="903.97647058823532"/>
    <n v="135.59647058823532"/>
    <x v="3"/>
    <m/>
  </r>
  <r>
    <n v="1069"/>
    <n v="58"/>
    <x v="1"/>
    <x v="5"/>
    <x v="21"/>
    <n v="2823.73"/>
    <x v="1"/>
    <x v="0"/>
    <n v="4.5"/>
    <n v="20"/>
    <n v="5"/>
    <n v="3529.6624999999999"/>
    <n v="705.93249999999989"/>
    <x v="0"/>
    <m/>
  </r>
  <r>
    <n v="1070"/>
    <n v="53"/>
    <x v="1"/>
    <x v="2"/>
    <x v="10"/>
    <n v="33.24"/>
    <x v="0"/>
    <x v="1"/>
    <n v="4.0999999999999996"/>
    <n v="22"/>
    <n v="6"/>
    <n v="42.615384615384613"/>
    <n v="9.3753846153846112"/>
    <x v="4"/>
    <m/>
  </r>
  <r>
    <n v="1071"/>
    <n v="38"/>
    <x v="0"/>
    <x v="0"/>
    <x v="28"/>
    <n v="150.79"/>
    <x v="0"/>
    <x v="0"/>
    <n v="2.7"/>
    <n v="10"/>
    <n v="5"/>
    <n v="167.54444444444442"/>
    <n v="16.754444444444431"/>
    <x v="1"/>
    <m/>
  </r>
  <r>
    <n v="1072"/>
    <n v="65"/>
    <x v="1"/>
    <x v="2"/>
    <x v="10"/>
    <n v="208.78"/>
    <x v="0"/>
    <x v="0"/>
    <n v="4.3"/>
    <n v="20"/>
    <n v="5"/>
    <n v="260.97499999999997"/>
    <n v="52.194999999999965"/>
    <x v="2"/>
    <m/>
  </r>
  <r>
    <n v="1073"/>
    <n v="22"/>
    <x v="0"/>
    <x v="0"/>
    <x v="0"/>
    <n v="80.5"/>
    <x v="3"/>
    <x v="0"/>
    <n v="4"/>
    <n v="16"/>
    <n v="3"/>
    <n v="95.833333333333343"/>
    <n v="15.333333333333343"/>
    <x v="3"/>
    <m/>
  </r>
  <r>
    <n v="1074"/>
    <n v="60"/>
    <x v="1"/>
    <x v="2"/>
    <x v="12"/>
    <n v="139.63999999999999"/>
    <x v="0"/>
    <x v="0"/>
    <n v="4"/>
    <n v="26"/>
    <n v="8"/>
    <n v="188.70270270270268"/>
    <n v="49.062702702702694"/>
    <x v="0"/>
    <m/>
  </r>
  <r>
    <n v="1075"/>
    <n v="32"/>
    <x v="0"/>
    <x v="6"/>
    <x v="27"/>
    <n v="105.08"/>
    <x v="1"/>
    <x v="0"/>
    <n v="3"/>
    <n v="13"/>
    <n v="4"/>
    <n v="120.7816091954023"/>
    <n v="15.701609195402298"/>
    <x v="5"/>
    <m/>
  </r>
  <r>
    <n v="1076"/>
    <n v="47"/>
    <x v="1"/>
    <x v="4"/>
    <x v="26"/>
    <n v="73.92"/>
    <x v="1"/>
    <x v="1"/>
    <n v="3.5"/>
    <n v="9"/>
    <n v="2"/>
    <n v="81.230769230769226"/>
    <n v="7.3107692307692247"/>
    <x v="4"/>
    <m/>
  </r>
  <r>
    <n v="1077"/>
    <n v="48"/>
    <x v="1"/>
    <x v="5"/>
    <x v="7"/>
    <n v="2738.51"/>
    <x v="3"/>
    <x v="0"/>
    <n v="3.5"/>
    <n v="11"/>
    <n v="3"/>
    <n v="3076.977528089888"/>
    <n v="338.46752808988776"/>
    <x v="4"/>
    <m/>
  </r>
  <r>
    <n v="1078"/>
    <n v="69"/>
    <x v="1"/>
    <x v="5"/>
    <x v="7"/>
    <n v="1627.36"/>
    <x v="1"/>
    <x v="0"/>
    <n v="3.5"/>
    <n v="18"/>
    <n v="4"/>
    <n v="1984.5853658536582"/>
    <n v="357.22536585365833"/>
    <x v="2"/>
    <m/>
  </r>
  <r>
    <n v="1079"/>
    <n v="64"/>
    <x v="1"/>
    <x v="4"/>
    <x v="4"/>
    <n v="44.35"/>
    <x v="1"/>
    <x v="1"/>
    <n v="3.4"/>
    <n v="15"/>
    <n v="5"/>
    <n v="52.176470588235297"/>
    <n v="7.8264705882352956"/>
    <x v="0"/>
    <m/>
  </r>
  <r>
    <n v="1080"/>
    <n v="51"/>
    <x v="1"/>
    <x v="4"/>
    <x v="29"/>
    <n v="67.37"/>
    <x v="2"/>
    <x v="1"/>
    <n v="3.6"/>
    <n v="22"/>
    <n v="6"/>
    <n v="86.371794871794876"/>
    <n v="19.001794871794871"/>
    <x v="4"/>
    <m/>
  </r>
  <r>
    <n v="1081"/>
    <n v="55"/>
    <x v="0"/>
    <x v="6"/>
    <x v="6"/>
    <n v="51.63"/>
    <x v="0"/>
    <x v="0"/>
    <n v="4.5999999999999996"/>
    <n v="18"/>
    <n v="4"/>
    <n v="62.963414634146339"/>
    <n v="11.333414634146337"/>
    <x v="0"/>
    <m/>
  </r>
  <r>
    <n v="1082"/>
    <n v="62"/>
    <x v="1"/>
    <x v="2"/>
    <x v="2"/>
    <n v="202.1"/>
    <x v="3"/>
    <x v="0"/>
    <n v="2.2000000000000002"/>
    <n v="20"/>
    <n v="5"/>
    <n v="252.62499999999997"/>
    <n v="50.524999999999977"/>
    <x v="0"/>
    <m/>
  </r>
  <r>
    <n v="1083"/>
    <n v="52"/>
    <x v="0"/>
    <x v="7"/>
    <x v="13"/>
    <n v="86.78"/>
    <x v="1"/>
    <x v="1"/>
    <n v="4"/>
    <n v="20"/>
    <n v="5"/>
    <n v="108.47499999999999"/>
    <n v="21.694999999999993"/>
    <x v="4"/>
    <m/>
  </r>
  <r>
    <n v="1084"/>
    <n v="41"/>
    <x v="1"/>
    <x v="7"/>
    <x v="8"/>
    <n v="82.05"/>
    <x v="3"/>
    <x v="0"/>
    <n v="4.0999999999999996"/>
    <n v="20"/>
    <n v="5"/>
    <n v="102.56249999999999"/>
    <n v="20.512499999999989"/>
    <x v="1"/>
    <m/>
  </r>
  <r>
    <n v="1085"/>
    <n v="27"/>
    <x v="0"/>
    <x v="6"/>
    <x v="6"/>
    <n v="24.02"/>
    <x v="2"/>
    <x v="1"/>
    <n v="4.3"/>
    <n v="14"/>
    <n v="2"/>
    <n v="27.930232558139537"/>
    <n v="3.910232558139537"/>
    <x v="5"/>
    <m/>
  </r>
  <r>
    <n v="1086"/>
    <n v="29"/>
    <x v="0"/>
    <x v="8"/>
    <x v="17"/>
    <n v="45.21"/>
    <x v="1"/>
    <x v="0"/>
    <n v="3.9"/>
    <n v="25"/>
    <n v="10"/>
    <n v="60.28"/>
    <n v="15.07"/>
    <x v="5"/>
    <m/>
  </r>
  <r>
    <n v="1087"/>
    <n v="66"/>
    <x v="1"/>
    <x v="7"/>
    <x v="11"/>
    <n v="239.97"/>
    <x v="1"/>
    <x v="0"/>
    <n v="4.7"/>
    <n v="17"/>
    <n v="6"/>
    <n v="289.12048192771084"/>
    <n v="49.150481927710842"/>
    <x v="2"/>
    <m/>
  </r>
  <r>
    <n v="1088"/>
    <n v="67"/>
    <x v="1"/>
    <x v="2"/>
    <x v="2"/>
    <n v="117.03"/>
    <x v="1"/>
    <x v="0"/>
    <n v="3.4"/>
    <n v="4"/>
    <n v="2"/>
    <n v="121.90625"/>
    <n v="4.8762499999999989"/>
    <x v="2"/>
    <m/>
  </r>
  <r>
    <n v="1089"/>
    <n v="44"/>
    <x v="0"/>
    <x v="3"/>
    <x v="24"/>
    <n v="121.22"/>
    <x v="2"/>
    <x v="0"/>
    <n v="4.7"/>
    <n v="6"/>
    <n v="3"/>
    <n v="128.95744680851064"/>
    <n v="7.73744680851064"/>
    <x v="1"/>
    <m/>
  </r>
  <r>
    <n v="1090"/>
    <n v="26"/>
    <x v="1"/>
    <x v="3"/>
    <x v="24"/>
    <n v="155.63"/>
    <x v="0"/>
    <x v="0"/>
    <n v="3.2"/>
    <n v="20"/>
    <n v="5"/>
    <n v="194.53749999999999"/>
    <n v="38.907499999999999"/>
    <x v="5"/>
    <m/>
  </r>
  <r>
    <n v="1091"/>
    <n v="64"/>
    <x v="1"/>
    <x v="7"/>
    <x v="13"/>
    <n v="133.61000000000001"/>
    <x v="3"/>
    <x v="0"/>
    <n v="4.5999999999999996"/>
    <n v="10"/>
    <n v="5"/>
    <n v="148.45555555555558"/>
    <n v="14.845555555555563"/>
    <x v="0"/>
    <m/>
  </r>
  <r>
    <n v="1092"/>
    <n v="39"/>
    <x v="1"/>
    <x v="1"/>
    <x v="9"/>
    <n v="136.87"/>
    <x v="2"/>
    <x v="0"/>
    <n v="5"/>
    <n v="17"/>
    <n v="6"/>
    <n v="164.90361445783134"/>
    <n v="28.033614457831334"/>
    <x v="1"/>
    <m/>
  </r>
  <r>
    <n v="1093"/>
    <n v="24"/>
    <x v="0"/>
    <x v="6"/>
    <x v="23"/>
    <n v="61.18"/>
    <x v="1"/>
    <x v="1"/>
    <n v="3.1"/>
    <n v="12"/>
    <n v="6"/>
    <n v="69.522727272727266"/>
    <n v="8.3427272727272666"/>
    <x v="3"/>
    <m/>
  </r>
  <r>
    <n v="1094"/>
    <n v="22"/>
    <x v="0"/>
    <x v="6"/>
    <x v="23"/>
    <n v="52.42"/>
    <x v="3"/>
    <x v="1"/>
    <n v="4.4000000000000004"/>
    <n v="10"/>
    <n v="5"/>
    <n v="58.244444444444447"/>
    <n v="5.8244444444444454"/>
    <x v="3"/>
    <m/>
  </r>
  <r>
    <n v="1095"/>
    <n v="64"/>
    <x v="0"/>
    <x v="2"/>
    <x v="2"/>
    <n v="64.47"/>
    <x v="0"/>
    <x v="0"/>
    <n v="2.8"/>
    <n v="16"/>
    <n v="3"/>
    <n v="76.75"/>
    <n v="12.280000000000001"/>
    <x v="0"/>
    <m/>
  </r>
  <r>
    <n v="1096"/>
    <n v="41"/>
    <x v="1"/>
    <x v="1"/>
    <x v="14"/>
    <n v="72.23"/>
    <x v="0"/>
    <x v="1"/>
    <n v="3.6"/>
    <n v="11"/>
    <n v="3"/>
    <n v="81.157303370786522"/>
    <n v="8.9273033707865181"/>
    <x v="1"/>
    <m/>
  </r>
  <r>
    <n v="1097"/>
    <n v="55"/>
    <x v="1"/>
    <x v="1"/>
    <x v="14"/>
    <n v="121.35"/>
    <x v="3"/>
    <x v="0"/>
    <n v="3.4"/>
    <n v="10"/>
    <n v="5"/>
    <n v="134.83333333333331"/>
    <n v="13.48333333333332"/>
    <x v="0"/>
    <m/>
  </r>
  <r>
    <n v="1098"/>
    <n v="23"/>
    <x v="0"/>
    <x v="0"/>
    <x v="22"/>
    <n v="117.09"/>
    <x v="1"/>
    <x v="0"/>
    <n v="3.4"/>
    <n v="4"/>
    <n v="2"/>
    <n v="121.96875000000001"/>
    <n v="4.8787500000000108"/>
    <x v="3"/>
    <m/>
  </r>
  <r>
    <n v="1099"/>
    <n v="70"/>
    <x v="1"/>
    <x v="1"/>
    <x v="20"/>
    <n v="190.63"/>
    <x v="3"/>
    <x v="0"/>
    <n v="3.7"/>
    <n v="2"/>
    <n v="1"/>
    <n v="194.5204081632653"/>
    <n v="3.890408163265306"/>
    <x v="2"/>
    <m/>
  </r>
  <r>
    <n v="1100"/>
    <n v="57"/>
    <x v="1"/>
    <x v="1"/>
    <x v="20"/>
    <n v="53.94"/>
    <x v="3"/>
    <x v="1"/>
    <n v="3.7"/>
    <n v="17"/>
    <n v="6"/>
    <n v="64.98795180722891"/>
    <n v="11.047951807228912"/>
    <x v="0"/>
    <m/>
  </r>
  <r>
    <n v="1101"/>
    <n v="26"/>
    <x v="0"/>
    <x v="0"/>
    <x v="0"/>
    <n v="158.79"/>
    <x v="3"/>
    <x v="0"/>
    <n v="4.5999999999999996"/>
    <n v="7"/>
    <n v="1"/>
    <n v="170.74193548387098"/>
    <n v="11.951935483870983"/>
    <x v="5"/>
    <m/>
  </r>
  <r>
    <n v="1102"/>
    <n v="62"/>
    <x v="1"/>
    <x v="2"/>
    <x v="10"/>
    <n v="77.56"/>
    <x v="1"/>
    <x v="1"/>
    <n v="3.8"/>
    <n v="15"/>
    <n v="5"/>
    <n v="91.247058823529414"/>
    <n v="13.687058823529412"/>
    <x v="0"/>
    <m/>
  </r>
  <r>
    <n v="1103"/>
    <n v="23"/>
    <x v="1"/>
    <x v="5"/>
    <x v="21"/>
    <n v="559.52"/>
    <x v="0"/>
    <x v="0"/>
    <n v="4"/>
    <n v="18"/>
    <n v="4"/>
    <n v="682.34146341463406"/>
    <n v="122.82146341463408"/>
    <x v="3"/>
    <m/>
  </r>
  <r>
    <n v="1104"/>
    <n v="44"/>
    <x v="1"/>
    <x v="5"/>
    <x v="21"/>
    <n v="2966"/>
    <x v="1"/>
    <x v="0"/>
    <n v="2.9"/>
    <n v="10"/>
    <n v="5"/>
    <n v="3295.5555555555557"/>
    <n v="329.55555555555566"/>
    <x v="1"/>
    <m/>
  </r>
  <r>
    <n v="1105"/>
    <n v="57"/>
    <x v="0"/>
    <x v="4"/>
    <x v="4"/>
    <n v="20.37"/>
    <x v="3"/>
    <x v="0"/>
    <n v="4"/>
    <n v="30"/>
    <n v="10"/>
    <n v="29.100000000000005"/>
    <n v="8.730000000000004"/>
    <x v="0"/>
    <m/>
  </r>
  <r>
    <n v="1106"/>
    <n v="26"/>
    <x v="0"/>
    <x v="8"/>
    <x v="16"/>
    <n v="175.46"/>
    <x v="0"/>
    <x v="0"/>
    <n v="3.4"/>
    <n v="24"/>
    <n v="7"/>
    <n v="230.86842105263159"/>
    <n v="55.408421052631581"/>
    <x v="5"/>
    <m/>
  </r>
  <r>
    <n v="1107"/>
    <n v="42"/>
    <x v="0"/>
    <x v="7"/>
    <x v="13"/>
    <n v="193.23"/>
    <x v="0"/>
    <x v="0"/>
    <n v="4.5999999999999996"/>
    <n v="8"/>
    <n v="4"/>
    <n v="210.03260869565216"/>
    <n v="16.802608695652168"/>
    <x v="1"/>
    <m/>
  </r>
  <r>
    <n v="1108"/>
    <n v="26"/>
    <x v="1"/>
    <x v="2"/>
    <x v="10"/>
    <n v="67.09"/>
    <x v="3"/>
    <x v="0"/>
    <n v="3.5"/>
    <n v="18"/>
    <n v="9"/>
    <n v="81.817073170731703"/>
    <n v="14.7270731707317"/>
    <x v="5"/>
    <m/>
  </r>
  <r>
    <n v="1109"/>
    <n v="28"/>
    <x v="0"/>
    <x v="0"/>
    <x v="28"/>
    <n v="57.75"/>
    <x v="1"/>
    <x v="1"/>
    <n v="5"/>
    <n v="9"/>
    <n v="2"/>
    <n v="63.46153846153846"/>
    <n v="5.7115384615384599"/>
    <x v="5"/>
    <m/>
  </r>
  <r>
    <n v="1110"/>
    <n v="46"/>
    <x v="1"/>
    <x v="1"/>
    <x v="14"/>
    <n v="60.83"/>
    <x v="0"/>
    <x v="0"/>
    <n v="3.9"/>
    <n v="8"/>
    <n v="4"/>
    <n v="66.119565217391298"/>
    <n v="5.2895652173912993"/>
    <x v="4"/>
    <m/>
  </r>
  <r>
    <n v="1111"/>
    <n v="28"/>
    <x v="1"/>
    <x v="1"/>
    <x v="14"/>
    <n v="153.1"/>
    <x v="3"/>
    <x v="0"/>
    <n v="4.5"/>
    <n v="8"/>
    <n v="4"/>
    <n v="166.41304347826085"/>
    <n v="13.313043478260852"/>
    <x v="5"/>
    <m/>
  </r>
  <r>
    <n v="1112"/>
    <n v="49"/>
    <x v="0"/>
    <x v="4"/>
    <x v="29"/>
    <n v="29.32"/>
    <x v="1"/>
    <x v="0"/>
    <n v="5"/>
    <n v="23"/>
    <n v="9"/>
    <n v="38.077922077922075"/>
    <n v="8.7579220779220748"/>
    <x v="4"/>
    <m/>
  </r>
  <r>
    <n v="1113"/>
    <n v="67"/>
    <x v="0"/>
    <x v="0"/>
    <x v="22"/>
    <n v="133.57"/>
    <x v="2"/>
    <x v="0"/>
    <n v="3.9"/>
    <n v="26"/>
    <n v="8"/>
    <n v="180.5"/>
    <n v="46.930000000000007"/>
    <x v="2"/>
    <m/>
  </r>
  <r>
    <n v="1114"/>
    <n v="69"/>
    <x v="0"/>
    <x v="0"/>
    <x v="28"/>
    <n v="26.45"/>
    <x v="0"/>
    <x v="0"/>
    <n v="3.2"/>
    <n v="14"/>
    <n v="7"/>
    <n v="30.755813953488371"/>
    <n v="4.3058139534883715"/>
    <x v="2"/>
    <m/>
  </r>
  <r>
    <n v="1115"/>
    <n v="56"/>
    <x v="0"/>
    <x v="4"/>
    <x v="4"/>
    <n v="66.52"/>
    <x v="2"/>
    <x v="0"/>
    <n v="3.9"/>
    <n v="13"/>
    <n v="4"/>
    <n v="76.459770114942529"/>
    <n v="9.939770114942533"/>
    <x v="0"/>
    <m/>
  </r>
  <r>
    <n v="1116"/>
    <n v="66"/>
    <x v="0"/>
    <x v="6"/>
    <x v="6"/>
    <n v="125.89"/>
    <x v="0"/>
    <x v="0"/>
    <n v="4.3"/>
    <n v="16"/>
    <n v="3"/>
    <n v="149.86904761904762"/>
    <n v="23.97904761904762"/>
    <x v="2"/>
    <m/>
  </r>
  <r>
    <n v="1117"/>
    <n v="26"/>
    <x v="0"/>
    <x v="0"/>
    <x v="0"/>
    <n v="177.36"/>
    <x v="0"/>
    <x v="0"/>
    <n v="4.8"/>
    <n v="20"/>
    <n v="5"/>
    <n v="221.70000000000002"/>
    <n v="44.34"/>
    <x v="5"/>
    <m/>
  </r>
  <r>
    <n v="1118"/>
    <n v="31"/>
    <x v="1"/>
    <x v="7"/>
    <x v="13"/>
    <n v="168.74"/>
    <x v="3"/>
    <x v="0"/>
    <n v="4.0999999999999996"/>
    <n v="16"/>
    <n v="8"/>
    <n v="200.88095238095241"/>
    <n v="32.140952380952399"/>
    <x v="5"/>
    <m/>
  </r>
  <r>
    <n v="1119"/>
    <n v="63"/>
    <x v="0"/>
    <x v="8"/>
    <x v="14"/>
    <n v="61.35"/>
    <x v="3"/>
    <x v="1"/>
    <n v="3.6"/>
    <n v="20"/>
    <n v="5"/>
    <n v="76.6875"/>
    <n v="15.337499999999999"/>
    <x v="0"/>
    <m/>
  </r>
  <r>
    <n v="1120"/>
    <n v="44"/>
    <x v="0"/>
    <x v="6"/>
    <x v="6"/>
    <n v="128.72999999999999"/>
    <x v="2"/>
    <x v="0"/>
    <n v="4.9000000000000004"/>
    <n v="12"/>
    <n v="6"/>
    <n v="146.28409090909091"/>
    <n v="17.554090909090917"/>
    <x v="1"/>
    <m/>
  </r>
  <r>
    <n v="1121"/>
    <n v="20"/>
    <x v="0"/>
    <x v="2"/>
    <x v="12"/>
    <n v="144.69999999999999"/>
    <x v="3"/>
    <x v="0"/>
    <n v="4.2"/>
    <n v="16"/>
    <n v="3"/>
    <n v="172.26190476190476"/>
    <n v="27.561904761904771"/>
    <x v="3"/>
    <m/>
  </r>
  <r>
    <n v="1122"/>
    <n v="41"/>
    <x v="0"/>
    <x v="0"/>
    <x v="28"/>
    <n v="107.04"/>
    <x v="0"/>
    <x v="0"/>
    <n v="3.5"/>
    <n v="8"/>
    <n v="4"/>
    <n v="116.34782608695653"/>
    <n v="9.3078260869565241"/>
    <x v="1"/>
    <m/>
  </r>
  <r>
    <n v="1123"/>
    <n v="36"/>
    <x v="0"/>
    <x v="0"/>
    <x v="22"/>
    <n v="31.74"/>
    <x v="1"/>
    <x v="1"/>
    <n v="3.9"/>
    <n v="6"/>
    <n v="3"/>
    <n v="33.765957446808514"/>
    <n v="2.0259574468085155"/>
    <x v="1"/>
    <m/>
  </r>
  <r>
    <n v="1124"/>
    <n v="38"/>
    <x v="1"/>
    <x v="5"/>
    <x v="21"/>
    <n v="2415.1999999999998"/>
    <x v="3"/>
    <x v="0"/>
    <n v="4.3"/>
    <n v="20"/>
    <n v="5"/>
    <n v="3018.9999999999995"/>
    <n v="603.79999999999973"/>
    <x v="1"/>
    <m/>
  </r>
  <r>
    <n v="1125"/>
    <n v="44"/>
    <x v="1"/>
    <x v="1"/>
    <x v="20"/>
    <n v="91.47"/>
    <x v="2"/>
    <x v="1"/>
    <n v="3.5"/>
    <n v="17"/>
    <n v="6"/>
    <n v="110.20481927710844"/>
    <n v="18.734819277108443"/>
    <x v="1"/>
    <m/>
  </r>
  <r>
    <n v="1126"/>
    <n v="40"/>
    <x v="0"/>
    <x v="7"/>
    <x v="11"/>
    <n v="118.69"/>
    <x v="0"/>
    <x v="0"/>
    <n v="3.5"/>
    <n v="14"/>
    <n v="7"/>
    <n v="138.01162790697674"/>
    <n v="19.321627906976744"/>
    <x v="1"/>
    <m/>
  </r>
  <r>
    <n v="1127"/>
    <n v="33"/>
    <x v="1"/>
    <x v="7"/>
    <x v="13"/>
    <n v="163.49"/>
    <x v="2"/>
    <x v="0"/>
    <n v="2.7"/>
    <n v="22"/>
    <n v="6"/>
    <n v="209.60256410256412"/>
    <n v="46.112564102564107"/>
    <x v="5"/>
    <m/>
  </r>
  <r>
    <n v="1128"/>
    <n v="55"/>
    <x v="0"/>
    <x v="7"/>
    <x v="11"/>
    <n v="104.63"/>
    <x v="1"/>
    <x v="0"/>
    <n v="3.2"/>
    <n v="20"/>
    <n v="5"/>
    <n v="130.78749999999999"/>
    <n v="26.157499999999999"/>
    <x v="0"/>
    <m/>
  </r>
  <r>
    <n v="1129"/>
    <n v="43"/>
    <x v="1"/>
    <x v="2"/>
    <x v="10"/>
    <n v="195.7"/>
    <x v="0"/>
    <x v="0"/>
    <n v="2.8"/>
    <n v="10"/>
    <n v="5"/>
    <n v="217.44444444444443"/>
    <n v="21.74444444444444"/>
    <x v="1"/>
    <m/>
  </r>
  <r>
    <n v="1130"/>
    <n v="67"/>
    <x v="0"/>
    <x v="0"/>
    <x v="28"/>
    <n v="42.94"/>
    <x v="1"/>
    <x v="0"/>
    <n v="3.4"/>
    <n v="9"/>
    <n v="2"/>
    <n v="47.186813186813183"/>
    <n v="4.2468131868131849"/>
    <x v="2"/>
    <m/>
  </r>
  <r>
    <n v="1131"/>
    <n v="33"/>
    <x v="1"/>
    <x v="5"/>
    <x v="5"/>
    <n v="2697.97"/>
    <x v="3"/>
    <x v="0"/>
    <n v="3.8"/>
    <n v="6"/>
    <n v="3"/>
    <n v="2870.1808510638298"/>
    <n v="172.21085106382998"/>
    <x v="5"/>
    <m/>
  </r>
  <r>
    <n v="1132"/>
    <n v="34"/>
    <x v="0"/>
    <x v="0"/>
    <x v="0"/>
    <n v="86.46"/>
    <x v="2"/>
    <x v="1"/>
    <n v="4.5"/>
    <n v="4"/>
    <n v="2"/>
    <n v="90.0625"/>
    <n v="3.6025000000000063"/>
    <x v="5"/>
    <m/>
  </r>
  <r>
    <n v="1133"/>
    <n v="50"/>
    <x v="1"/>
    <x v="2"/>
    <x v="12"/>
    <n v="166.99"/>
    <x v="2"/>
    <x v="0"/>
    <n v="4.5"/>
    <n v="23"/>
    <n v="9"/>
    <n v="216.87012987012989"/>
    <n v="49.880129870129878"/>
    <x v="4"/>
    <m/>
  </r>
  <r>
    <n v="1134"/>
    <n v="50"/>
    <x v="1"/>
    <x v="5"/>
    <x v="5"/>
    <n v="1790.31"/>
    <x v="3"/>
    <x v="0"/>
    <n v="2.7"/>
    <n v="18"/>
    <n v="4"/>
    <n v="2183.3048780487802"/>
    <n v="392.99487804878027"/>
    <x v="4"/>
    <m/>
  </r>
  <r>
    <n v="1135"/>
    <n v="43"/>
    <x v="1"/>
    <x v="2"/>
    <x v="2"/>
    <n v="86.47"/>
    <x v="2"/>
    <x v="0"/>
    <n v="3"/>
    <n v="25"/>
    <n v="10"/>
    <n v="115.29333333333334"/>
    <n v="28.823333333333338"/>
    <x v="1"/>
    <m/>
  </r>
  <r>
    <n v="1136"/>
    <n v="41"/>
    <x v="0"/>
    <x v="7"/>
    <x v="13"/>
    <n v="215.58"/>
    <x v="0"/>
    <x v="0"/>
    <n v="4.0999999999999996"/>
    <n v="21"/>
    <n v="8"/>
    <n v="272.88607594936707"/>
    <n v="57.306075949367056"/>
    <x v="1"/>
    <m/>
  </r>
  <r>
    <n v="1137"/>
    <n v="52"/>
    <x v="0"/>
    <x v="0"/>
    <x v="22"/>
    <n v="51.85"/>
    <x v="3"/>
    <x v="0"/>
    <n v="3.5"/>
    <n v="20"/>
    <n v="5"/>
    <n v="64.8125"/>
    <n v="12.962499999999999"/>
    <x v="4"/>
    <m/>
  </r>
  <r>
    <n v="1138"/>
    <n v="45"/>
    <x v="1"/>
    <x v="4"/>
    <x v="4"/>
    <n v="13.27"/>
    <x v="3"/>
    <x v="1"/>
    <n v="5"/>
    <n v="24"/>
    <n v="7"/>
    <n v="17.460526315789473"/>
    <n v="4.190526315789473"/>
    <x v="4"/>
    <m/>
  </r>
  <r>
    <n v="1139"/>
    <n v="66"/>
    <x v="1"/>
    <x v="5"/>
    <x v="7"/>
    <n v="1457.42"/>
    <x v="2"/>
    <x v="0"/>
    <n v="2.7"/>
    <n v="11"/>
    <n v="3"/>
    <n v="1637.5505617977528"/>
    <n v="180.13056179775276"/>
    <x v="2"/>
    <m/>
  </r>
  <r>
    <n v="1140"/>
    <n v="20"/>
    <x v="1"/>
    <x v="5"/>
    <x v="25"/>
    <n v="1172.26"/>
    <x v="0"/>
    <x v="0"/>
    <n v="2.9"/>
    <n v="14"/>
    <n v="2"/>
    <n v="1363.0930232558139"/>
    <n v="190.83302325581394"/>
    <x v="3"/>
    <m/>
  </r>
  <r>
    <n v="1141"/>
    <n v="48"/>
    <x v="0"/>
    <x v="8"/>
    <x v="18"/>
    <n v="188.55"/>
    <x v="0"/>
    <x v="0"/>
    <n v="4.7"/>
    <n v="13"/>
    <n v="4"/>
    <n v="216.72413793103451"/>
    <n v="28.174137931034494"/>
    <x v="4"/>
    <m/>
  </r>
  <r>
    <n v="1142"/>
    <n v="48"/>
    <x v="0"/>
    <x v="8"/>
    <x v="16"/>
    <n v="188.22"/>
    <x v="2"/>
    <x v="0"/>
    <n v="2.7"/>
    <n v="15"/>
    <n v="5"/>
    <n v="221.43529411764706"/>
    <n v="33.215294117647062"/>
    <x v="4"/>
    <m/>
  </r>
  <r>
    <n v="1143"/>
    <n v="27"/>
    <x v="0"/>
    <x v="8"/>
    <x v="17"/>
    <n v="90.74"/>
    <x v="2"/>
    <x v="1"/>
    <n v="2.8"/>
    <n v="22"/>
    <n v="6"/>
    <n v="116.33333333333333"/>
    <n v="25.593333333333334"/>
    <x v="5"/>
    <m/>
  </r>
  <r>
    <n v="1144"/>
    <n v="59"/>
    <x v="0"/>
    <x v="7"/>
    <x v="8"/>
    <n v="69.569999999999993"/>
    <x v="1"/>
    <x v="1"/>
    <n v="5"/>
    <n v="20"/>
    <n v="5"/>
    <n v="86.962499999999991"/>
    <n v="17.392499999999998"/>
    <x v="0"/>
    <m/>
  </r>
  <r>
    <n v="1145"/>
    <n v="56"/>
    <x v="1"/>
    <x v="5"/>
    <x v="5"/>
    <n v="2953.85"/>
    <x v="2"/>
    <x v="0"/>
    <n v="4.2"/>
    <n v="18"/>
    <n v="4"/>
    <n v="3602.2560975609754"/>
    <n v="648.40609756097547"/>
    <x v="0"/>
    <m/>
  </r>
  <r>
    <n v="1146"/>
    <n v="23"/>
    <x v="1"/>
    <x v="7"/>
    <x v="13"/>
    <n v="224.71"/>
    <x v="2"/>
    <x v="0"/>
    <n v="4.5999999999999996"/>
    <n v="22"/>
    <n v="6"/>
    <n v="288.08974358974359"/>
    <n v="63.379743589743583"/>
    <x v="3"/>
    <m/>
  </r>
  <r>
    <n v="1147"/>
    <n v="32"/>
    <x v="0"/>
    <x v="0"/>
    <x v="28"/>
    <n v="53.71"/>
    <x v="0"/>
    <x v="1"/>
    <n v="3.2"/>
    <n v="21"/>
    <n v="8"/>
    <n v="67.987341772151893"/>
    <n v="14.277341772151892"/>
    <x v="5"/>
    <m/>
  </r>
  <r>
    <n v="1148"/>
    <n v="43"/>
    <x v="0"/>
    <x v="2"/>
    <x v="12"/>
    <n v="38.869999999999997"/>
    <x v="2"/>
    <x v="1"/>
    <n v="4"/>
    <n v="16"/>
    <n v="8"/>
    <n v="46.273809523809526"/>
    <n v="7.4038095238095281"/>
    <x v="1"/>
    <m/>
  </r>
  <r>
    <n v="1149"/>
    <n v="55"/>
    <x v="0"/>
    <x v="3"/>
    <x v="3"/>
    <n v="200.15"/>
    <x v="3"/>
    <x v="0"/>
    <n v="4.7"/>
    <n v="26"/>
    <n v="8"/>
    <n v="270.47297297297297"/>
    <n v="70.322972972972963"/>
    <x v="0"/>
    <m/>
  </r>
  <r>
    <n v="1150"/>
    <n v="36"/>
    <x v="0"/>
    <x v="7"/>
    <x v="13"/>
    <n v="207.62"/>
    <x v="3"/>
    <x v="0"/>
    <n v="4"/>
    <n v="21"/>
    <n v="8"/>
    <n v="262.81012658227849"/>
    <n v="55.190126582278481"/>
    <x v="1"/>
    <m/>
  </r>
  <r>
    <n v="1151"/>
    <n v="24"/>
    <x v="1"/>
    <x v="7"/>
    <x v="13"/>
    <n v="221.11"/>
    <x v="3"/>
    <x v="0"/>
    <n v="3.1"/>
    <n v="11"/>
    <n v="3"/>
    <n v="248.43820224719101"/>
    <n v="27.328202247191001"/>
    <x v="3"/>
    <m/>
  </r>
  <r>
    <n v="1152"/>
    <n v="42"/>
    <x v="0"/>
    <x v="8"/>
    <x v="18"/>
    <n v="49.43"/>
    <x v="2"/>
    <x v="1"/>
    <n v="4.9000000000000004"/>
    <n v="8"/>
    <n v="4"/>
    <n v="53.728260869565212"/>
    <n v="4.2982608695652118"/>
    <x v="1"/>
    <m/>
  </r>
  <r>
    <n v="1153"/>
    <n v="44"/>
    <x v="1"/>
    <x v="5"/>
    <x v="25"/>
    <n v="1549.6"/>
    <x v="2"/>
    <x v="0"/>
    <n v="3.1"/>
    <n v="14"/>
    <n v="7"/>
    <n v="1801.8604651162791"/>
    <n v="252.26046511627919"/>
    <x v="1"/>
    <m/>
  </r>
  <r>
    <n v="1154"/>
    <n v="48"/>
    <x v="0"/>
    <x v="7"/>
    <x v="13"/>
    <n v="113.07"/>
    <x v="0"/>
    <x v="0"/>
    <n v="2.5"/>
    <n v="9"/>
    <n v="2"/>
    <n v="124.25274725274724"/>
    <n v="11.182747252747248"/>
    <x v="4"/>
    <m/>
  </r>
  <r>
    <n v="1155"/>
    <n v="52"/>
    <x v="0"/>
    <x v="6"/>
    <x v="23"/>
    <n v="53.48"/>
    <x v="3"/>
    <x v="1"/>
    <n v="5"/>
    <n v="12"/>
    <n v="6"/>
    <n v="60.772727272727266"/>
    <n v="7.2927272727272694"/>
    <x v="4"/>
    <m/>
  </r>
  <r>
    <n v="1156"/>
    <n v="56"/>
    <x v="1"/>
    <x v="1"/>
    <x v="9"/>
    <n v="75.17"/>
    <x v="1"/>
    <x v="1"/>
    <n v="3.7"/>
    <n v="8"/>
    <n v="4"/>
    <n v="81.706521739130437"/>
    <n v="6.5365217391304355"/>
    <x v="0"/>
    <m/>
  </r>
  <r>
    <n v="1157"/>
    <n v="33"/>
    <x v="0"/>
    <x v="0"/>
    <x v="28"/>
    <n v="166.03"/>
    <x v="1"/>
    <x v="0"/>
    <n v="3.8"/>
    <n v="16"/>
    <n v="8"/>
    <n v="197.65476190476193"/>
    <n v="31.624761904761925"/>
    <x v="5"/>
    <m/>
  </r>
  <r>
    <n v="1158"/>
    <n v="58"/>
    <x v="1"/>
    <x v="1"/>
    <x v="1"/>
    <n v="103.75"/>
    <x v="0"/>
    <x v="0"/>
    <n v="3.4"/>
    <n v="17"/>
    <n v="6"/>
    <n v="125"/>
    <n v="21.25"/>
    <x v="0"/>
    <m/>
  </r>
  <r>
    <n v="1159"/>
    <n v="31"/>
    <x v="0"/>
    <x v="0"/>
    <x v="0"/>
    <n v="45.34"/>
    <x v="3"/>
    <x v="1"/>
    <n v="3.2"/>
    <n v="20"/>
    <n v="10"/>
    <n v="56.675000000000004"/>
    <n v="11.335000000000001"/>
    <x v="5"/>
    <m/>
  </r>
  <r>
    <n v="1160"/>
    <n v="41"/>
    <x v="1"/>
    <x v="1"/>
    <x v="20"/>
    <n v="122.83"/>
    <x v="2"/>
    <x v="0"/>
    <n v="3.7"/>
    <n v="22"/>
    <n v="6"/>
    <n v="157.47435897435898"/>
    <n v="34.64435897435898"/>
    <x v="1"/>
    <m/>
  </r>
  <r>
    <n v="1161"/>
    <n v="65"/>
    <x v="1"/>
    <x v="7"/>
    <x v="8"/>
    <n v="77.34"/>
    <x v="3"/>
    <x v="1"/>
    <n v="4.8"/>
    <n v="6"/>
    <n v="3"/>
    <n v="82.276595744680861"/>
    <n v="4.9365957446808579"/>
    <x v="2"/>
    <m/>
  </r>
  <r>
    <n v="1162"/>
    <n v="46"/>
    <x v="1"/>
    <x v="5"/>
    <x v="21"/>
    <n v="2424.09"/>
    <x v="2"/>
    <x v="0"/>
    <n v="3.6"/>
    <n v="18"/>
    <n v="4"/>
    <n v="2956.2073170731705"/>
    <n v="532.1173170731704"/>
    <x v="4"/>
    <m/>
  </r>
  <r>
    <n v="1163"/>
    <n v="30"/>
    <x v="1"/>
    <x v="4"/>
    <x v="26"/>
    <n v="25.43"/>
    <x v="1"/>
    <x v="1"/>
    <n v="4.3"/>
    <n v="6"/>
    <n v="3"/>
    <n v="27.053191489361705"/>
    <n v="1.6231914893617052"/>
    <x v="5"/>
    <m/>
  </r>
  <r>
    <n v="1164"/>
    <n v="62"/>
    <x v="1"/>
    <x v="5"/>
    <x v="25"/>
    <n v="603.16999999999996"/>
    <x v="1"/>
    <x v="0"/>
    <n v="2.9"/>
    <n v="16"/>
    <n v="8"/>
    <n v="718.05952380952374"/>
    <n v="114.88952380952378"/>
    <x v="0"/>
    <m/>
  </r>
  <r>
    <n v="1165"/>
    <n v="22"/>
    <x v="0"/>
    <x v="6"/>
    <x v="6"/>
    <n v="80.91"/>
    <x v="0"/>
    <x v="0"/>
    <n v="5"/>
    <n v="20"/>
    <n v="5"/>
    <n v="101.13749999999999"/>
    <n v="20.227499999999992"/>
    <x v="3"/>
    <m/>
  </r>
  <r>
    <n v="1166"/>
    <n v="22"/>
    <x v="1"/>
    <x v="5"/>
    <x v="5"/>
    <n v="542.16"/>
    <x v="0"/>
    <x v="0"/>
    <n v="3.5"/>
    <n v="9"/>
    <n v="2"/>
    <n v="595.78021978021968"/>
    <n v="53.620219780219713"/>
    <x v="3"/>
    <m/>
  </r>
  <r>
    <n v="1167"/>
    <n v="51"/>
    <x v="1"/>
    <x v="5"/>
    <x v="21"/>
    <n v="1413.04"/>
    <x v="0"/>
    <x v="0"/>
    <n v="3.3"/>
    <n v="13"/>
    <n v="4"/>
    <n v="1624.183908045977"/>
    <n v="211.14390804597701"/>
    <x v="4"/>
    <m/>
  </r>
  <r>
    <n v="1168"/>
    <n v="37"/>
    <x v="0"/>
    <x v="4"/>
    <x v="4"/>
    <n v="47.92"/>
    <x v="3"/>
    <x v="1"/>
    <n v="3.9"/>
    <n v="20"/>
    <n v="5"/>
    <n v="59.9"/>
    <n v="11.979999999999997"/>
    <x v="1"/>
    <m/>
  </r>
  <r>
    <n v="1169"/>
    <n v="59"/>
    <x v="0"/>
    <x v="0"/>
    <x v="28"/>
    <n v="93.12"/>
    <x v="3"/>
    <x v="1"/>
    <n v="4.2"/>
    <n v="22"/>
    <n v="6"/>
    <n v="119.38461538461539"/>
    <n v="26.264615384615382"/>
    <x v="0"/>
    <m/>
  </r>
  <r>
    <n v="1170"/>
    <n v="48"/>
    <x v="0"/>
    <x v="2"/>
    <x v="2"/>
    <n v="58.09"/>
    <x v="0"/>
    <x v="0"/>
    <n v="3.4"/>
    <n v="11"/>
    <n v="3"/>
    <n v="65.269662921348313"/>
    <n v="7.1796629213483101"/>
    <x v="4"/>
    <m/>
  </r>
  <r>
    <n v="1171"/>
    <n v="48"/>
    <x v="1"/>
    <x v="5"/>
    <x v="21"/>
    <n v="1992.41"/>
    <x v="3"/>
    <x v="0"/>
    <n v="4.4000000000000004"/>
    <n v="16"/>
    <n v="3"/>
    <n v="2371.916666666667"/>
    <n v="379.50666666666689"/>
    <x v="4"/>
    <m/>
  </r>
  <r>
    <n v="1172"/>
    <n v="58"/>
    <x v="1"/>
    <x v="2"/>
    <x v="12"/>
    <n v="137.08000000000001"/>
    <x v="2"/>
    <x v="0"/>
    <n v="3.1"/>
    <n v="28"/>
    <n v="9"/>
    <n v="190.38888888888891"/>
    <n v="53.308888888888902"/>
    <x v="0"/>
    <m/>
  </r>
  <r>
    <n v="1173"/>
    <n v="33"/>
    <x v="1"/>
    <x v="4"/>
    <x v="19"/>
    <n v="7.64"/>
    <x v="1"/>
    <x v="0"/>
    <n v="3.6"/>
    <n v="4"/>
    <n v="2"/>
    <n v="7.958333333333333"/>
    <n v="0.31833333333333336"/>
    <x v="5"/>
    <m/>
  </r>
  <r>
    <n v="1174"/>
    <n v="20"/>
    <x v="1"/>
    <x v="5"/>
    <x v="21"/>
    <n v="1333.64"/>
    <x v="3"/>
    <x v="0"/>
    <n v="2.7"/>
    <n v="10"/>
    <n v="5"/>
    <n v="1481.8222222222223"/>
    <n v="148.18222222222221"/>
    <x v="3"/>
    <m/>
  </r>
  <r>
    <n v="1175"/>
    <n v="23"/>
    <x v="1"/>
    <x v="1"/>
    <x v="20"/>
    <n v="58.77"/>
    <x v="2"/>
    <x v="1"/>
    <n v="3.1"/>
    <n v="10"/>
    <n v="5"/>
    <n v="65.3"/>
    <n v="6.529999999999994"/>
    <x v="3"/>
    <m/>
  </r>
  <r>
    <n v="1176"/>
    <n v="64"/>
    <x v="0"/>
    <x v="7"/>
    <x v="8"/>
    <n v="42.22"/>
    <x v="1"/>
    <x v="0"/>
    <n v="3.9"/>
    <n v="17"/>
    <n v="6"/>
    <n v="50.867469879518076"/>
    <n v="8.6474698795180771"/>
    <x v="0"/>
    <m/>
  </r>
  <r>
    <n v="1177"/>
    <n v="66"/>
    <x v="1"/>
    <x v="7"/>
    <x v="8"/>
    <n v="158.22"/>
    <x v="3"/>
    <x v="0"/>
    <n v="2.8"/>
    <n v="11"/>
    <n v="3"/>
    <n v="177.77528089887639"/>
    <n v="19.55528089887639"/>
    <x v="2"/>
    <m/>
  </r>
  <r>
    <n v="1178"/>
    <n v="55"/>
    <x v="1"/>
    <x v="7"/>
    <x v="13"/>
    <n v="77.33"/>
    <x v="0"/>
    <x v="1"/>
    <n v="3.6"/>
    <n v="15"/>
    <n v="5"/>
    <n v="90.976470588235301"/>
    <n v="13.646470588235303"/>
    <x v="0"/>
    <m/>
  </r>
  <r>
    <n v="1179"/>
    <n v="29"/>
    <x v="1"/>
    <x v="3"/>
    <x v="3"/>
    <n v="255.41"/>
    <x v="3"/>
    <x v="0"/>
    <n v="4.5999999999999996"/>
    <n v="24"/>
    <n v="7"/>
    <n v="336.06578947368422"/>
    <n v="80.655789473684223"/>
    <x v="5"/>
    <m/>
  </r>
  <r>
    <n v="1180"/>
    <n v="39"/>
    <x v="1"/>
    <x v="2"/>
    <x v="10"/>
    <n v="241.39"/>
    <x v="1"/>
    <x v="0"/>
    <n v="2.1"/>
    <n v="18"/>
    <n v="9"/>
    <n v="294.37804878048775"/>
    <n v="52.988048780487759"/>
    <x v="1"/>
    <m/>
  </r>
  <r>
    <n v="1181"/>
    <n v="67"/>
    <x v="1"/>
    <x v="2"/>
    <x v="12"/>
    <n v="141.33000000000001"/>
    <x v="2"/>
    <x v="0"/>
    <n v="5"/>
    <n v="24"/>
    <n v="7"/>
    <n v="185.96052631578948"/>
    <n v="44.630526315789467"/>
    <x v="2"/>
    <m/>
  </r>
  <r>
    <n v="1182"/>
    <n v="29"/>
    <x v="0"/>
    <x v="7"/>
    <x v="13"/>
    <n v="78.349999999999994"/>
    <x v="3"/>
    <x v="1"/>
    <n v="3.8"/>
    <n v="16"/>
    <n v="3"/>
    <n v="93.273809523809518"/>
    <n v="14.923809523809524"/>
    <x v="5"/>
    <m/>
  </r>
  <r>
    <n v="1183"/>
    <n v="30"/>
    <x v="0"/>
    <x v="7"/>
    <x v="8"/>
    <n v="170.77"/>
    <x v="2"/>
    <x v="0"/>
    <n v="4.9000000000000004"/>
    <n v="11"/>
    <n v="3"/>
    <n v="191.87640449438203"/>
    <n v="21.106404494382019"/>
    <x v="5"/>
    <m/>
  </r>
  <r>
    <n v="1184"/>
    <n v="20"/>
    <x v="1"/>
    <x v="7"/>
    <x v="13"/>
    <n v="249.56"/>
    <x v="3"/>
    <x v="0"/>
    <n v="2.4"/>
    <n v="26"/>
    <n v="8"/>
    <n v="337.24324324324323"/>
    <n v="87.683243243243226"/>
    <x v="3"/>
    <m/>
  </r>
  <r>
    <n v="1185"/>
    <n v="44"/>
    <x v="0"/>
    <x v="6"/>
    <x v="27"/>
    <n v="69.64"/>
    <x v="3"/>
    <x v="1"/>
    <n v="2.7"/>
    <n v="10"/>
    <n v="5"/>
    <n v="77.37777777777778"/>
    <n v="7.7377777777777794"/>
    <x v="1"/>
    <m/>
  </r>
  <r>
    <n v="1186"/>
    <n v="61"/>
    <x v="1"/>
    <x v="2"/>
    <x v="12"/>
    <n v="31.66"/>
    <x v="2"/>
    <x v="1"/>
    <n v="4"/>
    <n v="20"/>
    <n v="5"/>
    <n v="39.574999999999996"/>
    <n v="7.9149999999999956"/>
    <x v="0"/>
    <m/>
  </r>
  <r>
    <n v="1187"/>
    <n v="25"/>
    <x v="0"/>
    <x v="6"/>
    <x v="27"/>
    <n v="56.01"/>
    <x v="1"/>
    <x v="1"/>
    <n v="3.1"/>
    <n v="10"/>
    <n v="5"/>
    <n v="62.233333333333327"/>
    <n v="6.2233333333333292"/>
    <x v="5"/>
    <m/>
  </r>
  <r>
    <n v="1188"/>
    <n v="57"/>
    <x v="1"/>
    <x v="7"/>
    <x v="8"/>
    <n v="191.16"/>
    <x v="1"/>
    <x v="0"/>
    <n v="3.8"/>
    <n v="15"/>
    <n v="5"/>
    <n v="224.89411764705883"/>
    <n v="33.734117647058838"/>
    <x v="0"/>
    <m/>
  </r>
  <r>
    <n v="1189"/>
    <n v="32"/>
    <x v="0"/>
    <x v="7"/>
    <x v="8"/>
    <n v="200.69"/>
    <x v="3"/>
    <x v="0"/>
    <n v="3.9"/>
    <n v="10"/>
    <n v="5"/>
    <n v="222.98888888888888"/>
    <n v="22.298888888888882"/>
    <x v="5"/>
    <m/>
  </r>
  <r>
    <n v="1190"/>
    <n v="33"/>
    <x v="1"/>
    <x v="1"/>
    <x v="1"/>
    <n v="30.68"/>
    <x v="1"/>
    <x v="0"/>
    <n v="3.7"/>
    <n v="10"/>
    <n v="5"/>
    <n v="34.088888888888889"/>
    <n v="3.4088888888888889"/>
    <x v="5"/>
    <m/>
  </r>
  <r>
    <n v="1191"/>
    <n v="38"/>
    <x v="1"/>
    <x v="2"/>
    <x v="12"/>
    <n v="225"/>
    <x v="3"/>
    <x v="0"/>
    <n v="3.7"/>
    <n v="2"/>
    <n v="1"/>
    <n v="229.59183673469389"/>
    <n v="4.5918367346938851"/>
    <x v="1"/>
    <m/>
  </r>
  <r>
    <n v="1192"/>
    <n v="31"/>
    <x v="0"/>
    <x v="6"/>
    <x v="27"/>
    <n v="39.450000000000003"/>
    <x v="3"/>
    <x v="1"/>
    <n v="4.2"/>
    <n v="18"/>
    <n v="9"/>
    <n v="48.109756097560975"/>
    <n v="8.6597560975609724"/>
    <x v="5"/>
    <m/>
  </r>
  <r>
    <n v="1193"/>
    <n v="65"/>
    <x v="0"/>
    <x v="7"/>
    <x v="13"/>
    <n v="131.71"/>
    <x v="0"/>
    <x v="0"/>
    <n v="3.5"/>
    <n v="13"/>
    <n v="4"/>
    <n v="151.39080459770116"/>
    <n v="19.680804597701155"/>
    <x v="2"/>
    <m/>
  </r>
  <r>
    <n v="1194"/>
    <n v="43"/>
    <x v="1"/>
    <x v="7"/>
    <x v="8"/>
    <n v="141.38999999999999"/>
    <x v="0"/>
    <x v="0"/>
    <n v="4.3"/>
    <n v="17"/>
    <n v="6"/>
    <n v="170.34939759036143"/>
    <n v="28.959397590361448"/>
    <x v="1"/>
    <m/>
  </r>
  <r>
    <n v="1195"/>
    <n v="33"/>
    <x v="1"/>
    <x v="3"/>
    <x v="24"/>
    <n v="48.08"/>
    <x v="3"/>
    <x v="0"/>
    <n v="3.8"/>
    <n v="30"/>
    <n v="10"/>
    <n v="68.685714285714283"/>
    <n v="20.605714285714285"/>
    <x v="5"/>
    <m/>
  </r>
  <r>
    <n v="1196"/>
    <n v="29"/>
    <x v="0"/>
    <x v="7"/>
    <x v="8"/>
    <n v="143.49"/>
    <x v="1"/>
    <x v="0"/>
    <n v="2.4"/>
    <n v="18"/>
    <n v="4"/>
    <n v="174.98780487804879"/>
    <n v="31.497804878048782"/>
    <x v="5"/>
    <m/>
  </r>
  <r>
    <n v="1197"/>
    <n v="23"/>
    <x v="0"/>
    <x v="4"/>
    <x v="29"/>
    <n v="32.67"/>
    <x v="1"/>
    <x v="1"/>
    <n v="4"/>
    <n v="19"/>
    <n v="7"/>
    <n v="40.333333333333336"/>
    <n v="7.663333333333334"/>
    <x v="3"/>
    <m/>
  </r>
  <r>
    <n v="1198"/>
    <n v="68"/>
    <x v="0"/>
    <x v="8"/>
    <x v="14"/>
    <n v="95.87"/>
    <x v="0"/>
    <x v="1"/>
    <n v="3.3"/>
    <n v="13"/>
    <n v="4"/>
    <n v="110.19540229885058"/>
    <n v="14.325402298850577"/>
    <x v="2"/>
    <m/>
  </r>
  <r>
    <n v="1199"/>
    <n v="61"/>
    <x v="1"/>
    <x v="2"/>
    <x v="10"/>
    <n v="102.24"/>
    <x v="2"/>
    <x v="0"/>
    <n v="3.6"/>
    <n v="20"/>
    <n v="5"/>
    <n v="127.79999999999998"/>
    <n v="25.559999999999988"/>
    <x v="0"/>
    <m/>
  </r>
  <r>
    <n v="1200"/>
    <n v="64"/>
    <x v="1"/>
    <x v="7"/>
    <x v="13"/>
    <n v="55.35"/>
    <x v="3"/>
    <x v="0"/>
    <n v="4"/>
    <n v="26"/>
    <n v="8"/>
    <n v="74.797297297297305"/>
    <n v="19.447297297297304"/>
    <x v="0"/>
    <m/>
  </r>
  <r>
    <n v="1201"/>
    <n v="28"/>
    <x v="0"/>
    <x v="8"/>
    <x v="14"/>
    <n v="39.68"/>
    <x v="3"/>
    <x v="1"/>
    <n v="3.4"/>
    <n v="16"/>
    <n v="3"/>
    <n v="47.238095238095241"/>
    <n v="7.5580952380952411"/>
    <x v="5"/>
    <m/>
  </r>
  <r>
    <n v="1202"/>
    <n v="34"/>
    <x v="1"/>
    <x v="1"/>
    <x v="20"/>
    <n v="188.14"/>
    <x v="0"/>
    <x v="0"/>
    <n v="4.2"/>
    <n v="8"/>
    <n v="4"/>
    <n v="204.49999999999997"/>
    <n v="16.359999999999985"/>
    <x v="5"/>
    <m/>
  </r>
  <r>
    <n v="1203"/>
    <n v="26"/>
    <x v="0"/>
    <x v="8"/>
    <x v="17"/>
    <n v="148.54"/>
    <x v="2"/>
    <x v="0"/>
    <n v="3.6"/>
    <n v="26"/>
    <n v="8"/>
    <n v="200.72972972972971"/>
    <n v="52.18972972972972"/>
    <x v="5"/>
    <m/>
  </r>
  <r>
    <n v="1204"/>
    <n v="29"/>
    <x v="1"/>
    <x v="7"/>
    <x v="13"/>
    <n v="102"/>
    <x v="1"/>
    <x v="0"/>
    <n v="3.5"/>
    <n v="10"/>
    <n v="5"/>
    <n v="113.33333333333333"/>
    <n v="11.333333333333329"/>
    <x v="5"/>
    <m/>
  </r>
  <r>
    <n v="1205"/>
    <n v="47"/>
    <x v="0"/>
    <x v="2"/>
    <x v="2"/>
    <n v="239.73"/>
    <x v="3"/>
    <x v="0"/>
    <n v="4.8"/>
    <n v="24"/>
    <n v="7"/>
    <n v="315.43421052631578"/>
    <n v="75.704210526315791"/>
    <x v="4"/>
    <m/>
  </r>
  <r>
    <n v="1206"/>
    <n v="37"/>
    <x v="0"/>
    <x v="6"/>
    <x v="27"/>
    <n v="102.4"/>
    <x v="1"/>
    <x v="0"/>
    <n v="4.3"/>
    <n v="20"/>
    <n v="5"/>
    <n v="128"/>
    <n v="25.599999999999994"/>
    <x v="1"/>
    <m/>
  </r>
  <r>
    <n v="1207"/>
    <n v="54"/>
    <x v="0"/>
    <x v="6"/>
    <x v="27"/>
    <n v="34.86"/>
    <x v="2"/>
    <x v="1"/>
    <n v="3.6"/>
    <n v="13"/>
    <n v="4"/>
    <n v="40.068965517241381"/>
    <n v="5.2089655172413813"/>
    <x v="4"/>
    <m/>
  </r>
  <r>
    <n v="1208"/>
    <n v="67"/>
    <x v="0"/>
    <x v="7"/>
    <x v="8"/>
    <n v="184.03"/>
    <x v="3"/>
    <x v="0"/>
    <n v="4.0999999999999996"/>
    <n v="24"/>
    <n v="7"/>
    <n v="242.14473684210526"/>
    <n v="58.114736842105259"/>
    <x v="2"/>
    <m/>
  </r>
  <r>
    <n v="1209"/>
    <n v="24"/>
    <x v="1"/>
    <x v="7"/>
    <x v="13"/>
    <n v="129.9"/>
    <x v="2"/>
    <x v="0"/>
    <n v="3.8"/>
    <n v="16"/>
    <n v="8"/>
    <n v="154.64285714285717"/>
    <n v="24.742857142857162"/>
    <x v="3"/>
    <m/>
  </r>
  <r>
    <n v="1210"/>
    <n v="33"/>
    <x v="1"/>
    <x v="3"/>
    <x v="24"/>
    <n v="255.3"/>
    <x v="2"/>
    <x v="0"/>
    <n v="3.3"/>
    <n v="26"/>
    <n v="8"/>
    <n v="345"/>
    <n v="89.699999999999989"/>
    <x v="5"/>
    <m/>
  </r>
  <r>
    <n v="1211"/>
    <n v="31"/>
    <x v="1"/>
    <x v="4"/>
    <x v="19"/>
    <n v="63.06"/>
    <x v="0"/>
    <x v="1"/>
    <n v="2.5"/>
    <n v="15"/>
    <n v="5"/>
    <n v="74.188235294117646"/>
    <n v="11.128235294117644"/>
    <x v="5"/>
    <m/>
  </r>
  <r>
    <n v="1212"/>
    <n v="37"/>
    <x v="1"/>
    <x v="2"/>
    <x v="12"/>
    <n v="147.46"/>
    <x v="0"/>
    <x v="0"/>
    <n v="3.7"/>
    <n v="14"/>
    <n v="2"/>
    <n v="171.46511627906978"/>
    <n v="24.005116279069767"/>
    <x v="1"/>
    <m/>
  </r>
  <r>
    <n v="1213"/>
    <n v="28"/>
    <x v="0"/>
    <x v="6"/>
    <x v="27"/>
    <n v="68.680000000000007"/>
    <x v="0"/>
    <x v="1"/>
    <n v="3.1"/>
    <n v="18"/>
    <n v="4"/>
    <n v="83.756097560975618"/>
    <n v="15.076097560975612"/>
    <x v="5"/>
    <m/>
  </r>
  <r>
    <n v="1214"/>
    <n v="58"/>
    <x v="0"/>
    <x v="0"/>
    <x v="0"/>
    <n v="118.34"/>
    <x v="3"/>
    <x v="0"/>
    <n v="4.0999999999999996"/>
    <n v="19"/>
    <n v="7"/>
    <n v="146.09876543209876"/>
    <n v="27.758765432098755"/>
    <x v="0"/>
    <m/>
  </r>
  <r>
    <n v="1215"/>
    <n v="60"/>
    <x v="1"/>
    <x v="1"/>
    <x v="9"/>
    <n v="99.54"/>
    <x v="2"/>
    <x v="1"/>
    <n v="3.7"/>
    <n v="12"/>
    <n v="1"/>
    <n v="113.11363636363637"/>
    <n v="13.573636363636368"/>
    <x v="0"/>
    <m/>
  </r>
  <r>
    <n v="1216"/>
    <n v="28"/>
    <x v="1"/>
    <x v="3"/>
    <x v="15"/>
    <n v="206.37"/>
    <x v="3"/>
    <x v="0"/>
    <n v="3.1"/>
    <n v="16"/>
    <n v="8"/>
    <n v="245.67857142857144"/>
    <n v="39.30857142857144"/>
    <x v="5"/>
    <m/>
  </r>
  <r>
    <n v="1217"/>
    <n v="66"/>
    <x v="0"/>
    <x v="8"/>
    <x v="17"/>
    <n v="163.33000000000001"/>
    <x v="1"/>
    <x v="0"/>
    <n v="3"/>
    <n v="12"/>
    <n v="6"/>
    <n v="185.60227272727275"/>
    <n v="22.272272727272735"/>
    <x v="2"/>
    <m/>
  </r>
  <r>
    <n v="1218"/>
    <n v="55"/>
    <x v="1"/>
    <x v="1"/>
    <x v="20"/>
    <n v="162.46"/>
    <x v="2"/>
    <x v="0"/>
    <n v="3.2"/>
    <n v="4"/>
    <n v="2"/>
    <n v="169.22916666666669"/>
    <n v="6.7691666666666777"/>
    <x v="0"/>
    <m/>
  </r>
  <r>
    <n v="1219"/>
    <n v="35"/>
    <x v="0"/>
    <x v="7"/>
    <x v="11"/>
    <n v="242.17"/>
    <x v="0"/>
    <x v="0"/>
    <n v="3.8"/>
    <n v="21"/>
    <n v="8"/>
    <n v="306.54430379746833"/>
    <n v="64.374303797468343"/>
    <x v="1"/>
    <m/>
  </r>
  <r>
    <n v="1220"/>
    <n v="65"/>
    <x v="1"/>
    <x v="2"/>
    <x v="10"/>
    <n v="108.5"/>
    <x v="1"/>
    <x v="0"/>
    <n v="4.4000000000000004"/>
    <n v="14"/>
    <n v="7"/>
    <n v="126.16279069767442"/>
    <n v="17.662790697674424"/>
    <x v="2"/>
    <m/>
  </r>
  <r>
    <n v="1221"/>
    <n v="35"/>
    <x v="0"/>
    <x v="0"/>
    <x v="0"/>
    <n v="82.93"/>
    <x v="0"/>
    <x v="0"/>
    <n v="3.6"/>
    <n v="19"/>
    <n v="7"/>
    <n v="102.38271604938272"/>
    <n v="19.452716049382715"/>
    <x v="1"/>
    <m/>
  </r>
  <r>
    <n v="1222"/>
    <n v="21"/>
    <x v="1"/>
    <x v="5"/>
    <x v="21"/>
    <n v="2122.12"/>
    <x v="0"/>
    <x v="0"/>
    <n v="4.0999999999999996"/>
    <n v="18"/>
    <n v="4"/>
    <n v="2587.9512195121947"/>
    <n v="465.83121951219482"/>
    <x v="3"/>
    <m/>
  </r>
  <r>
    <n v="1223"/>
    <n v="31"/>
    <x v="1"/>
    <x v="3"/>
    <x v="24"/>
    <n v="187.38"/>
    <x v="1"/>
    <x v="0"/>
    <n v="4.0999999999999996"/>
    <n v="18"/>
    <n v="9"/>
    <n v="228.51219512195121"/>
    <n v="41.132195121951213"/>
    <x v="5"/>
    <m/>
  </r>
  <r>
    <n v="1224"/>
    <n v="42"/>
    <x v="1"/>
    <x v="2"/>
    <x v="10"/>
    <n v="157.06"/>
    <x v="2"/>
    <x v="0"/>
    <n v="4.2"/>
    <n v="20"/>
    <n v="5"/>
    <n v="196.32499999999999"/>
    <n v="39.264999999999986"/>
    <x v="1"/>
    <m/>
  </r>
  <r>
    <n v="1225"/>
    <n v="22"/>
    <x v="1"/>
    <x v="5"/>
    <x v="21"/>
    <n v="1708.09"/>
    <x v="1"/>
    <x v="0"/>
    <n v="3.7"/>
    <n v="6"/>
    <n v="3"/>
    <n v="1817.1170212765958"/>
    <n v="109.02702127659586"/>
    <x v="3"/>
    <m/>
  </r>
  <r>
    <n v="1226"/>
    <n v="62"/>
    <x v="0"/>
    <x v="7"/>
    <x v="8"/>
    <n v="156.84"/>
    <x v="2"/>
    <x v="0"/>
    <n v="3.4"/>
    <n v="13"/>
    <n v="4"/>
    <n v="180.27586206896552"/>
    <n v="23.43586206896552"/>
    <x v="0"/>
    <m/>
  </r>
  <r>
    <n v="1227"/>
    <n v="28"/>
    <x v="0"/>
    <x v="8"/>
    <x v="16"/>
    <n v="189.2"/>
    <x v="1"/>
    <x v="0"/>
    <n v="2.9"/>
    <n v="13"/>
    <n v="4"/>
    <n v="217.47126436781608"/>
    <n v="28.271264367816087"/>
    <x v="5"/>
    <m/>
  </r>
  <r>
    <n v="1228"/>
    <n v="33"/>
    <x v="0"/>
    <x v="3"/>
    <x v="3"/>
    <n v="117.64"/>
    <x v="1"/>
    <x v="0"/>
    <n v="3"/>
    <n v="14"/>
    <n v="7"/>
    <n v="136.7906976744186"/>
    <n v="19.150697674418595"/>
    <x v="5"/>
    <m/>
  </r>
  <r>
    <n v="1229"/>
    <n v="36"/>
    <x v="1"/>
    <x v="7"/>
    <x v="11"/>
    <n v="147.47999999999999"/>
    <x v="0"/>
    <x v="0"/>
    <n v="4.3"/>
    <n v="15"/>
    <n v="5"/>
    <n v="173.50588235294117"/>
    <n v="26.025882352941181"/>
    <x v="1"/>
    <m/>
  </r>
  <r>
    <n v="1230"/>
    <n v="28"/>
    <x v="1"/>
    <x v="1"/>
    <x v="14"/>
    <n v="75.040000000000006"/>
    <x v="1"/>
    <x v="1"/>
    <n v="3.8"/>
    <n v="4"/>
    <n v="2"/>
    <n v="78.166666666666671"/>
    <n v="3.1266666666666652"/>
    <x v="5"/>
    <m/>
  </r>
  <r>
    <n v="1231"/>
    <n v="26"/>
    <x v="1"/>
    <x v="1"/>
    <x v="9"/>
    <n v="108.5"/>
    <x v="0"/>
    <x v="0"/>
    <n v="3.7"/>
    <n v="14"/>
    <n v="2"/>
    <n v="126.16279069767442"/>
    <n v="17.662790697674424"/>
    <x v="5"/>
    <m/>
  </r>
  <r>
    <n v="1232"/>
    <n v="55"/>
    <x v="1"/>
    <x v="5"/>
    <x v="21"/>
    <n v="1226.67"/>
    <x v="3"/>
    <x v="0"/>
    <n v="3.4"/>
    <n v="10"/>
    <n v="5"/>
    <n v="1362.9666666666667"/>
    <n v="136.29666666666662"/>
    <x v="0"/>
    <m/>
  </r>
  <r>
    <n v="1233"/>
    <n v="64"/>
    <x v="0"/>
    <x v="7"/>
    <x v="8"/>
    <n v="70.09"/>
    <x v="1"/>
    <x v="1"/>
    <n v="4.3"/>
    <n v="20"/>
    <n v="5"/>
    <n v="87.612499999999997"/>
    <n v="17.522499999999994"/>
    <x v="0"/>
    <m/>
  </r>
  <r>
    <n v="1234"/>
    <n v="51"/>
    <x v="0"/>
    <x v="8"/>
    <x v="17"/>
    <n v="145.44999999999999"/>
    <x v="3"/>
    <x v="0"/>
    <n v="2.6"/>
    <n v="10"/>
    <n v="5"/>
    <n v="161.61111111111109"/>
    <n v="16.161111111111097"/>
    <x v="4"/>
    <m/>
  </r>
  <r>
    <n v="1235"/>
    <n v="37"/>
    <x v="0"/>
    <x v="8"/>
    <x v="14"/>
    <n v="121.42"/>
    <x v="2"/>
    <x v="0"/>
    <n v="4.7"/>
    <n v="8"/>
    <n v="4"/>
    <n v="131.97826086956522"/>
    <n v="10.558260869565217"/>
    <x v="1"/>
    <m/>
  </r>
  <r>
    <n v="1236"/>
    <n v="21"/>
    <x v="1"/>
    <x v="1"/>
    <x v="14"/>
    <n v="129.32"/>
    <x v="2"/>
    <x v="0"/>
    <n v="3.5"/>
    <n v="9"/>
    <n v="2"/>
    <n v="142.1098901098901"/>
    <n v="12.789890109890109"/>
    <x v="3"/>
    <m/>
  </r>
  <r>
    <n v="1237"/>
    <n v="27"/>
    <x v="0"/>
    <x v="8"/>
    <x v="17"/>
    <n v="134.56"/>
    <x v="3"/>
    <x v="0"/>
    <n v="3.9"/>
    <n v="14"/>
    <n v="7"/>
    <n v="156.46511627906978"/>
    <n v="21.905116279069773"/>
    <x v="5"/>
    <m/>
  </r>
  <r>
    <n v="1238"/>
    <n v="28"/>
    <x v="1"/>
    <x v="1"/>
    <x v="14"/>
    <n v="190.96"/>
    <x v="1"/>
    <x v="0"/>
    <n v="5"/>
    <n v="19"/>
    <n v="7"/>
    <n v="235.75308641975309"/>
    <n v="44.793086419753081"/>
    <x v="5"/>
    <m/>
  </r>
  <r>
    <n v="1239"/>
    <n v="56"/>
    <x v="0"/>
    <x v="0"/>
    <x v="28"/>
    <n v="32.97"/>
    <x v="0"/>
    <x v="1"/>
    <n v="5"/>
    <n v="14"/>
    <n v="7"/>
    <n v="38.337209302325583"/>
    <n v="5.367209302325584"/>
    <x v="0"/>
    <m/>
  </r>
  <r>
    <n v="1240"/>
    <n v="25"/>
    <x v="1"/>
    <x v="1"/>
    <x v="14"/>
    <n v="140.93"/>
    <x v="1"/>
    <x v="0"/>
    <n v="3.6"/>
    <n v="8"/>
    <n v="4"/>
    <n v="153.18478260869566"/>
    <n v="12.254782608695649"/>
    <x v="5"/>
    <m/>
  </r>
  <r>
    <n v="1241"/>
    <n v="35"/>
    <x v="0"/>
    <x v="8"/>
    <x v="17"/>
    <n v="96.4"/>
    <x v="0"/>
    <x v="0"/>
    <n v="4.3"/>
    <n v="9"/>
    <n v="2"/>
    <n v="105.93406593406594"/>
    <n v="9.5340659340659357"/>
    <x v="1"/>
    <m/>
  </r>
  <r>
    <n v="1242"/>
    <n v="55"/>
    <x v="0"/>
    <x v="8"/>
    <x v="18"/>
    <n v="136.21"/>
    <x v="0"/>
    <x v="0"/>
    <n v="3"/>
    <n v="12"/>
    <n v="6"/>
    <n v="154.78409090909091"/>
    <n v="18.574090909090899"/>
    <x v="0"/>
    <m/>
  </r>
  <r>
    <n v="1243"/>
    <n v="52"/>
    <x v="0"/>
    <x v="3"/>
    <x v="3"/>
    <n v="44.41"/>
    <x v="1"/>
    <x v="1"/>
    <n v="3"/>
    <n v="11"/>
    <n v="3"/>
    <n v="49.898876404494381"/>
    <n v="5.4888764044943841"/>
    <x v="4"/>
    <m/>
  </r>
  <r>
    <n v="1244"/>
    <n v="67"/>
    <x v="0"/>
    <x v="6"/>
    <x v="6"/>
    <n v="91.85"/>
    <x v="2"/>
    <x v="0"/>
    <n v="3.2"/>
    <n v="10"/>
    <n v="5"/>
    <n v="102.05555555555554"/>
    <n v="10.205555555555549"/>
    <x v="2"/>
    <m/>
  </r>
  <r>
    <n v="1245"/>
    <n v="35"/>
    <x v="1"/>
    <x v="5"/>
    <x v="5"/>
    <n v="2677.54"/>
    <x v="3"/>
    <x v="0"/>
    <n v="4.3"/>
    <n v="28"/>
    <n v="9"/>
    <n v="3718.8055555555557"/>
    <n v="1041.2655555555557"/>
    <x v="1"/>
    <m/>
  </r>
  <r>
    <n v="1246"/>
    <n v="49"/>
    <x v="0"/>
    <x v="6"/>
    <x v="27"/>
    <n v="106.28"/>
    <x v="0"/>
    <x v="0"/>
    <n v="4.4000000000000004"/>
    <n v="12"/>
    <n v="6"/>
    <n v="120.77272727272728"/>
    <n v="14.492727272727279"/>
    <x v="4"/>
    <m/>
  </r>
  <r>
    <n v="1247"/>
    <n v="64"/>
    <x v="1"/>
    <x v="5"/>
    <x v="7"/>
    <n v="2907.6"/>
    <x v="1"/>
    <x v="0"/>
    <n v="4.5"/>
    <n v="16"/>
    <n v="3"/>
    <n v="3461.4285714285716"/>
    <n v="553.82857142857165"/>
    <x v="0"/>
    <m/>
  </r>
  <r>
    <n v="1248"/>
    <n v="20"/>
    <x v="1"/>
    <x v="7"/>
    <x v="8"/>
    <n v="176.9"/>
    <x v="0"/>
    <x v="0"/>
    <n v="3.9"/>
    <n v="15"/>
    <n v="5"/>
    <n v="208.11764705882354"/>
    <n v="31.21764705882353"/>
    <x v="3"/>
    <m/>
  </r>
  <r>
    <n v="1249"/>
    <n v="52"/>
    <x v="0"/>
    <x v="8"/>
    <x v="18"/>
    <n v="89.05"/>
    <x v="2"/>
    <x v="1"/>
    <n v="3.7"/>
    <n v="7"/>
    <n v="1"/>
    <n v="95.752688172043008"/>
    <n v="6.7026881720430111"/>
    <x v="4"/>
    <m/>
  </r>
  <r>
    <n v="1250"/>
    <n v="37"/>
    <x v="1"/>
    <x v="4"/>
    <x v="26"/>
    <n v="57.93"/>
    <x v="1"/>
    <x v="0"/>
    <n v="2.7"/>
    <n v="4"/>
    <n v="2"/>
    <n v="60.34375"/>
    <n v="2.4137500000000003"/>
    <x v="1"/>
    <m/>
  </r>
  <r>
    <n v="1251"/>
    <n v="44"/>
    <x v="0"/>
    <x v="0"/>
    <x v="22"/>
    <n v="22.1"/>
    <x v="1"/>
    <x v="1"/>
    <n v="4.2"/>
    <n v="12"/>
    <n v="6"/>
    <n v="25.113636363636367"/>
    <n v="3.0136363636363654"/>
    <x v="1"/>
    <m/>
  </r>
  <r>
    <n v="1252"/>
    <n v="66"/>
    <x v="1"/>
    <x v="2"/>
    <x v="10"/>
    <n v="81.13"/>
    <x v="0"/>
    <x v="1"/>
    <n v="3.3"/>
    <n v="9"/>
    <n v="2"/>
    <n v="89.153846153846146"/>
    <n v="8.0238461538461507"/>
    <x v="2"/>
    <m/>
  </r>
  <r>
    <n v="1253"/>
    <n v="28"/>
    <x v="0"/>
    <x v="0"/>
    <x v="28"/>
    <n v="165.53"/>
    <x v="0"/>
    <x v="0"/>
    <n v="5"/>
    <n v="15"/>
    <n v="5"/>
    <n v="194.74117647058824"/>
    <n v="29.211176470588242"/>
    <x v="5"/>
    <m/>
  </r>
  <r>
    <n v="1254"/>
    <n v="30"/>
    <x v="1"/>
    <x v="7"/>
    <x v="13"/>
    <n v="222.83"/>
    <x v="1"/>
    <x v="0"/>
    <n v="3.8"/>
    <n v="6"/>
    <n v="3"/>
    <n v="237.05319148936172"/>
    <n v="14.22319148936171"/>
    <x v="5"/>
    <m/>
  </r>
  <r>
    <n v="1255"/>
    <n v="70"/>
    <x v="1"/>
    <x v="5"/>
    <x v="21"/>
    <n v="2919.39"/>
    <x v="2"/>
    <x v="0"/>
    <n v="3.5"/>
    <n v="13"/>
    <n v="4"/>
    <n v="3355.6206896551721"/>
    <n v="436.23068965517223"/>
    <x v="2"/>
    <m/>
  </r>
  <r>
    <n v="1256"/>
    <n v="44"/>
    <x v="0"/>
    <x v="6"/>
    <x v="27"/>
    <n v="143.9"/>
    <x v="1"/>
    <x v="0"/>
    <n v="4.7"/>
    <n v="26"/>
    <n v="8"/>
    <n v="194.45945945945948"/>
    <n v="50.559459459459475"/>
    <x v="1"/>
    <m/>
  </r>
  <r>
    <n v="1257"/>
    <n v="45"/>
    <x v="0"/>
    <x v="6"/>
    <x v="6"/>
    <n v="85.13"/>
    <x v="0"/>
    <x v="1"/>
    <n v="3.4"/>
    <n v="10"/>
    <n v="5"/>
    <n v="94.588888888888889"/>
    <n v="9.4588888888888931"/>
    <x v="4"/>
    <m/>
  </r>
  <r>
    <n v="1258"/>
    <n v="41"/>
    <x v="1"/>
    <x v="4"/>
    <x v="26"/>
    <n v="8.8699999999999992"/>
    <x v="2"/>
    <x v="0"/>
    <n v="4.4000000000000004"/>
    <n v="16"/>
    <n v="3"/>
    <n v="10.559523809523808"/>
    <n v="1.6895238095238092"/>
    <x v="1"/>
    <m/>
  </r>
  <r>
    <n v="1259"/>
    <n v="42"/>
    <x v="1"/>
    <x v="7"/>
    <x v="13"/>
    <n v="166.69"/>
    <x v="0"/>
    <x v="0"/>
    <n v="2.8"/>
    <n v="6"/>
    <n v="3"/>
    <n v="177.32978723404256"/>
    <n v="10.639787234042558"/>
    <x v="1"/>
    <m/>
  </r>
  <r>
    <n v="1260"/>
    <n v="51"/>
    <x v="1"/>
    <x v="7"/>
    <x v="8"/>
    <n v="195.92"/>
    <x v="1"/>
    <x v="0"/>
    <n v="2.8"/>
    <n v="19"/>
    <n v="7"/>
    <n v="241.8765432098765"/>
    <n v="45.956543209876514"/>
    <x v="4"/>
    <m/>
  </r>
  <r>
    <n v="1261"/>
    <n v="59"/>
    <x v="1"/>
    <x v="1"/>
    <x v="14"/>
    <n v="165.21"/>
    <x v="1"/>
    <x v="0"/>
    <n v="3.8"/>
    <n v="14"/>
    <n v="7"/>
    <n v="192.1046511627907"/>
    <n v="26.894651162790694"/>
    <x v="0"/>
    <m/>
  </r>
  <r>
    <n v="1262"/>
    <n v="58"/>
    <x v="1"/>
    <x v="5"/>
    <x v="7"/>
    <n v="500.44"/>
    <x v="3"/>
    <x v="0"/>
    <n v="4.4000000000000004"/>
    <n v="16"/>
    <n v="3"/>
    <n v="595.76190476190482"/>
    <n v="95.321904761904818"/>
    <x v="0"/>
    <m/>
  </r>
  <r>
    <n v="1263"/>
    <n v="56"/>
    <x v="1"/>
    <x v="2"/>
    <x v="10"/>
    <n v="95.43"/>
    <x v="1"/>
    <x v="1"/>
    <n v="4"/>
    <n v="6"/>
    <n v="3"/>
    <n v="101.52127659574469"/>
    <n v="6.0912765957446879"/>
    <x v="0"/>
    <m/>
  </r>
  <r>
    <n v="1264"/>
    <n v="52"/>
    <x v="1"/>
    <x v="5"/>
    <x v="7"/>
    <n v="2764.97"/>
    <x v="2"/>
    <x v="0"/>
    <n v="2.7"/>
    <n v="9"/>
    <n v="2"/>
    <n v="3038.4285714285711"/>
    <n v="273.4585714285713"/>
    <x v="4"/>
    <m/>
  </r>
  <r>
    <n v="1265"/>
    <n v="41"/>
    <x v="1"/>
    <x v="4"/>
    <x v="26"/>
    <n v="60.98"/>
    <x v="1"/>
    <x v="0"/>
    <n v="2.8"/>
    <n v="14"/>
    <n v="7"/>
    <n v="70.906976744186039"/>
    <n v="9.9269767441860424"/>
    <x v="1"/>
    <m/>
  </r>
  <r>
    <n v="1266"/>
    <n v="37"/>
    <x v="1"/>
    <x v="5"/>
    <x v="7"/>
    <n v="943.53"/>
    <x v="1"/>
    <x v="0"/>
    <n v="4.7"/>
    <n v="2"/>
    <n v="1"/>
    <n v="962.78571428571422"/>
    <n v="19.255714285714248"/>
    <x v="1"/>
    <m/>
  </r>
  <r>
    <n v="1267"/>
    <n v="51"/>
    <x v="1"/>
    <x v="2"/>
    <x v="10"/>
    <n v="246.18"/>
    <x v="1"/>
    <x v="0"/>
    <n v="3.6"/>
    <n v="8"/>
    <n v="4"/>
    <n v="267.58695652173913"/>
    <n v="21.406956521739119"/>
    <x v="4"/>
    <m/>
  </r>
  <r>
    <n v="1268"/>
    <n v="65"/>
    <x v="1"/>
    <x v="5"/>
    <x v="25"/>
    <n v="1135.9000000000001"/>
    <x v="2"/>
    <x v="0"/>
    <n v="3.5"/>
    <n v="13"/>
    <n v="4"/>
    <n v="1305.632183908046"/>
    <n v="169.73218390804595"/>
    <x v="2"/>
    <m/>
  </r>
  <r>
    <n v="1269"/>
    <n v="45"/>
    <x v="1"/>
    <x v="5"/>
    <x v="25"/>
    <n v="1704.22"/>
    <x v="3"/>
    <x v="0"/>
    <n v="4.0999999999999996"/>
    <n v="15"/>
    <n v="5"/>
    <n v="2004.964705882353"/>
    <n v="300.74470588235295"/>
    <x v="4"/>
    <m/>
  </r>
  <r>
    <n v="1270"/>
    <n v="23"/>
    <x v="1"/>
    <x v="7"/>
    <x v="8"/>
    <n v="92.79"/>
    <x v="0"/>
    <x v="0"/>
    <n v="4.9000000000000004"/>
    <n v="13"/>
    <n v="4"/>
    <n v="106.65517241379311"/>
    <n v="13.865172413793104"/>
    <x v="3"/>
    <m/>
  </r>
  <r>
    <n v="1271"/>
    <n v="55"/>
    <x v="1"/>
    <x v="1"/>
    <x v="14"/>
    <n v="165.27"/>
    <x v="1"/>
    <x v="0"/>
    <n v="3.5"/>
    <n v="17"/>
    <n v="6"/>
    <n v="199.12048192771087"/>
    <n v="33.85048192771086"/>
    <x v="0"/>
    <m/>
  </r>
  <r>
    <n v="1272"/>
    <n v="45"/>
    <x v="0"/>
    <x v="6"/>
    <x v="23"/>
    <n v="72.319999999999993"/>
    <x v="3"/>
    <x v="1"/>
    <n v="3.4"/>
    <n v="17"/>
    <n v="6"/>
    <n v="87.132530120481917"/>
    <n v="14.812530120481924"/>
    <x v="4"/>
    <m/>
  </r>
  <r>
    <n v="1273"/>
    <n v="55"/>
    <x v="1"/>
    <x v="5"/>
    <x v="25"/>
    <n v="1843.01"/>
    <x v="1"/>
    <x v="0"/>
    <n v="2.9"/>
    <n v="20"/>
    <n v="10"/>
    <n v="2303.7624999999998"/>
    <n v="460.75249999999983"/>
    <x v="0"/>
    <m/>
  </r>
  <r>
    <n v="1274"/>
    <n v="45"/>
    <x v="1"/>
    <x v="2"/>
    <x v="2"/>
    <n v="40.4"/>
    <x v="3"/>
    <x v="0"/>
    <n v="3.3"/>
    <n v="10"/>
    <n v="5"/>
    <n v="44.888888888888886"/>
    <n v="4.4888888888888872"/>
    <x v="4"/>
    <m/>
  </r>
  <r>
    <n v="1275"/>
    <n v="29"/>
    <x v="1"/>
    <x v="2"/>
    <x v="10"/>
    <n v="80.31"/>
    <x v="2"/>
    <x v="1"/>
    <n v="4.3"/>
    <n v="11"/>
    <n v="3"/>
    <n v="90.235955056179776"/>
    <n v="9.9259550561797738"/>
    <x v="5"/>
    <m/>
  </r>
  <r>
    <n v="1276"/>
    <n v="27"/>
    <x v="0"/>
    <x v="7"/>
    <x v="11"/>
    <n v="197.36"/>
    <x v="0"/>
    <x v="0"/>
    <n v="3.5"/>
    <n v="16"/>
    <n v="3"/>
    <n v="234.95238095238096"/>
    <n v="37.59238095238095"/>
    <x v="5"/>
    <m/>
  </r>
  <r>
    <n v="1277"/>
    <n v="22"/>
    <x v="1"/>
    <x v="7"/>
    <x v="11"/>
    <n v="153.96"/>
    <x v="1"/>
    <x v="0"/>
    <n v="4.7"/>
    <n v="11"/>
    <n v="3"/>
    <n v="172.98876404494382"/>
    <n v="19.028764044943813"/>
    <x v="3"/>
    <m/>
  </r>
  <r>
    <n v="1278"/>
    <n v="55"/>
    <x v="1"/>
    <x v="7"/>
    <x v="11"/>
    <n v="46.48"/>
    <x v="3"/>
    <x v="1"/>
    <n v="3.1"/>
    <n v="6"/>
    <n v="3"/>
    <n v="49.446808510638299"/>
    <n v="2.9668085106383018"/>
    <x v="0"/>
    <m/>
  </r>
  <r>
    <n v="1279"/>
    <n v="40"/>
    <x v="1"/>
    <x v="3"/>
    <x v="24"/>
    <n v="129.11000000000001"/>
    <x v="3"/>
    <x v="0"/>
    <n v="3.1"/>
    <n v="20"/>
    <n v="5"/>
    <n v="161.38750000000002"/>
    <n v="32.277500000000003"/>
    <x v="1"/>
    <m/>
  </r>
  <r>
    <n v="1280"/>
    <n v="63"/>
    <x v="1"/>
    <x v="2"/>
    <x v="10"/>
    <n v="130.97999999999999"/>
    <x v="3"/>
    <x v="0"/>
    <n v="3.3"/>
    <n v="10"/>
    <n v="5"/>
    <n v="145.53333333333333"/>
    <n v="14.553333333333342"/>
    <x v="0"/>
    <m/>
  </r>
  <r>
    <n v="1281"/>
    <n v="43"/>
    <x v="1"/>
    <x v="2"/>
    <x v="12"/>
    <n v="116.56"/>
    <x v="3"/>
    <x v="0"/>
    <n v="3.1"/>
    <n v="25"/>
    <n v="10"/>
    <n v="155.41333333333333"/>
    <n v="38.853333333333325"/>
    <x v="1"/>
    <m/>
  </r>
  <r>
    <n v="1282"/>
    <n v="34"/>
    <x v="1"/>
    <x v="5"/>
    <x v="25"/>
    <n v="1105.45"/>
    <x v="2"/>
    <x v="0"/>
    <n v="5"/>
    <n v="24"/>
    <n v="7"/>
    <n v="1454.5394736842106"/>
    <n v="349.08947368421059"/>
    <x v="5"/>
    <m/>
  </r>
  <r>
    <n v="1283"/>
    <n v="46"/>
    <x v="1"/>
    <x v="7"/>
    <x v="13"/>
    <n v="192.39"/>
    <x v="0"/>
    <x v="0"/>
    <n v="3.9"/>
    <n v="9"/>
    <n v="2"/>
    <n v="211.41758241758239"/>
    <n v="19.027582417582408"/>
    <x v="4"/>
    <m/>
  </r>
  <r>
    <n v="1284"/>
    <n v="51"/>
    <x v="0"/>
    <x v="8"/>
    <x v="18"/>
    <n v="184.44"/>
    <x v="1"/>
    <x v="0"/>
    <n v="3.6"/>
    <n v="15"/>
    <n v="5"/>
    <n v="216.98823529411766"/>
    <n v="32.54823529411766"/>
    <x v="4"/>
    <m/>
  </r>
  <r>
    <n v="1285"/>
    <n v="25"/>
    <x v="1"/>
    <x v="3"/>
    <x v="24"/>
    <n v="227.36"/>
    <x v="1"/>
    <x v="0"/>
    <n v="3.2"/>
    <n v="15"/>
    <n v="5"/>
    <n v="267.48235294117649"/>
    <n v="40.122352941176473"/>
    <x v="5"/>
    <m/>
  </r>
  <r>
    <n v="1286"/>
    <n v="55"/>
    <x v="1"/>
    <x v="1"/>
    <x v="20"/>
    <n v="91.95"/>
    <x v="3"/>
    <x v="0"/>
    <n v="4.0999999999999996"/>
    <n v="20"/>
    <n v="5"/>
    <n v="114.9375"/>
    <n v="22.987499999999997"/>
    <x v="0"/>
    <m/>
  </r>
  <r>
    <n v="1287"/>
    <n v="40"/>
    <x v="0"/>
    <x v="2"/>
    <x v="12"/>
    <n v="71.11"/>
    <x v="2"/>
    <x v="1"/>
    <n v="4.5999999999999996"/>
    <n v="18"/>
    <n v="4"/>
    <n v="86.719512195121951"/>
    <n v="15.609512195121951"/>
    <x v="1"/>
    <m/>
  </r>
  <r>
    <n v="1288"/>
    <n v="36"/>
    <x v="1"/>
    <x v="7"/>
    <x v="8"/>
    <n v="114.22"/>
    <x v="0"/>
    <x v="0"/>
    <n v="3.9"/>
    <n v="22"/>
    <n v="6"/>
    <n v="146.43589743589743"/>
    <n v="32.215897435897432"/>
    <x v="1"/>
    <m/>
  </r>
  <r>
    <n v="1289"/>
    <n v="70"/>
    <x v="0"/>
    <x v="6"/>
    <x v="27"/>
    <n v="104.25"/>
    <x v="2"/>
    <x v="0"/>
    <n v="3.9"/>
    <n v="10"/>
    <n v="5"/>
    <n v="115.83333333333333"/>
    <n v="11.583333333333329"/>
    <x v="2"/>
    <m/>
  </r>
  <r>
    <n v="1290"/>
    <n v="20"/>
    <x v="0"/>
    <x v="8"/>
    <x v="16"/>
    <n v="151.63"/>
    <x v="2"/>
    <x v="0"/>
    <n v="2"/>
    <n v="12"/>
    <n v="6"/>
    <n v="172.30681818181819"/>
    <n v="20.676818181818192"/>
    <x v="3"/>
    <m/>
  </r>
  <r>
    <n v="1291"/>
    <n v="35"/>
    <x v="1"/>
    <x v="2"/>
    <x v="12"/>
    <n v="113.99"/>
    <x v="3"/>
    <x v="0"/>
    <n v="3.3"/>
    <n v="8"/>
    <n v="4"/>
    <n v="123.90217391304347"/>
    <n v="9.9121739130434747"/>
    <x v="1"/>
    <m/>
  </r>
  <r>
    <n v="1292"/>
    <n v="37"/>
    <x v="0"/>
    <x v="7"/>
    <x v="11"/>
    <n v="149.77000000000001"/>
    <x v="1"/>
    <x v="0"/>
    <n v="4"/>
    <n v="25"/>
    <n v="10"/>
    <n v="199.69333333333336"/>
    <n v="49.923333333333346"/>
    <x v="1"/>
    <m/>
  </r>
  <r>
    <n v="1293"/>
    <n v="35"/>
    <x v="0"/>
    <x v="2"/>
    <x v="2"/>
    <n v="149.11000000000001"/>
    <x v="1"/>
    <x v="0"/>
    <n v="3.1"/>
    <n v="14"/>
    <n v="7"/>
    <n v="173.38372093023258"/>
    <n v="24.273720930232571"/>
    <x v="1"/>
    <m/>
  </r>
  <r>
    <n v="1294"/>
    <n v="47"/>
    <x v="0"/>
    <x v="0"/>
    <x v="28"/>
    <n v="44.02"/>
    <x v="0"/>
    <x v="1"/>
    <n v="4.4000000000000004"/>
    <n v="6"/>
    <n v="3"/>
    <n v="46.829787234042563"/>
    <n v="2.8097872340425596"/>
    <x v="4"/>
    <m/>
  </r>
  <r>
    <n v="1295"/>
    <n v="60"/>
    <x v="1"/>
    <x v="1"/>
    <x v="20"/>
    <n v="42.96"/>
    <x v="1"/>
    <x v="0"/>
    <n v="5"/>
    <n v="25"/>
    <n v="10"/>
    <n v="57.28"/>
    <n v="14.32"/>
    <x v="0"/>
    <m/>
  </r>
  <r>
    <n v="1296"/>
    <n v="55"/>
    <x v="0"/>
    <x v="8"/>
    <x v="18"/>
    <n v="186.61"/>
    <x v="3"/>
    <x v="0"/>
    <n v="3.2"/>
    <n v="14"/>
    <n v="7"/>
    <n v="216.98837209302329"/>
    <n v="30.378372093023273"/>
    <x v="0"/>
    <m/>
  </r>
  <r>
    <n v="1297"/>
    <n v="36"/>
    <x v="1"/>
    <x v="4"/>
    <x v="19"/>
    <n v="20.05"/>
    <x v="1"/>
    <x v="1"/>
    <n v="3.9"/>
    <n v="13"/>
    <n v="4"/>
    <n v="23.045977011494255"/>
    <n v="2.9959770114942543"/>
    <x v="1"/>
    <m/>
  </r>
  <r>
    <n v="1298"/>
    <n v="31"/>
    <x v="1"/>
    <x v="5"/>
    <x v="21"/>
    <n v="2520.3000000000002"/>
    <x v="3"/>
    <x v="0"/>
    <n v="2.7"/>
    <n v="14"/>
    <n v="7"/>
    <n v="2930.5813953488373"/>
    <n v="410.28139534883712"/>
    <x v="5"/>
    <m/>
  </r>
  <r>
    <n v="1299"/>
    <n v="51"/>
    <x v="0"/>
    <x v="8"/>
    <x v="18"/>
    <n v="119.82"/>
    <x v="2"/>
    <x v="0"/>
    <n v="4.3"/>
    <n v="21"/>
    <n v="8"/>
    <n v="151.67088607594934"/>
    <n v="31.850886075949347"/>
    <x v="4"/>
    <m/>
  </r>
  <r>
    <n v="1300"/>
    <n v="62"/>
    <x v="1"/>
    <x v="7"/>
    <x v="8"/>
    <n v="144.66999999999999"/>
    <x v="0"/>
    <x v="0"/>
    <n v="3.7"/>
    <n v="14"/>
    <n v="7"/>
    <n v="168.22093023255812"/>
    <n v="23.55093023255813"/>
    <x v="0"/>
    <m/>
  </r>
  <r>
    <n v="1301"/>
    <n v="29"/>
    <x v="0"/>
    <x v="6"/>
    <x v="6"/>
    <n v="38.64"/>
    <x v="0"/>
    <x v="1"/>
    <n v="4"/>
    <n v="16"/>
    <n v="3"/>
    <n v="46"/>
    <n v="7.3599999999999994"/>
    <x v="5"/>
    <m/>
  </r>
  <r>
    <n v="1302"/>
    <n v="28"/>
    <x v="1"/>
    <x v="2"/>
    <x v="2"/>
    <n v="64.16"/>
    <x v="2"/>
    <x v="1"/>
    <n v="3.7"/>
    <n v="28"/>
    <n v="9"/>
    <n v="89.111111111111114"/>
    <n v="24.951111111111118"/>
    <x v="5"/>
    <m/>
  </r>
  <r>
    <n v="1303"/>
    <n v="35"/>
    <x v="1"/>
    <x v="2"/>
    <x v="10"/>
    <n v="238.78"/>
    <x v="3"/>
    <x v="0"/>
    <n v="3.8"/>
    <n v="9"/>
    <n v="2"/>
    <n v="262.39560439560438"/>
    <n v="23.615604395604379"/>
    <x v="1"/>
    <m/>
  </r>
  <r>
    <n v="1304"/>
    <n v="34"/>
    <x v="0"/>
    <x v="0"/>
    <x v="22"/>
    <n v="159.38999999999999"/>
    <x v="1"/>
    <x v="0"/>
    <n v="3"/>
    <n v="6"/>
    <n v="3"/>
    <n v="169.56382978723403"/>
    <n v="10.173829787234041"/>
    <x v="5"/>
    <m/>
  </r>
  <r>
    <n v="1305"/>
    <n v="22"/>
    <x v="0"/>
    <x v="4"/>
    <x v="26"/>
    <n v="60.87"/>
    <x v="2"/>
    <x v="0"/>
    <n v="3.6"/>
    <n v="14"/>
    <n v="7"/>
    <n v="70.779069767441854"/>
    <n v="9.9090697674418564"/>
    <x v="3"/>
    <m/>
  </r>
  <r>
    <n v="1306"/>
    <n v="70"/>
    <x v="1"/>
    <x v="7"/>
    <x v="8"/>
    <n v="61.28"/>
    <x v="3"/>
    <x v="0"/>
    <n v="4.5999999999999996"/>
    <n v="14"/>
    <n v="7"/>
    <n v="71.255813953488371"/>
    <n v="9.9758139534883696"/>
    <x v="2"/>
    <m/>
  </r>
  <r>
    <n v="1307"/>
    <n v="42"/>
    <x v="1"/>
    <x v="7"/>
    <x v="11"/>
    <n v="219.14"/>
    <x v="2"/>
    <x v="0"/>
    <n v="4.2"/>
    <n v="18"/>
    <n v="4"/>
    <n v="267.24390243902434"/>
    <n v="48.103902439024353"/>
    <x v="1"/>
    <m/>
  </r>
  <r>
    <n v="1308"/>
    <n v="22"/>
    <x v="0"/>
    <x v="8"/>
    <x v="16"/>
    <n v="125.23"/>
    <x v="2"/>
    <x v="0"/>
    <n v="4.8"/>
    <n v="13"/>
    <n v="4"/>
    <n v="143.94252873563218"/>
    <n v="18.712528735632176"/>
    <x v="3"/>
    <m/>
  </r>
  <r>
    <n v="1309"/>
    <n v="39"/>
    <x v="0"/>
    <x v="0"/>
    <x v="28"/>
    <n v="77.930000000000007"/>
    <x v="3"/>
    <x v="0"/>
    <n v="3.5"/>
    <n v="10"/>
    <n v="5"/>
    <n v="86.588888888888889"/>
    <n v="8.6588888888888818"/>
    <x v="1"/>
    <m/>
  </r>
  <r>
    <n v="1310"/>
    <n v="48"/>
    <x v="1"/>
    <x v="5"/>
    <x v="7"/>
    <n v="579.51"/>
    <x v="1"/>
    <x v="0"/>
    <n v="2.5"/>
    <n v="11"/>
    <n v="3"/>
    <n v="651.13483146067415"/>
    <n v="71.624831460674159"/>
    <x v="4"/>
    <m/>
  </r>
  <r>
    <n v="1311"/>
    <n v="58"/>
    <x v="1"/>
    <x v="1"/>
    <x v="20"/>
    <n v="142.47"/>
    <x v="1"/>
    <x v="0"/>
    <n v="3.5"/>
    <n v="20"/>
    <n v="5"/>
    <n v="178.08749999999998"/>
    <n v="35.617499999999978"/>
    <x v="0"/>
    <m/>
  </r>
  <r>
    <n v="1312"/>
    <n v="21"/>
    <x v="1"/>
    <x v="2"/>
    <x v="10"/>
    <n v="34.03"/>
    <x v="3"/>
    <x v="1"/>
    <n v="3.3"/>
    <n v="6"/>
    <n v="3"/>
    <n v="36.202127659574472"/>
    <n v="2.1721276595744712"/>
    <x v="3"/>
    <m/>
  </r>
  <r>
    <n v="1313"/>
    <n v="56"/>
    <x v="1"/>
    <x v="1"/>
    <x v="14"/>
    <n v="191.15"/>
    <x v="3"/>
    <x v="0"/>
    <n v="3.2"/>
    <n v="30"/>
    <n v="10"/>
    <n v="273.07142857142861"/>
    <n v="81.921428571428606"/>
    <x v="0"/>
    <m/>
  </r>
  <r>
    <n v="1314"/>
    <n v="57"/>
    <x v="0"/>
    <x v="4"/>
    <x v="26"/>
    <n v="57.36"/>
    <x v="3"/>
    <x v="0"/>
    <n v="3.8"/>
    <n v="20"/>
    <n v="5"/>
    <n v="71.699999999999989"/>
    <n v="14.339999999999989"/>
    <x v="0"/>
    <m/>
  </r>
  <r>
    <n v="1315"/>
    <n v="40"/>
    <x v="1"/>
    <x v="2"/>
    <x v="10"/>
    <n v="235.9"/>
    <x v="0"/>
    <x v="0"/>
    <n v="3.5"/>
    <n v="13"/>
    <n v="4"/>
    <n v="271.14942528735634"/>
    <n v="35.249425287356331"/>
    <x v="1"/>
    <m/>
  </r>
  <r>
    <n v="1316"/>
    <n v="53"/>
    <x v="1"/>
    <x v="5"/>
    <x v="7"/>
    <n v="1327.45"/>
    <x v="3"/>
    <x v="0"/>
    <n v="3.9"/>
    <n v="6"/>
    <n v="3"/>
    <n v="1412.18085106383"/>
    <n v="84.730851063829959"/>
    <x v="4"/>
    <m/>
  </r>
  <r>
    <n v="1317"/>
    <n v="69"/>
    <x v="1"/>
    <x v="3"/>
    <x v="24"/>
    <n v="120.8"/>
    <x v="1"/>
    <x v="0"/>
    <n v="4.8"/>
    <n v="20"/>
    <n v="5"/>
    <n v="151"/>
    <n v="30.200000000000003"/>
    <x v="2"/>
    <m/>
  </r>
  <r>
    <n v="1318"/>
    <n v="30"/>
    <x v="1"/>
    <x v="5"/>
    <x v="21"/>
    <n v="2944.78"/>
    <x v="1"/>
    <x v="0"/>
    <n v="4"/>
    <n v="23"/>
    <n v="9"/>
    <n v="3824.3896103896104"/>
    <n v="879.60961038961022"/>
    <x v="5"/>
    <m/>
  </r>
  <r>
    <n v="1319"/>
    <n v="52"/>
    <x v="0"/>
    <x v="6"/>
    <x v="27"/>
    <n v="105.98"/>
    <x v="1"/>
    <x v="0"/>
    <n v="3.9"/>
    <n v="19"/>
    <n v="7"/>
    <n v="130.83950617283949"/>
    <n v="24.859506172839488"/>
    <x v="4"/>
    <m/>
  </r>
  <r>
    <n v="1320"/>
    <n v="24"/>
    <x v="1"/>
    <x v="2"/>
    <x v="2"/>
    <n v="71.53"/>
    <x v="0"/>
    <x v="0"/>
    <n v="4"/>
    <n v="11"/>
    <n v="3"/>
    <n v="80.370786516853926"/>
    <n v="8.8407865168539246"/>
    <x v="3"/>
    <m/>
  </r>
  <r>
    <n v="1321"/>
    <n v="51"/>
    <x v="0"/>
    <x v="6"/>
    <x v="27"/>
    <n v="30.99"/>
    <x v="3"/>
    <x v="1"/>
    <n v="3.4"/>
    <n v="8"/>
    <n v="4"/>
    <n v="33.684782608695649"/>
    <n v="2.6947826086956503"/>
    <x v="4"/>
    <m/>
  </r>
  <r>
    <n v="1322"/>
    <n v="50"/>
    <x v="0"/>
    <x v="6"/>
    <x v="23"/>
    <n v="53.04"/>
    <x v="3"/>
    <x v="1"/>
    <n v="3.7"/>
    <n v="10"/>
    <n v="0"/>
    <n v="58.93333333333333"/>
    <n v="5.8933333333333309"/>
    <x v="4"/>
    <m/>
  </r>
  <r>
    <n v="1323"/>
    <n v="52"/>
    <x v="0"/>
    <x v="6"/>
    <x v="27"/>
    <n v="50.77"/>
    <x v="2"/>
    <x v="1"/>
    <n v="4.4000000000000004"/>
    <n v="12"/>
    <n v="6"/>
    <n v="57.69318181818182"/>
    <n v="6.923181818181817"/>
    <x v="4"/>
    <m/>
  </r>
  <r>
    <n v="1324"/>
    <n v="23"/>
    <x v="0"/>
    <x v="6"/>
    <x v="27"/>
    <n v="25.79"/>
    <x v="0"/>
    <x v="0"/>
    <n v="4.5999999999999996"/>
    <n v="16"/>
    <n v="8"/>
    <n v="30.702380952380953"/>
    <n v="4.9123809523809534"/>
    <x v="3"/>
    <m/>
  </r>
  <r>
    <n v="1325"/>
    <n v="64"/>
    <x v="1"/>
    <x v="2"/>
    <x v="12"/>
    <n v="194.44"/>
    <x v="2"/>
    <x v="0"/>
    <n v="4.3"/>
    <n v="30"/>
    <n v="10"/>
    <n v="277.7714285714286"/>
    <n v="83.331428571428603"/>
    <x v="0"/>
    <m/>
  </r>
  <r>
    <n v="1326"/>
    <n v="25"/>
    <x v="0"/>
    <x v="7"/>
    <x v="8"/>
    <n v="160.51"/>
    <x v="3"/>
    <x v="0"/>
    <n v="3.4"/>
    <n v="15"/>
    <n v="5"/>
    <n v="188.83529411764707"/>
    <n v="28.325294117647076"/>
    <x v="5"/>
    <m/>
  </r>
  <r>
    <n v="1327"/>
    <n v="67"/>
    <x v="1"/>
    <x v="2"/>
    <x v="10"/>
    <n v="36.44"/>
    <x v="1"/>
    <x v="0"/>
    <n v="3"/>
    <n v="13"/>
    <n v="4"/>
    <n v="41.885057471264368"/>
    <n v="5.44505747126437"/>
    <x v="2"/>
    <m/>
  </r>
  <r>
    <n v="1328"/>
    <n v="57"/>
    <x v="0"/>
    <x v="0"/>
    <x v="22"/>
    <n v="80.59"/>
    <x v="3"/>
    <x v="1"/>
    <n v="3.1"/>
    <n v="16"/>
    <n v="3"/>
    <n v="95.940476190476204"/>
    <n v="15.350476190476201"/>
    <x v="0"/>
    <m/>
  </r>
  <r>
    <n v="1329"/>
    <n v="36"/>
    <x v="0"/>
    <x v="8"/>
    <x v="16"/>
    <n v="194.05"/>
    <x v="2"/>
    <x v="0"/>
    <n v="3.3"/>
    <n v="8"/>
    <n v="4"/>
    <n v="210.92391304347825"/>
    <n v="16.87391304347824"/>
    <x v="1"/>
    <m/>
  </r>
  <r>
    <n v="1330"/>
    <n v="62"/>
    <x v="1"/>
    <x v="1"/>
    <x v="1"/>
    <n v="143.18"/>
    <x v="1"/>
    <x v="0"/>
    <n v="2.8"/>
    <n v="24"/>
    <n v="7"/>
    <n v="188.39473684210526"/>
    <n v="45.214736842105253"/>
    <x v="0"/>
    <m/>
  </r>
  <r>
    <n v="1331"/>
    <n v="47"/>
    <x v="1"/>
    <x v="5"/>
    <x v="5"/>
    <n v="1170.3699999999999"/>
    <x v="0"/>
    <x v="0"/>
    <n v="3.4"/>
    <n v="16"/>
    <n v="3"/>
    <n v="1393.297619047619"/>
    <n v="222.92761904761915"/>
    <x v="4"/>
    <m/>
  </r>
  <r>
    <n v="1332"/>
    <n v="25"/>
    <x v="0"/>
    <x v="8"/>
    <x v="18"/>
    <n v="164.39"/>
    <x v="2"/>
    <x v="0"/>
    <n v="3.6"/>
    <n v="18"/>
    <n v="4"/>
    <n v="200.47560975609753"/>
    <n v="36.08560975609754"/>
    <x v="5"/>
    <m/>
  </r>
  <r>
    <n v="1333"/>
    <n v="56"/>
    <x v="1"/>
    <x v="2"/>
    <x v="10"/>
    <n v="52.53"/>
    <x v="3"/>
    <x v="1"/>
    <n v="3.1"/>
    <n v="14"/>
    <n v="2"/>
    <n v="61.081395348837212"/>
    <n v="8.551395348837211"/>
    <x v="0"/>
    <m/>
  </r>
  <r>
    <n v="1334"/>
    <n v="55"/>
    <x v="0"/>
    <x v="7"/>
    <x v="11"/>
    <n v="46.45"/>
    <x v="2"/>
    <x v="0"/>
    <n v="4.9000000000000004"/>
    <n v="16"/>
    <n v="8"/>
    <n v="55.297619047619051"/>
    <n v="8.8476190476190482"/>
    <x v="0"/>
    <m/>
  </r>
  <r>
    <n v="1335"/>
    <n v="34"/>
    <x v="1"/>
    <x v="7"/>
    <x v="13"/>
    <n v="85.32"/>
    <x v="3"/>
    <x v="1"/>
    <n v="4.8"/>
    <n v="15"/>
    <n v="5"/>
    <n v="100.37647058823529"/>
    <n v="15.0564705882353"/>
    <x v="5"/>
    <m/>
  </r>
  <r>
    <n v="1336"/>
    <n v="58"/>
    <x v="1"/>
    <x v="5"/>
    <x v="5"/>
    <n v="1082.29"/>
    <x v="3"/>
    <x v="0"/>
    <n v="3.2"/>
    <n v="8"/>
    <n v="4"/>
    <n v="1176.4021739130435"/>
    <n v="94.112173913043534"/>
    <x v="0"/>
    <m/>
  </r>
  <r>
    <n v="1337"/>
    <n v="60"/>
    <x v="0"/>
    <x v="0"/>
    <x v="28"/>
    <n v="97.14"/>
    <x v="0"/>
    <x v="1"/>
    <n v="3.3"/>
    <n v="17"/>
    <n v="6"/>
    <n v="117.03614457831326"/>
    <n v="19.896144578313255"/>
    <x v="0"/>
    <m/>
  </r>
  <r>
    <n v="1338"/>
    <n v="22"/>
    <x v="0"/>
    <x v="8"/>
    <x v="17"/>
    <n v="72.12"/>
    <x v="0"/>
    <x v="1"/>
    <n v="2.4"/>
    <n v="8"/>
    <n v="4"/>
    <n v="78.391304347826093"/>
    <n v="6.2713043478260886"/>
    <x v="3"/>
    <m/>
  </r>
  <r>
    <n v="1339"/>
    <n v="31"/>
    <x v="0"/>
    <x v="8"/>
    <x v="14"/>
    <n v="115.32"/>
    <x v="3"/>
    <x v="0"/>
    <n v="2.6"/>
    <n v="12"/>
    <n v="6"/>
    <n v="131.04545454545453"/>
    <n v="15.725454545454539"/>
    <x v="5"/>
    <m/>
  </r>
  <r>
    <n v="1340"/>
    <n v="51"/>
    <x v="0"/>
    <x v="6"/>
    <x v="27"/>
    <n v="76.33"/>
    <x v="1"/>
    <x v="0"/>
    <n v="4"/>
    <n v="9"/>
    <n v="2"/>
    <n v="83.879120879120876"/>
    <n v="7.5491208791208777"/>
    <x v="4"/>
    <m/>
  </r>
  <r>
    <n v="1341"/>
    <n v="62"/>
    <x v="1"/>
    <x v="1"/>
    <x v="20"/>
    <n v="181.25"/>
    <x v="3"/>
    <x v="0"/>
    <n v="2.8"/>
    <n v="21"/>
    <n v="8"/>
    <n v="229.43037974683543"/>
    <n v="48.180379746835428"/>
    <x v="0"/>
    <m/>
  </r>
  <r>
    <n v="1342"/>
    <n v="62"/>
    <x v="1"/>
    <x v="3"/>
    <x v="24"/>
    <n v="178.48"/>
    <x v="1"/>
    <x v="0"/>
    <n v="2.9"/>
    <n v="20"/>
    <n v="5"/>
    <n v="223.09999999999997"/>
    <n v="44.619999999999976"/>
    <x v="0"/>
    <m/>
  </r>
  <r>
    <n v="1343"/>
    <n v="49"/>
    <x v="1"/>
    <x v="2"/>
    <x v="10"/>
    <n v="28.95"/>
    <x v="3"/>
    <x v="1"/>
    <n v="3.4"/>
    <n v="24"/>
    <n v="7"/>
    <n v="38.09210526315789"/>
    <n v="9.142105263157891"/>
    <x v="4"/>
    <m/>
  </r>
  <r>
    <n v="1344"/>
    <n v="55"/>
    <x v="0"/>
    <x v="7"/>
    <x v="11"/>
    <n v="96.28"/>
    <x v="1"/>
    <x v="0"/>
    <n v="4"/>
    <n v="17"/>
    <n v="6"/>
    <n v="116"/>
    <n v="19.72"/>
    <x v="0"/>
    <m/>
  </r>
  <r>
    <n v="1345"/>
    <n v="36"/>
    <x v="1"/>
    <x v="4"/>
    <x v="26"/>
    <n v="17.13"/>
    <x v="2"/>
    <x v="1"/>
    <n v="2.9"/>
    <n v="9"/>
    <n v="2"/>
    <n v="18.824175824175821"/>
    <n v="1.6941758241758222"/>
    <x v="1"/>
    <m/>
  </r>
  <r>
    <n v="1346"/>
    <n v="41"/>
    <x v="0"/>
    <x v="3"/>
    <x v="24"/>
    <n v="233.88"/>
    <x v="3"/>
    <x v="0"/>
    <n v="4.4000000000000004"/>
    <n v="14"/>
    <n v="7"/>
    <n v="271.95348837209303"/>
    <n v="38.073488372093038"/>
    <x v="1"/>
    <m/>
  </r>
  <r>
    <n v="1347"/>
    <n v="33"/>
    <x v="0"/>
    <x v="7"/>
    <x v="11"/>
    <n v="125.68"/>
    <x v="2"/>
    <x v="0"/>
    <n v="4.5"/>
    <n v="24"/>
    <n v="7"/>
    <n v="165.36842105263159"/>
    <n v="39.688421052631583"/>
    <x v="5"/>
    <m/>
  </r>
  <r>
    <n v="1348"/>
    <n v="22"/>
    <x v="1"/>
    <x v="3"/>
    <x v="15"/>
    <n v="132.30000000000001"/>
    <x v="0"/>
    <x v="0"/>
    <n v="4.4000000000000004"/>
    <n v="8"/>
    <n v="4"/>
    <n v="143.80434782608697"/>
    <n v="11.504347826086956"/>
    <x v="3"/>
    <m/>
  </r>
  <r>
    <n v="1349"/>
    <n v="65"/>
    <x v="0"/>
    <x v="8"/>
    <x v="14"/>
    <n v="80.239999999999995"/>
    <x v="3"/>
    <x v="0"/>
    <n v="3.3"/>
    <n v="6"/>
    <n v="3"/>
    <n v="85.361702127659569"/>
    <n v="5.1217021276595744"/>
    <x v="2"/>
    <m/>
  </r>
  <r>
    <n v="1350"/>
    <n v="58"/>
    <x v="0"/>
    <x v="8"/>
    <x v="17"/>
    <n v="197.63"/>
    <x v="1"/>
    <x v="0"/>
    <n v="4.2"/>
    <n v="30"/>
    <n v="10"/>
    <n v="282.32857142857142"/>
    <n v="84.698571428571427"/>
    <x v="0"/>
    <m/>
  </r>
  <r>
    <n v="1351"/>
    <n v="58"/>
    <x v="1"/>
    <x v="2"/>
    <x v="2"/>
    <n v="144"/>
    <x v="0"/>
    <x v="0"/>
    <n v="4.4000000000000004"/>
    <n v="24"/>
    <n v="7"/>
    <n v="189.4736842105263"/>
    <n v="45.473684210526301"/>
    <x v="0"/>
    <m/>
  </r>
  <r>
    <n v="1352"/>
    <n v="67"/>
    <x v="0"/>
    <x v="0"/>
    <x v="22"/>
    <n v="173.81"/>
    <x v="3"/>
    <x v="0"/>
    <n v="2.7"/>
    <n v="8"/>
    <n v="4"/>
    <n v="188.92391304347825"/>
    <n v="15.113913043478249"/>
    <x v="2"/>
    <m/>
  </r>
  <r>
    <n v="1353"/>
    <n v="54"/>
    <x v="0"/>
    <x v="8"/>
    <x v="18"/>
    <n v="130.33000000000001"/>
    <x v="3"/>
    <x v="0"/>
    <n v="3.9"/>
    <n v="16"/>
    <n v="8"/>
    <n v="155.15476190476193"/>
    <n v="24.824761904761914"/>
    <x v="4"/>
    <m/>
  </r>
  <r>
    <n v="1354"/>
    <n v="52"/>
    <x v="0"/>
    <x v="0"/>
    <x v="28"/>
    <n v="151.16999999999999"/>
    <x v="1"/>
    <x v="0"/>
    <n v="2.7"/>
    <n v="21"/>
    <n v="8"/>
    <n v="191.35443037974682"/>
    <n v="40.184430379746829"/>
    <x v="4"/>
    <m/>
  </r>
  <r>
    <n v="1355"/>
    <n v="43"/>
    <x v="0"/>
    <x v="6"/>
    <x v="27"/>
    <n v="56.31"/>
    <x v="1"/>
    <x v="1"/>
    <n v="5"/>
    <n v="6"/>
    <n v="3"/>
    <n v="59.904255319148945"/>
    <n v="3.5942553191489424"/>
    <x v="1"/>
    <m/>
  </r>
  <r>
    <n v="1356"/>
    <n v="39"/>
    <x v="0"/>
    <x v="7"/>
    <x v="8"/>
    <n v="79.95"/>
    <x v="3"/>
    <x v="0"/>
    <n v="3.4"/>
    <n v="30"/>
    <n v="10"/>
    <n v="114.21428571428572"/>
    <n v="34.26428571428572"/>
    <x v="1"/>
    <m/>
  </r>
  <r>
    <n v="1357"/>
    <n v="60"/>
    <x v="1"/>
    <x v="5"/>
    <x v="7"/>
    <n v="1905.2"/>
    <x v="2"/>
    <x v="0"/>
    <n v="3.3"/>
    <n v="21"/>
    <n v="8"/>
    <n v="2411.6455696202529"/>
    <n v="506.44556962025285"/>
    <x v="0"/>
    <m/>
  </r>
  <r>
    <n v="1358"/>
    <n v="30"/>
    <x v="0"/>
    <x v="3"/>
    <x v="24"/>
    <n v="172.51"/>
    <x v="3"/>
    <x v="0"/>
    <n v="2.4"/>
    <n v="22"/>
    <n v="6"/>
    <n v="221.16666666666666"/>
    <n v="48.656666666666666"/>
    <x v="5"/>
    <m/>
  </r>
  <r>
    <n v="1359"/>
    <n v="28"/>
    <x v="0"/>
    <x v="7"/>
    <x v="13"/>
    <n v="162.07"/>
    <x v="1"/>
    <x v="0"/>
    <n v="2.7"/>
    <n v="11"/>
    <n v="3"/>
    <n v="182.10112359550561"/>
    <n v="20.031123595505619"/>
    <x v="5"/>
    <m/>
  </r>
  <r>
    <n v="1360"/>
    <n v="60"/>
    <x v="0"/>
    <x v="8"/>
    <x v="18"/>
    <n v="75.11"/>
    <x v="3"/>
    <x v="0"/>
    <n v="4"/>
    <n v="12"/>
    <n v="6"/>
    <n v="85.35227272727272"/>
    <n v="10.24227272727272"/>
    <x v="0"/>
    <m/>
  </r>
  <r>
    <n v="1361"/>
    <n v="52"/>
    <x v="0"/>
    <x v="4"/>
    <x v="26"/>
    <n v="66.05"/>
    <x v="3"/>
    <x v="1"/>
    <n v="3.7"/>
    <n v="10"/>
    <n v="5"/>
    <n v="73.388888888888886"/>
    <n v="7.3388888888888886"/>
    <x v="4"/>
    <m/>
  </r>
  <r>
    <n v="1362"/>
    <n v="32"/>
    <x v="1"/>
    <x v="2"/>
    <x v="2"/>
    <n v="136.35"/>
    <x v="1"/>
    <x v="0"/>
    <n v="3.3"/>
    <n v="16"/>
    <n v="3"/>
    <n v="162.32142857142858"/>
    <n v="25.971428571428589"/>
    <x v="5"/>
    <m/>
  </r>
  <r>
    <n v="1363"/>
    <n v="39"/>
    <x v="0"/>
    <x v="6"/>
    <x v="23"/>
    <n v="141.19"/>
    <x v="2"/>
    <x v="0"/>
    <n v="1.5"/>
    <n v="14"/>
    <n v="7"/>
    <n v="164.17441860465115"/>
    <n v="22.984418604651154"/>
    <x v="1"/>
    <m/>
  </r>
  <r>
    <n v="1364"/>
    <n v="42"/>
    <x v="0"/>
    <x v="7"/>
    <x v="8"/>
    <n v="76.55"/>
    <x v="0"/>
    <x v="1"/>
    <n v="3.6"/>
    <n v="15"/>
    <n v="5"/>
    <n v="90.058823529411768"/>
    <n v="13.508823529411771"/>
    <x v="1"/>
    <m/>
  </r>
  <r>
    <n v="1365"/>
    <n v="52"/>
    <x v="1"/>
    <x v="7"/>
    <x v="8"/>
    <n v="248.92"/>
    <x v="1"/>
    <x v="0"/>
    <n v="3.4"/>
    <n v="13"/>
    <n v="4"/>
    <n v="286.11494252873564"/>
    <n v="37.194942528735652"/>
    <x v="4"/>
    <m/>
  </r>
  <r>
    <n v="1366"/>
    <n v="54"/>
    <x v="1"/>
    <x v="7"/>
    <x v="13"/>
    <n v="247.98"/>
    <x v="1"/>
    <x v="0"/>
    <n v="3.6"/>
    <n v="10"/>
    <n v="5"/>
    <n v="275.5333333333333"/>
    <n v="27.553333333333313"/>
    <x v="4"/>
    <m/>
  </r>
  <r>
    <n v="1367"/>
    <n v="64"/>
    <x v="1"/>
    <x v="5"/>
    <x v="7"/>
    <n v="1925.6"/>
    <x v="1"/>
    <x v="0"/>
    <n v="2.6"/>
    <n v="13"/>
    <n v="4"/>
    <n v="2213.333333333333"/>
    <n v="287.73333333333312"/>
    <x v="0"/>
    <m/>
  </r>
  <r>
    <n v="1368"/>
    <n v="51"/>
    <x v="1"/>
    <x v="2"/>
    <x v="12"/>
    <n v="139.66"/>
    <x v="2"/>
    <x v="0"/>
    <n v="3.6"/>
    <n v="9"/>
    <n v="2"/>
    <n v="153.47252747252747"/>
    <n v="13.812527472527478"/>
    <x v="4"/>
    <m/>
  </r>
  <r>
    <n v="1369"/>
    <n v="65"/>
    <x v="1"/>
    <x v="1"/>
    <x v="14"/>
    <n v="199.78"/>
    <x v="0"/>
    <x v="0"/>
    <n v="3.5"/>
    <n v="15"/>
    <n v="5"/>
    <n v="235.03529411764706"/>
    <n v="35.255294117647054"/>
    <x v="2"/>
    <m/>
  </r>
  <r>
    <n v="1370"/>
    <n v="22"/>
    <x v="0"/>
    <x v="6"/>
    <x v="27"/>
    <n v="45.19"/>
    <x v="3"/>
    <x v="0"/>
    <n v="4.7"/>
    <n v="12"/>
    <n v="6"/>
    <n v="51.352272727272727"/>
    <n v="6.1622727272727289"/>
    <x v="3"/>
    <m/>
  </r>
  <r>
    <n v="1371"/>
    <n v="30"/>
    <x v="0"/>
    <x v="7"/>
    <x v="13"/>
    <n v="206.49"/>
    <x v="3"/>
    <x v="0"/>
    <n v="3.6"/>
    <n v="20"/>
    <n v="5"/>
    <n v="258.11250000000001"/>
    <n v="51.622500000000002"/>
    <x v="5"/>
    <m/>
  </r>
  <r>
    <n v="1372"/>
    <n v="52"/>
    <x v="1"/>
    <x v="5"/>
    <x v="5"/>
    <n v="1357.56"/>
    <x v="0"/>
    <x v="0"/>
    <n v="5"/>
    <n v="16"/>
    <n v="8"/>
    <n v="1616.1428571428571"/>
    <n v="258.58285714285716"/>
    <x v="4"/>
    <m/>
  </r>
  <r>
    <n v="1373"/>
    <n v="26"/>
    <x v="0"/>
    <x v="7"/>
    <x v="13"/>
    <n v="160.69"/>
    <x v="0"/>
    <x v="0"/>
    <n v="4.3"/>
    <n v="15"/>
    <n v="5"/>
    <n v="189.04705882352943"/>
    <n v="28.357058823529428"/>
    <x v="5"/>
    <m/>
  </r>
  <r>
    <n v="1374"/>
    <n v="29"/>
    <x v="0"/>
    <x v="2"/>
    <x v="10"/>
    <n v="239.09"/>
    <x v="3"/>
    <x v="0"/>
    <n v="4"/>
    <n v="6"/>
    <n v="3"/>
    <n v="254.35106382978725"/>
    <n v="15.261063829787247"/>
    <x v="5"/>
    <m/>
  </r>
  <r>
    <n v="1375"/>
    <n v="61"/>
    <x v="1"/>
    <x v="5"/>
    <x v="25"/>
    <n v="2519.73"/>
    <x v="3"/>
    <x v="0"/>
    <n v="3.5"/>
    <n v="20"/>
    <n v="5"/>
    <n v="3149.6624999999999"/>
    <n v="629.93249999999989"/>
    <x v="0"/>
    <m/>
  </r>
  <r>
    <n v="1376"/>
    <n v="62"/>
    <x v="0"/>
    <x v="7"/>
    <x v="8"/>
    <n v="218.99"/>
    <x v="0"/>
    <x v="0"/>
    <n v="3.6"/>
    <n v="16"/>
    <n v="3"/>
    <n v="260.70238095238096"/>
    <n v="41.712380952380954"/>
    <x v="0"/>
    <m/>
  </r>
  <r>
    <n v="1377"/>
    <n v="64"/>
    <x v="1"/>
    <x v="7"/>
    <x v="8"/>
    <n v="244.01"/>
    <x v="1"/>
    <x v="0"/>
    <n v="4.0999999999999996"/>
    <n v="15"/>
    <n v="5"/>
    <n v="287.07058823529411"/>
    <n v="43.060588235294119"/>
    <x v="0"/>
    <m/>
  </r>
  <r>
    <n v="1378"/>
    <n v="31"/>
    <x v="0"/>
    <x v="3"/>
    <x v="15"/>
    <n v="140.22999999999999"/>
    <x v="0"/>
    <x v="0"/>
    <n v="3"/>
    <n v="9"/>
    <n v="2"/>
    <n v="154.09890109890108"/>
    <n v="13.868901098901091"/>
    <x v="5"/>
    <m/>
  </r>
  <r>
    <n v="1379"/>
    <n v="49"/>
    <x v="1"/>
    <x v="5"/>
    <x v="7"/>
    <n v="2191.92"/>
    <x v="3"/>
    <x v="0"/>
    <n v="2.8"/>
    <n v="13"/>
    <n v="4"/>
    <n v="2519.4482758620688"/>
    <n v="327.52827586206877"/>
    <x v="4"/>
    <m/>
  </r>
  <r>
    <n v="1380"/>
    <n v="46"/>
    <x v="0"/>
    <x v="3"/>
    <x v="3"/>
    <n v="145.72999999999999"/>
    <x v="0"/>
    <x v="0"/>
    <n v="2.7"/>
    <n v="14"/>
    <n v="2"/>
    <n v="169.45348837209301"/>
    <n v="23.723488372093016"/>
    <x v="4"/>
    <m/>
  </r>
  <r>
    <n v="1381"/>
    <n v="32"/>
    <x v="0"/>
    <x v="8"/>
    <x v="17"/>
    <n v="194.29"/>
    <x v="3"/>
    <x v="0"/>
    <n v="3.6"/>
    <n v="10"/>
    <n v="5"/>
    <n v="215.87777777777777"/>
    <n v="21.587777777777774"/>
    <x v="5"/>
    <m/>
  </r>
  <r>
    <n v="1382"/>
    <n v="29"/>
    <x v="1"/>
    <x v="3"/>
    <x v="3"/>
    <n v="219.13"/>
    <x v="3"/>
    <x v="0"/>
    <n v="2.8"/>
    <n v="20"/>
    <n v="5"/>
    <n v="273.91249999999997"/>
    <n v="54.78249999999997"/>
    <x v="5"/>
    <m/>
  </r>
  <r>
    <n v="1383"/>
    <n v="53"/>
    <x v="0"/>
    <x v="6"/>
    <x v="6"/>
    <n v="73"/>
    <x v="0"/>
    <x v="0"/>
    <n v="2.8"/>
    <n v="18"/>
    <n v="4"/>
    <n v="89.024390243902431"/>
    <n v="16.024390243902431"/>
    <x v="4"/>
    <m/>
  </r>
  <r>
    <n v="1384"/>
    <n v="56"/>
    <x v="1"/>
    <x v="2"/>
    <x v="10"/>
    <n v="206.69"/>
    <x v="3"/>
    <x v="0"/>
    <n v="4.0999999999999996"/>
    <n v="15"/>
    <n v="5"/>
    <n v="243.16470588235293"/>
    <n v="36.474705882352936"/>
    <x v="0"/>
    <m/>
  </r>
  <r>
    <n v="1385"/>
    <n v="49"/>
    <x v="1"/>
    <x v="7"/>
    <x v="11"/>
    <n v="171.39"/>
    <x v="2"/>
    <x v="0"/>
    <n v="5"/>
    <n v="13"/>
    <n v="4"/>
    <n v="196.99999999999997"/>
    <n v="25.609999999999985"/>
    <x v="4"/>
    <m/>
  </r>
  <r>
    <n v="1386"/>
    <n v="49"/>
    <x v="0"/>
    <x v="3"/>
    <x v="15"/>
    <n v="281.41000000000003"/>
    <x v="0"/>
    <x v="0"/>
    <n v="4.5999999999999996"/>
    <n v="10"/>
    <n v="5"/>
    <n v="312.67777777777781"/>
    <n v="31.267777777777781"/>
    <x v="4"/>
    <m/>
  </r>
  <r>
    <n v="1387"/>
    <n v="42"/>
    <x v="1"/>
    <x v="4"/>
    <x v="26"/>
    <n v="65.66"/>
    <x v="3"/>
    <x v="1"/>
    <n v="3.1"/>
    <n v="20"/>
    <n v="5"/>
    <n v="82.074999999999989"/>
    <n v="16.414999999999992"/>
    <x v="1"/>
    <m/>
  </r>
  <r>
    <n v="1388"/>
    <n v="66"/>
    <x v="1"/>
    <x v="1"/>
    <x v="9"/>
    <n v="117.92"/>
    <x v="3"/>
    <x v="0"/>
    <n v="3.1"/>
    <n v="18"/>
    <n v="9"/>
    <n v="143.80487804878047"/>
    <n v="25.884878048780465"/>
    <x v="2"/>
    <m/>
  </r>
  <r>
    <n v="1389"/>
    <n v="57"/>
    <x v="0"/>
    <x v="0"/>
    <x v="28"/>
    <n v="85.12"/>
    <x v="0"/>
    <x v="1"/>
    <n v="3"/>
    <n v="10"/>
    <n v="5"/>
    <n v="94.577777777777783"/>
    <n v="9.4577777777777783"/>
    <x v="0"/>
    <m/>
  </r>
  <r>
    <n v="1390"/>
    <n v="21"/>
    <x v="1"/>
    <x v="5"/>
    <x v="25"/>
    <n v="522.74"/>
    <x v="3"/>
    <x v="0"/>
    <n v="4.8"/>
    <n v="24"/>
    <n v="7"/>
    <n v="687.81578947368416"/>
    <n v="165.07578947368415"/>
    <x v="3"/>
    <m/>
  </r>
  <r>
    <n v="1391"/>
    <n v="70"/>
    <x v="1"/>
    <x v="2"/>
    <x v="12"/>
    <n v="146.30000000000001"/>
    <x v="3"/>
    <x v="0"/>
    <n v="3.3"/>
    <n v="20"/>
    <n v="5"/>
    <n v="182.875"/>
    <n v="36.574999999999989"/>
    <x v="2"/>
    <m/>
  </r>
  <r>
    <n v="1392"/>
    <n v="57"/>
    <x v="1"/>
    <x v="7"/>
    <x v="13"/>
    <n v="188.81"/>
    <x v="1"/>
    <x v="0"/>
    <n v="4.0999999999999996"/>
    <n v="11"/>
    <n v="3"/>
    <n v="212.14606741573033"/>
    <n v="23.336067415730327"/>
    <x v="0"/>
    <m/>
  </r>
  <r>
    <n v="1393"/>
    <n v="24"/>
    <x v="1"/>
    <x v="5"/>
    <x v="7"/>
    <n v="973.64"/>
    <x v="0"/>
    <x v="0"/>
    <n v="4.3"/>
    <n v="16"/>
    <n v="3"/>
    <n v="1159.0952380952381"/>
    <n v="185.45523809523809"/>
    <x v="3"/>
    <m/>
  </r>
  <r>
    <n v="1394"/>
    <n v="61"/>
    <x v="1"/>
    <x v="5"/>
    <x v="5"/>
    <n v="1496.01"/>
    <x v="2"/>
    <x v="0"/>
    <n v="4"/>
    <n v="13"/>
    <n v="4"/>
    <n v="1719.5517241379309"/>
    <n v="223.54172413793094"/>
    <x v="0"/>
    <m/>
  </r>
  <r>
    <n v="1395"/>
    <n v="56"/>
    <x v="0"/>
    <x v="7"/>
    <x v="8"/>
    <n v="228.28"/>
    <x v="3"/>
    <x v="0"/>
    <n v="4.0999999999999996"/>
    <n v="6"/>
    <n v="3"/>
    <n v="242.85106382978725"/>
    <n v="14.571063829787249"/>
    <x v="0"/>
    <m/>
  </r>
  <r>
    <n v="1396"/>
    <n v="40"/>
    <x v="0"/>
    <x v="0"/>
    <x v="22"/>
    <n v="119.97"/>
    <x v="3"/>
    <x v="0"/>
    <n v="4"/>
    <n v="13"/>
    <n v="4"/>
    <n v="137.89655172413794"/>
    <n v="17.926551724137937"/>
    <x v="1"/>
    <m/>
  </r>
  <r>
    <n v="1397"/>
    <n v="23"/>
    <x v="0"/>
    <x v="8"/>
    <x v="14"/>
    <n v="123.01"/>
    <x v="1"/>
    <x v="0"/>
    <n v="3.9"/>
    <n v="17"/>
    <n v="6"/>
    <n v="148.20481927710844"/>
    <n v="25.194819277108436"/>
    <x v="3"/>
    <m/>
  </r>
  <r>
    <n v="1398"/>
    <n v="43"/>
    <x v="0"/>
    <x v="0"/>
    <x v="0"/>
    <n v="162.25"/>
    <x v="1"/>
    <x v="0"/>
    <n v="4.2"/>
    <n v="6"/>
    <n v="3"/>
    <n v="172.60638297872342"/>
    <n v="10.356382978723417"/>
    <x v="1"/>
    <m/>
  </r>
  <r>
    <n v="1399"/>
    <n v="54"/>
    <x v="0"/>
    <x v="7"/>
    <x v="13"/>
    <n v="194.79"/>
    <x v="2"/>
    <x v="0"/>
    <n v="2.2000000000000002"/>
    <n v="16"/>
    <n v="8"/>
    <n v="231.89285714285714"/>
    <n v="37.102857142857147"/>
    <x v="4"/>
    <m/>
  </r>
  <r>
    <n v="1400"/>
    <n v="50"/>
    <x v="1"/>
    <x v="2"/>
    <x v="12"/>
    <n v="126.38"/>
    <x v="0"/>
    <x v="0"/>
    <n v="3.4"/>
    <n v="6"/>
    <n v="3"/>
    <n v="134.44680851063831"/>
    <n v="8.0668085106383103"/>
    <x v="4"/>
    <m/>
  </r>
  <r>
    <n v="1401"/>
    <n v="67"/>
    <x v="0"/>
    <x v="7"/>
    <x v="11"/>
    <n v="246.6"/>
    <x v="1"/>
    <x v="0"/>
    <n v="4.8"/>
    <n v="15"/>
    <n v="5"/>
    <n v="290.11764705882354"/>
    <n v="43.517647058823542"/>
    <x v="2"/>
    <m/>
  </r>
  <r>
    <n v="1402"/>
    <n v="59"/>
    <x v="1"/>
    <x v="1"/>
    <x v="1"/>
    <n v="116.03"/>
    <x v="1"/>
    <x v="0"/>
    <n v="2.6"/>
    <n v="7"/>
    <n v="1"/>
    <n v="124.76344086021507"/>
    <n v="8.7334408602150688"/>
    <x v="0"/>
    <m/>
  </r>
  <r>
    <n v="1403"/>
    <n v="21"/>
    <x v="0"/>
    <x v="0"/>
    <x v="28"/>
    <n v="157.32"/>
    <x v="2"/>
    <x v="0"/>
    <n v="3.1"/>
    <n v="18"/>
    <n v="4"/>
    <n v="191.85365853658536"/>
    <n v="34.533658536585364"/>
    <x v="3"/>
    <m/>
  </r>
  <r>
    <n v="1404"/>
    <n v="26"/>
    <x v="0"/>
    <x v="6"/>
    <x v="23"/>
    <n v="96.17"/>
    <x v="3"/>
    <x v="1"/>
    <n v="3.5"/>
    <n v="15"/>
    <n v="5"/>
    <n v="113.14117647058823"/>
    <n v="16.971176470588233"/>
    <x v="5"/>
    <m/>
  </r>
  <r>
    <n v="1405"/>
    <n v="21"/>
    <x v="0"/>
    <x v="7"/>
    <x v="13"/>
    <n v="103.99"/>
    <x v="1"/>
    <x v="0"/>
    <n v="4.3"/>
    <n v="11"/>
    <n v="3"/>
    <n v="116.84269662921348"/>
    <n v="12.852696629213483"/>
    <x v="3"/>
    <m/>
  </r>
  <r>
    <n v="1406"/>
    <n v="57"/>
    <x v="1"/>
    <x v="5"/>
    <x v="7"/>
    <n v="629.5"/>
    <x v="1"/>
    <x v="0"/>
    <n v="3.7"/>
    <n v="15"/>
    <n v="5"/>
    <n v="740.58823529411768"/>
    <n v="111.08823529411768"/>
    <x v="0"/>
    <m/>
  </r>
  <r>
    <n v="1407"/>
    <n v="23"/>
    <x v="1"/>
    <x v="5"/>
    <x v="7"/>
    <n v="1444.5"/>
    <x v="1"/>
    <x v="0"/>
    <n v="3.2"/>
    <n v="14"/>
    <n v="2"/>
    <n v="1679.6511627906978"/>
    <n v="235.15116279069775"/>
    <x v="3"/>
    <m/>
  </r>
  <r>
    <n v="1408"/>
    <n v="57"/>
    <x v="1"/>
    <x v="1"/>
    <x v="20"/>
    <n v="36.46"/>
    <x v="3"/>
    <x v="0"/>
    <n v="2.6"/>
    <n v="4"/>
    <n v="2"/>
    <n v="37.979166666666671"/>
    <n v="1.5191666666666706"/>
    <x v="0"/>
    <m/>
  </r>
  <r>
    <n v="1409"/>
    <n v="31"/>
    <x v="0"/>
    <x v="6"/>
    <x v="6"/>
    <n v="80.36"/>
    <x v="3"/>
    <x v="1"/>
    <n v="4.5"/>
    <n v="17"/>
    <n v="6"/>
    <n v="96.819277108433738"/>
    <n v="16.459277108433739"/>
    <x v="5"/>
    <m/>
  </r>
  <r>
    <n v="1410"/>
    <n v="57"/>
    <x v="1"/>
    <x v="5"/>
    <x v="25"/>
    <n v="2547.41"/>
    <x v="1"/>
    <x v="0"/>
    <n v="3.7"/>
    <n v="16"/>
    <n v="3"/>
    <n v="3032.6309523809523"/>
    <n v="485.22095238095244"/>
    <x v="0"/>
    <m/>
  </r>
  <r>
    <n v="1411"/>
    <n v="55"/>
    <x v="0"/>
    <x v="7"/>
    <x v="13"/>
    <n v="75.06"/>
    <x v="3"/>
    <x v="0"/>
    <n v="3.9"/>
    <n v="12"/>
    <n v="1"/>
    <n v="85.295454545454547"/>
    <n v="10.235454545454544"/>
    <x v="0"/>
    <m/>
  </r>
  <r>
    <n v="1412"/>
    <n v="47"/>
    <x v="0"/>
    <x v="6"/>
    <x v="27"/>
    <n v="42.38"/>
    <x v="3"/>
    <x v="1"/>
    <n v="3.4"/>
    <n v="17"/>
    <n v="6"/>
    <n v="51.060240963855428"/>
    <n v="8.6802409638554252"/>
    <x v="4"/>
    <m/>
  </r>
  <r>
    <n v="1413"/>
    <n v="52"/>
    <x v="0"/>
    <x v="6"/>
    <x v="27"/>
    <n v="134.53"/>
    <x v="0"/>
    <x v="0"/>
    <n v="3.8"/>
    <n v="26"/>
    <n v="8"/>
    <n v="181.79729729729729"/>
    <n v="47.26729729729729"/>
    <x v="4"/>
    <m/>
  </r>
  <r>
    <n v="1414"/>
    <n v="23"/>
    <x v="1"/>
    <x v="7"/>
    <x v="8"/>
    <n v="214.52"/>
    <x v="3"/>
    <x v="0"/>
    <n v="2.6"/>
    <n v="4"/>
    <n v="2"/>
    <n v="223.45833333333334"/>
    <n v="8.9383333333333326"/>
    <x v="3"/>
    <m/>
  </r>
  <r>
    <n v="1415"/>
    <n v="24"/>
    <x v="0"/>
    <x v="6"/>
    <x v="27"/>
    <n v="42.87"/>
    <x v="1"/>
    <x v="0"/>
    <n v="3.6"/>
    <n v="15"/>
    <n v="5"/>
    <n v="50.435294117647054"/>
    <n v="7.5652941176470563"/>
    <x v="3"/>
    <m/>
  </r>
  <r>
    <n v="1416"/>
    <n v="22"/>
    <x v="1"/>
    <x v="2"/>
    <x v="2"/>
    <n v="180.61"/>
    <x v="1"/>
    <x v="0"/>
    <n v="3"/>
    <n v="15"/>
    <n v="5"/>
    <n v="212.48235294117649"/>
    <n v="31.872352941176473"/>
    <x v="3"/>
    <m/>
  </r>
  <r>
    <n v="1417"/>
    <n v="52"/>
    <x v="1"/>
    <x v="7"/>
    <x v="11"/>
    <n v="161.19999999999999"/>
    <x v="2"/>
    <x v="0"/>
    <n v="3.1"/>
    <n v="4"/>
    <n v="2"/>
    <n v="167.91666666666666"/>
    <n v="6.7166666666666686"/>
    <x v="4"/>
    <m/>
  </r>
  <r>
    <n v="1418"/>
    <n v="49"/>
    <x v="0"/>
    <x v="2"/>
    <x v="12"/>
    <n v="166.73"/>
    <x v="1"/>
    <x v="0"/>
    <n v="2.2999999999999998"/>
    <n v="15"/>
    <n v="5"/>
    <n v="196.15294117647059"/>
    <n v="29.422941176470601"/>
    <x v="4"/>
    <m/>
  </r>
  <r>
    <n v="1419"/>
    <n v="29"/>
    <x v="0"/>
    <x v="7"/>
    <x v="11"/>
    <n v="102.67"/>
    <x v="1"/>
    <x v="0"/>
    <n v="3"/>
    <n v="6"/>
    <n v="3"/>
    <n v="109.22340425531915"/>
    <n v="6.5534042553191512"/>
    <x v="5"/>
    <m/>
  </r>
  <r>
    <n v="1420"/>
    <n v="54"/>
    <x v="1"/>
    <x v="5"/>
    <x v="21"/>
    <n v="999.76"/>
    <x v="2"/>
    <x v="0"/>
    <n v="4"/>
    <n v="8"/>
    <n v="4"/>
    <n v="1086.695652173913"/>
    <n v="86.935652173913013"/>
    <x v="4"/>
    <m/>
  </r>
  <r>
    <n v="1421"/>
    <n v="31"/>
    <x v="1"/>
    <x v="2"/>
    <x v="2"/>
    <n v="112.39"/>
    <x v="1"/>
    <x v="0"/>
    <n v="4.7"/>
    <n v="26"/>
    <n v="8"/>
    <n v="151.87837837837839"/>
    <n v="39.488378378378385"/>
    <x v="5"/>
    <m/>
  </r>
  <r>
    <n v="1422"/>
    <n v="54"/>
    <x v="1"/>
    <x v="1"/>
    <x v="20"/>
    <n v="161.28"/>
    <x v="2"/>
    <x v="0"/>
    <n v="3.4"/>
    <n v="16"/>
    <n v="3"/>
    <n v="192"/>
    <n v="30.72"/>
    <x v="4"/>
    <m/>
  </r>
  <r>
    <n v="1423"/>
    <n v="32"/>
    <x v="1"/>
    <x v="4"/>
    <x v="4"/>
    <n v="31.93"/>
    <x v="2"/>
    <x v="1"/>
    <n v="4.3"/>
    <n v="9"/>
    <n v="2"/>
    <n v="35.087912087912088"/>
    <n v="3.1579120879120879"/>
    <x v="5"/>
    <m/>
  </r>
  <r>
    <n v="1424"/>
    <n v="26"/>
    <x v="0"/>
    <x v="8"/>
    <x v="17"/>
    <n v="53"/>
    <x v="1"/>
    <x v="1"/>
    <n v="4.4000000000000004"/>
    <n v="12"/>
    <n v="6"/>
    <n v="60.227272727272727"/>
    <n v="7.2272727272727266"/>
    <x v="5"/>
    <m/>
  </r>
  <r>
    <n v="1425"/>
    <n v="22"/>
    <x v="0"/>
    <x v="8"/>
    <x v="17"/>
    <n v="64.8"/>
    <x v="0"/>
    <x v="1"/>
    <n v="2.7"/>
    <n v="19"/>
    <n v="7"/>
    <n v="79.999999999999986"/>
    <n v="15.199999999999989"/>
    <x v="3"/>
    <m/>
  </r>
  <r>
    <n v="1426"/>
    <n v="61"/>
    <x v="0"/>
    <x v="3"/>
    <x v="24"/>
    <n v="74.16"/>
    <x v="3"/>
    <x v="1"/>
    <n v="4.8"/>
    <n v="18"/>
    <n v="4"/>
    <n v="90.439024390243887"/>
    <n v="16.27902439024389"/>
    <x v="0"/>
    <m/>
  </r>
  <r>
    <n v="1427"/>
    <n v="67"/>
    <x v="1"/>
    <x v="2"/>
    <x v="12"/>
    <n v="238.74"/>
    <x v="2"/>
    <x v="0"/>
    <n v="3.4"/>
    <n v="26"/>
    <n v="8"/>
    <n v="322.62162162162161"/>
    <n v="83.881621621621605"/>
    <x v="2"/>
    <m/>
  </r>
  <r>
    <n v="1428"/>
    <n v="28"/>
    <x v="1"/>
    <x v="1"/>
    <x v="20"/>
    <n v="30.21"/>
    <x v="2"/>
    <x v="0"/>
    <n v="3.7"/>
    <n v="14"/>
    <n v="2"/>
    <n v="35.127906976744185"/>
    <n v="4.9179069767441845"/>
    <x v="5"/>
    <m/>
  </r>
  <r>
    <n v="1429"/>
    <n v="20"/>
    <x v="0"/>
    <x v="7"/>
    <x v="8"/>
    <n v="200.62"/>
    <x v="0"/>
    <x v="0"/>
    <n v="4.5999999999999996"/>
    <n v="12"/>
    <n v="6"/>
    <n v="227.97727272727272"/>
    <n v="27.357272727272715"/>
    <x v="3"/>
    <m/>
  </r>
  <r>
    <n v="1430"/>
    <n v="25"/>
    <x v="1"/>
    <x v="2"/>
    <x v="12"/>
    <n v="238.55"/>
    <x v="1"/>
    <x v="0"/>
    <n v="4"/>
    <n v="12"/>
    <n v="6"/>
    <n v="271.07954545454544"/>
    <n v="32.529545454545428"/>
    <x v="5"/>
    <m/>
  </r>
  <r>
    <n v="1431"/>
    <n v="28"/>
    <x v="0"/>
    <x v="8"/>
    <x v="18"/>
    <n v="159.04"/>
    <x v="1"/>
    <x v="0"/>
    <n v="4.8"/>
    <n v="26"/>
    <n v="8"/>
    <n v="214.91891891891891"/>
    <n v="55.878918918918913"/>
    <x v="5"/>
    <m/>
  </r>
  <r>
    <n v="1432"/>
    <n v="21"/>
    <x v="1"/>
    <x v="4"/>
    <x v="19"/>
    <n v="63.05"/>
    <x v="0"/>
    <x v="1"/>
    <n v="4.3"/>
    <n v="21"/>
    <n v="8"/>
    <n v="79.810126582278471"/>
    <n v="16.760126582278474"/>
    <x v="3"/>
    <m/>
  </r>
  <r>
    <n v="1433"/>
    <n v="35"/>
    <x v="1"/>
    <x v="5"/>
    <x v="7"/>
    <n v="2360.5"/>
    <x v="3"/>
    <x v="0"/>
    <n v="4.4000000000000004"/>
    <n v="12"/>
    <n v="6"/>
    <n v="2682.3863636363635"/>
    <n v="321.88636363636351"/>
    <x v="1"/>
    <m/>
  </r>
  <r>
    <n v="1434"/>
    <n v="23"/>
    <x v="0"/>
    <x v="8"/>
    <x v="17"/>
    <n v="104.09"/>
    <x v="1"/>
    <x v="0"/>
    <n v="3.8"/>
    <n v="16"/>
    <n v="8"/>
    <n v="123.91666666666667"/>
    <n v="19.826666666666668"/>
    <x v="3"/>
    <m/>
  </r>
  <r>
    <n v="1435"/>
    <n v="52"/>
    <x v="0"/>
    <x v="2"/>
    <x v="2"/>
    <n v="245.46"/>
    <x v="1"/>
    <x v="0"/>
    <n v="5"/>
    <n v="19"/>
    <n v="7"/>
    <n v="303.03703703703701"/>
    <n v="57.577037037037002"/>
    <x v="4"/>
    <m/>
  </r>
  <r>
    <n v="1436"/>
    <n v="68"/>
    <x v="1"/>
    <x v="1"/>
    <x v="14"/>
    <n v="175.43"/>
    <x v="3"/>
    <x v="0"/>
    <n v="3.7"/>
    <n v="10"/>
    <n v="5"/>
    <n v="194.92222222222222"/>
    <n v="19.49222222222221"/>
    <x v="2"/>
    <m/>
  </r>
  <r>
    <n v="1437"/>
    <n v="55"/>
    <x v="0"/>
    <x v="0"/>
    <x v="22"/>
    <n v="169.49"/>
    <x v="2"/>
    <x v="0"/>
    <n v="3.6"/>
    <n v="18"/>
    <n v="4"/>
    <n v="206.69512195121951"/>
    <n v="37.205121951219496"/>
    <x v="0"/>
    <m/>
  </r>
  <r>
    <n v="1438"/>
    <n v="59"/>
    <x v="0"/>
    <x v="6"/>
    <x v="27"/>
    <n v="101.48"/>
    <x v="2"/>
    <x v="0"/>
    <n v="4.3"/>
    <n v="4"/>
    <n v="2"/>
    <n v="105.70833333333334"/>
    <n v="4.2283333333333388"/>
    <x v="0"/>
    <m/>
  </r>
  <r>
    <n v="1439"/>
    <n v="22"/>
    <x v="1"/>
    <x v="5"/>
    <x v="21"/>
    <n v="2140.58"/>
    <x v="2"/>
    <x v="0"/>
    <n v="3.5"/>
    <n v="18"/>
    <n v="4"/>
    <n v="2610.4634146341459"/>
    <n v="469.88341463414599"/>
    <x v="3"/>
    <m/>
  </r>
  <r>
    <n v="1440"/>
    <n v="47"/>
    <x v="1"/>
    <x v="2"/>
    <x v="2"/>
    <n v="203.57"/>
    <x v="0"/>
    <x v="0"/>
    <n v="3.7"/>
    <n v="16"/>
    <n v="3"/>
    <n v="242.3452380952381"/>
    <n v="38.775238095238109"/>
    <x v="4"/>
    <m/>
  </r>
  <r>
    <n v="1441"/>
    <n v="40"/>
    <x v="0"/>
    <x v="8"/>
    <x v="17"/>
    <n v="139.26"/>
    <x v="1"/>
    <x v="0"/>
    <n v="3.3"/>
    <n v="24"/>
    <n v="7"/>
    <n v="183.23684210526315"/>
    <n v="43.97684210526316"/>
    <x v="1"/>
    <m/>
  </r>
  <r>
    <n v="1442"/>
    <n v="67"/>
    <x v="0"/>
    <x v="8"/>
    <x v="17"/>
    <n v="67.400000000000006"/>
    <x v="1"/>
    <x v="1"/>
    <n v="3.3"/>
    <n v="22"/>
    <n v="6"/>
    <n v="86.410256410256409"/>
    <n v="19.010256410256403"/>
    <x v="2"/>
    <m/>
  </r>
  <r>
    <n v="1443"/>
    <n v="34"/>
    <x v="0"/>
    <x v="6"/>
    <x v="23"/>
    <n v="116.44"/>
    <x v="3"/>
    <x v="0"/>
    <n v="4"/>
    <n v="25"/>
    <n v="10"/>
    <n v="155.25333333333333"/>
    <n v="38.813333333333333"/>
    <x v="5"/>
    <m/>
  </r>
  <r>
    <n v="1444"/>
    <n v="50"/>
    <x v="1"/>
    <x v="2"/>
    <x v="10"/>
    <n v="184.94"/>
    <x v="3"/>
    <x v="0"/>
    <n v="2.5"/>
    <n v="8"/>
    <n v="4"/>
    <n v="201.02173913043478"/>
    <n v="16.081739130434784"/>
    <x v="4"/>
    <m/>
  </r>
  <r>
    <n v="1445"/>
    <n v="70"/>
    <x v="0"/>
    <x v="0"/>
    <x v="28"/>
    <n v="103.96"/>
    <x v="2"/>
    <x v="0"/>
    <n v="5"/>
    <n v="2"/>
    <n v="1"/>
    <n v="106.08163265306122"/>
    <n v="2.1216326530612264"/>
    <x v="2"/>
    <m/>
  </r>
  <r>
    <n v="1446"/>
    <n v="49"/>
    <x v="1"/>
    <x v="1"/>
    <x v="1"/>
    <n v="181.17"/>
    <x v="1"/>
    <x v="0"/>
    <n v="4.4000000000000004"/>
    <n v="18"/>
    <n v="4"/>
    <n v="220.93902439024387"/>
    <n v="39.769024390243885"/>
    <x v="4"/>
    <m/>
  </r>
  <r>
    <n v="1447"/>
    <n v="30"/>
    <x v="0"/>
    <x v="6"/>
    <x v="27"/>
    <n v="68.95"/>
    <x v="3"/>
    <x v="0"/>
    <n v="4.4000000000000004"/>
    <n v="22"/>
    <n v="6"/>
    <n v="88.397435897435898"/>
    <n v="19.447435897435895"/>
    <x v="5"/>
    <m/>
  </r>
  <r>
    <n v="1448"/>
    <n v="66"/>
    <x v="1"/>
    <x v="7"/>
    <x v="13"/>
    <n v="111.46"/>
    <x v="0"/>
    <x v="0"/>
    <n v="2.2999999999999998"/>
    <n v="10"/>
    <n v="0"/>
    <n v="123.84444444444443"/>
    <n v="12.384444444444441"/>
    <x v="2"/>
    <m/>
  </r>
  <r>
    <n v="1449"/>
    <n v="46"/>
    <x v="0"/>
    <x v="8"/>
    <x v="17"/>
    <n v="145.36000000000001"/>
    <x v="3"/>
    <x v="0"/>
    <n v="4.3"/>
    <n v="22"/>
    <n v="6"/>
    <n v="186.35897435897436"/>
    <n v="40.998974358974351"/>
    <x v="4"/>
    <m/>
  </r>
  <r>
    <n v="1450"/>
    <n v="40"/>
    <x v="0"/>
    <x v="6"/>
    <x v="6"/>
    <n v="46.27"/>
    <x v="1"/>
    <x v="0"/>
    <n v="4.5"/>
    <n v="18"/>
    <n v="4"/>
    <n v="56.426829268292686"/>
    <n v="10.156829268292682"/>
    <x v="1"/>
    <m/>
  </r>
  <r>
    <n v="1451"/>
    <n v="38"/>
    <x v="1"/>
    <x v="1"/>
    <x v="1"/>
    <n v="57.51"/>
    <x v="2"/>
    <x v="1"/>
    <n v="3.9"/>
    <n v="9"/>
    <n v="2"/>
    <n v="63.19780219780219"/>
    <n v="5.687802197802192"/>
    <x v="1"/>
    <m/>
  </r>
  <r>
    <n v="1452"/>
    <n v="55"/>
    <x v="0"/>
    <x v="8"/>
    <x v="14"/>
    <n v="138.96"/>
    <x v="0"/>
    <x v="0"/>
    <n v="4.7"/>
    <n v="25"/>
    <n v="10"/>
    <n v="185.28"/>
    <n v="46.319999999999993"/>
    <x v="0"/>
    <m/>
  </r>
  <r>
    <n v="1453"/>
    <n v="63"/>
    <x v="1"/>
    <x v="1"/>
    <x v="9"/>
    <n v="47.65"/>
    <x v="2"/>
    <x v="0"/>
    <n v="4.4000000000000004"/>
    <n v="19"/>
    <n v="7"/>
    <n v="58.827160493827158"/>
    <n v="11.177160493827159"/>
    <x v="0"/>
    <m/>
  </r>
  <r>
    <n v="1454"/>
    <n v="44"/>
    <x v="0"/>
    <x v="0"/>
    <x v="0"/>
    <n v="154.97999999999999"/>
    <x v="1"/>
    <x v="0"/>
    <n v="3.8"/>
    <n v="26"/>
    <n v="8"/>
    <n v="209.43243243243242"/>
    <n v="54.452432432432431"/>
    <x v="1"/>
    <m/>
  </r>
  <r>
    <n v="1455"/>
    <n v="58"/>
    <x v="1"/>
    <x v="4"/>
    <x v="4"/>
    <n v="60.75"/>
    <x v="0"/>
    <x v="1"/>
    <n v="4.5"/>
    <n v="25"/>
    <n v="10"/>
    <n v="81"/>
    <n v="20.25"/>
    <x v="0"/>
    <m/>
  </r>
  <r>
    <n v="1456"/>
    <n v="51"/>
    <x v="0"/>
    <x v="8"/>
    <x v="16"/>
    <n v="102.64"/>
    <x v="1"/>
    <x v="0"/>
    <n v="3.9"/>
    <n v="10"/>
    <n v="5"/>
    <n v="114.04444444444444"/>
    <n v="11.404444444444437"/>
    <x v="4"/>
    <m/>
  </r>
  <r>
    <n v="1457"/>
    <n v="21"/>
    <x v="0"/>
    <x v="0"/>
    <x v="28"/>
    <n v="98.79"/>
    <x v="0"/>
    <x v="0"/>
    <n v="3.3"/>
    <n v="4"/>
    <n v="2"/>
    <n v="102.90625000000001"/>
    <n v="4.116250000000008"/>
    <x v="3"/>
    <m/>
  </r>
  <r>
    <n v="1458"/>
    <n v="33"/>
    <x v="1"/>
    <x v="5"/>
    <x v="21"/>
    <n v="2572.06"/>
    <x v="0"/>
    <x v="0"/>
    <n v="2.7"/>
    <n v="21"/>
    <n v="8"/>
    <n v="3255.7721518987341"/>
    <n v="683.71215189873419"/>
    <x v="5"/>
    <m/>
  </r>
  <r>
    <n v="1459"/>
    <n v="26"/>
    <x v="0"/>
    <x v="7"/>
    <x v="11"/>
    <n v="240.32"/>
    <x v="0"/>
    <x v="0"/>
    <n v="4.2"/>
    <n v="18"/>
    <n v="9"/>
    <n v="293.07317073170731"/>
    <n v="52.753170731707314"/>
    <x v="5"/>
    <m/>
  </r>
  <r>
    <n v="1460"/>
    <n v="30"/>
    <x v="0"/>
    <x v="2"/>
    <x v="10"/>
    <n v="238.27"/>
    <x v="3"/>
    <x v="0"/>
    <n v="2.7"/>
    <n v="13"/>
    <n v="4"/>
    <n v="273.87356321839081"/>
    <n v="35.603563218390804"/>
    <x v="5"/>
    <m/>
  </r>
  <r>
    <n v="1461"/>
    <n v="23"/>
    <x v="0"/>
    <x v="2"/>
    <x v="10"/>
    <n v="115.62"/>
    <x v="1"/>
    <x v="0"/>
    <n v="5"/>
    <n v="13"/>
    <n v="4"/>
    <n v="132.89655172413794"/>
    <n v="17.276551724137931"/>
    <x v="3"/>
    <m/>
  </r>
  <r>
    <n v="1462"/>
    <n v="26"/>
    <x v="0"/>
    <x v="8"/>
    <x v="17"/>
    <n v="73.14"/>
    <x v="1"/>
    <x v="0"/>
    <n v="2.9"/>
    <n v="11"/>
    <n v="3"/>
    <n v="82.17977528089888"/>
    <n v="9.0397752808988798"/>
    <x v="5"/>
    <m/>
  </r>
  <r>
    <n v="1463"/>
    <n v="68"/>
    <x v="1"/>
    <x v="7"/>
    <x v="8"/>
    <n v="161.34"/>
    <x v="1"/>
    <x v="0"/>
    <n v="4.0999999999999996"/>
    <n v="10"/>
    <n v="5"/>
    <n v="179.26666666666668"/>
    <n v="17.926666666666677"/>
    <x v="2"/>
    <m/>
  </r>
  <r>
    <n v="1464"/>
    <n v="64"/>
    <x v="1"/>
    <x v="1"/>
    <x v="1"/>
    <n v="199.98"/>
    <x v="2"/>
    <x v="0"/>
    <n v="3.6"/>
    <n v="26"/>
    <n v="8"/>
    <n v="270.24324324324323"/>
    <n v="70.263243243243238"/>
    <x v="0"/>
    <m/>
  </r>
  <r>
    <n v="1465"/>
    <n v="65"/>
    <x v="0"/>
    <x v="0"/>
    <x v="22"/>
    <n v="138.32"/>
    <x v="3"/>
    <x v="0"/>
    <n v="4.9000000000000004"/>
    <n v="6"/>
    <n v="3"/>
    <n v="147.14893617021278"/>
    <n v="8.8289361702127849"/>
    <x v="2"/>
    <m/>
  </r>
  <r>
    <n v="1466"/>
    <n v="68"/>
    <x v="1"/>
    <x v="1"/>
    <x v="14"/>
    <n v="173.95"/>
    <x v="0"/>
    <x v="0"/>
    <n v="3.8"/>
    <n v="13"/>
    <n v="4"/>
    <n v="199.94252873563218"/>
    <n v="25.992528735632192"/>
    <x v="2"/>
    <m/>
  </r>
  <r>
    <n v="1467"/>
    <n v="51"/>
    <x v="1"/>
    <x v="2"/>
    <x v="12"/>
    <n v="155.72999999999999"/>
    <x v="3"/>
    <x v="0"/>
    <n v="4.5999999999999996"/>
    <n v="19"/>
    <n v="7"/>
    <n v="192.25925925925924"/>
    <n v="36.529259259259248"/>
    <x v="4"/>
    <m/>
  </r>
  <r>
    <n v="1468"/>
    <n v="43"/>
    <x v="1"/>
    <x v="5"/>
    <x v="7"/>
    <n v="1286.3599999999999"/>
    <x v="0"/>
    <x v="0"/>
    <n v="3.3"/>
    <n v="4"/>
    <n v="2"/>
    <n v="1339.9583333333333"/>
    <n v="53.598333333333358"/>
    <x v="1"/>
    <m/>
  </r>
  <r>
    <n v="1469"/>
    <n v="39"/>
    <x v="1"/>
    <x v="7"/>
    <x v="11"/>
    <n v="178.64"/>
    <x v="3"/>
    <x v="0"/>
    <n v="3.8"/>
    <n v="20"/>
    <n v="5"/>
    <n v="223.29999999999998"/>
    <n v="44.66"/>
    <x v="1"/>
    <m/>
  </r>
  <r>
    <n v="1470"/>
    <n v="56"/>
    <x v="0"/>
    <x v="6"/>
    <x v="27"/>
    <n v="48.87"/>
    <x v="2"/>
    <x v="0"/>
    <n v="3.9"/>
    <n v="16"/>
    <n v="3"/>
    <n v="58.178571428571431"/>
    <n v="9.3085714285714332"/>
    <x v="0"/>
    <m/>
  </r>
  <r>
    <n v="1471"/>
    <n v="53"/>
    <x v="0"/>
    <x v="0"/>
    <x v="28"/>
    <n v="56.39"/>
    <x v="0"/>
    <x v="0"/>
    <n v="3.1"/>
    <n v="18"/>
    <n v="4"/>
    <n v="68.768292682926827"/>
    <n v="12.378292682926826"/>
    <x v="4"/>
    <m/>
  </r>
  <r>
    <n v="1472"/>
    <n v="46"/>
    <x v="1"/>
    <x v="4"/>
    <x v="26"/>
    <n v="53.3"/>
    <x v="0"/>
    <x v="0"/>
    <n v="2.9"/>
    <n v="13"/>
    <n v="4"/>
    <n v="61.264367816091948"/>
    <n v="7.9643678160919507"/>
    <x v="4"/>
    <m/>
  </r>
  <r>
    <n v="1473"/>
    <n v="67"/>
    <x v="1"/>
    <x v="1"/>
    <x v="9"/>
    <n v="62.98"/>
    <x v="3"/>
    <x v="1"/>
    <n v="4.2"/>
    <n v="6"/>
    <n v="3"/>
    <n v="67"/>
    <n v="4.0200000000000031"/>
    <x v="2"/>
    <m/>
  </r>
  <r>
    <n v="1474"/>
    <n v="59"/>
    <x v="1"/>
    <x v="2"/>
    <x v="2"/>
    <n v="152.31"/>
    <x v="0"/>
    <x v="0"/>
    <n v="3.9"/>
    <n v="16"/>
    <n v="3"/>
    <n v="181.32142857142858"/>
    <n v="29.011428571428581"/>
    <x v="0"/>
    <m/>
  </r>
  <r>
    <n v="1475"/>
    <n v="51"/>
    <x v="0"/>
    <x v="6"/>
    <x v="27"/>
    <n v="46.25"/>
    <x v="2"/>
    <x v="0"/>
    <n v="3.9"/>
    <n v="18"/>
    <n v="4"/>
    <n v="56.40243902439024"/>
    <n v="10.15243902439024"/>
    <x v="4"/>
    <m/>
  </r>
  <r>
    <n v="1476"/>
    <n v="22"/>
    <x v="0"/>
    <x v="7"/>
    <x v="8"/>
    <n v="217.07"/>
    <x v="2"/>
    <x v="0"/>
    <n v="3.4"/>
    <n v="16"/>
    <n v="3"/>
    <n v="258.41666666666669"/>
    <n v="41.346666666666692"/>
    <x v="3"/>
    <m/>
  </r>
  <r>
    <n v="1477"/>
    <n v="53"/>
    <x v="0"/>
    <x v="0"/>
    <x v="22"/>
    <n v="46.68"/>
    <x v="0"/>
    <x v="1"/>
    <n v="4.4000000000000004"/>
    <n v="12"/>
    <n v="6"/>
    <n v="53.045454545454547"/>
    <n v="6.365454545454547"/>
    <x v="4"/>
    <m/>
  </r>
  <r>
    <n v="1478"/>
    <n v="70"/>
    <x v="0"/>
    <x v="8"/>
    <x v="17"/>
    <n v="186.33"/>
    <x v="1"/>
    <x v="0"/>
    <n v="4.5999999999999996"/>
    <n v="10"/>
    <n v="5"/>
    <n v="207.03333333333333"/>
    <n v="20.703333333333319"/>
    <x v="2"/>
    <m/>
  </r>
  <r>
    <n v="1479"/>
    <n v="44"/>
    <x v="0"/>
    <x v="6"/>
    <x v="6"/>
    <n v="34.06"/>
    <x v="0"/>
    <x v="0"/>
    <n v="2.8"/>
    <n v="17"/>
    <n v="6"/>
    <n v="41.036144578313255"/>
    <n v="6.976144578313253"/>
    <x v="1"/>
    <m/>
  </r>
  <r>
    <n v="1480"/>
    <n v="47"/>
    <x v="1"/>
    <x v="7"/>
    <x v="11"/>
    <n v="119.82"/>
    <x v="0"/>
    <x v="0"/>
    <n v="3.5"/>
    <n v="13"/>
    <n v="4"/>
    <n v="137.72413793103448"/>
    <n v="17.904137931034484"/>
    <x v="4"/>
    <m/>
  </r>
  <r>
    <n v="1481"/>
    <n v="38"/>
    <x v="0"/>
    <x v="3"/>
    <x v="15"/>
    <n v="294.52"/>
    <x v="0"/>
    <x v="0"/>
    <n v="3.8"/>
    <n v="16"/>
    <n v="8"/>
    <n v="350.61904761904759"/>
    <n v="56.09904761904761"/>
    <x v="1"/>
    <m/>
  </r>
  <r>
    <n v="1482"/>
    <n v="46"/>
    <x v="1"/>
    <x v="4"/>
    <x v="19"/>
    <n v="71.239999999999995"/>
    <x v="3"/>
    <x v="0"/>
    <n v="4.3"/>
    <n v="15"/>
    <n v="5"/>
    <n v="83.811764705882354"/>
    <n v="12.571764705882359"/>
    <x v="4"/>
    <m/>
  </r>
  <r>
    <n v="1483"/>
    <n v="30"/>
    <x v="0"/>
    <x v="8"/>
    <x v="14"/>
    <n v="151.65"/>
    <x v="3"/>
    <x v="0"/>
    <n v="3.5"/>
    <n v="18"/>
    <n v="4"/>
    <n v="184.9390243902439"/>
    <n v="33.289024390243895"/>
    <x v="5"/>
    <m/>
  </r>
  <r>
    <n v="1484"/>
    <n v="36"/>
    <x v="1"/>
    <x v="2"/>
    <x v="12"/>
    <n v="80.95"/>
    <x v="3"/>
    <x v="0"/>
    <n v="4"/>
    <n v="17"/>
    <n v="6"/>
    <n v="97.530120481927725"/>
    <n v="16.580120481927722"/>
    <x v="1"/>
    <m/>
  </r>
  <r>
    <n v="1485"/>
    <n v="67"/>
    <x v="1"/>
    <x v="2"/>
    <x v="2"/>
    <n v="185.85"/>
    <x v="3"/>
    <x v="0"/>
    <n v="5"/>
    <n v="20"/>
    <n v="10"/>
    <n v="232.31249999999997"/>
    <n v="46.462499999999977"/>
    <x v="2"/>
    <m/>
  </r>
  <r>
    <n v="1486"/>
    <n v="32"/>
    <x v="1"/>
    <x v="7"/>
    <x v="8"/>
    <n v="77.209999999999994"/>
    <x v="0"/>
    <x v="0"/>
    <n v="4.0999999999999996"/>
    <n v="16"/>
    <n v="3"/>
    <n v="91.916666666666657"/>
    <n v="14.706666666666663"/>
    <x v="5"/>
    <m/>
  </r>
  <r>
    <n v="1487"/>
    <n v="66"/>
    <x v="0"/>
    <x v="8"/>
    <x v="16"/>
    <n v="192.04"/>
    <x v="2"/>
    <x v="0"/>
    <n v="3.9"/>
    <n v="15"/>
    <n v="5"/>
    <n v="225.92941176470589"/>
    <n v="33.889411764705898"/>
    <x v="2"/>
    <m/>
  </r>
  <r>
    <n v="1488"/>
    <n v="60"/>
    <x v="0"/>
    <x v="7"/>
    <x v="13"/>
    <n v="73.34"/>
    <x v="3"/>
    <x v="1"/>
    <n v="4.8"/>
    <n v="17"/>
    <n v="6"/>
    <n v="88.361445783132538"/>
    <n v="15.021445783132535"/>
    <x v="0"/>
    <m/>
  </r>
  <r>
    <n v="1489"/>
    <n v="35"/>
    <x v="0"/>
    <x v="7"/>
    <x v="8"/>
    <n v="239.36"/>
    <x v="3"/>
    <x v="0"/>
    <n v="4.3"/>
    <n v="20"/>
    <n v="5"/>
    <n v="299.2"/>
    <n v="59.839999999999975"/>
    <x v="1"/>
    <m/>
  </r>
  <r>
    <n v="1490"/>
    <n v="26"/>
    <x v="0"/>
    <x v="8"/>
    <x v="14"/>
    <n v="175.79"/>
    <x v="2"/>
    <x v="0"/>
    <n v="3"/>
    <n v="15"/>
    <n v="5"/>
    <n v="206.81176470588235"/>
    <n v="31.021764705882362"/>
    <x v="5"/>
    <m/>
  </r>
  <r>
    <n v="1491"/>
    <n v="57"/>
    <x v="0"/>
    <x v="6"/>
    <x v="27"/>
    <n v="24.93"/>
    <x v="2"/>
    <x v="0"/>
    <n v="4.7"/>
    <n v="18"/>
    <n v="4"/>
    <n v="30.40243902439024"/>
    <n v="5.4724390243902405"/>
    <x v="0"/>
    <m/>
  </r>
  <r>
    <n v="1492"/>
    <n v="47"/>
    <x v="0"/>
    <x v="4"/>
    <x v="29"/>
    <n v="34.74"/>
    <x v="1"/>
    <x v="1"/>
    <n v="4.3"/>
    <n v="18"/>
    <n v="4"/>
    <n v="42.365853658536587"/>
    <n v="7.6258536585365846"/>
    <x v="4"/>
    <m/>
  </r>
  <r>
    <n v="1493"/>
    <n v="46"/>
    <x v="1"/>
    <x v="4"/>
    <x v="19"/>
    <n v="36.61"/>
    <x v="3"/>
    <x v="0"/>
    <n v="4"/>
    <n v="24"/>
    <n v="7"/>
    <n v="48.171052631578945"/>
    <n v="11.561052631578946"/>
    <x v="4"/>
    <m/>
  </r>
  <r>
    <n v="1494"/>
    <n v="29"/>
    <x v="1"/>
    <x v="5"/>
    <x v="5"/>
    <n v="2302.21"/>
    <x v="2"/>
    <x v="0"/>
    <n v="3.1"/>
    <n v="20"/>
    <n v="5"/>
    <n v="2877.7624999999998"/>
    <n v="575.55249999999978"/>
    <x v="5"/>
    <m/>
  </r>
  <r>
    <n v="1495"/>
    <n v="33"/>
    <x v="0"/>
    <x v="6"/>
    <x v="27"/>
    <n v="48.6"/>
    <x v="3"/>
    <x v="1"/>
    <n v="4.0999999999999996"/>
    <n v="11"/>
    <n v="3"/>
    <n v="54.606741573033709"/>
    <n v="6.0067415730337075"/>
    <x v="5"/>
    <m/>
  </r>
  <r>
    <n v="1496"/>
    <n v="26"/>
    <x v="1"/>
    <x v="5"/>
    <x v="21"/>
    <n v="534.41"/>
    <x v="0"/>
    <x v="0"/>
    <n v="3.6"/>
    <n v="6"/>
    <n v="3"/>
    <n v="568.52127659574467"/>
    <n v="34.111276595744698"/>
    <x v="5"/>
    <m/>
  </r>
  <r>
    <n v="1497"/>
    <n v="67"/>
    <x v="0"/>
    <x v="0"/>
    <x v="0"/>
    <n v="175.36"/>
    <x v="3"/>
    <x v="0"/>
    <n v="4.0999999999999996"/>
    <n v="26"/>
    <n v="8"/>
    <n v="236.972972972973"/>
    <n v="61.612972972972983"/>
    <x v="2"/>
    <m/>
  </r>
  <r>
    <n v="1498"/>
    <n v="21"/>
    <x v="0"/>
    <x v="0"/>
    <x v="0"/>
    <n v="34.6"/>
    <x v="3"/>
    <x v="1"/>
    <n v="3.1"/>
    <n v="22"/>
    <n v="6"/>
    <n v="44.358974358974358"/>
    <n v="9.7589743589743563"/>
    <x v="3"/>
    <m/>
  </r>
  <r>
    <n v="1499"/>
    <n v="26"/>
    <x v="1"/>
    <x v="2"/>
    <x v="10"/>
    <n v="118.37"/>
    <x v="3"/>
    <x v="0"/>
    <n v="3.1"/>
    <n v="2"/>
    <n v="1"/>
    <n v="120.78571428571429"/>
    <n v="2.4157142857142873"/>
    <x v="5"/>
    <m/>
  </r>
  <r>
    <n v="1500"/>
    <n v="55"/>
    <x v="1"/>
    <x v="7"/>
    <x v="8"/>
    <n v="203.25"/>
    <x v="1"/>
    <x v="0"/>
    <n v="4.3"/>
    <n v="18"/>
    <n v="4"/>
    <n v="247.86585365853657"/>
    <n v="44.615853658536565"/>
    <x v="0"/>
    <m/>
  </r>
  <r>
    <n v="1501"/>
    <n v="23"/>
    <x v="0"/>
    <x v="7"/>
    <x v="8"/>
    <n v="133.44"/>
    <x v="3"/>
    <x v="0"/>
    <n v="4.7"/>
    <n v="12"/>
    <n v="6"/>
    <n v="151.63636363636363"/>
    <n v="18.196363636363628"/>
    <x v="3"/>
    <m/>
  </r>
  <r>
    <n v="1502"/>
    <n v="21"/>
    <x v="0"/>
    <x v="0"/>
    <x v="0"/>
    <n v="100"/>
    <x v="1"/>
    <x v="1"/>
    <n v="4.0999999999999996"/>
    <n v="15"/>
    <n v="5"/>
    <n v="117.64705882352942"/>
    <n v="17.64705882352942"/>
    <x v="3"/>
    <m/>
  </r>
  <r>
    <n v="1503"/>
    <n v="23"/>
    <x v="0"/>
    <x v="3"/>
    <x v="24"/>
    <n v="55.34"/>
    <x v="2"/>
    <x v="0"/>
    <n v="4.2"/>
    <n v="17"/>
    <n v="6"/>
    <n v="66.674698795180731"/>
    <n v="11.334698795180728"/>
    <x v="3"/>
    <m/>
  </r>
  <r>
    <n v="1504"/>
    <n v="36"/>
    <x v="0"/>
    <x v="7"/>
    <x v="8"/>
    <n v="136.43"/>
    <x v="1"/>
    <x v="0"/>
    <n v="4"/>
    <n v="12"/>
    <n v="6"/>
    <n v="155.03409090909091"/>
    <n v="18.6040909090909"/>
    <x v="1"/>
    <m/>
  </r>
  <r>
    <n v="1505"/>
    <n v="35"/>
    <x v="0"/>
    <x v="8"/>
    <x v="17"/>
    <n v="67.510000000000005"/>
    <x v="1"/>
    <x v="0"/>
    <n v="4.0999999999999996"/>
    <n v="10"/>
    <n v="5"/>
    <n v="75.01111111111112"/>
    <n v="7.5011111111111148"/>
    <x v="1"/>
    <m/>
  </r>
  <r>
    <n v="1506"/>
    <n v="29"/>
    <x v="1"/>
    <x v="7"/>
    <x v="13"/>
    <n v="245.39"/>
    <x v="2"/>
    <x v="0"/>
    <n v="4.5"/>
    <n v="15"/>
    <n v="5"/>
    <n v="288.69411764705882"/>
    <n v="43.304117647058831"/>
    <x v="5"/>
    <m/>
  </r>
  <r>
    <n v="1507"/>
    <n v="20"/>
    <x v="1"/>
    <x v="7"/>
    <x v="8"/>
    <n v="113.11"/>
    <x v="3"/>
    <x v="0"/>
    <n v="3.4"/>
    <n v="8"/>
    <n v="4"/>
    <n v="122.94565217391303"/>
    <n v="9.8356521739130329"/>
    <x v="3"/>
    <m/>
  </r>
  <r>
    <n v="1508"/>
    <n v="64"/>
    <x v="0"/>
    <x v="7"/>
    <x v="11"/>
    <n v="80.180000000000007"/>
    <x v="1"/>
    <x v="0"/>
    <n v="4.4000000000000004"/>
    <n v="13"/>
    <n v="4"/>
    <n v="92.160919540229898"/>
    <n v="11.980919540229891"/>
    <x v="0"/>
    <m/>
  </r>
  <r>
    <n v="1509"/>
    <n v="67"/>
    <x v="1"/>
    <x v="5"/>
    <x v="5"/>
    <n v="1105.76"/>
    <x v="2"/>
    <x v="0"/>
    <n v="3.8"/>
    <n v="19"/>
    <n v="7"/>
    <n v="1365.1358024691358"/>
    <n v="259.37580246913581"/>
    <x v="2"/>
    <m/>
  </r>
  <r>
    <n v="1510"/>
    <n v="26"/>
    <x v="0"/>
    <x v="7"/>
    <x v="8"/>
    <n v="96.55"/>
    <x v="2"/>
    <x v="1"/>
    <n v="4.5"/>
    <n v="10"/>
    <n v="5"/>
    <n v="107.27777777777777"/>
    <n v="10.727777777777774"/>
    <x v="5"/>
    <m/>
  </r>
  <r>
    <n v="1511"/>
    <n v="54"/>
    <x v="1"/>
    <x v="2"/>
    <x v="12"/>
    <n v="106.35"/>
    <x v="1"/>
    <x v="0"/>
    <n v="4.8"/>
    <n v="16"/>
    <n v="8"/>
    <n v="126.60714285714286"/>
    <n v="20.257142857142867"/>
    <x v="4"/>
    <m/>
  </r>
  <r>
    <n v="1512"/>
    <n v="28"/>
    <x v="0"/>
    <x v="4"/>
    <x v="4"/>
    <n v="13.26"/>
    <x v="1"/>
    <x v="1"/>
    <n v="4.4000000000000004"/>
    <n v="14"/>
    <n v="2"/>
    <n v="15.418604651162791"/>
    <n v="2.1586046511627917"/>
    <x v="5"/>
    <m/>
  </r>
  <r>
    <n v="1513"/>
    <n v="64"/>
    <x v="0"/>
    <x v="8"/>
    <x v="17"/>
    <n v="180.55"/>
    <x v="1"/>
    <x v="0"/>
    <n v="3.9"/>
    <n v="4"/>
    <n v="2"/>
    <n v="188.07291666666669"/>
    <n v="7.5229166666666742"/>
    <x v="0"/>
    <m/>
  </r>
  <r>
    <n v="1514"/>
    <n v="32"/>
    <x v="0"/>
    <x v="8"/>
    <x v="16"/>
    <n v="156.68"/>
    <x v="0"/>
    <x v="0"/>
    <n v="4.3"/>
    <n v="6"/>
    <n v="3"/>
    <n v="166.68085106382981"/>
    <n v="10.000851063829799"/>
    <x v="5"/>
    <m/>
  </r>
  <r>
    <n v="1515"/>
    <n v="44"/>
    <x v="1"/>
    <x v="2"/>
    <x v="10"/>
    <n v="187.98"/>
    <x v="2"/>
    <x v="0"/>
    <n v="3.6"/>
    <n v="19"/>
    <n v="7"/>
    <n v="232.07407407407405"/>
    <n v="44.094074074074058"/>
    <x v="1"/>
    <m/>
  </r>
  <r>
    <n v="1516"/>
    <n v="31"/>
    <x v="0"/>
    <x v="6"/>
    <x v="6"/>
    <n v="117.64"/>
    <x v="2"/>
    <x v="0"/>
    <n v="3.8"/>
    <n v="21"/>
    <n v="8"/>
    <n v="148.91139240506328"/>
    <n v="31.271392405063281"/>
    <x v="5"/>
    <m/>
  </r>
  <r>
    <n v="1517"/>
    <n v="46"/>
    <x v="1"/>
    <x v="2"/>
    <x v="12"/>
    <n v="153.87"/>
    <x v="2"/>
    <x v="0"/>
    <n v="4.3"/>
    <n v="12"/>
    <n v="6"/>
    <n v="174.85227272727272"/>
    <n v="20.982272727272715"/>
    <x v="4"/>
    <m/>
  </r>
  <r>
    <n v="1518"/>
    <n v="23"/>
    <x v="0"/>
    <x v="2"/>
    <x v="12"/>
    <n v="42.64"/>
    <x v="1"/>
    <x v="0"/>
    <n v="3.4"/>
    <n v="4"/>
    <n v="2"/>
    <n v="44.416666666666671"/>
    <n v="1.7766666666666708"/>
    <x v="3"/>
    <m/>
  </r>
  <r>
    <n v="1519"/>
    <n v="31"/>
    <x v="1"/>
    <x v="5"/>
    <x v="7"/>
    <n v="2438.54"/>
    <x v="3"/>
    <x v="0"/>
    <n v="4.5"/>
    <n v="8"/>
    <n v="4"/>
    <n v="2650.586956521739"/>
    <n v="212.04695652173905"/>
    <x v="5"/>
    <m/>
  </r>
  <r>
    <n v="1520"/>
    <n v="47"/>
    <x v="1"/>
    <x v="7"/>
    <x v="11"/>
    <n v="135.83000000000001"/>
    <x v="2"/>
    <x v="0"/>
    <n v="4.5999999999999996"/>
    <n v="17"/>
    <n v="6"/>
    <n v="163.65060240963857"/>
    <n v="27.820602409638553"/>
    <x v="4"/>
    <m/>
  </r>
  <r>
    <n v="1521"/>
    <n v="43"/>
    <x v="1"/>
    <x v="7"/>
    <x v="11"/>
    <n v="160.25"/>
    <x v="2"/>
    <x v="0"/>
    <n v="4.8"/>
    <n v="28"/>
    <n v="9"/>
    <n v="222.56944444444446"/>
    <n v="62.319444444444457"/>
    <x v="1"/>
    <m/>
  </r>
  <r>
    <n v="1522"/>
    <n v="27"/>
    <x v="0"/>
    <x v="6"/>
    <x v="23"/>
    <n v="68.53"/>
    <x v="1"/>
    <x v="0"/>
    <n v="3.7"/>
    <n v="17"/>
    <n v="6"/>
    <n v="82.566265060240966"/>
    <n v="14.036265060240964"/>
    <x v="5"/>
    <m/>
  </r>
  <r>
    <n v="1523"/>
    <n v="37"/>
    <x v="0"/>
    <x v="8"/>
    <x v="16"/>
    <n v="64.5"/>
    <x v="0"/>
    <x v="1"/>
    <n v="4"/>
    <n v="6"/>
    <n v="3"/>
    <n v="68.61702127659575"/>
    <n v="4.1170212765957501"/>
    <x v="1"/>
    <m/>
  </r>
  <r>
    <n v="1524"/>
    <n v="57"/>
    <x v="0"/>
    <x v="2"/>
    <x v="12"/>
    <n v="213.01"/>
    <x v="2"/>
    <x v="0"/>
    <n v="4.3"/>
    <n v="9"/>
    <n v="2"/>
    <n v="234.07692307692307"/>
    <n v="21.066923076923075"/>
    <x v="0"/>
    <m/>
  </r>
  <r>
    <n v="1525"/>
    <n v="44"/>
    <x v="1"/>
    <x v="7"/>
    <x v="13"/>
    <n v="175.76"/>
    <x v="1"/>
    <x v="0"/>
    <n v="4.7"/>
    <n v="21"/>
    <n v="8"/>
    <n v="222.48101265822783"/>
    <n v="46.721012658227835"/>
    <x v="1"/>
    <m/>
  </r>
  <r>
    <n v="1526"/>
    <n v="51"/>
    <x v="1"/>
    <x v="7"/>
    <x v="8"/>
    <n v="136.07"/>
    <x v="1"/>
    <x v="0"/>
    <n v="4.3"/>
    <n v="26"/>
    <n v="8"/>
    <n v="183.87837837837836"/>
    <n v="47.808378378378364"/>
    <x v="4"/>
    <m/>
  </r>
  <r>
    <n v="1527"/>
    <n v="66"/>
    <x v="1"/>
    <x v="5"/>
    <x v="25"/>
    <n v="632.67999999999995"/>
    <x v="2"/>
    <x v="0"/>
    <n v="5"/>
    <n v="24"/>
    <n v="7"/>
    <n v="832.47368421052624"/>
    <n v="199.79368421052629"/>
    <x v="2"/>
    <m/>
  </r>
  <r>
    <n v="1528"/>
    <n v="68"/>
    <x v="1"/>
    <x v="2"/>
    <x v="2"/>
    <n v="213.91"/>
    <x v="3"/>
    <x v="0"/>
    <n v="3.3"/>
    <n v="4"/>
    <n v="2"/>
    <n v="222.82291666666666"/>
    <n v="8.9129166666666606"/>
    <x v="2"/>
    <m/>
  </r>
  <r>
    <n v="1529"/>
    <n v="52"/>
    <x v="1"/>
    <x v="5"/>
    <x v="5"/>
    <n v="631.19000000000005"/>
    <x v="3"/>
    <x v="0"/>
    <n v="4.7"/>
    <n v="17"/>
    <n v="6"/>
    <n v="760.46987951807239"/>
    <n v="129.27987951807233"/>
    <x v="4"/>
    <m/>
  </r>
  <r>
    <n v="1530"/>
    <n v="30"/>
    <x v="0"/>
    <x v="7"/>
    <x v="11"/>
    <n v="122.86"/>
    <x v="2"/>
    <x v="0"/>
    <n v="2.9"/>
    <n v="10"/>
    <n v="5"/>
    <n v="136.51111111111112"/>
    <n v="13.651111111111121"/>
    <x v="5"/>
    <m/>
  </r>
  <r>
    <n v="1531"/>
    <n v="50"/>
    <x v="0"/>
    <x v="8"/>
    <x v="16"/>
    <n v="146.57"/>
    <x v="0"/>
    <x v="0"/>
    <n v="3.3"/>
    <n v="17"/>
    <n v="6"/>
    <n v="176.59036144578315"/>
    <n v="30.020361445783152"/>
    <x v="4"/>
    <m/>
  </r>
  <r>
    <n v="1532"/>
    <n v="58"/>
    <x v="1"/>
    <x v="3"/>
    <x v="15"/>
    <n v="171.7"/>
    <x v="2"/>
    <x v="0"/>
    <n v="3.7"/>
    <n v="12"/>
    <n v="6"/>
    <n v="195.11363636363635"/>
    <n v="23.413636363636357"/>
    <x v="0"/>
    <m/>
  </r>
  <r>
    <n v="1533"/>
    <n v="36"/>
    <x v="1"/>
    <x v="5"/>
    <x v="7"/>
    <n v="1385.6"/>
    <x v="1"/>
    <x v="0"/>
    <n v="3.4"/>
    <n v="8"/>
    <n v="4"/>
    <n v="1506.086956521739"/>
    <n v="120.4869565217391"/>
    <x v="1"/>
    <m/>
  </r>
  <r>
    <n v="1534"/>
    <n v="38"/>
    <x v="1"/>
    <x v="1"/>
    <x v="14"/>
    <n v="91"/>
    <x v="1"/>
    <x v="1"/>
    <n v="4.2"/>
    <n v="14"/>
    <n v="7"/>
    <n v="105.81395348837209"/>
    <n v="14.813953488372093"/>
    <x v="1"/>
    <m/>
  </r>
  <r>
    <n v="1535"/>
    <n v="23"/>
    <x v="1"/>
    <x v="7"/>
    <x v="13"/>
    <n v="191.42"/>
    <x v="2"/>
    <x v="0"/>
    <n v="3.9"/>
    <n v="18"/>
    <n v="4"/>
    <n v="233.43902439024387"/>
    <n v="42.019024390243885"/>
    <x v="3"/>
    <m/>
  </r>
  <r>
    <n v="1536"/>
    <n v="56"/>
    <x v="0"/>
    <x v="0"/>
    <x v="0"/>
    <n v="114.28"/>
    <x v="3"/>
    <x v="0"/>
    <n v="4"/>
    <n v="20"/>
    <n v="5"/>
    <n v="142.85"/>
    <n v="28.569999999999993"/>
    <x v="0"/>
    <m/>
  </r>
  <r>
    <n v="1537"/>
    <n v="46"/>
    <x v="1"/>
    <x v="4"/>
    <x v="4"/>
    <n v="48.42"/>
    <x v="3"/>
    <x v="0"/>
    <n v="3.7"/>
    <n v="19"/>
    <n v="7"/>
    <n v="59.777777777777779"/>
    <n v="11.357777777777777"/>
    <x v="4"/>
    <m/>
  </r>
  <r>
    <n v="1538"/>
    <n v="48"/>
    <x v="1"/>
    <x v="7"/>
    <x v="13"/>
    <n v="84.31"/>
    <x v="1"/>
    <x v="1"/>
    <n v="4.5"/>
    <n v="10"/>
    <n v="0"/>
    <n v="93.677777777777777"/>
    <n v="9.3677777777777749"/>
    <x v="4"/>
    <m/>
  </r>
  <r>
    <n v="1539"/>
    <n v="40"/>
    <x v="1"/>
    <x v="7"/>
    <x v="11"/>
    <n v="73.92"/>
    <x v="1"/>
    <x v="0"/>
    <n v="3.4"/>
    <n v="24"/>
    <n v="7"/>
    <n v="97.26315789473685"/>
    <n v="23.343157894736848"/>
    <x v="1"/>
    <m/>
  </r>
  <r>
    <n v="1540"/>
    <n v="47"/>
    <x v="1"/>
    <x v="7"/>
    <x v="11"/>
    <n v="67.400000000000006"/>
    <x v="3"/>
    <x v="1"/>
    <n v="4.3"/>
    <n v="7"/>
    <n v="1"/>
    <n v="72.473118279569903"/>
    <n v="5.073118279569897"/>
    <x v="4"/>
    <m/>
  </r>
  <r>
    <n v="1541"/>
    <n v="67"/>
    <x v="1"/>
    <x v="3"/>
    <x v="24"/>
    <n v="295.08999999999997"/>
    <x v="0"/>
    <x v="0"/>
    <n v="3.6"/>
    <n v="4"/>
    <n v="2"/>
    <n v="307.38541666666663"/>
    <n v="12.295416666666654"/>
    <x v="2"/>
    <m/>
  </r>
  <r>
    <n v="1542"/>
    <n v="30"/>
    <x v="0"/>
    <x v="7"/>
    <x v="13"/>
    <n v="121.3"/>
    <x v="1"/>
    <x v="0"/>
    <n v="3.1"/>
    <n v="10"/>
    <n v="5"/>
    <n v="134.77777777777777"/>
    <n v="13.477777777777774"/>
    <x v="5"/>
    <m/>
  </r>
  <r>
    <n v="1543"/>
    <n v="46"/>
    <x v="1"/>
    <x v="5"/>
    <x v="25"/>
    <n v="2344.0300000000002"/>
    <x v="0"/>
    <x v="0"/>
    <n v="4.8"/>
    <n v="17"/>
    <n v="6"/>
    <n v="2824.1325301204824"/>
    <n v="480.10253012048224"/>
    <x v="4"/>
    <m/>
  </r>
  <r>
    <n v="1544"/>
    <n v="64"/>
    <x v="0"/>
    <x v="6"/>
    <x v="23"/>
    <n v="87.85"/>
    <x v="1"/>
    <x v="1"/>
    <n v="2.1"/>
    <n v="16"/>
    <n v="8"/>
    <n v="104.58333333333333"/>
    <n v="16.733333333333334"/>
    <x v="0"/>
    <m/>
  </r>
  <r>
    <n v="1545"/>
    <n v="50"/>
    <x v="0"/>
    <x v="6"/>
    <x v="23"/>
    <n v="31.22"/>
    <x v="1"/>
    <x v="0"/>
    <n v="3.8"/>
    <n v="20"/>
    <n v="10"/>
    <n v="39.024999999999999"/>
    <n v="7.8049999999999997"/>
    <x v="4"/>
    <m/>
  </r>
  <r>
    <n v="1546"/>
    <n v="60"/>
    <x v="0"/>
    <x v="0"/>
    <x v="28"/>
    <n v="74.33"/>
    <x v="2"/>
    <x v="0"/>
    <n v="3.8"/>
    <n v="24"/>
    <n v="7"/>
    <n v="97.80263157894737"/>
    <n v="23.472631578947372"/>
    <x v="0"/>
    <m/>
  </r>
  <r>
    <n v="1547"/>
    <n v="36"/>
    <x v="0"/>
    <x v="2"/>
    <x v="12"/>
    <n v="142.80000000000001"/>
    <x v="2"/>
    <x v="0"/>
    <n v="5"/>
    <n v="18"/>
    <n v="4"/>
    <n v="174.14634146341464"/>
    <n v="31.346341463414632"/>
    <x v="1"/>
    <m/>
  </r>
  <r>
    <n v="1548"/>
    <n v="25"/>
    <x v="1"/>
    <x v="2"/>
    <x v="2"/>
    <n v="76.08"/>
    <x v="3"/>
    <x v="0"/>
    <n v="3.7"/>
    <n v="16"/>
    <n v="3"/>
    <n v="90.571428571428569"/>
    <n v="14.491428571428571"/>
    <x v="5"/>
    <m/>
  </r>
  <r>
    <n v="1549"/>
    <n v="59"/>
    <x v="1"/>
    <x v="1"/>
    <x v="1"/>
    <n v="71.09"/>
    <x v="1"/>
    <x v="1"/>
    <n v="3.8"/>
    <n v="10"/>
    <n v="5"/>
    <n v="78.988888888888894"/>
    <n v="7.8988888888888908"/>
    <x v="0"/>
    <m/>
  </r>
  <r>
    <n v="1550"/>
    <n v="21"/>
    <x v="1"/>
    <x v="7"/>
    <x v="13"/>
    <n v="210.67"/>
    <x v="2"/>
    <x v="0"/>
    <n v="3.4"/>
    <n v="6"/>
    <n v="3"/>
    <n v="224.11702127659575"/>
    <n v="13.447021276595763"/>
    <x v="3"/>
    <m/>
  </r>
  <r>
    <n v="1551"/>
    <n v="21"/>
    <x v="0"/>
    <x v="6"/>
    <x v="6"/>
    <n v="131.55000000000001"/>
    <x v="3"/>
    <x v="0"/>
    <n v="4.3"/>
    <n v="13"/>
    <n v="4"/>
    <n v="151.20689655172416"/>
    <n v="19.656896551724145"/>
    <x v="3"/>
    <m/>
  </r>
  <r>
    <n v="1552"/>
    <n v="28"/>
    <x v="1"/>
    <x v="2"/>
    <x v="12"/>
    <n v="123.55"/>
    <x v="3"/>
    <x v="0"/>
    <n v="4.0999999999999996"/>
    <n v="21"/>
    <n v="8"/>
    <n v="156.39240506329114"/>
    <n v="32.842405063291139"/>
    <x v="5"/>
    <m/>
  </r>
  <r>
    <n v="1553"/>
    <n v="21"/>
    <x v="0"/>
    <x v="0"/>
    <x v="0"/>
    <n v="130.77000000000001"/>
    <x v="2"/>
    <x v="0"/>
    <n v="4.8"/>
    <n v="4"/>
    <n v="2"/>
    <n v="136.21875000000003"/>
    <n v="5.4487500000000182"/>
    <x v="3"/>
    <m/>
  </r>
  <r>
    <n v="1554"/>
    <n v="56"/>
    <x v="1"/>
    <x v="1"/>
    <x v="20"/>
    <n v="110.31"/>
    <x v="3"/>
    <x v="0"/>
    <n v="3"/>
    <n v="2"/>
    <n v="1"/>
    <n v="112.56122448979592"/>
    <n v="2.2512244897959164"/>
    <x v="0"/>
    <m/>
  </r>
  <r>
    <n v="1555"/>
    <n v="29"/>
    <x v="1"/>
    <x v="2"/>
    <x v="10"/>
    <n v="238.27"/>
    <x v="2"/>
    <x v="0"/>
    <n v="5"/>
    <n v="14"/>
    <n v="2"/>
    <n v="277.05813953488376"/>
    <n v="38.788139534883754"/>
    <x v="5"/>
    <m/>
  </r>
  <r>
    <n v="1556"/>
    <n v="20"/>
    <x v="1"/>
    <x v="3"/>
    <x v="24"/>
    <n v="201.69"/>
    <x v="0"/>
    <x v="0"/>
    <n v="2.9"/>
    <n v="23"/>
    <n v="9"/>
    <n v="261.93506493506493"/>
    <n v="60.245064935064931"/>
    <x v="3"/>
    <m/>
  </r>
  <r>
    <n v="1557"/>
    <n v="49"/>
    <x v="0"/>
    <x v="2"/>
    <x v="12"/>
    <n v="199.72"/>
    <x v="0"/>
    <x v="0"/>
    <n v="3.9"/>
    <n v="24"/>
    <n v="7"/>
    <n v="262.78947368421052"/>
    <n v="63.069473684210521"/>
    <x v="4"/>
    <m/>
  </r>
  <r>
    <n v="1558"/>
    <n v="48"/>
    <x v="1"/>
    <x v="3"/>
    <x v="15"/>
    <n v="113.79"/>
    <x v="2"/>
    <x v="0"/>
    <n v="3.3"/>
    <n v="2"/>
    <n v="1"/>
    <n v="116.11224489795919"/>
    <n v="2.3222448979591803"/>
    <x v="4"/>
    <m/>
  </r>
  <r>
    <n v="1559"/>
    <n v="42"/>
    <x v="1"/>
    <x v="2"/>
    <x v="2"/>
    <n v="216.19"/>
    <x v="2"/>
    <x v="0"/>
    <n v="4.5"/>
    <n v="13"/>
    <n v="4"/>
    <n v="248.49425287356323"/>
    <n v="32.304252873563229"/>
    <x v="1"/>
    <m/>
  </r>
  <r>
    <n v="1560"/>
    <n v="35"/>
    <x v="0"/>
    <x v="0"/>
    <x v="28"/>
    <n v="157.94999999999999"/>
    <x v="1"/>
    <x v="0"/>
    <n v="3.8"/>
    <n v="14"/>
    <n v="2"/>
    <n v="183.66279069767441"/>
    <n v="25.712790697674421"/>
    <x v="1"/>
    <m/>
  </r>
  <r>
    <n v="1561"/>
    <n v="61"/>
    <x v="0"/>
    <x v="8"/>
    <x v="16"/>
    <n v="144.71"/>
    <x v="1"/>
    <x v="0"/>
    <n v="5"/>
    <n v="16"/>
    <n v="8"/>
    <n v="172.27380952380955"/>
    <n v="27.563809523809539"/>
    <x v="0"/>
    <m/>
  </r>
  <r>
    <n v="1562"/>
    <n v="27"/>
    <x v="1"/>
    <x v="2"/>
    <x v="10"/>
    <n v="123.19"/>
    <x v="2"/>
    <x v="0"/>
    <n v="5"/>
    <n v="12"/>
    <n v="6"/>
    <n v="139.98863636363637"/>
    <n v="16.798636363636376"/>
    <x v="5"/>
    <m/>
  </r>
  <r>
    <n v="1563"/>
    <n v="56"/>
    <x v="1"/>
    <x v="2"/>
    <x v="12"/>
    <n v="174.68"/>
    <x v="0"/>
    <x v="0"/>
    <n v="3.1"/>
    <n v="22"/>
    <n v="6"/>
    <n v="223.94871794871796"/>
    <n v="49.268717948717949"/>
    <x v="0"/>
    <m/>
  </r>
  <r>
    <n v="1564"/>
    <n v="54"/>
    <x v="1"/>
    <x v="7"/>
    <x v="11"/>
    <n v="80.349999999999994"/>
    <x v="0"/>
    <x v="1"/>
    <n v="3.8"/>
    <n v="14"/>
    <n v="2"/>
    <n v="93.430232558139537"/>
    <n v="13.080232558139542"/>
    <x v="4"/>
    <m/>
  </r>
  <r>
    <n v="1565"/>
    <n v="46"/>
    <x v="0"/>
    <x v="3"/>
    <x v="3"/>
    <n v="196.05"/>
    <x v="0"/>
    <x v="0"/>
    <n v="4.5999999999999996"/>
    <n v="12"/>
    <n v="1"/>
    <n v="222.78409090909093"/>
    <n v="26.734090909090924"/>
    <x v="4"/>
    <m/>
  </r>
  <r>
    <n v="1566"/>
    <n v="55"/>
    <x v="0"/>
    <x v="6"/>
    <x v="23"/>
    <n v="127.11"/>
    <x v="1"/>
    <x v="0"/>
    <n v="4.0999999999999996"/>
    <n v="15"/>
    <n v="5"/>
    <n v="149.54117647058823"/>
    <n v="22.431176470588227"/>
    <x v="0"/>
    <m/>
  </r>
  <r>
    <n v="1567"/>
    <n v="30"/>
    <x v="0"/>
    <x v="6"/>
    <x v="6"/>
    <n v="69.8"/>
    <x v="2"/>
    <x v="1"/>
    <n v="2.8"/>
    <n v="18"/>
    <n v="4"/>
    <n v="85.121951219512184"/>
    <n v="15.321951219512187"/>
    <x v="5"/>
    <m/>
  </r>
  <r>
    <n v="1568"/>
    <n v="27"/>
    <x v="1"/>
    <x v="2"/>
    <x v="10"/>
    <n v="210.43"/>
    <x v="0"/>
    <x v="0"/>
    <n v="3.9"/>
    <n v="16"/>
    <n v="3"/>
    <n v="250.51190476190479"/>
    <n v="40.081904761904781"/>
    <x v="5"/>
    <m/>
  </r>
  <r>
    <n v="1569"/>
    <n v="56"/>
    <x v="1"/>
    <x v="2"/>
    <x v="10"/>
    <n v="219.8"/>
    <x v="2"/>
    <x v="0"/>
    <n v="3.9"/>
    <n v="6"/>
    <n v="3"/>
    <n v="233.82978723404258"/>
    <n v="14.029787234042573"/>
    <x v="0"/>
    <m/>
  </r>
  <r>
    <n v="1570"/>
    <n v="42"/>
    <x v="0"/>
    <x v="7"/>
    <x v="11"/>
    <n v="74.97"/>
    <x v="3"/>
    <x v="1"/>
    <n v="2.2000000000000002"/>
    <n v="6"/>
    <n v="3"/>
    <n v="79.755319148936167"/>
    <n v="4.7853191489361677"/>
    <x v="1"/>
    <m/>
  </r>
  <r>
    <n v="1571"/>
    <n v="34"/>
    <x v="0"/>
    <x v="6"/>
    <x v="23"/>
    <n v="103.19"/>
    <x v="3"/>
    <x v="0"/>
    <n v="4"/>
    <n v="10"/>
    <n v="5"/>
    <n v="114.65555555555555"/>
    <n v="11.465555555555554"/>
    <x v="5"/>
    <m/>
  </r>
  <r>
    <n v="1572"/>
    <n v="21"/>
    <x v="0"/>
    <x v="6"/>
    <x v="27"/>
    <n v="138.69"/>
    <x v="2"/>
    <x v="0"/>
    <n v="4.5"/>
    <n v="16"/>
    <n v="3"/>
    <n v="165.10714285714286"/>
    <n v="26.417142857142863"/>
    <x v="3"/>
    <m/>
  </r>
  <r>
    <n v="1573"/>
    <n v="49"/>
    <x v="1"/>
    <x v="2"/>
    <x v="10"/>
    <n v="164.76"/>
    <x v="3"/>
    <x v="0"/>
    <n v="3.5"/>
    <n v="26"/>
    <n v="8"/>
    <n v="222.64864864864865"/>
    <n v="57.888648648648655"/>
    <x v="4"/>
    <m/>
  </r>
  <r>
    <n v="1574"/>
    <n v="25"/>
    <x v="1"/>
    <x v="2"/>
    <x v="10"/>
    <n v="182.09"/>
    <x v="2"/>
    <x v="0"/>
    <n v="3.9"/>
    <n v="8"/>
    <n v="4"/>
    <n v="197.92391304347825"/>
    <n v="15.833913043478248"/>
    <x v="5"/>
    <m/>
  </r>
  <r>
    <n v="1575"/>
    <n v="50"/>
    <x v="1"/>
    <x v="7"/>
    <x v="11"/>
    <n v="180.26"/>
    <x v="1"/>
    <x v="0"/>
    <n v="3.9"/>
    <n v="2"/>
    <n v="1"/>
    <n v="183.93877551020407"/>
    <n v="3.6787755102040762"/>
    <x v="4"/>
    <m/>
  </r>
  <r>
    <n v="1576"/>
    <n v="45"/>
    <x v="0"/>
    <x v="0"/>
    <x v="22"/>
    <n v="159.72999999999999"/>
    <x v="1"/>
    <x v="0"/>
    <n v="3.7"/>
    <n v="10"/>
    <n v="5"/>
    <n v="177.47777777777776"/>
    <n v="17.74777777777777"/>
    <x v="4"/>
    <m/>
  </r>
  <r>
    <n v="1577"/>
    <n v="36"/>
    <x v="0"/>
    <x v="8"/>
    <x v="17"/>
    <n v="178.61"/>
    <x v="1"/>
    <x v="0"/>
    <n v="3.7"/>
    <n v="16"/>
    <n v="3"/>
    <n v="212.63095238095241"/>
    <n v="34.020952380952394"/>
    <x v="1"/>
    <m/>
  </r>
  <r>
    <n v="1578"/>
    <n v="55"/>
    <x v="0"/>
    <x v="8"/>
    <x v="16"/>
    <n v="100.75"/>
    <x v="0"/>
    <x v="0"/>
    <n v="4.2"/>
    <n v="26"/>
    <n v="8"/>
    <n v="136.14864864864865"/>
    <n v="35.398648648648646"/>
    <x v="0"/>
    <m/>
  </r>
  <r>
    <n v="1579"/>
    <n v="67"/>
    <x v="0"/>
    <x v="2"/>
    <x v="10"/>
    <n v="65.25"/>
    <x v="2"/>
    <x v="0"/>
    <n v="3.8"/>
    <n v="17"/>
    <n v="6"/>
    <n v="78.614457831325311"/>
    <n v="13.364457831325311"/>
    <x v="2"/>
    <m/>
  </r>
  <r>
    <n v="1580"/>
    <n v="31"/>
    <x v="1"/>
    <x v="1"/>
    <x v="1"/>
    <n v="191.96"/>
    <x v="3"/>
    <x v="0"/>
    <n v="3.7"/>
    <n v="13"/>
    <n v="4"/>
    <n v="220.64367816091956"/>
    <n v="28.683678160919555"/>
    <x v="5"/>
    <m/>
  </r>
  <r>
    <n v="1581"/>
    <n v="42"/>
    <x v="0"/>
    <x v="8"/>
    <x v="18"/>
    <n v="152.61000000000001"/>
    <x v="3"/>
    <x v="0"/>
    <n v="3.2"/>
    <n v="18"/>
    <n v="4"/>
    <n v="186.10975609756099"/>
    <n v="33.499756097560976"/>
    <x v="1"/>
    <m/>
  </r>
  <r>
    <n v="1582"/>
    <n v="37"/>
    <x v="1"/>
    <x v="2"/>
    <x v="10"/>
    <n v="118.07"/>
    <x v="2"/>
    <x v="0"/>
    <n v="2.8"/>
    <n v="22"/>
    <n v="6"/>
    <n v="151.37179487179486"/>
    <n v="33.301794871794868"/>
    <x v="1"/>
    <m/>
  </r>
  <r>
    <n v="1583"/>
    <n v="39"/>
    <x v="0"/>
    <x v="6"/>
    <x v="23"/>
    <n v="100.38"/>
    <x v="0"/>
    <x v="0"/>
    <n v="4.3"/>
    <n v="10"/>
    <n v="5"/>
    <n v="111.53333333333333"/>
    <n v="11.153333333333336"/>
    <x v="1"/>
    <m/>
  </r>
  <r>
    <n v="1584"/>
    <n v="53"/>
    <x v="0"/>
    <x v="3"/>
    <x v="24"/>
    <n v="198.76"/>
    <x v="1"/>
    <x v="0"/>
    <n v="3.8"/>
    <n v="15"/>
    <n v="5"/>
    <n v="233.83529411764707"/>
    <n v="35.075294117647076"/>
    <x v="4"/>
    <m/>
  </r>
  <r>
    <n v="1585"/>
    <n v="48"/>
    <x v="1"/>
    <x v="2"/>
    <x v="2"/>
    <n v="33.840000000000003"/>
    <x v="0"/>
    <x v="0"/>
    <n v="4.0999999999999996"/>
    <n v="13"/>
    <n v="4"/>
    <n v="38.896551724137936"/>
    <n v="5.0565517241379325"/>
    <x v="4"/>
    <m/>
  </r>
  <r>
    <n v="1586"/>
    <n v="30"/>
    <x v="1"/>
    <x v="7"/>
    <x v="8"/>
    <n v="106.05"/>
    <x v="0"/>
    <x v="0"/>
    <n v="4.4000000000000004"/>
    <n v="13"/>
    <n v="4"/>
    <n v="121.89655172413792"/>
    <n v="15.846551724137925"/>
    <x v="5"/>
    <m/>
  </r>
  <r>
    <n v="1587"/>
    <n v="40"/>
    <x v="0"/>
    <x v="7"/>
    <x v="8"/>
    <n v="54.39"/>
    <x v="0"/>
    <x v="0"/>
    <n v="3.9"/>
    <n v="8"/>
    <n v="4"/>
    <n v="59.119565217391305"/>
    <n v="4.7295652173913041"/>
    <x v="1"/>
    <m/>
  </r>
  <r>
    <n v="1588"/>
    <n v="52"/>
    <x v="0"/>
    <x v="4"/>
    <x v="29"/>
    <n v="11.01"/>
    <x v="2"/>
    <x v="1"/>
    <n v="4.0999999999999996"/>
    <n v="8"/>
    <n v="4"/>
    <n v="11.967391304347826"/>
    <n v="0.95739130434782638"/>
    <x v="4"/>
    <m/>
  </r>
  <r>
    <n v="1589"/>
    <n v="67"/>
    <x v="0"/>
    <x v="7"/>
    <x v="8"/>
    <n v="126.08"/>
    <x v="3"/>
    <x v="0"/>
    <n v="3.8"/>
    <n v="22"/>
    <n v="6"/>
    <n v="161.64102564102564"/>
    <n v="35.561025641025637"/>
    <x v="2"/>
    <m/>
  </r>
  <r>
    <n v="1590"/>
    <n v="43"/>
    <x v="1"/>
    <x v="1"/>
    <x v="9"/>
    <n v="114.33"/>
    <x v="3"/>
    <x v="0"/>
    <n v="3.9"/>
    <n v="13"/>
    <n v="4"/>
    <n v="131.41379310344828"/>
    <n v="17.083793103448286"/>
    <x v="1"/>
    <m/>
  </r>
  <r>
    <n v="1591"/>
    <n v="52"/>
    <x v="1"/>
    <x v="1"/>
    <x v="14"/>
    <n v="157.41"/>
    <x v="3"/>
    <x v="0"/>
    <n v="4.7"/>
    <n v="16"/>
    <n v="3"/>
    <n v="187.39285714285714"/>
    <n v="29.982857142857142"/>
    <x v="4"/>
    <m/>
  </r>
  <r>
    <n v="1592"/>
    <n v="70"/>
    <x v="0"/>
    <x v="7"/>
    <x v="8"/>
    <n v="157.88999999999999"/>
    <x v="0"/>
    <x v="0"/>
    <n v="4"/>
    <n v="16"/>
    <n v="3"/>
    <n v="187.96428571428569"/>
    <n v="30.074285714285708"/>
    <x v="2"/>
    <m/>
  </r>
  <r>
    <n v="1593"/>
    <n v="46"/>
    <x v="0"/>
    <x v="8"/>
    <x v="17"/>
    <n v="52.6"/>
    <x v="3"/>
    <x v="0"/>
    <n v="4"/>
    <n v="7"/>
    <n v="1"/>
    <n v="56.55913978494624"/>
    <n v="3.9591397849462382"/>
    <x v="4"/>
    <m/>
  </r>
  <r>
    <n v="1594"/>
    <n v="63"/>
    <x v="1"/>
    <x v="2"/>
    <x v="2"/>
    <n v="37.630000000000003"/>
    <x v="1"/>
    <x v="1"/>
    <n v="3.6"/>
    <n v="13"/>
    <n v="4"/>
    <n v="43.252873563218394"/>
    <n v="5.6228735632183913"/>
    <x v="0"/>
    <m/>
  </r>
  <r>
    <n v="1595"/>
    <n v="60"/>
    <x v="1"/>
    <x v="5"/>
    <x v="5"/>
    <n v="1061.83"/>
    <x v="3"/>
    <x v="0"/>
    <n v="4.9000000000000004"/>
    <n v="10"/>
    <n v="5"/>
    <n v="1179.8111111111109"/>
    <n v="117.98111111111098"/>
    <x v="0"/>
    <m/>
  </r>
  <r>
    <n v="1596"/>
    <n v="53"/>
    <x v="1"/>
    <x v="1"/>
    <x v="1"/>
    <n v="44.56"/>
    <x v="3"/>
    <x v="0"/>
    <n v="3.9"/>
    <n v="26"/>
    <n v="8"/>
    <n v="60.216216216216218"/>
    <n v="15.656216216216215"/>
    <x v="4"/>
    <m/>
  </r>
  <r>
    <n v="1597"/>
    <n v="43"/>
    <x v="0"/>
    <x v="8"/>
    <x v="14"/>
    <n v="57.06"/>
    <x v="1"/>
    <x v="0"/>
    <n v="3.9"/>
    <n v="26"/>
    <n v="8"/>
    <n v="77.108108108108112"/>
    <n v="20.04810810810811"/>
    <x v="1"/>
    <m/>
  </r>
  <r>
    <n v="1598"/>
    <n v="44"/>
    <x v="0"/>
    <x v="8"/>
    <x v="18"/>
    <n v="34.94"/>
    <x v="0"/>
    <x v="1"/>
    <n v="1.6"/>
    <n v="22"/>
    <n v="11"/>
    <n v="44.794871794871788"/>
    <n v="9.8548717948717908"/>
    <x v="1"/>
    <m/>
  </r>
  <r>
    <n v="1599"/>
    <n v="32"/>
    <x v="1"/>
    <x v="4"/>
    <x v="19"/>
    <n v="12.13"/>
    <x v="2"/>
    <x v="0"/>
    <n v="4.9000000000000004"/>
    <n v="16"/>
    <n v="3"/>
    <n v="14.440476190476192"/>
    <n v="2.3104761904761908"/>
    <x v="5"/>
    <m/>
  </r>
  <r>
    <n v="1600"/>
    <n v="53"/>
    <x v="1"/>
    <x v="5"/>
    <x v="5"/>
    <n v="930.34"/>
    <x v="3"/>
    <x v="0"/>
    <n v="4.5999999999999996"/>
    <n v="10"/>
    <n v="5"/>
    <n v="1033.7111111111112"/>
    <n v="103.37111111111119"/>
    <x v="4"/>
    <m/>
  </r>
  <r>
    <n v="1601"/>
    <n v="24"/>
    <x v="1"/>
    <x v="5"/>
    <x v="5"/>
    <n v="2059.52"/>
    <x v="2"/>
    <x v="0"/>
    <n v="3.4"/>
    <n v="18"/>
    <n v="4"/>
    <n v="2511.6097560975609"/>
    <n v="452.08975609756089"/>
    <x v="3"/>
    <m/>
  </r>
  <r>
    <n v="1602"/>
    <n v="36"/>
    <x v="1"/>
    <x v="7"/>
    <x v="13"/>
    <n v="160.32"/>
    <x v="0"/>
    <x v="0"/>
    <n v="3.9"/>
    <n v="16"/>
    <n v="8"/>
    <n v="190.85714285714286"/>
    <n v="30.537142857142868"/>
    <x v="1"/>
    <m/>
  </r>
  <r>
    <n v="1603"/>
    <n v="57"/>
    <x v="0"/>
    <x v="0"/>
    <x v="0"/>
    <n v="28.73"/>
    <x v="2"/>
    <x v="0"/>
    <n v="3.8"/>
    <n v="10"/>
    <n v="5"/>
    <n v="31.922222222222221"/>
    <n v="3.1922222222222203"/>
    <x v="0"/>
    <m/>
  </r>
  <r>
    <n v="1604"/>
    <n v="67"/>
    <x v="1"/>
    <x v="7"/>
    <x v="8"/>
    <n v="229.11"/>
    <x v="3"/>
    <x v="0"/>
    <n v="4"/>
    <n v="13"/>
    <n v="4"/>
    <n v="263.34482758620692"/>
    <n v="34.234827586206904"/>
    <x v="2"/>
    <m/>
  </r>
  <r>
    <n v="1605"/>
    <n v="38"/>
    <x v="1"/>
    <x v="2"/>
    <x v="10"/>
    <n v="163.57"/>
    <x v="1"/>
    <x v="0"/>
    <n v="4"/>
    <n v="11"/>
    <n v="3"/>
    <n v="183.78651685393257"/>
    <n v="20.216516853932575"/>
    <x v="1"/>
    <m/>
  </r>
  <r>
    <n v="1606"/>
    <n v="48"/>
    <x v="1"/>
    <x v="2"/>
    <x v="2"/>
    <n v="149.97999999999999"/>
    <x v="2"/>
    <x v="0"/>
    <n v="4.0999999999999996"/>
    <n v="9"/>
    <n v="2"/>
    <n v="164.8131868131868"/>
    <n v="14.833186813186813"/>
    <x v="4"/>
    <m/>
  </r>
  <r>
    <n v="1607"/>
    <n v="47"/>
    <x v="1"/>
    <x v="1"/>
    <x v="14"/>
    <n v="32.58"/>
    <x v="2"/>
    <x v="0"/>
    <n v="4.5"/>
    <n v="14"/>
    <n v="7"/>
    <n v="37.883720930232556"/>
    <n v="5.3037209302325579"/>
    <x v="4"/>
    <m/>
  </r>
  <r>
    <n v="1608"/>
    <n v="60"/>
    <x v="1"/>
    <x v="2"/>
    <x v="10"/>
    <n v="61.48"/>
    <x v="1"/>
    <x v="0"/>
    <n v="3.9"/>
    <n v="22"/>
    <n v="6"/>
    <n v="78.820512820512818"/>
    <n v="17.340512820512821"/>
    <x v="0"/>
    <m/>
  </r>
  <r>
    <n v="1609"/>
    <n v="56"/>
    <x v="0"/>
    <x v="7"/>
    <x v="11"/>
    <n v="140.04"/>
    <x v="2"/>
    <x v="0"/>
    <n v="3.2"/>
    <n v="11"/>
    <n v="3"/>
    <n v="157.34831460674155"/>
    <n v="17.308314606741561"/>
    <x v="0"/>
    <m/>
  </r>
  <r>
    <n v="1610"/>
    <n v="60"/>
    <x v="0"/>
    <x v="0"/>
    <x v="22"/>
    <n v="47.05"/>
    <x v="2"/>
    <x v="0"/>
    <n v="2.2999999999999998"/>
    <n v="15"/>
    <n v="5"/>
    <n v="55.352941176470587"/>
    <n v="8.3029411764705898"/>
    <x v="0"/>
    <m/>
  </r>
  <r>
    <n v="1611"/>
    <n v="58"/>
    <x v="0"/>
    <x v="2"/>
    <x v="12"/>
    <n v="187.21"/>
    <x v="2"/>
    <x v="0"/>
    <n v="3.7"/>
    <n v="19"/>
    <n v="7"/>
    <n v="231.12345679012344"/>
    <n v="43.913456790123433"/>
    <x v="0"/>
    <m/>
  </r>
  <r>
    <n v="1612"/>
    <n v="67"/>
    <x v="0"/>
    <x v="7"/>
    <x v="13"/>
    <n v="211.09"/>
    <x v="1"/>
    <x v="0"/>
    <n v="3.8"/>
    <n v="9"/>
    <n v="2"/>
    <n v="231.96703296703296"/>
    <n v="20.87703296703296"/>
    <x v="2"/>
    <m/>
  </r>
  <r>
    <n v="1613"/>
    <n v="56"/>
    <x v="0"/>
    <x v="7"/>
    <x v="13"/>
    <n v="181.83"/>
    <x v="1"/>
    <x v="0"/>
    <n v="4"/>
    <n v="2"/>
    <n v="1"/>
    <n v="185.54081632653063"/>
    <n v="3.7108163265306189"/>
    <x v="0"/>
    <m/>
  </r>
  <r>
    <n v="1614"/>
    <n v="39"/>
    <x v="0"/>
    <x v="6"/>
    <x v="6"/>
    <n v="96.55"/>
    <x v="2"/>
    <x v="1"/>
    <n v="3.5"/>
    <n v="21"/>
    <n v="8"/>
    <n v="122.21518987341771"/>
    <n v="25.665189873417717"/>
    <x v="1"/>
    <m/>
  </r>
  <r>
    <n v="1615"/>
    <n v="53"/>
    <x v="0"/>
    <x v="6"/>
    <x v="27"/>
    <n v="105.07"/>
    <x v="1"/>
    <x v="0"/>
    <n v="3.2"/>
    <n v="24"/>
    <n v="7"/>
    <n v="138.25"/>
    <n v="33.180000000000007"/>
    <x v="4"/>
    <m/>
  </r>
  <r>
    <n v="1616"/>
    <n v="50"/>
    <x v="0"/>
    <x v="6"/>
    <x v="27"/>
    <n v="140.66"/>
    <x v="2"/>
    <x v="0"/>
    <n v="4.5"/>
    <n v="22"/>
    <n v="6"/>
    <n v="180.33333333333331"/>
    <n v="39.673333333333318"/>
    <x v="4"/>
    <m/>
  </r>
  <r>
    <n v="1617"/>
    <n v="38"/>
    <x v="0"/>
    <x v="6"/>
    <x v="6"/>
    <n v="48.99"/>
    <x v="3"/>
    <x v="1"/>
    <n v="4.5999999999999996"/>
    <n v="20"/>
    <n v="5"/>
    <n v="61.237499999999997"/>
    <n v="12.247499999999995"/>
    <x v="1"/>
    <m/>
  </r>
  <r>
    <n v="1618"/>
    <n v="20"/>
    <x v="0"/>
    <x v="7"/>
    <x v="13"/>
    <n v="43.11"/>
    <x v="0"/>
    <x v="1"/>
    <n v="2.7"/>
    <n v="11"/>
    <n v="3"/>
    <n v="48.438202247191008"/>
    <n v="5.3282022471910082"/>
    <x v="3"/>
    <m/>
  </r>
  <r>
    <n v="1619"/>
    <n v="55"/>
    <x v="1"/>
    <x v="1"/>
    <x v="20"/>
    <n v="168.41"/>
    <x v="2"/>
    <x v="0"/>
    <n v="3.4"/>
    <n v="8"/>
    <n v="4"/>
    <n v="183.05434782608694"/>
    <n v="14.644347826086943"/>
    <x v="0"/>
    <m/>
  </r>
  <r>
    <n v="1620"/>
    <n v="33"/>
    <x v="1"/>
    <x v="2"/>
    <x v="12"/>
    <n v="174.82"/>
    <x v="3"/>
    <x v="0"/>
    <n v="3.2"/>
    <n v="11"/>
    <n v="3"/>
    <n v="196.42696629213481"/>
    <n v="21.606966292134814"/>
    <x v="5"/>
    <m/>
  </r>
  <r>
    <n v="1621"/>
    <n v="68"/>
    <x v="0"/>
    <x v="6"/>
    <x v="27"/>
    <n v="76.84"/>
    <x v="0"/>
    <x v="1"/>
    <n v="3.2"/>
    <n v="15"/>
    <n v="5"/>
    <n v="90.4"/>
    <n v="13.560000000000002"/>
    <x v="2"/>
    <m/>
  </r>
  <r>
    <n v="1622"/>
    <n v="41"/>
    <x v="0"/>
    <x v="6"/>
    <x v="27"/>
    <n v="106.37"/>
    <x v="2"/>
    <x v="0"/>
    <n v="2.2999999999999998"/>
    <n v="20"/>
    <n v="5"/>
    <n v="132.96250000000001"/>
    <n v="26.592500000000001"/>
    <x v="1"/>
    <m/>
  </r>
  <r>
    <n v="1623"/>
    <n v="54"/>
    <x v="1"/>
    <x v="5"/>
    <x v="5"/>
    <n v="2164.64"/>
    <x v="1"/>
    <x v="0"/>
    <n v="3.9"/>
    <n v="10"/>
    <n v="5"/>
    <n v="2405.1555555555556"/>
    <n v="240.51555555555569"/>
    <x v="4"/>
    <m/>
  </r>
  <r>
    <n v="1624"/>
    <n v="31"/>
    <x v="0"/>
    <x v="6"/>
    <x v="27"/>
    <n v="61.15"/>
    <x v="3"/>
    <x v="0"/>
    <n v="3.4"/>
    <n v="17"/>
    <n v="6"/>
    <n v="73.674698795180731"/>
    <n v="12.524698795180733"/>
    <x v="5"/>
    <m/>
  </r>
  <r>
    <n v="1625"/>
    <n v="31"/>
    <x v="1"/>
    <x v="5"/>
    <x v="25"/>
    <n v="1128.3"/>
    <x v="3"/>
    <x v="0"/>
    <n v="3.2"/>
    <n v="10"/>
    <n v="5"/>
    <n v="1253.6666666666665"/>
    <n v="125.36666666666656"/>
    <x v="5"/>
    <m/>
  </r>
  <r>
    <n v="1626"/>
    <n v="47"/>
    <x v="1"/>
    <x v="5"/>
    <x v="5"/>
    <n v="696.28"/>
    <x v="0"/>
    <x v="0"/>
    <n v="3.7"/>
    <n v="15"/>
    <n v="5"/>
    <n v="819.15294117647056"/>
    <n v="122.87294117647059"/>
    <x v="4"/>
    <m/>
  </r>
  <r>
    <n v="1627"/>
    <n v="55"/>
    <x v="1"/>
    <x v="7"/>
    <x v="8"/>
    <n v="212.95"/>
    <x v="2"/>
    <x v="0"/>
    <n v="3.4"/>
    <n v="12"/>
    <n v="6"/>
    <n v="241.98863636363635"/>
    <n v="29.038636363636357"/>
    <x v="0"/>
    <m/>
  </r>
  <r>
    <n v="1628"/>
    <n v="56"/>
    <x v="0"/>
    <x v="7"/>
    <x v="13"/>
    <n v="213.37"/>
    <x v="2"/>
    <x v="0"/>
    <n v="2.9"/>
    <n v="4"/>
    <n v="2"/>
    <n v="222.26041666666669"/>
    <n v="8.8904166666666811"/>
    <x v="0"/>
    <m/>
  </r>
  <r>
    <n v="1629"/>
    <n v="57"/>
    <x v="0"/>
    <x v="4"/>
    <x v="19"/>
    <n v="30.58"/>
    <x v="3"/>
    <x v="0"/>
    <n v="4.4000000000000004"/>
    <n v="14"/>
    <n v="7"/>
    <n v="35.558139534883722"/>
    <n v="4.9781395348837236"/>
    <x v="0"/>
    <m/>
  </r>
  <r>
    <n v="1630"/>
    <n v="54"/>
    <x v="0"/>
    <x v="7"/>
    <x v="8"/>
    <n v="146.74"/>
    <x v="3"/>
    <x v="0"/>
    <n v="3.7"/>
    <n v="28"/>
    <n v="9"/>
    <n v="203.80555555555557"/>
    <n v="57.065555555555562"/>
    <x v="4"/>
    <m/>
  </r>
  <r>
    <n v="1631"/>
    <n v="44"/>
    <x v="0"/>
    <x v="4"/>
    <x v="4"/>
    <n v="14.22"/>
    <x v="1"/>
    <x v="1"/>
    <n v="2.5"/>
    <n v="14"/>
    <n v="7"/>
    <n v="16.534883720930235"/>
    <n v="2.3148837209302346"/>
    <x v="1"/>
    <m/>
  </r>
  <r>
    <n v="1632"/>
    <n v="44"/>
    <x v="1"/>
    <x v="2"/>
    <x v="2"/>
    <n v="87.41"/>
    <x v="0"/>
    <x v="1"/>
    <n v="3.4"/>
    <n v="4"/>
    <n v="2"/>
    <n v="91.052083333333329"/>
    <n v="3.642083333333332"/>
    <x v="1"/>
    <m/>
  </r>
  <r>
    <n v="1633"/>
    <n v="23"/>
    <x v="0"/>
    <x v="4"/>
    <x v="19"/>
    <n v="78.14"/>
    <x v="2"/>
    <x v="0"/>
    <n v="3.7"/>
    <n v="14"/>
    <n v="7"/>
    <n v="90.860465116279073"/>
    <n v="12.720465116279073"/>
    <x v="3"/>
    <m/>
  </r>
  <r>
    <n v="1634"/>
    <n v="64"/>
    <x v="0"/>
    <x v="4"/>
    <x v="26"/>
    <n v="40.22"/>
    <x v="1"/>
    <x v="1"/>
    <n v="4.5"/>
    <n v="11"/>
    <n v="3"/>
    <n v="45.191011235955052"/>
    <n v="4.9710112359550536"/>
    <x v="0"/>
    <m/>
  </r>
  <r>
    <n v="1635"/>
    <n v="39"/>
    <x v="1"/>
    <x v="3"/>
    <x v="3"/>
    <n v="199.12"/>
    <x v="3"/>
    <x v="0"/>
    <n v="3.7"/>
    <n v="19"/>
    <n v="7"/>
    <n v="245.82716049382714"/>
    <n v="46.707160493827132"/>
    <x v="1"/>
    <m/>
  </r>
  <r>
    <n v="1636"/>
    <n v="40"/>
    <x v="0"/>
    <x v="2"/>
    <x v="12"/>
    <n v="204.66"/>
    <x v="2"/>
    <x v="0"/>
    <n v="3"/>
    <n v="16"/>
    <n v="3"/>
    <n v="243.64285714285714"/>
    <n v="38.982857142857142"/>
    <x v="1"/>
    <m/>
  </r>
  <r>
    <n v="1637"/>
    <n v="21"/>
    <x v="0"/>
    <x v="7"/>
    <x v="11"/>
    <n v="121.27"/>
    <x v="3"/>
    <x v="0"/>
    <n v="5"/>
    <n v="22"/>
    <n v="6"/>
    <n v="155.47435897435898"/>
    <n v="34.204358974358982"/>
    <x v="3"/>
    <m/>
  </r>
  <r>
    <n v="1638"/>
    <n v="28"/>
    <x v="0"/>
    <x v="0"/>
    <x v="22"/>
    <n v="63.38"/>
    <x v="3"/>
    <x v="1"/>
    <n v="4.9000000000000004"/>
    <n v="23"/>
    <n v="9"/>
    <n v="82.311688311688314"/>
    <n v="18.931688311688312"/>
    <x v="5"/>
    <m/>
  </r>
  <r>
    <n v="1639"/>
    <n v="34"/>
    <x v="1"/>
    <x v="5"/>
    <x v="25"/>
    <n v="1458.59"/>
    <x v="1"/>
    <x v="0"/>
    <n v="3.8"/>
    <n v="15"/>
    <n v="5"/>
    <n v="1715.9882352941177"/>
    <n v="257.39823529411774"/>
    <x v="5"/>
    <m/>
  </r>
  <r>
    <n v="1640"/>
    <n v="47"/>
    <x v="0"/>
    <x v="8"/>
    <x v="14"/>
    <n v="115.9"/>
    <x v="2"/>
    <x v="0"/>
    <n v="4"/>
    <n v="24"/>
    <n v="12"/>
    <n v="152.5"/>
    <n v="36.599999999999994"/>
    <x v="4"/>
    <m/>
  </r>
  <r>
    <n v="1641"/>
    <n v="30"/>
    <x v="0"/>
    <x v="0"/>
    <x v="22"/>
    <n v="45.95"/>
    <x v="2"/>
    <x v="1"/>
    <n v="3.8"/>
    <n v="14"/>
    <n v="2"/>
    <n v="53.430232558139537"/>
    <n v="7.4802325581395337"/>
    <x v="5"/>
    <m/>
  </r>
  <r>
    <n v="1642"/>
    <n v="53"/>
    <x v="1"/>
    <x v="5"/>
    <x v="25"/>
    <n v="2248.9899999999998"/>
    <x v="1"/>
    <x v="0"/>
    <n v="3.6"/>
    <n v="14"/>
    <n v="2"/>
    <n v="2615.1046511627906"/>
    <n v="366.11465116279078"/>
    <x v="4"/>
    <m/>
  </r>
  <r>
    <n v="1643"/>
    <n v="33"/>
    <x v="0"/>
    <x v="7"/>
    <x v="11"/>
    <n v="168.21"/>
    <x v="2"/>
    <x v="0"/>
    <n v="3.1"/>
    <n v="18"/>
    <n v="9"/>
    <n v="205.13414634146341"/>
    <n v="36.924146341463398"/>
    <x v="5"/>
    <m/>
  </r>
  <r>
    <n v="1644"/>
    <n v="28"/>
    <x v="1"/>
    <x v="2"/>
    <x v="12"/>
    <n v="38.31"/>
    <x v="1"/>
    <x v="0"/>
    <n v="3.7"/>
    <n v="17"/>
    <n v="6"/>
    <n v="46.156626506024104"/>
    <n v="7.8466265060241014"/>
    <x v="5"/>
    <m/>
  </r>
  <r>
    <n v="1645"/>
    <n v="58"/>
    <x v="1"/>
    <x v="2"/>
    <x v="12"/>
    <n v="137.26"/>
    <x v="2"/>
    <x v="0"/>
    <n v="4.4000000000000004"/>
    <n v="13"/>
    <n v="4"/>
    <n v="157.77011494252872"/>
    <n v="20.51011494252873"/>
    <x v="0"/>
    <m/>
  </r>
  <r>
    <n v="1646"/>
    <n v="59"/>
    <x v="1"/>
    <x v="7"/>
    <x v="13"/>
    <n v="115.57"/>
    <x v="2"/>
    <x v="0"/>
    <n v="2.5"/>
    <n v="13"/>
    <n v="4"/>
    <n v="132.83908045977012"/>
    <n v="17.269080459770123"/>
    <x v="0"/>
    <m/>
  </r>
  <r>
    <n v="1647"/>
    <n v="54"/>
    <x v="1"/>
    <x v="7"/>
    <x v="13"/>
    <n v="189.63"/>
    <x v="3"/>
    <x v="0"/>
    <n v="4.4000000000000004"/>
    <n v="14"/>
    <n v="7"/>
    <n v="220.5"/>
    <n v="30.870000000000005"/>
    <x v="4"/>
    <m/>
  </r>
  <r>
    <n v="1648"/>
    <n v="67"/>
    <x v="0"/>
    <x v="6"/>
    <x v="6"/>
    <n v="58.44"/>
    <x v="2"/>
    <x v="0"/>
    <n v="3.4"/>
    <n v="18"/>
    <n v="4"/>
    <n v="71.268292682926827"/>
    <n v="12.828292682926829"/>
    <x v="2"/>
    <m/>
  </r>
  <r>
    <n v="1649"/>
    <n v="32"/>
    <x v="1"/>
    <x v="5"/>
    <x v="7"/>
    <n v="1800.7"/>
    <x v="3"/>
    <x v="0"/>
    <n v="3.6"/>
    <n v="10"/>
    <n v="5"/>
    <n v="2000.7777777777778"/>
    <n v="200.07777777777778"/>
    <x v="5"/>
    <m/>
  </r>
  <r>
    <n v="1650"/>
    <n v="23"/>
    <x v="1"/>
    <x v="4"/>
    <x v="29"/>
    <n v="8.34"/>
    <x v="0"/>
    <x v="0"/>
    <n v="4.0999999999999996"/>
    <n v="25"/>
    <n v="10"/>
    <n v="11.12"/>
    <n v="2.7799999999999994"/>
    <x v="3"/>
    <m/>
  </r>
  <r>
    <n v="1651"/>
    <n v="56"/>
    <x v="0"/>
    <x v="0"/>
    <x v="22"/>
    <n v="83.07"/>
    <x v="3"/>
    <x v="0"/>
    <n v="3.8"/>
    <n v="13"/>
    <n v="4"/>
    <n v="95.482758620689651"/>
    <n v="12.412758620689658"/>
    <x v="0"/>
    <m/>
  </r>
  <r>
    <n v="1652"/>
    <n v="65"/>
    <x v="1"/>
    <x v="3"/>
    <x v="24"/>
    <n v="173.82"/>
    <x v="0"/>
    <x v="0"/>
    <n v="5"/>
    <n v="22"/>
    <n v="6"/>
    <n v="222.84615384615384"/>
    <n v="49.026153846153846"/>
    <x v="2"/>
    <m/>
  </r>
  <r>
    <n v="1653"/>
    <n v="47"/>
    <x v="0"/>
    <x v="8"/>
    <x v="14"/>
    <n v="145.85"/>
    <x v="1"/>
    <x v="0"/>
    <n v="3"/>
    <n v="8"/>
    <n v="4"/>
    <n v="158.53260869565216"/>
    <n v="12.682608695652164"/>
    <x v="4"/>
    <m/>
  </r>
  <r>
    <n v="1654"/>
    <n v="22"/>
    <x v="0"/>
    <x v="8"/>
    <x v="14"/>
    <n v="79.34"/>
    <x v="2"/>
    <x v="1"/>
    <n v="3.5"/>
    <n v="24"/>
    <n v="7"/>
    <n v="104.39473684210526"/>
    <n v="25.054736842105257"/>
    <x v="3"/>
    <m/>
  </r>
  <r>
    <n v="1655"/>
    <n v="38"/>
    <x v="0"/>
    <x v="8"/>
    <x v="18"/>
    <n v="140"/>
    <x v="2"/>
    <x v="0"/>
    <n v="3.8"/>
    <n v="11"/>
    <n v="3"/>
    <n v="157.30337078651687"/>
    <n v="17.303370786516865"/>
    <x v="1"/>
    <m/>
  </r>
  <r>
    <n v="1656"/>
    <n v="48"/>
    <x v="1"/>
    <x v="5"/>
    <x v="5"/>
    <n v="532.67999999999995"/>
    <x v="3"/>
    <x v="0"/>
    <n v="3"/>
    <n v="6"/>
    <n v="3"/>
    <n v="566.68085106382978"/>
    <n v="34.000851063829828"/>
    <x v="4"/>
    <m/>
  </r>
  <r>
    <n v="1657"/>
    <n v="26"/>
    <x v="1"/>
    <x v="2"/>
    <x v="12"/>
    <n v="168.47"/>
    <x v="2"/>
    <x v="0"/>
    <n v="3.7"/>
    <n v="22"/>
    <n v="11"/>
    <n v="215.98717948717947"/>
    <n v="47.517179487179476"/>
    <x v="5"/>
    <m/>
  </r>
  <r>
    <n v="1658"/>
    <n v="65"/>
    <x v="0"/>
    <x v="8"/>
    <x v="18"/>
    <n v="93.8"/>
    <x v="2"/>
    <x v="1"/>
    <n v="4.3"/>
    <n v="16"/>
    <n v="3"/>
    <n v="111.66666666666667"/>
    <n v="17.866666666666674"/>
    <x v="2"/>
    <m/>
  </r>
  <r>
    <n v="1659"/>
    <n v="68"/>
    <x v="1"/>
    <x v="1"/>
    <x v="1"/>
    <n v="162.35"/>
    <x v="3"/>
    <x v="0"/>
    <n v="4.4000000000000004"/>
    <n v="17"/>
    <n v="6"/>
    <n v="195.60240963855421"/>
    <n v="33.252409638554212"/>
    <x v="2"/>
    <m/>
  </r>
  <r>
    <n v="1660"/>
    <n v="58"/>
    <x v="1"/>
    <x v="1"/>
    <x v="9"/>
    <n v="62.32"/>
    <x v="1"/>
    <x v="0"/>
    <n v="3.9"/>
    <n v="13"/>
    <n v="4"/>
    <n v="71.632183908045974"/>
    <n v="9.3121839080459736"/>
    <x v="0"/>
    <m/>
  </r>
  <r>
    <n v="1661"/>
    <n v="48"/>
    <x v="0"/>
    <x v="6"/>
    <x v="23"/>
    <n v="134.47999999999999"/>
    <x v="2"/>
    <x v="0"/>
    <n v="3.9"/>
    <n v="18"/>
    <n v="4"/>
    <n v="163.99999999999997"/>
    <n v="29.519999999999982"/>
    <x v="4"/>
    <m/>
  </r>
  <r>
    <n v="1662"/>
    <n v="37"/>
    <x v="1"/>
    <x v="7"/>
    <x v="13"/>
    <n v="200.91"/>
    <x v="1"/>
    <x v="0"/>
    <n v="2.8"/>
    <n v="16"/>
    <n v="3"/>
    <n v="239.17857142857144"/>
    <n v="38.268571428571448"/>
    <x v="1"/>
    <m/>
  </r>
  <r>
    <n v="1663"/>
    <n v="31"/>
    <x v="0"/>
    <x v="6"/>
    <x v="27"/>
    <n v="137.99"/>
    <x v="2"/>
    <x v="0"/>
    <n v="3.8"/>
    <n v="10"/>
    <n v="5"/>
    <n v="153.32222222222222"/>
    <n v="15.332222222222214"/>
    <x v="5"/>
    <m/>
  </r>
  <r>
    <n v="1664"/>
    <n v="62"/>
    <x v="0"/>
    <x v="7"/>
    <x v="8"/>
    <n v="51.08"/>
    <x v="2"/>
    <x v="1"/>
    <n v="3.1"/>
    <n v="21"/>
    <n v="8"/>
    <n v="64.658227848101262"/>
    <n v="13.578227848101264"/>
    <x v="0"/>
    <m/>
  </r>
  <r>
    <n v="1665"/>
    <n v="56"/>
    <x v="1"/>
    <x v="2"/>
    <x v="2"/>
    <n v="211"/>
    <x v="0"/>
    <x v="0"/>
    <n v="1.3"/>
    <n v="5"/>
    <n v="0"/>
    <n v="222.10526315789474"/>
    <n v="11.10526315789474"/>
    <x v="0"/>
    <m/>
  </r>
  <r>
    <n v="1666"/>
    <n v="28"/>
    <x v="0"/>
    <x v="8"/>
    <x v="18"/>
    <n v="40.1"/>
    <x v="0"/>
    <x v="0"/>
    <n v="3.5"/>
    <n v="20"/>
    <n v="5"/>
    <n v="50.125"/>
    <n v="10.024999999999999"/>
    <x v="5"/>
    <m/>
  </r>
  <r>
    <n v="1667"/>
    <n v="27"/>
    <x v="1"/>
    <x v="4"/>
    <x v="26"/>
    <n v="19.89"/>
    <x v="3"/>
    <x v="0"/>
    <n v="4.0999999999999996"/>
    <n v="9"/>
    <n v="2"/>
    <n v="21.857142857142858"/>
    <n v="1.9671428571428571"/>
    <x v="5"/>
    <m/>
  </r>
  <r>
    <n v="1668"/>
    <n v="61"/>
    <x v="1"/>
    <x v="2"/>
    <x v="10"/>
    <n v="135.32"/>
    <x v="0"/>
    <x v="0"/>
    <n v="3"/>
    <n v="14"/>
    <n v="7"/>
    <n v="157.34883720930233"/>
    <n v="22.028837209302338"/>
    <x v="0"/>
    <m/>
  </r>
  <r>
    <n v="1669"/>
    <n v="23"/>
    <x v="0"/>
    <x v="0"/>
    <x v="28"/>
    <n v="101.21"/>
    <x v="2"/>
    <x v="0"/>
    <n v="3.6"/>
    <n v="28"/>
    <n v="9"/>
    <n v="140.56944444444443"/>
    <n v="39.359444444444435"/>
    <x v="3"/>
    <m/>
  </r>
  <r>
    <n v="1670"/>
    <n v="60"/>
    <x v="0"/>
    <x v="2"/>
    <x v="10"/>
    <n v="163.92"/>
    <x v="1"/>
    <x v="0"/>
    <n v="3.1"/>
    <n v="15"/>
    <n v="5"/>
    <n v="192.84705882352941"/>
    <n v="28.927058823529421"/>
    <x v="0"/>
    <m/>
  </r>
  <r>
    <n v="1671"/>
    <n v="54"/>
    <x v="1"/>
    <x v="7"/>
    <x v="13"/>
    <n v="138.78"/>
    <x v="3"/>
    <x v="0"/>
    <n v="3.7"/>
    <n v="15"/>
    <n v="5"/>
    <n v="163.27058823529413"/>
    <n v="24.490588235294126"/>
    <x v="4"/>
    <m/>
  </r>
  <r>
    <n v="1672"/>
    <n v="37"/>
    <x v="1"/>
    <x v="1"/>
    <x v="9"/>
    <n v="168.61"/>
    <x v="0"/>
    <x v="0"/>
    <n v="4.5999999999999996"/>
    <n v="15"/>
    <n v="5"/>
    <n v="198.36470588235295"/>
    <n v="29.754705882352937"/>
    <x v="1"/>
    <m/>
  </r>
  <r>
    <n v="1673"/>
    <n v="60"/>
    <x v="0"/>
    <x v="8"/>
    <x v="16"/>
    <n v="177.44"/>
    <x v="0"/>
    <x v="0"/>
    <n v="3.8"/>
    <n v="9"/>
    <n v="2"/>
    <n v="194.98901098901098"/>
    <n v="17.549010989010981"/>
    <x v="0"/>
    <m/>
  </r>
  <r>
    <n v="1674"/>
    <n v="42"/>
    <x v="1"/>
    <x v="7"/>
    <x v="13"/>
    <n v="58.43"/>
    <x v="3"/>
    <x v="0"/>
    <n v="3.9"/>
    <n v="13"/>
    <n v="4"/>
    <n v="67.160919540229884"/>
    <n v="8.730919540229884"/>
    <x v="1"/>
    <m/>
  </r>
  <r>
    <n v="1675"/>
    <n v="27"/>
    <x v="1"/>
    <x v="3"/>
    <x v="15"/>
    <n v="184.18"/>
    <x v="2"/>
    <x v="0"/>
    <n v="4.2"/>
    <n v="23"/>
    <n v="9"/>
    <n v="239.19480519480518"/>
    <n v="55.014805194805177"/>
    <x v="5"/>
    <m/>
  </r>
  <r>
    <n v="1676"/>
    <n v="54"/>
    <x v="0"/>
    <x v="7"/>
    <x v="8"/>
    <n v="180.54"/>
    <x v="0"/>
    <x v="0"/>
    <n v="3.9"/>
    <n v="15"/>
    <n v="5"/>
    <n v="212.4"/>
    <n v="31.860000000000014"/>
    <x v="4"/>
    <m/>
  </r>
  <r>
    <n v="1677"/>
    <n v="56"/>
    <x v="1"/>
    <x v="1"/>
    <x v="14"/>
    <n v="135.91"/>
    <x v="2"/>
    <x v="0"/>
    <n v="3.6"/>
    <n v="22"/>
    <n v="6"/>
    <n v="174.24358974358972"/>
    <n v="38.333589743589727"/>
    <x v="0"/>
    <m/>
  </r>
  <r>
    <n v="1678"/>
    <n v="44"/>
    <x v="0"/>
    <x v="8"/>
    <x v="18"/>
    <n v="183.99"/>
    <x v="0"/>
    <x v="0"/>
    <n v="3.1"/>
    <n v="16"/>
    <n v="8"/>
    <n v="219.03571428571431"/>
    <n v="35.045714285714297"/>
    <x v="1"/>
    <m/>
  </r>
  <r>
    <n v="1679"/>
    <n v="32"/>
    <x v="0"/>
    <x v="7"/>
    <x v="13"/>
    <n v="188.12"/>
    <x v="2"/>
    <x v="0"/>
    <n v="2.7"/>
    <n v="6"/>
    <n v="3"/>
    <n v="200.12765957446811"/>
    <n v="12.007659574468107"/>
    <x v="5"/>
    <m/>
  </r>
  <r>
    <n v="1680"/>
    <n v="60"/>
    <x v="0"/>
    <x v="7"/>
    <x v="13"/>
    <n v="81.88"/>
    <x v="2"/>
    <x v="1"/>
    <n v="4.5"/>
    <n v="14"/>
    <n v="7"/>
    <n v="95.20930232558139"/>
    <n v="13.329302325581395"/>
    <x v="0"/>
    <m/>
  </r>
  <r>
    <n v="1681"/>
    <n v="55"/>
    <x v="0"/>
    <x v="7"/>
    <x v="13"/>
    <n v="134.88"/>
    <x v="2"/>
    <x v="0"/>
    <n v="4.0999999999999996"/>
    <n v="11"/>
    <n v="3"/>
    <n v="151.55056179775281"/>
    <n v="16.670561797752811"/>
    <x v="0"/>
    <m/>
  </r>
  <r>
    <n v="1682"/>
    <n v="60"/>
    <x v="0"/>
    <x v="7"/>
    <x v="13"/>
    <n v="76.8"/>
    <x v="2"/>
    <x v="0"/>
    <n v="3.3"/>
    <n v="17"/>
    <n v="6"/>
    <n v="92.53012048192771"/>
    <n v="15.730120481927713"/>
    <x v="0"/>
    <m/>
  </r>
  <r>
    <n v="1683"/>
    <n v="54"/>
    <x v="0"/>
    <x v="6"/>
    <x v="6"/>
    <n v="54.63"/>
    <x v="2"/>
    <x v="1"/>
    <n v="4.5"/>
    <n v="10"/>
    <n v="5"/>
    <n v="60.7"/>
    <n v="6.07"/>
    <x v="4"/>
    <m/>
  </r>
  <r>
    <n v="1684"/>
    <n v="39"/>
    <x v="1"/>
    <x v="1"/>
    <x v="14"/>
    <n v="47.56"/>
    <x v="1"/>
    <x v="1"/>
    <n v="2.1"/>
    <n v="6"/>
    <n v="3"/>
    <n v="50.59574468085107"/>
    <n v="3.0357446808510673"/>
    <x v="1"/>
    <m/>
  </r>
  <r>
    <n v="1685"/>
    <n v="20"/>
    <x v="1"/>
    <x v="7"/>
    <x v="13"/>
    <n v="53.28"/>
    <x v="3"/>
    <x v="0"/>
    <n v="3"/>
    <n v="23"/>
    <n v="9"/>
    <n v="69.194805194805198"/>
    <n v="15.914805194805197"/>
    <x v="3"/>
    <m/>
  </r>
  <r>
    <n v="1686"/>
    <n v="31"/>
    <x v="0"/>
    <x v="4"/>
    <x v="19"/>
    <n v="78.790000000000006"/>
    <x v="2"/>
    <x v="1"/>
    <n v="4.8"/>
    <n v="14"/>
    <n v="2"/>
    <n v="91.616279069767444"/>
    <n v="12.826279069767438"/>
    <x v="5"/>
    <m/>
  </r>
  <r>
    <n v="1687"/>
    <n v="45"/>
    <x v="0"/>
    <x v="6"/>
    <x v="6"/>
    <n v="52.81"/>
    <x v="2"/>
    <x v="0"/>
    <n v="4.5999999999999996"/>
    <n v="24"/>
    <n v="7"/>
    <n v="69.486842105263165"/>
    <n v="16.676842105263162"/>
    <x v="4"/>
    <m/>
  </r>
  <r>
    <n v="1688"/>
    <n v="38"/>
    <x v="1"/>
    <x v="5"/>
    <x v="7"/>
    <n v="2403.13"/>
    <x v="3"/>
    <x v="0"/>
    <n v="4.9000000000000004"/>
    <n v="8"/>
    <n v="4"/>
    <n v="2612.0978260869565"/>
    <n v="208.96782608695639"/>
    <x v="1"/>
    <m/>
  </r>
  <r>
    <n v="1689"/>
    <n v="61"/>
    <x v="0"/>
    <x v="0"/>
    <x v="22"/>
    <n v="117"/>
    <x v="3"/>
    <x v="0"/>
    <n v="3.4"/>
    <n v="15"/>
    <n v="5"/>
    <n v="137.64705882352942"/>
    <n v="20.64705882352942"/>
    <x v="0"/>
    <m/>
  </r>
  <r>
    <n v="1690"/>
    <n v="51"/>
    <x v="1"/>
    <x v="7"/>
    <x v="13"/>
    <n v="94.71"/>
    <x v="3"/>
    <x v="0"/>
    <n v="3.6"/>
    <n v="13"/>
    <n v="4"/>
    <n v="108.86206896551724"/>
    <n v="14.152068965517245"/>
    <x v="4"/>
    <m/>
  </r>
  <r>
    <n v="1691"/>
    <n v="54"/>
    <x v="0"/>
    <x v="7"/>
    <x v="11"/>
    <n v="121.85"/>
    <x v="0"/>
    <x v="0"/>
    <n v="4.0999999999999996"/>
    <n v="24"/>
    <n v="7"/>
    <n v="160.32894736842104"/>
    <n v="38.478947368421046"/>
    <x v="4"/>
    <m/>
  </r>
  <r>
    <n v="1692"/>
    <n v="49"/>
    <x v="1"/>
    <x v="4"/>
    <x v="29"/>
    <n v="72.209999999999994"/>
    <x v="0"/>
    <x v="1"/>
    <n v="3.8"/>
    <n v="16"/>
    <n v="3"/>
    <n v="85.964285714285708"/>
    <n v="13.754285714285714"/>
    <x v="4"/>
    <m/>
  </r>
  <r>
    <n v="1693"/>
    <n v="69"/>
    <x v="0"/>
    <x v="0"/>
    <x v="28"/>
    <n v="166.88"/>
    <x v="3"/>
    <x v="0"/>
    <n v="4.0999999999999996"/>
    <n v="8"/>
    <n v="4"/>
    <n v="181.39130434782606"/>
    <n v="14.511304347826069"/>
    <x v="2"/>
    <m/>
  </r>
  <r>
    <n v="1694"/>
    <n v="46"/>
    <x v="0"/>
    <x v="6"/>
    <x v="27"/>
    <n v="75.22"/>
    <x v="0"/>
    <x v="1"/>
    <n v="4.0999999999999996"/>
    <n v="10"/>
    <n v="5"/>
    <n v="83.577777777777769"/>
    <n v="8.3577777777777698"/>
    <x v="4"/>
    <m/>
  </r>
  <r>
    <n v="1695"/>
    <n v="48"/>
    <x v="1"/>
    <x v="7"/>
    <x v="13"/>
    <n v="77.91"/>
    <x v="1"/>
    <x v="0"/>
    <n v="3.9"/>
    <n v="17"/>
    <n v="6"/>
    <n v="93.867469879518069"/>
    <n v="15.957469879518072"/>
    <x v="4"/>
    <m/>
  </r>
  <r>
    <n v="1696"/>
    <n v="58"/>
    <x v="1"/>
    <x v="2"/>
    <x v="10"/>
    <n v="65.28"/>
    <x v="2"/>
    <x v="0"/>
    <n v="4.5999999999999996"/>
    <n v="12"/>
    <n v="6"/>
    <n v="74.181818181818187"/>
    <n v="8.9018181818181858"/>
    <x v="0"/>
    <m/>
  </r>
  <r>
    <n v="1697"/>
    <n v="47"/>
    <x v="0"/>
    <x v="7"/>
    <x v="11"/>
    <n v="132.81"/>
    <x v="1"/>
    <x v="0"/>
    <n v="4.0999999999999996"/>
    <n v="6"/>
    <n v="3"/>
    <n v="141.28723404255319"/>
    <n v="8.4772340425531922"/>
    <x v="4"/>
    <m/>
  </r>
  <r>
    <n v="1698"/>
    <n v="33"/>
    <x v="1"/>
    <x v="5"/>
    <x v="7"/>
    <n v="2290.9699999999998"/>
    <x v="3"/>
    <x v="0"/>
    <n v="4.2"/>
    <n v="12"/>
    <n v="1"/>
    <n v="2603.3749999999995"/>
    <n v="312.40499999999975"/>
    <x v="5"/>
    <m/>
  </r>
  <r>
    <n v="1699"/>
    <n v="34"/>
    <x v="0"/>
    <x v="6"/>
    <x v="27"/>
    <n v="31.61"/>
    <x v="0"/>
    <x v="0"/>
    <n v="5"/>
    <n v="19"/>
    <n v="7"/>
    <n v="39.02469135802469"/>
    <n v="7.4146913580246903"/>
    <x v="5"/>
    <m/>
  </r>
  <r>
    <n v="1700"/>
    <n v="43"/>
    <x v="1"/>
    <x v="1"/>
    <x v="1"/>
    <n v="184.32"/>
    <x v="1"/>
    <x v="0"/>
    <n v="4.5999999999999996"/>
    <n v="22"/>
    <n v="6"/>
    <n v="236.30769230769229"/>
    <n v="51.987692307692299"/>
    <x v="1"/>
    <m/>
  </r>
  <r>
    <n v="1701"/>
    <n v="58"/>
    <x v="1"/>
    <x v="7"/>
    <x v="8"/>
    <n v="135.47"/>
    <x v="1"/>
    <x v="0"/>
    <n v="4.9000000000000004"/>
    <n v="30"/>
    <n v="10"/>
    <n v="193.52857142857144"/>
    <n v="58.05857142857144"/>
    <x v="0"/>
    <m/>
  </r>
  <r>
    <n v="1702"/>
    <n v="58"/>
    <x v="0"/>
    <x v="7"/>
    <x v="13"/>
    <n v="101.31"/>
    <x v="0"/>
    <x v="0"/>
    <n v="3.9"/>
    <n v="26"/>
    <n v="8"/>
    <n v="136.90540540540542"/>
    <n v="35.595405405405415"/>
    <x v="0"/>
    <m/>
  </r>
  <r>
    <n v="1703"/>
    <n v="41"/>
    <x v="0"/>
    <x v="8"/>
    <x v="18"/>
    <n v="162.41"/>
    <x v="2"/>
    <x v="0"/>
    <n v="4"/>
    <n v="4"/>
    <n v="2"/>
    <n v="169.17708333333334"/>
    <n v="6.7670833333333462"/>
    <x v="1"/>
    <m/>
  </r>
  <r>
    <n v="1704"/>
    <n v="70"/>
    <x v="0"/>
    <x v="7"/>
    <x v="13"/>
    <n v="207.96"/>
    <x v="1"/>
    <x v="0"/>
    <n v="4.0999999999999996"/>
    <n v="13"/>
    <n v="4"/>
    <n v="239.0344827586207"/>
    <n v="31.07448275862069"/>
    <x v="2"/>
    <m/>
  </r>
  <r>
    <n v="1705"/>
    <n v="35"/>
    <x v="0"/>
    <x v="0"/>
    <x v="22"/>
    <n v="63.49"/>
    <x v="2"/>
    <x v="0"/>
    <n v="2.2000000000000002"/>
    <n v="10"/>
    <n v="5"/>
    <n v="70.544444444444451"/>
    <n v="7.0544444444444494"/>
    <x v="1"/>
    <m/>
  </r>
  <r>
    <n v="1706"/>
    <n v="63"/>
    <x v="0"/>
    <x v="7"/>
    <x v="13"/>
    <n v="139.55000000000001"/>
    <x v="1"/>
    <x v="0"/>
    <n v="4.3"/>
    <n v="12"/>
    <n v="6"/>
    <n v="158.57954545454547"/>
    <n v="19.029545454545456"/>
    <x v="0"/>
    <m/>
  </r>
  <r>
    <n v="1707"/>
    <n v="38"/>
    <x v="1"/>
    <x v="5"/>
    <x v="21"/>
    <n v="2428.09"/>
    <x v="2"/>
    <x v="0"/>
    <n v="4.4000000000000004"/>
    <n v="22"/>
    <n v="6"/>
    <n v="3112.9358974358975"/>
    <n v="684.84589743589731"/>
    <x v="1"/>
    <m/>
  </r>
  <r>
    <n v="1708"/>
    <n v="44"/>
    <x v="0"/>
    <x v="6"/>
    <x v="27"/>
    <n v="96.31"/>
    <x v="2"/>
    <x v="0"/>
    <n v="3.3"/>
    <n v="20"/>
    <n v="5"/>
    <n v="120.3875"/>
    <n v="24.077500000000001"/>
    <x v="1"/>
    <m/>
  </r>
  <r>
    <n v="1709"/>
    <n v="67"/>
    <x v="0"/>
    <x v="7"/>
    <x v="8"/>
    <n v="161.62"/>
    <x v="0"/>
    <x v="0"/>
    <n v="3.6"/>
    <n v="18"/>
    <n v="4"/>
    <n v="197.09756097560975"/>
    <n v="35.477560975609748"/>
    <x v="2"/>
    <m/>
  </r>
  <r>
    <n v="1710"/>
    <n v="55"/>
    <x v="1"/>
    <x v="1"/>
    <x v="9"/>
    <n v="71.430000000000007"/>
    <x v="3"/>
    <x v="1"/>
    <n v="4.7"/>
    <n v="26"/>
    <n v="8"/>
    <n v="96.527027027027032"/>
    <n v="25.097027027027025"/>
    <x v="0"/>
    <m/>
  </r>
  <r>
    <n v="1711"/>
    <n v="29"/>
    <x v="1"/>
    <x v="7"/>
    <x v="13"/>
    <n v="208.05"/>
    <x v="0"/>
    <x v="0"/>
    <n v="3.3"/>
    <n v="13"/>
    <n v="4"/>
    <n v="239.13793103448276"/>
    <n v="31.08793103448275"/>
    <x v="5"/>
    <m/>
  </r>
  <r>
    <n v="1712"/>
    <n v="43"/>
    <x v="1"/>
    <x v="1"/>
    <x v="9"/>
    <n v="133.51"/>
    <x v="1"/>
    <x v="0"/>
    <n v="3.6"/>
    <n v="12"/>
    <n v="6"/>
    <n v="151.71590909090909"/>
    <n v="18.205909090909103"/>
    <x v="1"/>
    <m/>
  </r>
  <r>
    <n v="1713"/>
    <n v="68"/>
    <x v="0"/>
    <x v="8"/>
    <x v="18"/>
    <n v="64.66"/>
    <x v="2"/>
    <x v="1"/>
    <n v="3.6"/>
    <n v="4"/>
    <n v="2"/>
    <n v="67.354166666666671"/>
    <n v="2.6941666666666748"/>
    <x v="2"/>
    <m/>
  </r>
  <r>
    <n v="1714"/>
    <n v="42"/>
    <x v="0"/>
    <x v="4"/>
    <x v="26"/>
    <n v="33.18"/>
    <x v="0"/>
    <x v="1"/>
    <n v="4.2"/>
    <n v="16"/>
    <n v="3"/>
    <n v="39.5"/>
    <n v="6.32"/>
    <x v="1"/>
    <m/>
  </r>
  <r>
    <n v="1715"/>
    <n v="66"/>
    <x v="1"/>
    <x v="2"/>
    <x v="10"/>
    <n v="53.42"/>
    <x v="2"/>
    <x v="0"/>
    <n v="5"/>
    <n v="13"/>
    <n v="4"/>
    <n v="61.402298850574716"/>
    <n v="7.9822988505747148"/>
    <x v="2"/>
    <m/>
  </r>
  <r>
    <n v="1716"/>
    <n v="40"/>
    <x v="1"/>
    <x v="4"/>
    <x v="29"/>
    <n v="34.409999999999997"/>
    <x v="1"/>
    <x v="0"/>
    <n v="3.3"/>
    <n v="17"/>
    <n v="6"/>
    <n v="41.4578313253012"/>
    <n v="7.0478313253012033"/>
    <x v="1"/>
    <m/>
  </r>
  <r>
    <n v="1717"/>
    <n v="46"/>
    <x v="1"/>
    <x v="5"/>
    <x v="21"/>
    <n v="887.32"/>
    <x v="0"/>
    <x v="0"/>
    <n v="3.8"/>
    <n v="18"/>
    <n v="4"/>
    <n v="1082.0975609756097"/>
    <n v="194.77756097560962"/>
    <x v="4"/>
    <m/>
  </r>
  <r>
    <n v="1718"/>
    <n v="40"/>
    <x v="1"/>
    <x v="2"/>
    <x v="2"/>
    <n v="225.57"/>
    <x v="2"/>
    <x v="0"/>
    <n v="5"/>
    <n v="17"/>
    <n v="6"/>
    <n v="271.77108433734941"/>
    <n v="46.201084337349414"/>
    <x v="1"/>
    <m/>
  </r>
  <r>
    <n v="1719"/>
    <n v="63"/>
    <x v="1"/>
    <x v="4"/>
    <x v="4"/>
    <n v="24.77"/>
    <x v="2"/>
    <x v="1"/>
    <n v="4"/>
    <n v="13"/>
    <n v="4"/>
    <n v="28.47126436781609"/>
    <n v="3.7012643678160906"/>
    <x v="0"/>
    <m/>
  </r>
  <r>
    <n v="1720"/>
    <n v="43"/>
    <x v="0"/>
    <x v="6"/>
    <x v="23"/>
    <n v="74.94"/>
    <x v="2"/>
    <x v="0"/>
    <n v="4.5"/>
    <n v="14"/>
    <n v="7"/>
    <n v="87.139534883720927"/>
    <n v="12.199534883720929"/>
    <x v="1"/>
    <m/>
  </r>
  <r>
    <n v="1721"/>
    <n v="60"/>
    <x v="0"/>
    <x v="2"/>
    <x v="10"/>
    <n v="154.94999999999999"/>
    <x v="3"/>
    <x v="0"/>
    <n v="2.8"/>
    <n v="15"/>
    <n v="5"/>
    <n v="182.29411764705881"/>
    <n v="27.344117647058823"/>
    <x v="0"/>
    <m/>
  </r>
  <r>
    <n v="1722"/>
    <n v="66"/>
    <x v="0"/>
    <x v="8"/>
    <x v="16"/>
    <n v="182.06"/>
    <x v="1"/>
    <x v="0"/>
    <n v="3.5"/>
    <n v="14"/>
    <n v="7"/>
    <n v="211.69767441860466"/>
    <n v="29.637674418604661"/>
    <x v="2"/>
    <m/>
  </r>
  <r>
    <n v="1723"/>
    <n v="28"/>
    <x v="0"/>
    <x v="6"/>
    <x v="6"/>
    <n v="102.87"/>
    <x v="0"/>
    <x v="0"/>
    <n v="3.6"/>
    <n v="22"/>
    <n v="6"/>
    <n v="131.88461538461539"/>
    <n v="29.014615384615382"/>
    <x v="5"/>
    <m/>
  </r>
  <r>
    <n v="1724"/>
    <n v="68"/>
    <x v="0"/>
    <x v="7"/>
    <x v="11"/>
    <n v="246.27"/>
    <x v="2"/>
    <x v="0"/>
    <n v="4.7"/>
    <n v="17"/>
    <n v="6"/>
    <n v="296.71084337349401"/>
    <n v="50.440843373494005"/>
    <x v="2"/>
    <m/>
  </r>
  <r>
    <n v="1725"/>
    <n v="48"/>
    <x v="1"/>
    <x v="1"/>
    <x v="1"/>
    <n v="91.82"/>
    <x v="0"/>
    <x v="1"/>
    <n v="4.2"/>
    <n v="21"/>
    <n v="8"/>
    <n v="116.22784810126581"/>
    <n v="24.407848101265813"/>
    <x v="4"/>
    <m/>
  </r>
  <r>
    <n v="1726"/>
    <n v="21"/>
    <x v="0"/>
    <x v="6"/>
    <x v="23"/>
    <n v="34.909999999999997"/>
    <x v="0"/>
    <x v="0"/>
    <n v="4.0999999999999996"/>
    <n v="16"/>
    <n v="3"/>
    <n v="41.55952380952381"/>
    <n v="6.6495238095238136"/>
    <x v="3"/>
    <m/>
  </r>
  <r>
    <n v="1727"/>
    <n v="22"/>
    <x v="1"/>
    <x v="5"/>
    <x v="21"/>
    <n v="2921.73"/>
    <x v="1"/>
    <x v="0"/>
    <n v="4.4000000000000004"/>
    <n v="11"/>
    <n v="3"/>
    <n v="3282.8426966292136"/>
    <n v="361.11269662921359"/>
    <x v="3"/>
    <m/>
  </r>
  <r>
    <n v="1728"/>
    <n v="20"/>
    <x v="0"/>
    <x v="0"/>
    <x v="0"/>
    <n v="141.9"/>
    <x v="2"/>
    <x v="0"/>
    <n v="3.4"/>
    <n v="11"/>
    <n v="3"/>
    <n v="159.43820224719101"/>
    <n v="17.538202247191009"/>
    <x v="3"/>
    <m/>
  </r>
  <r>
    <n v="1729"/>
    <n v="64"/>
    <x v="0"/>
    <x v="0"/>
    <x v="28"/>
    <n v="95.27"/>
    <x v="1"/>
    <x v="0"/>
    <n v="4.5999999999999996"/>
    <n v="24"/>
    <n v="7"/>
    <n v="125.35526315789473"/>
    <n v="30.08526315789473"/>
    <x v="0"/>
    <m/>
  </r>
  <r>
    <n v="1730"/>
    <n v="43"/>
    <x v="0"/>
    <x v="0"/>
    <x v="28"/>
    <n v="26.57"/>
    <x v="3"/>
    <x v="1"/>
    <n v="3.8"/>
    <n v="22"/>
    <n v="6"/>
    <n v="34.064102564102562"/>
    <n v="7.4941025641025618"/>
    <x v="1"/>
    <m/>
  </r>
  <r>
    <n v="1731"/>
    <n v="41"/>
    <x v="0"/>
    <x v="7"/>
    <x v="13"/>
    <n v="232.67"/>
    <x v="2"/>
    <x v="0"/>
    <n v="4.3"/>
    <n v="20"/>
    <n v="5"/>
    <n v="290.83749999999998"/>
    <n v="58.16749999999999"/>
    <x v="1"/>
    <m/>
  </r>
  <r>
    <n v="1732"/>
    <n v="37"/>
    <x v="1"/>
    <x v="1"/>
    <x v="20"/>
    <n v="144.66999999999999"/>
    <x v="2"/>
    <x v="0"/>
    <n v="5"/>
    <n v="10"/>
    <n v="5"/>
    <n v="160.74444444444444"/>
    <n v="16.074444444444453"/>
    <x v="1"/>
    <m/>
  </r>
  <r>
    <n v="1733"/>
    <n v="37"/>
    <x v="1"/>
    <x v="2"/>
    <x v="2"/>
    <n v="38.82"/>
    <x v="3"/>
    <x v="1"/>
    <n v="3.8"/>
    <n v="22"/>
    <n v="6"/>
    <n v="49.769230769230766"/>
    <n v="10.949230769230766"/>
    <x v="1"/>
    <m/>
  </r>
  <r>
    <n v="1734"/>
    <n v="52"/>
    <x v="1"/>
    <x v="1"/>
    <x v="20"/>
    <n v="165.6"/>
    <x v="1"/>
    <x v="0"/>
    <n v="4.2"/>
    <n v="8"/>
    <n v="4"/>
    <n v="180"/>
    <n v="14.400000000000006"/>
    <x v="4"/>
    <m/>
  </r>
  <r>
    <n v="1735"/>
    <n v="29"/>
    <x v="1"/>
    <x v="2"/>
    <x v="10"/>
    <n v="89.4"/>
    <x v="1"/>
    <x v="0"/>
    <n v="4.8"/>
    <n v="15"/>
    <n v="5"/>
    <n v="105.1764705882353"/>
    <n v="15.776470588235298"/>
    <x v="5"/>
    <m/>
  </r>
  <r>
    <n v="1736"/>
    <n v="61"/>
    <x v="0"/>
    <x v="8"/>
    <x v="16"/>
    <n v="55.18"/>
    <x v="2"/>
    <x v="1"/>
    <n v="3.9"/>
    <n v="13"/>
    <n v="4"/>
    <n v="63.425287356321839"/>
    <n v="8.245287356321839"/>
    <x v="0"/>
    <m/>
  </r>
  <r>
    <n v="1737"/>
    <n v="27"/>
    <x v="1"/>
    <x v="5"/>
    <x v="21"/>
    <n v="2194.8200000000002"/>
    <x v="0"/>
    <x v="0"/>
    <n v="4.2"/>
    <n v="24"/>
    <n v="7"/>
    <n v="2887.9210526315792"/>
    <n v="693.10105263157902"/>
    <x v="5"/>
    <m/>
  </r>
  <r>
    <n v="1738"/>
    <n v="69"/>
    <x v="0"/>
    <x v="8"/>
    <x v="17"/>
    <n v="149.44"/>
    <x v="0"/>
    <x v="0"/>
    <n v="4.0999999999999996"/>
    <n v="10"/>
    <n v="5"/>
    <n v="166.04444444444445"/>
    <n v="16.604444444444454"/>
    <x v="2"/>
    <m/>
  </r>
  <r>
    <n v="1739"/>
    <n v="53"/>
    <x v="1"/>
    <x v="1"/>
    <x v="20"/>
    <n v="181.37"/>
    <x v="0"/>
    <x v="0"/>
    <n v="4"/>
    <n v="20"/>
    <n v="5"/>
    <n v="226.71250000000001"/>
    <n v="45.342500000000001"/>
    <x v="4"/>
    <m/>
  </r>
  <r>
    <n v="1740"/>
    <n v="42"/>
    <x v="1"/>
    <x v="2"/>
    <x v="10"/>
    <n v="65.55"/>
    <x v="3"/>
    <x v="1"/>
    <n v="4"/>
    <n v="8"/>
    <n v="4"/>
    <n v="71.25"/>
    <n v="5.7000000000000028"/>
    <x v="1"/>
    <m/>
  </r>
  <r>
    <n v="1741"/>
    <n v="40"/>
    <x v="0"/>
    <x v="6"/>
    <x v="6"/>
    <n v="60.6"/>
    <x v="2"/>
    <x v="0"/>
    <n v="4.5"/>
    <n v="15"/>
    <n v="5"/>
    <n v="71.294117647058826"/>
    <n v="10.694117647058825"/>
    <x v="1"/>
    <m/>
  </r>
  <r>
    <n v="1742"/>
    <n v="45"/>
    <x v="0"/>
    <x v="8"/>
    <x v="17"/>
    <n v="87.8"/>
    <x v="0"/>
    <x v="1"/>
    <n v="4.7"/>
    <n v="21"/>
    <n v="8"/>
    <n v="111.1392405063291"/>
    <n v="23.339240506329105"/>
    <x v="4"/>
    <m/>
  </r>
  <r>
    <n v="1743"/>
    <n v="37"/>
    <x v="1"/>
    <x v="2"/>
    <x v="10"/>
    <n v="223.54"/>
    <x v="0"/>
    <x v="0"/>
    <n v="3.7"/>
    <n v="15"/>
    <n v="5"/>
    <n v="262.98823529411766"/>
    <n v="39.448235294117666"/>
    <x v="1"/>
    <m/>
  </r>
  <r>
    <n v="1744"/>
    <n v="27"/>
    <x v="0"/>
    <x v="0"/>
    <x v="22"/>
    <n v="113.9"/>
    <x v="1"/>
    <x v="0"/>
    <n v="4.5"/>
    <n v="8"/>
    <n v="4"/>
    <n v="123.80434782608695"/>
    <n v="9.9043478260869477"/>
    <x v="5"/>
    <m/>
  </r>
  <r>
    <n v="1745"/>
    <n v="51"/>
    <x v="1"/>
    <x v="4"/>
    <x v="19"/>
    <n v="47.16"/>
    <x v="2"/>
    <x v="0"/>
    <n v="5"/>
    <n v="32"/>
    <n v="11"/>
    <n v="69.352941176470594"/>
    <n v="22.192941176470597"/>
    <x v="4"/>
    <m/>
  </r>
  <r>
    <n v="1746"/>
    <n v="60"/>
    <x v="1"/>
    <x v="5"/>
    <x v="7"/>
    <n v="2140.91"/>
    <x v="1"/>
    <x v="0"/>
    <n v="3.7"/>
    <n v="14"/>
    <n v="7"/>
    <n v="2489.4302325581393"/>
    <n v="348.52023255813947"/>
    <x v="0"/>
    <m/>
  </r>
  <r>
    <n v="1747"/>
    <n v="39"/>
    <x v="0"/>
    <x v="6"/>
    <x v="23"/>
    <n v="114.5"/>
    <x v="0"/>
    <x v="0"/>
    <n v="2.6"/>
    <n v="7"/>
    <n v="1"/>
    <n v="123.11827956989248"/>
    <n v="8.6182795698924792"/>
    <x v="1"/>
    <m/>
  </r>
  <r>
    <n v="1748"/>
    <n v="38"/>
    <x v="1"/>
    <x v="5"/>
    <x v="7"/>
    <n v="1304.49"/>
    <x v="2"/>
    <x v="0"/>
    <n v="3.5"/>
    <n v="12"/>
    <n v="6"/>
    <n v="1482.375"/>
    <n v="177.88499999999999"/>
    <x v="1"/>
    <m/>
  </r>
  <r>
    <n v="1749"/>
    <n v="58"/>
    <x v="1"/>
    <x v="1"/>
    <x v="20"/>
    <n v="99.6"/>
    <x v="1"/>
    <x v="1"/>
    <n v="4.2"/>
    <n v="12"/>
    <n v="6"/>
    <n v="113.18181818181817"/>
    <n v="13.581818181818178"/>
    <x v="0"/>
    <m/>
  </r>
  <r>
    <n v="1750"/>
    <n v="24"/>
    <x v="1"/>
    <x v="5"/>
    <x v="25"/>
    <n v="1953.51"/>
    <x v="0"/>
    <x v="0"/>
    <n v="4.9000000000000004"/>
    <n v="16"/>
    <n v="8"/>
    <n v="2325.6071428571431"/>
    <n v="372.09714285714313"/>
    <x v="3"/>
    <m/>
  </r>
  <r>
    <n v="1751"/>
    <n v="22"/>
    <x v="1"/>
    <x v="1"/>
    <x v="9"/>
    <n v="143.30000000000001"/>
    <x v="2"/>
    <x v="0"/>
    <n v="3.8"/>
    <n v="13"/>
    <n v="4"/>
    <n v="164.71264367816093"/>
    <n v="21.412643678160919"/>
    <x v="3"/>
    <m/>
  </r>
  <r>
    <n v="1752"/>
    <n v="56"/>
    <x v="0"/>
    <x v="0"/>
    <x v="22"/>
    <n v="48.36"/>
    <x v="0"/>
    <x v="0"/>
    <n v="3.4"/>
    <n v="17"/>
    <n v="6"/>
    <n v="58.265060240963855"/>
    <n v="9.9050602409638557"/>
    <x v="0"/>
    <m/>
  </r>
  <r>
    <n v="1753"/>
    <n v="68"/>
    <x v="1"/>
    <x v="5"/>
    <x v="21"/>
    <n v="566.58000000000004"/>
    <x v="3"/>
    <x v="0"/>
    <n v="3.2"/>
    <n v="11"/>
    <n v="3"/>
    <n v="636.60674157303379"/>
    <n v="70.026741573033746"/>
    <x v="2"/>
    <m/>
  </r>
  <r>
    <n v="1754"/>
    <n v="70"/>
    <x v="0"/>
    <x v="4"/>
    <x v="26"/>
    <n v="39.270000000000003"/>
    <x v="1"/>
    <x v="0"/>
    <n v="3.1"/>
    <n v="26"/>
    <n v="8"/>
    <n v="53.067567567567572"/>
    <n v="13.797567567567569"/>
    <x v="2"/>
    <m/>
  </r>
  <r>
    <n v="1755"/>
    <n v="22"/>
    <x v="1"/>
    <x v="1"/>
    <x v="1"/>
    <n v="98.74"/>
    <x v="3"/>
    <x v="0"/>
    <n v="4"/>
    <n v="12"/>
    <n v="6"/>
    <n v="112.20454545454545"/>
    <n v="13.464545454545458"/>
    <x v="3"/>
    <m/>
  </r>
  <r>
    <n v="1756"/>
    <n v="69"/>
    <x v="0"/>
    <x v="6"/>
    <x v="23"/>
    <n v="108.96"/>
    <x v="3"/>
    <x v="0"/>
    <n v="4.4000000000000004"/>
    <n v="24"/>
    <n v="7"/>
    <n v="143.36842105263156"/>
    <n v="34.408421052631567"/>
    <x v="2"/>
    <m/>
  </r>
  <r>
    <n v="1757"/>
    <n v="66"/>
    <x v="1"/>
    <x v="4"/>
    <x v="29"/>
    <n v="55.46"/>
    <x v="1"/>
    <x v="0"/>
    <n v="3.7"/>
    <n v="10"/>
    <n v="5"/>
    <n v="61.62222222222222"/>
    <n v="6.1622222222222192"/>
    <x v="2"/>
    <m/>
  </r>
  <r>
    <n v="1758"/>
    <n v="43"/>
    <x v="0"/>
    <x v="2"/>
    <x v="2"/>
    <n v="80.150000000000006"/>
    <x v="0"/>
    <x v="0"/>
    <n v="4.7"/>
    <n v="11"/>
    <n v="3"/>
    <n v="90.05617977528091"/>
    <n v="9.9061797752809042"/>
    <x v="1"/>
    <m/>
  </r>
  <r>
    <n v="1759"/>
    <n v="63"/>
    <x v="1"/>
    <x v="2"/>
    <x v="10"/>
    <n v="202.07"/>
    <x v="3"/>
    <x v="0"/>
    <n v="3.7"/>
    <n v="16"/>
    <n v="3"/>
    <n v="240.55952380952382"/>
    <n v="38.489523809523831"/>
    <x v="0"/>
    <m/>
  </r>
  <r>
    <n v="1760"/>
    <n v="23"/>
    <x v="1"/>
    <x v="1"/>
    <x v="1"/>
    <n v="117.84"/>
    <x v="2"/>
    <x v="0"/>
    <n v="3.1"/>
    <n v="24"/>
    <n v="7"/>
    <n v="155.05263157894737"/>
    <n v="37.212631578947367"/>
    <x v="3"/>
    <m/>
  </r>
  <r>
    <n v="1761"/>
    <n v="44"/>
    <x v="1"/>
    <x v="1"/>
    <x v="1"/>
    <n v="194.65"/>
    <x v="1"/>
    <x v="0"/>
    <n v="4.2"/>
    <n v="22"/>
    <n v="6"/>
    <n v="249.55128205128204"/>
    <n v="54.901282051282038"/>
    <x v="1"/>
    <m/>
  </r>
  <r>
    <n v="1762"/>
    <n v="68"/>
    <x v="0"/>
    <x v="6"/>
    <x v="23"/>
    <n v="107.91"/>
    <x v="1"/>
    <x v="0"/>
    <n v="4"/>
    <n v="17"/>
    <n v="6"/>
    <n v="130.01204819277109"/>
    <n v="22.102048192771093"/>
    <x v="2"/>
    <m/>
  </r>
  <r>
    <n v="1763"/>
    <n v="34"/>
    <x v="1"/>
    <x v="2"/>
    <x v="12"/>
    <n v="184.29"/>
    <x v="0"/>
    <x v="0"/>
    <n v="5"/>
    <n v="11"/>
    <n v="3"/>
    <n v="207.06741573033707"/>
    <n v="22.777415730337083"/>
    <x v="5"/>
    <m/>
  </r>
  <r>
    <n v="1764"/>
    <n v="35"/>
    <x v="0"/>
    <x v="6"/>
    <x v="23"/>
    <n v="121.94"/>
    <x v="1"/>
    <x v="0"/>
    <n v="3.4"/>
    <n v="22"/>
    <n v="6"/>
    <n v="156.33333333333331"/>
    <n v="34.393333333333317"/>
    <x v="1"/>
    <m/>
  </r>
  <r>
    <n v="1765"/>
    <n v="51"/>
    <x v="1"/>
    <x v="2"/>
    <x v="2"/>
    <n v="218.04"/>
    <x v="3"/>
    <x v="0"/>
    <n v="3"/>
    <n v="20"/>
    <n v="5"/>
    <n v="272.54999999999995"/>
    <n v="54.509999999999962"/>
    <x v="4"/>
    <m/>
  </r>
  <r>
    <n v="1766"/>
    <n v="62"/>
    <x v="0"/>
    <x v="0"/>
    <x v="0"/>
    <n v="90.96"/>
    <x v="2"/>
    <x v="0"/>
    <n v="3.6"/>
    <n v="11"/>
    <n v="3"/>
    <n v="102.20224719101122"/>
    <n v="11.242247191011231"/>
    <x v="0"/>
    <m/>
  </r>
  <r>
    <n v="1767"/>
    <n v="44"/>
    <x v="1"/>
    <x v="5"/>
    <x v="21"/>
    <n v="2617.6799999999998"/>
    <x v="0"/>
    <x v="0"/>
    <n v="3.7"/>
    <n v="12"/>
    <n v="6"/>
    <n v="2974.6363636363635"/>
    <n v="356.95636363636368"/>
    <x v="1"/>
    <m/>
  </r>
  <r>
    <n v="1768"/>
    <n v="29"/>
    <x v="1"/>
    <x v="2"/>
    <x v="2"/>
    <n v="165.92"/>
    <x v="1"/>
    <x v="0"/>
    <n v="3.2"/>
    <n v="19"/>
    <n v="7"/>
    <n v="204.83950617283946"/>
    <n v="38.919506172839476"/>
    <x v="5"/>
    <m/>
  </r>
  <r>
    <n v="1769"/>
    <n v="67"/>
    <x v="0"/>
    <x v="6"/>
    <x v="27"/>
    <n v="120.75"/>
    <x v="0"/>
    <x v="0"/>
    <n v="3.4"/>
    <n v="13"/>
    <n v="4"/>
    <n v="138.79310344827587"/>
    <n v="18.043103448275872"/>
    <x v="2"/>
    <m/>
  </r>
  <r>
    <n v="1770"/>
    <n v="55"/>
    <x v="0"/>
    <x v="7"/>
    <x v="8"/>
    <n v="213.52"/>
    <x v="2"/>
    <x v="0"/>
    <n v="3.1"/>
    <n v="14"/>
    <n v="7"/>
    <n v="248.27906976744188"/>
    <n v="34.759069767441872"/>
    <x v="0"/>
    <m/>
  </r>
  <r>
    <n v="1771"/>
    <n v="55"/>
    <x v="1"/>
    <x v="5"/>
    <x v="5"/>
    <n v="2217.08"/>
    <x v="2"/>
    <x v="0"/>
    <n v="4.2"/>
    <n v="21"/>
    <n v="8"/>
    <n v="2806.4303797468351"/>
    <n v="589.35037974683519"/>
    <x v="0"/>
    <m/>
  </r>
  <r>
    <n v="1772"/>
    <n v="45"/>
    <x v="0"/>
    <x v="7"/>
    <x v="11"/>
    <n v="101.95"/>
    <x v="2"/>
    <x v="0"/>
    <n v="3.5"/>
    <n v="12"/>
    <n v="1"/>
    <n v="115.85227272727273"/>
    <n v="13.902272727272731"/>
    <x v="4"/>
    <m/>
  </r>
  <r>
    <n v="1773"/>
    <n v="58"/>
    <x v="0"/>
    <x v="7"/>
    <x v="11"/>
    <n v="89.54"/>
    <x v="2"/>
    <x v="1"/>
    <n v="4.3"/>
    <n v="15"/>
    <n v="5"/>
    <n v="105.34117647058825"/>
    <n v="15.801176470588246"/>
    <x v="0"/>
    <m/>
  </r>
  <r>
    <n v="1774"/>
    <n v="25"/>
    <x v="0"/>
    <x v="6"/>
    <x v="23"/>
    <n v="53.08"/>
    <x v="3"/>
    <x v="0"/>
    <n v="2.9"/>
    <n v="8"/>
    <n v="4"/>
    <n v="57.695652173913039"/>
    <n v="4.6156521739130412"/>
    <x v="5"/>
    <m/>
  </r>
  <r>
    <n v="1775"/>
    <n v="31"/>
    <x v="0"/>
    <x v="4"/>
    <x v="19"/>
    <n v="54.74"/>
    <x v="0"/>
    <x v="1"/>
    <n v="3.8"/>
    <n v="24"/>
    <n v="7"/>
    <n v="72.026315789473685"/>
    <n v="17.286315789473683"/>
    <x v="5"/>
    <m/>
  </r>
  <r>
    <n v="1776"/>
    <n v="43"/>
    <x v="0"/>
    <x v="7"/>
    <x v="13"/>
    <n v="117.15"/>
    <x v="3"/>
    <x v="0"/>
    <n v="3.1"/>
    <n v="14"/>
    <n v="7"/>
    <n v="136.22093023255815"/>
    <n v="19.07093023255814"/>
    <x v="1"/>
    <m/>
  </r>
  <r>
    <n v="1777"/>
    <n v="63"/>
    <x v="1"/>
    <x v="7"/>
    <x v="13"/>
    <n v="92.46"/>
    <x v="1"/>
    <x v="1"/>
    <n v="4.3"/>
    <n v="13"/>
    <n v="4"/>
    <n v="106.27586206896551"/>
    <n v="13.815862068965515"/>
    <x v="0"/>
    <m/>
  </r>
  <r>
    <n v="1778"/>
    <n v="40"/>
    <x v="0"/>
    <x v="4"/>
    <x v="26"/>
    <n v="25.19"/>
    <x v="3"/>
    <x v="0"/>
    <n v="3.4"/>
    <n v="17"/>
    <n v="6"/>
    <n v="30.349397590361448"/>
    <n v="5.1593975903614471"/>
    <x v="1"/>
    <m/>
  </r>
  <r>
    <n v="1779"/>
    <n v="25"/>
    <x v="1"/>
    <x v="2"/>
    <x v="12"/>
    <n v="204.19"/>
    <x v="3"/>
    <x v="0"/>
    <n v="3.9"/>
    <n v="4"/>
    <n v="2"/>
    <n v="212.69791666666669"/>
    <n v="8.5079166666666879"/>
    <x v="5"/>
    <m/>
  </r>
  <r>
    <n v="1780"/>
    <n v="24"/>
    <x v="0"/>
    <x v="4"/>
    <x v="19"/>
    <n v="68.44"/>
    <x v="0"/>
    <x v="0"/>
    <n v="3.7"/>
    <n v="15"/>
    <n v="5"/>
    <n v="80.517647058823528"/>
    <n v="12.07764705882353"/>
    <x v="3"/>
    <m/>
  </r>
  <r>
    <n v="1781"/>
    <n v="57"/>
    <x v="0"/>
    <x v="7"/>
    <x v="8"/>
    <n v="65.540000000000006"/>
    <x v="3"/>
    <x v="1"/>
    <n v="4.2"/>
    <n v="16"/>
    <n v="8"/>
    <n v="78.023809523809533"/>
    <n v="12.483809523809526"/>
    <x v="0"/>
    <m/>
  </r>
  <r>
    <n v="1782"/>
    <n v="57"/>
    <x v="1"/>
    <x v="7"/>
    <x v="8"/>
    <n v="90.98"/>
    <x v="0"/>
    <x v="0"/>
    <n v="3"/>
    <n v="16"/>
    <n v="8"/>
    <n v="108.30952380952382"/>
    <n v="17.32952380952382"/>
    <x v="0"/>
    <m/>
  </r>
  <r>
    <n v="1783"/>
    <n v="23"/>
    <x v="1"/>
    <x v="5"/>
    <x v="25"/>
    <n v="2369.0100000000002"/>
    <x v="3"/>
    <x v="0"/>
    <n v="4.0999999999999996"/>
    <n v="0"/>
    <n v="0"/>
    <n v="2369.0100000000002"/>
    <n v="0"/>
    <x v="3"/>
    <m/>
  </r>
  <r>
    <n v="1784"/>
    <n v="63"/>
    <x v="0"/>
    <x v="6"/>
    <x v="27"/>
    <n v="131.24"/>
    <x v="0"/>
    <x v="0"/>
    <n v="4.0999999999999996"/>
    <n v="11"/>
    <n v="3"/>
    <n v="147.46067415730337"/>
    <n v="16.220674157303364"/>
    <x v="0"/>
    <m/>
  </r>
  <r>
    <n v="1785"/>
    <n v="34"/>
    <x v="1"/>
    <x v="2"/>
    <x v="12"/>
    <n v="152.61000000000001"/>
    <x v="3"/>
    <x v="0"/>
    <n v="3.7"/>
    <n v="8"/>
    <n v="4"/>
    <n v="165.88043478260872"/>
    <n v="13.270434782608703"/>
    <x v="5"/>
    <m/>
  </r>
  <r>
    <n v="1786"/>
    <n v="64"/>
    <x v="0"/>
    <x v="2"/>
    <x v="12"/>
    <n v="224.38"/>
    <x v="1"/>
    <x v="0"/>
    <n v="3.4"/>
    <n v="11"/>
    <n v="3"/>
    <n v="252.11235955056179"/>
    <n v="27.732359550561796"/>
    <x v="0"/>
    <m/>
  </r>
  <r>
    <n v="1787"/>
    <n v="52"/>
    <x v="1"/>
    <x v="1"/>
    <x v="9"/>
    <n v="31.54"/>
    <x v="1"/>
    <x v="1"/>
    <n v="3.7"/>
    <n v="18"/>
    <n v="4"/>
    <n v="38.463414634146339"/>
    <n v="6.9234146341463401"/>
    <x v="4"/>
    <m/>
  </r>
  <r>
    <n v="1788"/>
    <n v="31"/>
    <x v="0"/>
    <x v="6"/>
    <x v="23"/>
    <n v="122.72"/>
    <x v="3"/>
    <x v="0"/>
    <n v="3.2"/>
    <n v="9"/>
    <n v="2"/>
    <n v="134.85714285714286"/>
    <n v="12.137142857142862"/>
    <x v="5"/>
    <m/>
  </r>
  <r>
    <n v="1789"/>
    <n v="56"/>
    <x v="0"/>
    <x v="0"/>
    <x v="22"/>
    <n v="60.7"/>
    <x v="3"/>
    <x v="0"/>
    <n v="4.0999999999999996"/>
    <n v="14"/>
    <n v="7"/>
    <n v="70.581395348837219"/>
    <n v="9.8813953488372164"/>
    <x v="0"/>
    <m/>
  </r>
  <r>
    <n v="1790"/>
    <n v="64"/>
    <x v="1"/>
    <x v="4"/>
    <x v="26"/>
    <n v="40.94"/>
    <x v="0"/>
    <x v="0"/>
    <n v="3.5"/>
    <n v="13"/>
    <n v="4"/>
    <n v="47.057471264367813"/>
    <n v="6.1174712643678149"/>
    <x v="0"/>
    <m/>
  </r>
  <r>
    <n v="1791"/>
    <n v="67"/>
    <x v="1"/>
    <x v="2"/>
    <x v="2"/>
    <n v="226.26"/>
    <x v="0"/>
    <x v="0"/>
    <n v="3"/>
    <n v="16"/>
    <n v="3"/>
    <n v="269.35714285714283"/>
    <n v="43.097142857142842"/>
    <x v="2"/>
    <m/>
  </r>
  <r>
    <n v="1792"/>
    <n v="48"/>
    <x v="1"/>
    <x v="7"/>
    <x v="8"/>
    <n v="94.74"/>
    <x v="2"/>
    <x v="1"/>
    <n v="3.4"/>
    <n v="26"/>
    <n v="8"/>
    <n v="128.02702702702703"/>
    <n v="33.287027027027037"/>
    <x v="4"/>
    <m/>
  </r>
  <r>
    <n v="1793"/>
    <n v="41"/>
    <x v="0"/>
    <x v="6"/>
    <x v="23"/>
    <n v="130.69"/>
    <x v="0"/>
    <x v="0"/>
    <n v="4.3"/>
    <n v="10"/>
    <n v="5"/>
    <n v="145.21111111111111"/>
    <n v="14.521111111111111"/>
    <x v="1"/>
    <m/>
  </r>
  <r>
    <n v="1794"/>
    <n v="62"/>
    <x v="1"/>
    <x v="2"/>
    <x v="10"/>
    <n v="176.42"/>
    <x v="2"/>
    <x v="0"/>
    <n v="4.0999999999999996"/>
    <n v="4"/>
    <n v="2"/>
    <n v="183.77083333333331"/>
    <n v="7.3508333333333269"/>
    <x v="0"/>
    <m/>
  </r>
  <r>
    <n v="1795"/>
    <n v="24"/>
    <x v="1"/>
    <x v="7"/>
    <x v="8"/>
    <n v="103.89"/>
    <x v="2"/>
    <x v="0"/>
    <n v="4.8"/>
    <n v="15"/>
    <n v="5"/>
    <n v="122.22352941176472"/>
    <n v="18.333529411764715"/>
    <x v="3"/>
    <m/>
  </r>
  <r>
    <n v="1796"/>
    <n v="22"/>
    <x v="1"/>
    <x v="1"/>
    <x v="1"/>
    <n v="48.19"/>
    <x v="1"/>
    <x v="0"/>
    <n v="3.8"/>
    <n v="17"/>
    <n v="6"/>
    <n v="58.060240963855421"/>
    <n v="9.8702409638554229"/>
    <x v="3"/>
    <m/>
  </r>
  <r>
    <n v="1797"/>
    <n v="68"/>
    <x v="1"/>
    <x v="2"/>
    <x v="10"/>
    <n v="57.02"/>
    <x v="1"/>
    <x v="0"/>
    <n v="3.7"/>
    <n v="0"/>
    <n v="0"/>
    <n v="57.02"/>
    <n v="0"/>
    <x v="2"/>
    <m/>
  </r>
  <r>
    <n v="1798"/>
    <n v="70"/>
    <x v="1"/>
    <x v="2"/>
    <x v="2"/>
    <n v="54.5"/>
    <x v="2"/>
    <x v="0"/>
    <n v="3.5"/>
    <n v="6"/>
    <n v="3"/>
    <n v="57.978723404255319"/>
    <n v="3.4787234042553195"/>
    <x v="2"/>
    <m/>
  </r>
  <r>
    <n v="1799"/>
    <n v="22"/>
    <x v="1"/>
    <x v="1"/>
    <x v="9"/>
    <n v="67.459999999999994"/>
    <x v="1"/>
    <x v="1"/>
    <n v="3.7"/>
    <n v="6"/>
    <n v="3"/>
    <n v="71.765957446808514"/>
    <n v="4.3059574468085202"/>
    <x v="3"/>
    <m/>
  </r>
  <r>
    <n v="1800"/>
    <n v="52"/>
    <x v="1"/>
    <x v="7"/>
    <x v="13"/>
    <n v="241.87"/>
    <x v="1"/>
    <x v="0"/>
    <n v="3.4"/>
    <n v="22"/>
    <n v="6"/>
    <n v="310.08974358974359"/>
    <n v="68.219743589743587"/>
    <x v="4"/>
    <m/>
  </r>
  <r>
    <n v="1801"/>
    <n v="28"/>
    <x v="0"/>
    <x v="3"/>
    <x v="24"/>
    <n v="117.11"/>
    <x v="1"/>
    <x v="0"/>
    <n v="3.2"/>
    <n v="13"/>
    <n v="4"/>
    <n v="134.60919540229884"/>
    <n v="17.499195402298838"/>
    <x v="5"/>
    <m/>
  </r>
  <r>
    <n v="1802"/>
    <n v="33"/>
    <x v="1"/>
    <x v="3"/>
    <x v="3"/>
    <n v="154.72"/>
    <x v="0"/>
    <x v="0"/>
    <n v="3.5"/>
    <n v="18"/>
    <n v="9"/>
    <n v="188.68292682926827"/>
    <n v="33.96292682926827"/>
    <x v="5"/>
    <m/>
  </r>
  <r>
    <n v="1803"/>
    <n v="23"/>
    <x v="1"/>
    <x v="7"/>
    <x v="13"/>
    <n v="168.45"/>
    <x v="3"/>
    <x v="0"/>
    <n v="3.8"/>
    <n v="20"/>
    <n v="5"/>
    <n v="210.56249999999997"/>
    <n v="42.112499999999983"/>
    <x v="3"/>
    <m/>
  </r>
  <r>
    <n v="1804"/>
    <n v="60"/>
    <x v="1"/>
    <x v="2"/>
    <x v="12"/>
    <n v="202.79"/>
    <x v="3"/>
    <x v="0"/>
    <n v="3"/>
    <n v="12"/>
    <n v="1"/>
    <n v="230.44318181818181"/>
    <n v="27.653181818181821"/>
    <x v="0"/>
    <m/>
  </r>
  <r>
    <n v="1805"/>
    <n v="66"/>
    <x v="0"/>
    <x v="3"/>
    <x v="3"/>
    <n v="194.2"/>
    <x v="1"/>
    <x v="0"/>
    <n v="4.7"/>
    <n v="23"/>
    <n v="9"/>
    <n v="252.20779220779218"/>
    <n v="58.007792207792193"/>
    <x v="2"/>
    <m/>
  </r>
  <r>
    <n v="1806"/>
    <n v="59"/>
    <x v="0"/>
    <x v="6"/>
    <x v="6"/>
    <n v="90.63"/>
    <x v="0"/>
    <x v="0"/>
    <n v="4.7"/>
    <n v="12"/>
    <n v="6"/>
    <n v="102.98863636363636"/>
    <n v="12.358636363636364"/>
    <x v="0"/>
    <m/>
  </r>
  <r>
    <n v="1807"/>
    <n v="53"/>
    <x v="0"/>
    <x v="7"/>
    <x v="8"/>
    <n v="243.55"/>
    <x v="2"/>
    <x v="0"/>
    <n v="5"/>
    <n v="20"/>
    <n v="5"/>
    <n v="304.4375"/>
    <n v="60.887499999999989"/>
    <x v="4"/>
    <m/>
  </r>
  <r>
    <n v="1808"/>
    <n v="30"/>
    <x v="1"/>
    <x v="4"/>
    <x v="19"/>
    <n v="38.880000000000003"/>
    <x v="0"/>
    <x v="1"/>
    <n v="4.0999999999999996"/>
    <n v="13"/>
    <n v="4"/>
    <n v="44.689655172413794"/>
    <n v="5.809655172413791"/>
    <x v="5"/>
    <m/>
  </r>
  <r>
    <n v="1809"/>
    <n v="32"/>
    <x v="0"/>
    <x v="6"/>
    <x v="27"/>
    <n v="105.29"/>
    <x v="1"/>
    <x v="0"/>
    <n v="4"/>
    <n v="22"/>
    <n v="6"/>
    <n v="134.9871794871795"/>
    <n v="29.697179487179497"/>
    <x v="5"/>
    <m/>
  </r>
  <r>
    <n v="1810"/>
    <n v="38"/>
    <x v="1"/>
    <x v="2"/>
    <x v="2"/>
    <n v="140.26"/>
    <x v="2"/>
    <x v="0"/>
    <n v="3.7"/>
    <n v="18"/>
    <n v="4"/>
    <n v="171.04878048780486"/>
    <n v="30.788780487804871"/>
    <x v="1"/>
    <m/>
  </r>
  <r>
    <n v="1811"/>
    <n v="45"/>
    <x v="0"/>
    <x v="8"/>
    <x v="14"/>
    <n v="50.56"/>
    <x v="0"/>
    <x v="1"/>
    <n v="5"/>
    <n v="16"/>
    <n v="8"/>
    <n v="60.190476190476197"/>
    <n v="9.6304761904761946"/>
    <x v="4"/>
    <m/>
  </r>
  <r>
    <n v="1812"/>
    <n v="53"/>
    <x v="0"/>
    <x v="4"/>
    <x v="26"/>
    <n v="40.869999999999997"/>
    <x v="0"/>
    <x v="0"/>
    <n v="3.9"/>
    <n v="12"/>
    <n v="1"/>
    <n v="46.443181818181813"/>
    <n v="5.5731818181818156"/>
    <x v="4"/>
    <m/>
  </r>
  <r>
    <n v="1813"/>
    <n v="62"/>
    <x v="1"/>
    <x v="1"/>
    <x v="1"/>
    <n v="88.13"/>
    <x v="3"/>
    <x v="0"/>
    <n v="3.1"/>
    <n v="28"/>
    <n v="9"/>
    <n v="122.40277777777777"/>
    <n v="34.272777777777776"/>
    <x v="0"/>
    <m/>
  </r>
  <r>
    <n v="1814"/>
    <n v="26"/>
    <x v="1"/>
    <x v="1"/>
    <x v="1"/>
    <n v="149.41999999999999"/>
    <x v="2"/>
    <x v="0"/>
    <n v="3.9"/>
    <n v="25"/>
    <n v="10"/>
    <n v="199.22666666666666"/>
    <n v="49.806666666666672"/>
    <x v="5"/>
    <m/>
  </r>
  <r>
    <n v="1815"/>
    <n v="28"/>
    <x v="1"/>
    <x v="7"/>
    <x v="11"/>
    <n v="161.21"/>
    <x v="1"/>
    <x v="0"/>
    <n v="3.2"/>
    <n v="18"/>
    <n v="4"/>
    <n v="196.59756097560975"/>
    <n v="35.387560975609745"/>
    <x v="5"/>
    <m/>
  </r>
  <r>
    <n v="1816"/>
    <n v="49"/>
    <x v="0"/>
    <x v="6"/>
    <x v="23"/>
    <n v="37.520000000000003"/>
    <x v="3"/>
    <x v="1"/>
    <n v="4.5"/>
    <n v="6"/>
    <n v="3"/>
    <n v="39.914893617021285"/>
    <n v="2.3948936170212818"/>
    <x v="4"/>
    <m/>
  </r>
  <r>
    <n v="1817"/>
    <n v="60"/>
    <x v="1"/>
    <x v="2"/>
    <x v="10"/>
    <n v="126.98"/>
    <x v="0"/>
    <x v="0"/>
    <n v="5"/>
    <n v="22"/>
    <n v="6"/>
    <n v="162.7948717948718"/>
    <n v="35.814871794871792"/>
    <x v="0"/>
    <m/>
  </r>
  <r>
    <n v="1818"/>
    <n v="36"/>
    <x v="1"/>
    <x v="7"/>
    <x v="11"/>
    <n v="229.83"/>
    <x v="3"/>
    <x v="0"/>
    <n v="4.8"/>
    <n v="8"/>
    <n v="4"/>
    <n v="249.81521739130434"/>
    <n v="19.985217391304332"/>
    <x v="1"/>
    <m/>
  </r>
  <r>
    <n v="1819"/>
    <n v="57"/>
    <x v="0"/>
    <x v="0"/>
    <x v="28"/>
    <n v="179.83"/>
    <x v="3"/>
    <x v="0"/>
    <n v="2.4"/>
    <n v="13"/>
    <n v="4"/>
    <n v="206.70114942528738"/>
    <n v="26.871149425287371"/>
    <x v="0"/>
    <m/>
  </r>
  <r>
    <n v="1820"/>
    <n v="21"/>
    <x v="1"/>
    <x v="7"/>
    <x v="13"/>
    <n v="231.92"/>
    <x v="2"/>
    <x v="0"/>
    <n v="4.7"/>
    <n v="26"/>
    <n v="8"/>
    <n v="313.40540540540542"/>
    <n v="81.48540540540543"/>
    <x v="3"/>
    <m/>
  </r>
  <r>
    <n v="1821"/>
    <n v="55"/>
    <x v="0"/>
    <x v="7"/>
    <x v="8"/>
    <n v="108.55"/>
    <x v="3"/>
    <x v="0"/>
    <n v="4"/>
    <n v="12"/>
    <n v="1"/>
    <n v="123.35227272727272"/>
    <n v="14.802272727272722"/>
    <x v="0"/>
    <m/>
  </r>
  <r>
    <n v="1822"/>
    <n v="39"/>
    <x v="1"/>
    <x v="7"/>
    <x v="11"/>
    <n v="40.97"/>
    <x v="0"/>
    <x v="0"/>
    <n v="3.9"/>
    <n v="24"/>
    <n v="12"/>
    <n v="53.907894736842103"/>
    <n v="12.937894736842104"/>
    <x v="1"/>
    <m/>
  </r>
  <r>
    <n v="1823"/>
    <n v="35"/>
    <x v="0"/>
    <x v="6"/>
    <x v="23"/>
    <n v="72.38"/>
    <x v="0"/>
    <x v="0"/>
    <n v="4.2"/>
    <n v="18"/>
    <n v="9"/>
    <n v="88.268292682926813"/>
    <n v="15.888292682926817"/>
    <x v="1"/>
    <m/>
  </r>
  <r>
    <n v="1824"/>
    <n v="54"/>
    <x v="1"/>
    <x v="1"/>
    <x v="14"/>
    <n v="77.650000000000006"/>
    <x v="1"/>
    <x v="0"/>
    <n v="2.7"/>
    <n v="15"/>
    <n v="5"/>
    <n v="91.352941176470594"/>
    <n v="13.702941176470588"/>
    <x v="4"/>
    <m/>
  </r>
  <r>
    <n v="1825"/>
    <n v="34"/>
    <x v="0"/>
    <x v="6"/>
    <x v="6"/>
    <n v="63.86"/>
    <x v="1"/>
    <x v="1"/>
    <n v="2.5"/>
    <n v="13"/>
    <n v="4"/>
    <n v="73.402298850574709"/>
    <n v="9.5422988505747099"/>
    <x v="5"/>
    <m/>
  </r>
  <r>
    <n v="1826"/>
    <n v="61"/>
    <x v="1"/>
    <x v="4"/>
    <x v="29"/>
    <n v="75.86"/>
    <x v="0"/>
    <x v="0"/>
    <n v="4"/>
    <n v="10"/>
    <n v="5"/>
    <n v="84.288888888888891"/>
    <n v="8.428888888888892"/>
    <x v="0"/>
    <m/>
  </r>
  <r>
    <n v="1827"/>
    <n v="42"/>
    <x v="0"/>
    <x v="0"/>
    <x v="22"/>
    <n v="37.67"/>
    <x v="0"/>
    <x v="0"/>
    <n v="3.2"/>
    <n v="26"/>
    <n v="8"/>
    <n v="50.905405405405411"/>
    <n v="13.235405405405409"/>
    <x v="1"/>
    <m/>
  </r>
  <r>
    <n v="1828"/>
    <n v="28"/>
    <x v="0"/>
    <x v="0"/>
    <x v="0"/>
    <n v="120.28"/>
    <x v="2"/>
    <x v="0"/>
    <n v="3.5"/>
    <n v="13"/>
    <n v="4"/>
    <n v="138.2528735632184"/>
    <n v="17.9728735632184"/>
    <x v="5"/>
    <m/>
  </r>
  <r>
    <n v="1829"/>
    <n v="30"/>
    <x v="1"/>
    <x v="4"/>
    <x v="4"/>
    <n v="38.97"/>
    <x v="1"/>
    <x v="0"/>
    <n v="3.6"/>
    <n v="6"/>
    <n v="3"/>
    <n v="41.457446808510639"/>
    <n v="2.48744680851064"/>
    <x v="5"/>
    <m/>
  </r>
  <r>
    <n v="1830"/>
    <n v="32"/>
    <x v="0"/>
    <x v="2"/>
    <x v="12"/>
    <n v="140.66"/>
    <x v="2"/>
    <x v="0"/>
    <n v="3"/>
    <n v="12"/>
    <n v="6"/>
    <n v="159.84090909090909"/>
    <n v="19.180909090909097"/>
    <x v="5"/>
    <m/>
  </r>
  <r>
    <n v="1831"/>
    <n v="63"/>
    <x v="0"/>
    <x v="2"/>
    <x v="12"/>
    <n v="229.74"/>
    <x v="0"/>
    <x v="0"/>
    <n v="4.4000000000000004"/>
    <n v="17"/>
    <n v="6"/>
    <n v="276.79518072289159"/>
    <n v="47.055180722891578"/>
    <x v="0"/>
    <m/>
  </r>
  <r>
    <n v="1832"/>
    <n v="27"/>
    <x v="0"/>
    <x v="3"/>
    <x v="15"/>
    <n v="191.41"/>
    <x v="1"/>
    <x v="0"/>
    <n v="4.5"/>
    <n v="6"/>
    <n v="3"/>
    <n v="203.62765957446808"/>
    <n v="12.217659574468087"/>
    <x v="5"/>
    <m/>
  </r>
  <r>
    <n v="1833"/>
    <n v="37"/>
    <x v="1"/>
    <x v="2"/>
    <x v="2"/>
    <n v="165.73"/>
    <x v="0"/>
    <x v="0"/>
    <n v="3.5"/>
    <n v="6"/>
    <n v="3"/>
    <n v="176.30851063829786"/>
    <n v="10.578510638297871"/>
    <x v="1"/>
    <m/>
  </r>
  <r>
    <n v="1834"/>
    <n v="54"/>
    <x v="1"/>
    <x v="5"/>
    <x v="5"/>
    <n v="2817.12"/>
    <x v="2"/>
    <x v="0"/>
    <n v="4"/>
    <n v="18"/>
    <n v="4"/>
    <n v="3435.5121951219508"/>
    <n v="618.39219512195086"/>
    <x v="4"/>
    <m/>
  </r>
  <r>
    <n v="1835"/>
    <n v="34"/>
    <x v="1"/>
    <x v="7"/>
    <x v="8"/>
    <n v="243.34"/>
    <x v="2"/>
    <x v="0"/>
    <n v="3.5"/>
    <n v="11"/>
    <n v="3"/>
    <n v="273.41573033707863"/>
    <n v="30.075730337078625"/>
    <x v="5"/>
    <m/>
  </r>
  <r>
    <n v="1836"/>
    <n v="56"/>
    <x v="1"/>
    <x v="5"/>
    <x v="7"/>
    <n v="1574.28"/>
    <x v="1"/>
    <x v="0"/>
    <n v="3.3"/>
    <n v="13"/>
    <n v="4"/>
    <n v="1809.5172413793102"/>
    <n v="235.23724137931026"/>
    <x v="0"/>
    <m/>
  </r>
  <r>
    <n v="1837"/>
    <n v="28"/>
    <x v="0"/>
    <x v="0"/>
    <x v="0"/>
    <n v="142.54"/>
    <x v="3"/>
    <x v="0"/>
    <n v="4.7"/>
    <n v="20"/>
    <n v="10"/>
    <n v="178.17499999999998"/>
    <n v="35.634999999999991"/>
    <x v="5"/>
    <m/>
  </r>
  <r>
    <n v="1838"/>
    <n v="26"/>
    <x v="1"/>
    <x v="2"/>
    <x v="2"/>
    <n v="138.28"/>
    <x v="0"/>
    <x v="0"/>
    <n v="4"/>
    <n v="15"/>
    <n v="5"/>
    <n v="162.68235294117648"/>
    <n v="24.402352941176474"/>
    <x v="5"/>
    <m/>
  </r>
  <r>
    <n v="1839"/>
    <n v="64"/>
    <x v="0"/>
    <x v="8"/>
    <x v="17"/>
    <n v="82.07"/>
    <x v="2"/>
    <x v="0"/>
    <n v="4.4000000000000004"/>
    <n v="9"/>
    <n v="2"/>
    <n v="90.186813186813183"/>
    <n v="8.1168131868131894"/>
    <x v="0"/>
    <m/>
  </r>
  <r>
    <n v="1840"/>
    <n v="64"/>
    <x v="0"/>
    <x v="0"/>
    <x v="28"/>
    <n v="137.63999999999999"/>
    <x v="2"/>
    <x v="0"/>
    <n v="2.9"/>
    <n v="24"/>
    <n v="7"/>
    <n v="181.10526315789471"/>
    <n v="43.465263157894725"/>
    <x v="0"/>
    <m/>
  </r>
  <r>
    <n v="1841"/>
    <n v="64"/>
    <x v="0"/>
    <x v="0"/>
    <x v="22"/>
    <n v="69.56"/>
    <x v="2"/>
    <x v="1"/>
    <n v="3.2"/>
    <n v="23"/>
    <n v="9"/>
    <n v="90.337662337662337"/>
    <n v="20.777662337662335"/>
    <x v="0"/>
    <m/>
  </r>
  <r>
    <n v="1842"/>
    <n v="40"/>
    <x v="1"/>
    <x v="1"/>
    <x v="20"/>
    <n v="119.18"/>
    <x v="3"/>
    <x v="0"/>
    <n v="4"/>
    <n v="24"/>
    <n v="7"/>
    <n v="156.81578947368422"/>
    <n v="37.635789473684213"/>
    <x v="1"/>
    <m/>
  </r>
  <r>
    <n v="1843"/>
    <n v="28"/>
    <x v="1"/>
    <x v="2"/>
    <x v="12"/>
    <n v="197.53"/>
    <x v="2"/>
    <x v="0"/>
    <n v="4.0999999999999996"/>
    <n v="22"/>
    <n v="6"/>
    <n v="253.24358974358972"/>
    <n v="55.713589743589722"/>
    <x v="5"/>
    <m/>
  </r>
  <r>
    <n v="1844"/>
    <n v="63"/>
    <x v="0"/>
    <x v="7"/>
    <x v="11"/>
    <n v="183.93"/>
    <x v="0"/>
    <x v="0"/>
    <n v="4.7"/>
    <n v="22"/>
    <n v="6"/>
    <n v="235.80769230769232"/>
    <n v="51.877692307692314"/>
    <x v="0"/>
    <m/>
  </r>
  <r>
    <n v="1845"/>
    <n v="54"/>
    <x v="1"/>
    <x v="5"/>
    <x v="5"/>
    <n v="1324.31"/>
    <x v="3"/>
    <x v="0"/>
    <n v="3.5"/>
    <n v="18"/>
    <n v="4"/>
    <n v="1615.012195121951"/>
    <n v="290.70219512195104"/>
    <x v="4"/>
    <m/>
  </r>
  <r>
    <n v="1846"/>
    <n v="57"/>
    <x v="1"/>
    <x v="7"/>
    <x v="11"/>
    <n v="192.19"/>
    <x v="0"/>
    <x v="0"/>
    <n v="3.8"/>
    <n v="8"/>
    <n v="4"/>
    <n v="208.90217391304347"/>
    <n v="16.712173913043472"/>
    <x v="0"/>
    <m/>
  </r>
  <r>
    <n v="1847"/>
    <n v="34"/>
    <x v="1"/>
    <x v="2"/>
    <x v="12"/>
    <n v="111.77"/>
    <x v="1"/>
    <x v="0"/>
    <n v="4.5999999999999996"/>
    <n v="12"/>
    <n v="1"/>
    <n v="127.01136363636363"/>
    <n v="15.24136363636363"/>
    <x v="5"/>
    <m/>
  </r>
  <r>
    <n v="1848"/>
    <n v="52"/>
    <x v="1"/>
    <x v="2"/>
    <x v="2"/>
    <n v="105.58"/>
    <x v="3"/>
    <x v="0"/>
    <n v="3.2"/>
    <n v="17"/>
    <n v="6"/>
    <n v="127.20481927710844"/>
    <n v="21.624819277108443"/>
    <x v="4"/>
    <m/>
  </r>
  <r>
    <n v="1849"/>
    <n v="44"/>
    <x v="0"/>
    <x v="6"/>
    <x v="6"/>
    <n v="57.25"/>
    <x v="3"/>
    <x v="1"/>
    <n v="3.3"/>
    <n v="10"/>
    <n v="5"/>
    <n v="63.611111111111107"/>
    <n v="6.3611111111111072"/>
    <x v="1"/>
    <m/>
  </r>
  <r>
    <n v="1850"/>
    <n v="43"/>
    <x v="0"/>
    <x v="6"/>
    <x v="23"/>
    <n v="146.27000000000001"/>
    <x v="2"/>
    <x v="0"/>
    <n v="3.1"/>
    <n v="18"/>
    <n v="4"/>
    <n v="178.3780487804878"/>
    <n v="32.108048780487792"/>
    <x v="1"/>
    <m/>
  </r>
  <r>
    <n v="1851"/>
    <n v="63"/>
    <x v="0"/>
    <x v="0"/>
    <x v="28"/>
    <n v="137.27000000000001"/>
    <x v="2"/>
    <x v="0"/>
    <n v="4.4000000000000004"/>
    <n v="6"/>
    <n v="3"/>
    <n v="146.03191489361703"/>
    <n v="8.7619148936170177"/>
    <x v="0"/>
    <m/>
  </r>
  <r>
    <n v="1852"/>
    <n v="37"/>
    <x v="1"/>
    <x v="1"/>
    <x v="14"/>
    <n v="79.69"/>
    <x v="0"/>
    <x v="1"/>
    <n v="4.3"/>
    <n v="4"/>
    <n v="2"/>
    <n v="83.010416666666671"/>
    <n v="3.3204166666666737"/>
    <x v="1"/>
    <m/>
  </r>
  <r>
    <n v="1853"/>
    <n v="48"/>
    <x v="0"/>
    <x v="6"/>
    <x v="23"/>
    <n v="29.31"/>
    <x v="2"/>
    <x v="0"/>
    <n v="4.9000000000000004"/>
    <n v="18"/>
    <n v="4"/>
    <n v="35.743902439024389"/>
    <n v="6.43390243902439"/>
    <x v="4"/>
    <m/>
  </r>
  <r>
    <n v="1854"/>
    <n v="47"/>
    <x v="1"/>
    <x v="1"/>
    <x v="20"/>
    <n v="110.78"/>
    <x v="1"/>
    <x v="0"/>
    <n v="3.9"/>
    <n v="10"/>
    <n v="5"/>
    <n v="123.08888888888889"/>
    <n v="12.308888888888887"/>
    <x v="4"/>
    <m/>
  </r>
  <r>
    <n v="1855"/>
    <n v="60"/>
    <x v="0"/>
    <x v="0"/>
    <x v="22"/>
    <n v="88.27"/>
    <x v="0"/>
    <x v="0"/>
    <n v="2.9"/>
    <n v="14"/>
    <n v="7"/>
    <n v="102.63953488372093"/>
    <n v="14.369534883720931"/>
    <x v="0"/>
    <m/>
  </r>
  <r>
    <n v="1856"/>
    <n v="25"/>
    <x v="0"/>
    <x v="0"/>
    <x v="28"/>
    <n v="155.11000000000001"/>
    <x v="0"/>
    <x v="0"/>
    <n v="4.4000000000000004"/>
    <n v="13"/>
    <n v="4"/>
    <n v="178.2873563218391"/>
    <n v="23.177356321839085"/>
    <x v="5"/>
    <m/>
  </r>
  <r>
    <n v="1857"/>
    <n v="20"/>
    <x v="1"/>
    <x v="7"/>
    <x v="13"/>
    <n v="125.9"/>
    <x v="0"/>
    <x v="0"/>
    <n v="4.0999999999999996"/>
    <n v="20"/>
    <n v="5"/>
    <n v="157.375"/>
    <n v="31.474999999999994"/>
    <x v="3"/>
    <m/>
  </r>
  <r>
    <n v="1858"/>
    <n v="29"/>
    <x v="0"/>
    <x v="4"/>
    <x v="19"/>
    <n v="78.52"/>
    <x v="0"/>
    <x v="1"/>
    <n v="3.5"/>
    <n v="18"/>
    <n v="4"/>
    <n v="95.756097560975604"/>
    <n v="17.236097560975608"/>
    <x v="5"/>
    <m/>
  </r>
  <r>
    <n v="1859"/>
    <n v="49"/>
    <x v="0"/>
    <x v="4"/>
    <x v="4"/>
    <n v="21.32"/>
    <x v="0"/>
    <x v="1"/>
    <n v="4.5999999999999996"/>
    <n v="13"/>
    <n v="4"/>
    <n v="24.505747126436781"/>
    <n v="3.1857471264367803"/>
    <x v="4"/>
    <m/>
  </r>
  <r>
    <n v="1860"/>
    <n v="70"/>
    <x v="0"/>
    <x v="7"/>
    <x v="13"/>
    <n v="180.88"/>
    <x v="2"/>
    <x v="0"/>
    <n v="3.1"/>
    <n v="14"/>
    <n v="2"/>
    <n v="210.32558139534885"/>
    <n v="29.445581395348853"/>
    <x v="2"/>
    <m/>
  </r>
  <r>
    <n v="1861"/>
    <n v="23"/>
    <x v="0"/>
    <x v="2"/>
    <x v="10"/>
    <n v="240.21"/>
    <x v="2"/>
    <x v="0"/>
    <n v="2.2999999999999998"/>
    <n v="18"/>
    <n v="4"/>
    <n v="292.9390243902439"/>
    <n v="52.729024390243893"/>
    <x v="3"/>
    <m/>
  </r>
  <r>
    <n v="1862"/>
    <n v="34"/>
    <x v="1"/>
    <x v="1"/>
    <x v="14"/>
    <n v="76.040000000000006"/>
    <x v="3"/>
    <x v="1"/>
    <n v="4"/>
    <n v="6"/>
    <n v="3"/>
    <n v="80.893617021276611"/>
    <n v="4.8536170212766052"/>
    <x v="5"/>
    <m/>
  </r>
  <r>
    <n v="1863"/>
    <n v="68"/>
    <x v="1"/>
    <x v="7"/>
    <x v="11"/>
    <n v="52.98"/>
    <x v="1"/>
    <x v="0"/>
    <n v="3.8"/>
    <n v="22"/>
    <n v="6"/>
    <n v="67.92307692307692"/>
    <n v="14.943076923076923"/>
    <x v="2"/>
    <m/>
  </r>
  <r>
    <n v="1864"/>
    <n v="51"/>
    <x v="0"/>
    <x v="6"/>
    <x v="27"/>
    <n v="101.93"/>
    <x v="1"/>
    <x v="0"/>
    <n v="3.7"/>
    <n v="9"/>
    <n v="2"/>
    <n v="112.01098901098902"/>
    <n v="10.080989010989015"/>
    <x v="4"/>
    <m/>
  </r>
  <r>
    <n v="1865"/>
    <n v="49"/>
    <x v="1"/>
    <x v="7"/>
    <x v="11"/>
    <n v="122.96"/>
    <x v="2"/>
    <x v="0"/>
    <n v="4.2"/>
    <n v="13"/>
    <n v="4"/>
    <n v="141.33333333333331"/>
    <n v="18.373333333333321"/>
    <x v="4"/>
    <m/>
  </r>
  <r>
    <n v="1866"/>
    <n v="46"/>
    <x v="1"/>
    <x v="5"/>
    <x v="21"/>
    <n v="2820.93"/>
    <x v="3"/>
    <x v="0"/>
    <n v="4.5999999999999996"/>
    <n v="13"/>
    <n v="4"/>
    <n v="3242.4482758620688"/>
    <n v="421.518275862069"/>
    <x v="4"/>
    <m/>
  </r>
  <r>
    <n v="1867"/>
    <n v="46"/>
    <x v="1"/>
    <x v="1"/>
    <x v="20"/>
    <n v="123.87"/>
    <x v="3"/>
    <x v="0"/>
    <n v="3.8"/>
    <n v="5"/>
    <n v="0"/>
    <n v="130.38947368421054"/>
    <n v="6.5194736842105385"/>
    <x v="4"/>
    <m/>
  </r>
  <r>
    <n v="1868"/>
    <n v="49"/>
    <x v="1"/>
    <x v="1"/>
    <x v="20"/>
    <n v="67.94"/>
    <x v="3"/>
    <x v="1"/>
    <n v="3.9"/>
    <n v="24"/>
    <n v="7"/>
    <n v="89.39473684210526"/>
    <n v="21.454736842105262"/>
    <x v="4"/>
    <m/>
  </r>
  <r>
    <n v="1869"/>
    <n v="56"/>
    <x v="1"/>
    <x v="1"/>
    <x v="20"/>
    <n v="50.4"/>
    <x v="1"/>
    <x v="0"/>
    <n v="4.2"/>
    <n v="18"/>
    <n v="4"/>
    <n v="61.463414634146332"/>
    <n v="11.063414634146334"/>
    <x v="0"/>
    <m/>
  </r>
  <r>
    <n v="1870"/>
    <n v="65"/>
    <x v="1"/>
    <x v="1"/>
    <x v="9"/>
    <n v="174.89"/>
    <x v="2"/>
    <x v="0"/>
    <n v="2.4"/>
    <n v="2"/>
    <n v="1"/>
    <n v="178.45918367346937"/>
    <n v="3.5691836734693823"/>
    <x v="2"/>
    <m/>
  </r>
  <r>
    <n v="1871"/>
    <n v="44"/>
    <x v="0"/>
    <x v="8"/>
    <x v="17"/>
    <n v="119.31"/>
    <x v="1"/>
    <x v="0"/>
    <n v="3.8"/>
    <n v="15"/>
    <n v="5"/>
    <n v="140.36470588235295"/>
    <n v="21.054705882352948"/>
    <x v="1"/>
    <m/>
  </r>
  <r>
    <n v="1872"/>
    <n v="43"/>
    <x v="1"/>
    <x v="2"/>
    <x v="2"/>
    <n v="188.28"/>
    <x v="1"/>
    <x v="0"/>
    <n v="3.7"/>
    <n v="22"/>
    <n v="6"/>
    <n v="241.38461538461539"/>
    <n v="53.104615384615386"/>
    <x v="1"/>
    <m/>
  </r>
  <r>
    <n v="1873"/>
    <n v="58"/>
    <x v="1"/>
    <x v="7"/>
    <x v="13"/>
    <n v="75.03"/>
    <x v="1"/>
    <x v="0"/>
    <n v="4.3"/>
    <n v="10"/>
    <n v="5"/>
    <n v="83.36666666666666"/>
    <n v="8.3366666666666589"/>
    <x v="0"/>
    <m/>
  </r>
  <r>
    <n v="1874"/>
    <n v="27"/>
    <x v="0"/>
    <x v="2"/>
    <x v="2"/>
    <n v="122.27"/>
    <x v="0"/>
    <x v="0"/>
    <n v="5"/>
    <n v="15"/>
    <n v="5"/>
    <n v="143.84705882352941"/>
    <n v="21.577058823529413"/>
    <x v="5"/>
    <m/>
  </r>
  <r>
    <n v="1875"/>
    <n v="67"/>
    <x v="0"/>
    <x v="8"/>
    <x v="14"/>
    <n v="48.15"/>
    <x v="3"/>
    <x v="1"/>
    <n v="3.5"/>
    <n v="12"/>
    <n v="6"/>
    <n v="54.715909090909086"/>
    <n v="6.5659090909090878"/>
    <x v="2"/>
    <m/>
  </r>
  <r>
    <n v="1876"/>
    <n v="57"/>
    <x v="0"/>
    <x v="4"/>
    <x v="29"/>
    <n v="75.56"/>
    <x v="3"/>
    <x v="1"/>
    <n v="3.8"/>
    <n v="22"/>
    <n v="6"/>
    <n v="96.871794871794876"/>
    <n v="21.311794871794874"/>
    <x v="0"/>
    <m/>
  </r>
  <r>
    <n v="1877"/>
    <n v="37"/>
    <x v="1"/>
    <x v="3"/>
    <x v="24"/>
    <n v="289.68"/>
    <x v="1"/>
    <x v="0"/>
    <n v="5"/>
    <n v="24"/>
    <n v="7"/>
    <n v="381.15789473684214"/>
    <n v="91.477894736842131"/>
    <x v="1"/>
    <m/>
  </r>
  <r>
    <n v="1878"/>
    <n v="59"/>
    <x v="1"/>
    <x v="2"/>
    <x v="12"/>
    <n v="241.42"/>
    <x v="3"/>
    <x v="0"/>
    <n v="5"/>
    <n v="19"/>
    <n v="7"/>
    <n v="298.04938271604937"/>
    <n v="56.629382716049378"/>
    <x v="0"/>
    <m/>
  </r>
  <r>
    <n v="1879"/>
    <n v="51"/>
    <x v="0"/>
    <x v="6"/>
    <x v="6"/>
    <n v="138.15"/>
    <x v="2"/>
    <x v="0"/>
    <n v="3.5"/>
    <n v="15"/>
    <n v="5"/>
    <n v="162.52941176470588"/>
    <n v="24.379411764705878"/>
    <x v="4"/>
    <m/>
  </r>
  <r>
    <n v="1880"/>
    <n v="30"/>
    <x v="0"/>
    <x v="0"/>
    <x v="22"/>
    <n v="46.15"/>
    <x v="0"/>
    <x v="1"/>
    <n v="3.7"/>
    <n v="14"/>
    <n v="2"/>
    <n v="53.662790697674417"/>
    <n v="7.5127906976744185"/>
    <x v="5"/>
    <m/>
  </r>
  <r>
    <n v="1881"/>
    <n v="61"/>
    <x v="1"/>
    <x v="4"/>
    <x v="19"/>
    <n v="62.19"/>
    <x v="3"/>
    <x v="0"/>
    <n v="2.9"/>
    <n v="12"/>
    <n v="6"/>
    <n v="70.670454545454547"/>
    <n v="8.480454545454549"/>
    <x v="0"/>
    <m/>
  </r>
  <r>
    <n v="1882"/>
    <n v="24"/>
    <x v="1"/>
    <x v="7"/>
    <x v="8"/>
    <n v="223.63"/>
    <x v="1"/>
    <x v="0"/>
    <n v="5"/>
    <n v="5"/>
    <n v="0"/>
    <n v="235.4"/>
    <n v="11.77000000000001"/>
    <x v="3"/>
    <m/>
  </r>
  <r>
    <n v="1883"/>
    <n v="46"/>
    <x v="0"/>
    <x v="4"/>
    <x v="29"/>
    <n v="61.01"/>
    <x v="1"/>
    <x v="1"/>
    <n v="3.2"/>
    <n v="15"/>
    <n v="5"/>
    <n v="71.776470588235298"/>
    <n v="10.7664705882353"/>
    <x v="4"/>
    <m/>
  </r>
  <r>
    <n v="1884"/>
    <n v="24"/>
    <x v="1"/>
    <x v="1"/>
    <x v="1"/>
    <n v="55.92"/>
    <x v="1"/>
    <x v="0"/>
    <n v="4"/>
    <n v="12"/>
    <n v="6"/>
    <n v="63.545454545454547"/>
    <n v="7.625454545454545"/>
    <x v="3"/>
    <m/>
  </r>
  <r>
    <n v="1885"/>
    <n v="23"/>
    <x v="1"/>
    <x v="5"/>
    <x v="7"/>
    <n v="590.1"/>
    <x v="1"/>
    <x v="0"/>
    <n v="4.3"/>
    <n v="6"/>
    <n v="3"/>
    <n v="627.76595744680856"/>
    <n v="37.665957446808534"/>
    <x v="3"/>
    <m/>
  </r>
  <r>
    <n v="1886"/>
    <n v="23"/>
    <x v="0"/>
    <x v="2"/>
    <x v="10"/>
    <n v="193.08"/>
    <x v="0"/>
    <x v="0"/>
    <n v="3.3"/>
    <n v="17"/>
    <n v="6"/>
    <n v="232.62650602409641"/>
    <n v="39.546506024096402"/>
    <x v="3"/>
    <m/>
  </r>
  <r>
    <n v="1887"/>
    <n v="24"/>
    <x v="0"/>
    <x v="8"/>
    <x v="17"/>
    <n v="165.24"/>
    <x v="2"/>
    <x v="0"/>
    <n v="3.9"/>
    <n v="15"/>
    <n v="5"/>
    <n v="194.4"/>
    <n v="29.159999999999997"/>
    <x v="3"/>
    <m/>
  </r>
  <r>
    <n v="1888"/>
    <n v="38"/>
    <x v="1"/>
    <x v="1"/>
    <x v="1"/>
    <n v="80.67"/>
    <x v="3"/>
    <x v="0"/>
    <n v="3.6"/>
    <n v="19"/>
    <n v="7"/>
    <n v="99.592592592592595"/>
    <n v="18.922592592592594"/>
    <x v="1"/>
    <m/>
  </r>
  <r>
    <n v="1889"/>
    <n v="26"/>
    <x v="0"/>
    <x v="6"/>
    <x v="6"/>
    <n v="121.33"/>
    <x v="1"/>
    <x v="0"/>
    <n v="5"/>
    <n v="16"/>
    <n v="8"/>
    <n v="144.4404761904762"/>
    <n v="23.110476190476206"/>
    <x v="5"/>
    <m/>
  </r>
  <r>
    <n v="1890"/>
    <n v="42"/>
    <x v="1"/>
    <x v="2"/>
    <x v="10"/>
    <n v="41.11"/>
    <x v="1"/>
    <x v="0"/>
    <n v="3.1"/>
    <n v="28"/>
    <n v="9"/>
    <n v="57.097222222222221"/>
    <n v="15.987222222222222"/>
    <x v="1"/>
    <m/>
  </r>
  <r>
    <n v="1891"/>
    <n v="50"/>
    <x v="1"/>
    <x v="3"/>
    <x v="15"/>
    <n v="45"/>
    <x v="1"/>
    <x v="1"/>
    <n v="4.0999999999999996"/>
    <n v="9"/>
    <n v="2"/>
    <n v="49.450549450549445"/>
    <n v="4.4505494505494454"/>
    <x v="4"/>
    <m/>
  </r>
  <r>
    <n v="1892"/>
    <n v="42"/>
    <x v="0"/>
    <x v="0"/>
    <x v="0"/>
    <n v="50.74"/>
    <x v="0"/>
    <x v="0"/>
    <n v="4.2"/>
    <n v="4"/>
    <n v="2"/>
    <n v="52.854166666666671"/>
    <n v="2.1141666666666694"/>
    <x v="1"/>
    <m/>
  </r>
  <r>
    <n v="1893"/>
    <n v="22"/>
    <x v="0"/>
    <x v="8"/>
    <x v="17"/>
    <n v="109.38"/>
    <x v="1"/>
    <x v="0"/>
    <n v="4.3"/>
    <n v="16"/>
    <n v="3"/>
    <n v="130.21428571428572"/>
    <n v="20.834285714285727"/>
    <x v="3"/>
    <m/>
  </r>
  <r>
    <n v="1894"/>
    <n v="40"/>
    <x v="0"/>
    <x v="8"/>
    <x v="17"/>
    <n v="55"/>
    <x v="2"/>
    <x v="1"/>
    <n v="4"/>
    <n v="18"/>
    <n v="4"/>
    <n v="67.073170731707307"/>
    <n v="12.073170731707307"/>
    <x v="1"/>
    <m/>
  </r>
  <r>
    <n v="1895"/>
    <n v="52"/>
    <x v="1"/>
    <x v="7"/>
    <x v="11"/>
    <n v="181.52"/>
    <x v="2"/>
    <x v="0"/>
    <n v="4.3"/>
    <n v="24"/>
    <n v="7"/>
    <n v="238.84210526315792"/>
    <n v="57.322105263157908"/>
    <x v="4"/>
    <m/>
  </r>
  <r>
    <n v="1896"/>
    <n v="55"/>
    <x v="0"/>
    <x v="0"/>
    <x v="0"/>
    <n v="89.11"/>
    <x v="2"/>
    <x v="1"/>
    <n v="2.6"/>
    <n v="12"/>
    <n v="1"/>
    <n v="101.26136363636364"/>
    <n v="12.151363636363641"/>
    <x v="0"/>
    <m/>
  </r>
  <r>
    <n v="1897"/>
    <n v="34"/>
    <x v="0"/>
    <x v="0"/>
    <x v="22"/>
    <n v="179.27"/>
    <x v="2"/>
    <x v="0"/>
    <n v="4.2"/>
    <n v="13"/>
    <n v="4"/>
    <n v="206.05747126436782"/>
    <n v="26.787471264367809"/>
    <x v="5"/>
    <m/>
  </r>
  <r>
    <n v="1898"/>
    <n v="28"/>
    <x v="1"/>
    <x v="1"/>
    <x v="9"/>
    <n v="147.68"/>
    <x v="0"/>
    <x v="0"/>
    <n v="3.5"/>
    <n v="24"/>
    <n v="7"/>
    <n v="194.31578947368422"/>
    <n v="46.635789473684213"/>
    <x v="5"/>
    <m/>
  </r>
  <r>
    <n v="1899"/>
    <n v="63"/>
    <x v="0"/>
    <x v="8"/>
    <x v="14"/>
    <n v="90.28"/>
    <x v="3"/>
    <x v="0"/>
    <n v="4"/>
    <n v="19"/>
    <n v="7"/>
    <n v="111.45679012345678"/>
    <n v="21.176790123456783"/>
    <x v="0"/>
    <m/>
  </r>
  <r>
    <n v="1900"/>
    <n v="43"/>
    <x v="0"/>
    <x v="3"/>
    <x v="24"/>
    <n v="261.98"/>
    <x v="2"/>
    <x v="0"/>
    <n v="4.2"/>
    <n v="24"/>
    <n v="7"/>
    <n v="344.71052631578948"/>
    <n v="82.730526315789461"/>
    <x v="1"/>
    <m/>
  </r>
  <r>
    <n v="1901"/>
    <n v="35"/>
    <x v="1"/>
    <x v="5"/>
    <x v="7"/>
    <n v="2479.4"/>
    <x v="3"/>
    <x v="0"/>
    <n v="3.9"/>
    <n v="24"/>
    <n v="7"/>
    <n v="3262.3684210526317"/>
    <n v="782.96842105263158"/>
    <x v="1"/>
    <m/>
  </r>
  <r>
    <n v="1902"/>
    <n v="36"/>
    <x v="1"/>
    <x v="2"/>
    <x v="12"/>
    <n v="159.18"/>
    <x v="1"/>
    <x v="0"/>
    <n v="2.4"/>
    <n v="12"/>
    <n v="6"/>
    <n v="180.88636363636365"/>
    <n v="21.706363636363648"/>
    <x v="1"/>
    <m/>
  </r>
  <r>
    <n v="1903"/>
    <n v="48"/>
    <x v="1"/>
    <x v="2"/>
    <x v="2"/>
    <n v="144.53"/>
    <x v="2"/>
    <x v="0"/>
    <n v="3.7"/>
    <n v="12"/>
    <n v="6"/>
    <n v="164.23863636363637"/>
    <n v="19.708636363636373"/>
    <x v="4"/>
    <m/>
  </r>
  <r>
    <n v="1904"/>
    <n v="34"/>
    <x v="1"/>
    <x v="5"/>
    <x v="25"/>
    <n v="1675.77"/>
    <x v="0"/>
    <x v="0"/>
    <n v="3.6"/>
    <n v="24"/>
    <n v="7"/>
    <n v="2204.9605263157896"/>
    <n v="529.19052631578961"/>
    <x v="5"/>
    <m/>
  </r>
  <r>
    <n v="1905"/>
    <n v="47"/>
    <x v="0"/>
    <x v="7"/>
    <x v="11"/>
    <n v="64.760000000000005"/>
    <x v="3"/>
    <x v="1"/>
    <n v="4.3"/>
    <n v="4"/>
    <n v="2"/>
    <n v="67.458333333333343"/>
    <n v="2.6983333333333377"/>
    <x v="4"/>
    <m/>
  </r>
  <r>
    <n v="1906"/>
    <n v="48"/>
    <x v="0"/>
    <x v="8"/>
    <x v="17"/>
    <n v="118.33"/>
    <x v="1"/>
    <x v="0"/>
    <n v="4"/>
    <n v="24"/>
    <n v="7"/>
    <n v="155.69736842105263"/>
    <n v="37.367368421052632"/>
    <x v="4"/>
    <m/>
  </r>
  <r>
    <n v="1907"/>
    <n v="50"/>
    <x v="0"/>
    <x v="0"/>
    <x v="28"/>
    <n v="150.38999999999999"/>
    <x v="3"/>
    <x v="0"/>
    <n v="4.2"/>
    <n v="11"/>
    <n v="3"/>
    <n v="168.97752808988761"/>
    <n v="18.587528089887627"/>
    <x v="4"/>
    <m/>
  </r>
  <r>
    <n v="1908"/>
    <n v="25"/>
    <x v="1"/>
    <x v="7"/>
    <x v="13"/>
    <n v="120.73"/>
    <x v="2"/>
    <x v="0"/>
    <n v="4"/>
    <n v="11"/>
    <n v="3"/>
    <n v="135.65168539325842"/>
    <n v="14.921685393258414"/>
    <x v="5"/>
    <m/>
  </r>
  <r>
    <n v="1909"/>
    <n v="67"/>
    <x v="1"/>
    <x v="4"/>
    <x v="19"/>
    <n v="25.65"/>
    <x v="2"/>
    <x v="1"/>
    <n v="3.5"/>
    <n v="17"/>
    <n v="6"/>
    <n v="30.903614457831324"/>
    <n v="5.2536144578313255"/>
    <x v="2"/>
    <m/>
  </r>
  <r>
    <n v="1910"/>
    <n v="65"/>
    <x v="0"/>
    <x v="4"/>
    <x v="19"/>
    <n v="25.3"/>
    <x v="0"/>
    <x v="1"/>
    <n v="3.4"/>
    <n v="21"/>
    <n v="8"/>
    <n v="32.025316455696199"/>
    <n v="6.7253164556961984"/>
    <x v="2"/>
    <m/>
  </r>
  <r>
    <n v="1911"/>
    <n v="33"/>
    <x v="0"/>
    <x v="2"/>
    <x v="2"/>
    <n v="54.43"/>
    <x v="0"/>
    <x v="1"/>
    <n v="3.6"/>
    <n v="20"/>
    <n v="10"/>
    <n v="68.037499999999994"/>
    <n v="13.607499999999995"/>
    <x v="5"/>
    <m/>
  </r>
  <r>
    <n v="1912"/>
    <n v="37"/>
    <x v="1"/>
    <x v="7"/>
    <x v="13"/>
    <n v="164.63"/>
    <x v="2"/>
    <x v="0"/>
    <n v="2.5"/>
    <n v="16"/>
    <n v="3"/>
    <n v="195.98809523809524"/>
    <n v="31.358095238095245"/>
    <x v="1"/>
    <m/>
  </r>
  <r>
    <n v="1913"/>
    <n v="24"/>
    <x v="1"/>
    <x v="1"/>
    <x v="14"/>
    <n v="109.21"/>
    <x v="3"/>
    <x v="0"/>
    <n v="3.9"/>
    <n v="22"/>
    <n v="11"/>
    <n v="140.0128205128205"/>
    <n v="30.802820512820503"/>
    <x v="3"/>
    <m/>
  </r>
  <r>
    <n v="1914"/>
    <n v="40"/>
    <x v="0"/>
    <x v="8"/>
    <x v="18"/>
    <n v="96.67"/>
    <x v="1"/>
    <x v="1"/>
    <n v="3.5"/>
    <n v="17"/>
    <n v="6"/>
    <n v="116.4698795180723"/>
    <n v="19.799879518072302"/>
    <x v="1"/>
    <m/>
  </r>
  <r>
    <n v="1915"/>
    <n v="69"/>
    <x v="0"/>
    <x v="2"/>
    <x v="12"/>
    <n v="243.62"/>
    <x v="0"/>
    <x v="0"/>
    <n v="4"/>
    <n v="16"/>
    <n v="3"/>
    <n v="290.02380952380952"/>
    <n v="46.403809523809514"/>
    <x v="2"/>
    <m/>
  </r>
  <r>
    <n v="1916"/>
    <n v="68"/>
    <x v="1"/>
    <x v="2"/>
    <x v="10"/>
    <n v="241.87"/>
    <x v="3"/>
    <x v="0"/>
    <n v="3.7"/>
    <n v="10"/>
    <n v="5"/>
    <n v="268.74444444444447"/>
    <n v="26.874444444444464"/>
    <x v="2"/>
    <m/>
  </r>
  <r>
    <n v="1917"/>
    <n v="38"/>
    <x v="0"/>
    <x v="2"/>
    <x v="2"/>
    <n v="77.44"/>
    <x v="0"/>
    <x v="0"/>
    <n v="4.3"/>
    <n v="10"/>
    <n v="5"/>
    <n v="86.044444444444437"/>
    <n v="8.6044444444444395"/>
    <x v="1"/>
    <m/>
  </r>
  <r>
    <n v="1918"/>
    <n v="49"/>
    <x v="0"/>
    <x v="6"/>
    <x v="23"/>
    <n v="107.16"/>
    <x v="2"/>
    <x v="0"/>
    <n v="3.1"/>
    <n v="16"/>
    <n v="8"/>
    <n v="127.57142857142857"/>
    <n v="20.411428571428573"/>
    <x v="4"/>
    <m/>
  </r>
  <r>
    <n v="1919"/>
    <n v="50"/>
    <x v="1"/>
    <x v="1"/>
    <x v="1"/>
    <n v="109.18"/>
    <x v="1"/>
    <x v="0"/>
    <n v="4.3"/>
    <n v="12"/>
    <n v="6"/>
    <n v="124.06818181818183"/>
    <n v="14.88818181818182"/>
    <x v="4"/>
    <m/>
  </r>
  <r>
    <n v="1920"/>
    <n v="62"/>
    <x v="0"/>
    <x v="8"/>
    <x v="16"/>
    <n v="135.93"/>
    <x v="3"/>
    <x v="0"/>
    <n v="4.0999999999999996"/>
    <n v="15"/>
    <n v="5"/>
    <n v="159.91764705882355"/>
    <n v="23.987647058823541"/>
    <x v="0"/>
    <m/>
  </r>
  <r>
    <n v="1921"/>
    <n v="34"/>
    <x v="0"/>
    <x v="7"/>
    <x v="13"/>
    <n v="219.3"/>
    <x v="0"/>
    <x v="0"/>
    <n v="2.8"/>
    <n v="20"/>
    <n v="5"/>
    <n v="274.125"/>
    <n v="54.824999999999989"/>
    <x v="5"/>
    <m/>
  </r>
  <r>
    <n v="1922"/>
    <n v="24"/>
    <x v="1"/>
    <x v="3"/>
    <x v="3"/>
    <n v="265"/>
    <x v="2"/>
    <x v="0"/>
    <n v="2.4"/>
    <n v="24"/>
    <n v="7"/>
    <n v="348.68421052631578"/>
    <n v="83.68421052631578"/>
    <x v="3"/>
    <m/>
  </r>
  <r>
    <n v="1923"/>
    <n v="68"/>
    <x v="0"/>
    <x v="6"/>
    <x v="23"/>
    <n v="65.91"/>
    <x v="0"/>
    <x v="1"/>
    <n v="5"/>
    <n v="9"/>
    <n v="2"/>
    <n v="72.428571428571416"/>
    <n v="6.5185714285714198"/>
    <x v="2"/>
    <m/>
  </r>
  <r>
    <n v="1924"/>
    <n v="28"/>
    <x v="1"/>
    <x v="2"/>
    <x v="12"/>
    <n v="167.74"/>
    <x v="0"/>
    <x v="0"/>
    <n v="4.4000000000000004"/>
    <n v="13"/>
    <n v="4"/>
    <n v="192.80459770114945"/>
    <n v="25.064597701149438"/>
    <x v="5"/>
    <m/>
  </r>
  <r>
    <n v="1925"/>
    <n v="25"/>
    <x v="0"/>
    <x v="8"/>
    <x v="18"/>
    <n v="197.6"/>
    <x v="3"/>
    <x v="0"/>
    <n v="5"/>
    <n v="13"/>
    <n v="4"/>
    <n v="227.12643678160919"/>
    <n v="29.526436781609192"/>
    <x v="5"/>
    <m/>
  </r>
  <r>
    <n v="1926"/>
    <n v="66"/>
    <x v="1"/>
    <x v="2"/>
    <x v="2"/>
    <n v="69.37"/>
    <x v="0"/>
    <x v="0"/>
    <n v="3.8"/>
    <n v="6"/>
    <n v="3"/>
    <n v="73.797872340425542"/>
    <n v="4.4278723404255373"/>
    <x v="2"/>
    <m/>
  </r>
  <r>
    <n v="1927"/>
    <n v="63"/>
    <x v="0"/>
    <x v="7"/>
    <x v="11"/>
    <n v="176.79"/>
    <x v="2"/>
    <x v="0"/>
    <n v="2.5"/>
    <n v="16"/>
    <n v="3"/>
    <n v="210.46428571428572"/>
    <n v="33.67428571428573"/>
    <x v="0"/>
    <m/>
  </r>
  <r>
    <n v="1928"/>
    <n v="57"/>
    <x v="0"/>
    <x v="6"/>
    <x v="23"/>
    <n v="30.64"/>
    <x v="1"/>
    <x v="0"/>
    <n v="3.2"/>
    <n v="22"/>
    <n v="6"/>
    <n v="39.282051282051285"/>
    <n v="8.642051282051284"/>
    <x v="0"/>
    <m/>
  </r>
  <r>
    <n v="1929"/>
    <n v="62"/>
    <x v="1"/>
    <x v="2"/>
    <x v="12"/>
    <n v="55.13"/>
    <x v="2"/>
    <x v="0"/>
    <n v="4.2"/>
    <n v="13"/>
    <n v="4"/>
    <n v="63.367816091954026"/>
    <n v="8.2378160919540235"/>
    <x v="0"/>
    <m/>
  </r>
  <r>
    <n v="1930"/>
    <n v="59"/>
    <x v="0"/>
    <x v="2"/>
    <x v="2"/>
    <n v="150.71"/>
    <x v="1"/>
    <x v="0"/>
    <n v="3.5"/>
    <n v="15"/>
    <n v="5"/>
    <n v="177.30588235294118"/>
    <n v="26.595882352941175"/>
    <x v="0"/>
    <m/>
  </r>
  <r>
    <n v="1931"/>
    <n v="59"/>
    <x v="0"/>
    <x v="8"/>
    <x v="16"/>
    <n v="42.51"/>
    <x v="0"/>
    <x v="0"/>
    <n v="3.5"/>
    <n v="18"/>
    <n v="4"/>
    <n v="51.841463414634141"/>
    <n v="9.3314634146341433"/>
    <x v="0"/>
    <m/>
  </r>
  <r>
    <n v="1932"/>
    <n v="64"/>
    <x v="0"/>
    <x v="6"/>
    <x v="6"/>
    <n v="83.82"/>
    <x v="3"/>
    <x v="0"/>
    <n v="2.9"/>
    <n v="12"/>
    <n v="6"/>
    <n v="95.249999999999986"/>
    <n v="11.429999999999993"/>
    <x v="0"/>
    <m/>
  </r>
  <r>
    <n v="1933"/>
    <n v="56"/>
    <x v="0"/>
    <x v="6"/>
    <x v="6"/>
    <n v="53.72"/>
    <x v="1"/>
    <x v="1"/>
    <n v="2.4"/>
    <n v="16"/>
    <n v="3"/>
    <n v="63.952380952380956"/>
    <n v="10.232380952380957"/>
    <x v="0"/>
    <m/>
  </r>
  <r>
    <n v="1934"/>
    <n v="42"/>
    <x v="1"/>
    <x v="7"/>
    <x v="13"/>
    <n v="158.32"/>
    <x v="0"/>
    <x v="0"/>
    <n v="4.4000000000000004"/>
    <n v="10"/>
    <n v="5"/>
    <n v="175.9111111111111"/>
    <n v="17.591111111111104"/>
    <x v="1"/>
    <m/>
  </r>
  <r>
    <n v="1935"/>
    <n v="61"/>
    <x v="0"/>
    <x v="7"/>
    <x v="13"/>
    <n v="232.32"/>
    <x v="1"/>
    <x v="0"/>
    <n v="2.7"/>
    <n v="4"/>
    <n v="2"/>
    <n v="242"/>
    <n v="9.6800000000000068"/>
    <x v="0"/>
    <m/>
  </r>
  <r>
    <n v="1936"/>
    <n v="36"/>
    <x v="1"/>
    <x v="2"/>
    <x v="12"/>
    <n v="228.65"/>
    <x v="3"/>
    <x v="0"/>
    <n v="4.0999999999999996"/>
    <n v="13"/>
    <n v="4"/>
    <n v="262.81609195402302"/>
    <n v="34.166091954023017"/>
    <x v="1"/>
    <m/>
  </r>
  <r>
    <n v="1937"/>
    <n v="69"/>
    <x v="1"/>
    <x v="2"/>
    <x v="2"/>
    <n v="56.11"/>
    <x v="3"/>
    <x v="1"/>
    <n v="2.7"/>
    <n v="22"/>
    <n v="6"/>
    <n v="71.935897435897431"/>
    <n v="15.825897435897431"/>
    <x v="2"/>
    <m/>
  </r>
  <r>
    <n v="1938"/>
    <n v="32"/>
    <x v="0"/>
    <x v="3"/>
    <x v="3"/>
    <n v="175.14"/>
    <x v="1"/>
    <x v="0"/>
    <n v="3.6"/>
    <n v="20"/>
    <n v="10"/>
    <n v="218.92499999999998"/>
    <n v="43.784999999999997"/>
    <x v="5"/>
    <m/>
  </r>
  <r>
    <n v="1939"/>
    <n v="58"/>
    <x v="0"/>
    <x v="2"/>
    <x v="10"/>
    <n v="195.03"/>
    <x v="2"/>
    <x v="0"/>
    <n v="3.1"/>
    <n v="13"/>
    <n v="4"/>
    <n v="224.17241379310346"/>
    <n v="29.142413793103458"/>
    <x v="0"/>
    <m/>
  </r>
  <r>
    <n v="1940"/>
    <n v="52"/>
    <x v="0"/>
    <x v="3"/>
    <x v="3"/>
    <n v="181.83"/>
    <x v="1"/>
    <x v="0"/>
    <n v="3.8"/>
    <n v="12"/>
    <n v="6"/>
    <n v="206.625"/>
    <n v="24.794999999999987"/>
    <x v="4"/>
    <m/>
  </r>
  <r>
    <n v="1941"/>
    <n v="64"/>
    <x v="0"/>
    <x v="7"/>
    <x v="13"/>
    <n v="107.22"/>
    <x v="2"/>
    <x v="0"/>
    <n v="4.4000000000000004"/>
    <n v="11"/>
    <n v="3"/>
    <n v="120.47191011235955"/>
    <n v="13.251910112359553"/>
    <x v="0"/>
    <m/>
  </r>
  <r>
    <n v="1942"/>
    <n v="42"/>
    <x v="0"/>
    <x v="0"/>
    <x v="28"/>
    <n v="49.81"/>
    <x v="0"/>
    <x v="0"/>
    <n v="4.3"/>
    <n v="11"/>
    <n v="3"/>
    <n v="55.966292134831463"/>
    <n v="6.1562921348314603"/>
    <x v="1"/>
    <m/>
  </r>
  <r>
    <n v="1943"/>
    <n v="65"/>
    <x v="1"/>
    <x v="2"/>
    <x v="2"/>
    <n v="54.39"/>
    <x v="2"/>
    <x v="1"/>
    <n v="3.8"/>
    <n v="9"/>
    <n v="2"/>
    <n v="59.769230769230766"/>
    <n v="5.3792307692307659"/>
    <x v="2"/>
    <m/>
  </r>
  <r>
    <n v="1944"/>
    <n v="48"/>
    <x v="1"/>
    <x v="7"/>
    <x v="13"/>
    <n v="63.06"/>
    <x v="0"/>
    <x v="0"/>
    <n v="4.2"/>
    <n v="22"/>
    <n v="6"/>
    <n v="80.84615384615384"/>
    <n v="17.786153846153837"/>
    <x v="4"/>
    <m/>
  </r>
  <r>
    <n v="1945"/>
    <n v="66"/>
    <x v="1"/>
    <x v="5"/>
    <x v="21"/>
    <n v="1918.19"/>
    <x v="0"/>
    <x v="0"/>
    <n v="3.3"/>
    <n v="8"/>
    <n v="4"/>
    <n v="2084.9891304347825"/>
    <n v="166.79913043478246"/>
    <x v="2"/>
    <m/>
  </r>
  <r>
    <n v="1946"/>
    <n v="50"/>
    <x v="1"/>
    <x v="1"/>
    <x v="1"/>
    <n v="132.11000000000001"/>
    <x v="1"/>
    <x v="0"/>
    <n v="3.7"/>
    <n v="18"/>
    <n v="4"/>
    <n v="161.10975609756099"/>
    <n v="28.999756097560976"/>
    <x v="4"/>
    <m/>
  </r>
  <r>
    <n v="1947"/>
    <n v="35"/>
    <x v="0"/>
    <x v="8"/>
    <x v="17"/>
    <n v="84.23"/>
    <x v="3"/>
    <x v="1"/>
    <n v="5"/>
    <n v="8"/>
    <n v="4"/>
    <n v="91.554347826086953"/>
    <n v="7.3243478260869495"/>
    <x v="1"/>
    <m/>
  </r>
  <r>
    <n v="1948"/>
    <n v="42"/>
    <x v="0"/>
    <x v="6"/>
    <x v="27"/>
    <n v="114.27"/>
    <x v="1"/>
    <x v="0"/>
    <n v="5"/>
    <n v="12"/>
    <n v="6"/>
    <n v="129.85227272727272"/>
    <n v="15.582272727272724"/>
    <x v="1"/>
    <m/>
  </r>
  <r>
    <n v="1949"/>
    <n v="30"/>
    <x v="0"/>
    <x v="3"/>
    <x v="24"/>
    <n v="39.24"/>
    <x v="1"/>
    <x v="1"/>
    <n v="3.3"/>
    <n v="22"/>
    <n v="6"/>
    <n v="50.307692307692307"/>
    <n v="11.067692307692305"/>
    <x v="5"/>
    <m/>
  </r>
  <r>
    <n v="1950"/>
    <n v="42"/>
    <x v="0"/>
    <x v="7"/>
    <x v="11"/>
    <n v="121.16"/>
    <x v="1"/>
    <x v="0"/>
    <n v="2.8"/>
    <n v="16"/>
    <n v="8"/>
    <n v="144.23809523809524"/>
    <n v="23.078095238095244"/>
    <x v="1"/>
    <m/>
  </r>
  <r>
    <n v="1951"/>
    <n v="51"/>
    <x v="0"/>
    <x v="4"/>
    <x v="4"/>
    <n v="45.86"/>
    <x v="0"/>
    <x v="0"/>
    <n v="3.6"/>
    <n v="8"/>
    <n v="4"/>
    <n v="49.847826086956516"/>
    <n v="3.9878260869565167"/>
    <x v="4"/>
    <m/>
  </r>
  <r>
    <n v="1952"/>
    <n v="38"/>
    <x v="1"/>
    <x v="1"/>
    <x v="14"/>
    <n v="38.47"/>
    <x v="1"/>
    <x v="0"/>
    <n v="3.6"/>
    <n v="17"/>
    <n v="6"/>
    <n v="46.349397590361448"/>
    <n v="7.8793975903614495"/>
    <x v="1"/>
    <m/>
  </r>
  <r>
    <n v="1953"/>
    <n v="46"/>
    <x v="1"/>
    <x v="2"/>
    <x v="10"/>
    <n v="98.54"/>
    <x v="2"/>
    <x v="0"/>
    <n v="4.7"/>
    <n v="8"/>
    <n v="4"/>
    <n v="107.10869565217392"/>
    <n v="8.5686956521739148"/>
    <x v="4"/>
    <m/>
  </r>
  <r>
    <n v="1954"/>
    <n v="55"/>
    <x v="1"/>
    <x v="7"/>
    <x v="8"/>
    <n v="194.32"/>
    <x v="1"/>
    <x v="0"/>
    <n v="3.5"/>
    <n v="8"/>
    <n v="4"/>
    <n v="211.21739130434781"/>
    <n v="16.897391304347821"/>
    <x v="0"/>
    <m/>
  </r>
  <r>
    <n v="1955"/>
    <n v="61"/>
    <x v="0"/>
    <x v="6"/>
    <x v="27"/>
    <n v="71.83"/>
    <x v="2"/>
    <x v="1"/>
    <n v="4"/>
    <n v="18"/>
    <n v="4"/>
    <n v="87.597560975609753"/>
    <n v="15.767560975609754"/>
    <x v="0"/>
    <m/>
  </r>
  <r>
    <n v="1956"/>
    <n v="65"/>
    <x v="0"/>
    <x v="7"/>
    <x v="13"/>
    <n v="119.74"/>
    <x v="2"/>
    <x v="0"/>
    <n v="3.5"/>
    <n v="6"/>
    <n v="3"/>
    <n v="127.38297872340426"/>
    <n v="7.6429787234042692"/>
    <x v="2"/>
    <m/>
  </r>
  <r>
    <n v="1957"/>
    <n v="66"/>
    <x v="0"/>
    <x v="7"/>
    <x v="13"/>
    <n v="242.56"/>
    <x v="3"/>
    <x v="0"/>
    <n v="5"/>
    <n v="14"/>
    <n v="7"/>
    <n v="282.04651162790697"/>
    <n v="39.486511627906964"/>
    <x v="2"/>
    <m/>
  </r>
  <r>
    <n v="1958"/>
    <n v="51"/>
    <x v="0"/>
    <x v="8"/>
    <x v="18"/>
    <n v="78.03"/>
    <x v="0"/>
    <x v="1"/>
    <n v="4.0999999999999996"/>
    <n v="13"/>
    <n v="4"/>
    <n v="89.689655172413794"/>
    <n v="11.659655172413792"/>
    <x v="4"/>
    <m/>
  </r>
  <r>
    <n v="1959"/>
    <n v="52"/>
    <x v="1"/>
    <x v="2"/>
    <x v="2"/>
    <n v="82.92"/>
    <x v="3"/>
    <x v="0"/>
    <n v="4.2"/>
    <n v="24"/>
    <n v="7"/>
    <n v="109.10526315789474"/>
    <n v="26.185263157894738"/>
    <x v="4"/>
    <m/>
  </r>
  <r>
    <n v="1960"/>
    <n v="56"/>
    <x v="0"/>
    <x v="3"/>
    <x v="3"/>
    <n v="220.57"/>
    <x v="1"/>
    <x v="0"/>
    <n v="3.1"/>
    <n v="18"/>
    <n v="4"/>
    <n v="268.98780487804873"/>
    <n v="48.417804878048742"/>
    <x v="0"/>
    <m/>
  </r>
  <r>
    <n v="1961"/>
    <n v="61"/>
    <x v="1"/>
    <x v="2"/>
    <x v="2"/>
    <n v="93.71"/>
    <x v="2"/>
    <x v="1"/>
    <n v="3.6"/>
    <n v="2"/>
    <n v="1"/>
    <n v="95.622448979591837"/>
    <n v="1.9124489795918436"/>
    <x v="0"/>
    <m/>
  </r>
  <r>
    <n v="1962"/>
    <n v="55"/>
    <x v="1"/>
    <x v="7"/>
    <x v="13"/>
    <n v="237.85"/>
    <x v="1"/>
    <x v="0"/>
    <n v="3.4"/>
    <n v="24"/>
    <n v="7"/>
    <n v="312.96052631578948"/>
    <n v="75.110526315789485"/>
    <x v="0"/>
    <m/>
  </r>
  <r>
    <n v="1963"/>
    <n v="43"/>
    <x v="0"/>
    <x v="3"/>
    <x v="15"/>
    <n v="209.95"/>
    <x v="1"/>
    <x v="0"/>
    <n v="2.5"/>
    <n v="16"/>
    <n v="3"/>
    <n v="249.94047619047618"/>
    <n v="39.990476190476187"/>
    <x v="1"/>
    <m/>
  </r>
  <r>
    <n v="1964"/>
    <n v="67"/>
    <x v="1"/>
    <x v="7"/>
    <x v="11"/>
    <n v="208.53"/>
    <x v="2"/>
    <x v="0"/>
    <n v="4.4000000000000004"/>
    <n v="25"/>
    <n v="10"/>
    <n v="278.04000000000002"/>
    <n v="69.510000000000019"/>
    <x v="2"/>
    <m/>
  </r>
  <r>
    <n v="1965"/>
    <n v="23"/>
    <x v="1"/>
    <x v="7"/>
    <x v="11"/>
    <n v="79.069999999999993"/>
    <x v="3"/>
    <x v="1"/>
    <n v="5"/>
    <n v="11"/>
    <n v="3"/>
    <n v="88.842696629213478"/>
    <n v="9.7726966292134847"/>
    <x v="3"/>
    <m/>
  </r>
  <r>
    <n v="1966"/>
    <n v="54"/>
    <x v="0"/>
    <x v="8"/>
    <x v="16"/>
    <n v="86"/>
    <x v="1"/>
    <x v="1"/>
    <n v="3.2"/>
    <n v="18"/>
    <n v="9"/>
    <n v="104.8780487804878"/>
    <n v="18.878048780487802"/>
    <x v="4"/>
    <m/>
  </r>
  <r>
    <n v="1967"/>
    <n v="37"/>
    <x v="0"/>
    <x v="8"/>
    <x v="18"/>
    <n v="118.51"/>
    <x v="3"/>
    <x v="0"/>
    <n v="4.5999999999999996"/>
    <n v="9"/>
    <n v="2"/>
    <n v="130.23076923076923"/>
    <n v="11.720769230769221"/>
    <x v="1"/>
    <m/>
  </r>
  <r>
    <n v="1968"/>
    <n v="44"/>
    <x v="1"/>
    <x v="5"/>
    <x v="21"/>
    <n v="1102.43"/>
    <x v="1"/>
    <x v="0"/>
    <n v="3.9"/>
    <n v="30"/>
    <n v="10"/>
    <n v="1574.9"/>
    <n v="472.47"/>
    <x v="1"/>
    <m/>
  </r>
  <r>
    <n v="1969"/>
    <n v="54"/>
    <x v="0"/>
    <x v="8"/>
    <x v="14"/>
    <n v="130.37"/>
    <x v="1"/>
    <x v="0"/>
    <n v="2.8"/>
    <n v="17"/>
    <n v="6"/>
    <n v="157.07228915662651"/>
    <n v="26.702289156626506"/>
    <x v="4"/>
    <m/>
  </r>
  <r>
    <n v="1970"/>
    <n v="39"/>
    <x v="1"/>
    <x v="2"/>
    <x v="12"/>
    <n v="26.25"/>
    <x v="0"/>
    <x v="1"/>
    <n v="3"/>
    <n v="22"/>
    <n v="6"/>
    <n v="33.653846153846153"/>
    <n v="7.4038461538461533"/>
    <x v="1"/>
    <m/>
  </r>
  <r>
    <n v="1971"/>
    <n v="41"/>
    <x v="1"/>
    <x v="2"/>
    <x v="2"/>
    <n v="229.64"/>
    <x v="3"/>
    <x v="0"/>
    <n v="4.2"/>
    <n v="10"/>
    <n v="5"/>
    <n v="255.15555555555554"/>
    <n v="25.515555555555551"/>
    <x v="1"/>
    <m/>
  </r>
  <r>
    <n v="1972"/>
    <n v="48"/>
    <x v="0"/>
    <x v="8"/>
    <x v="14"/>
    <n v="144.76"/>
    <x v="3"/>
    <x v="0"/>
    <n v="4.2"/>
    <n v="10"/>
    <n v="5"/>
    <n v="160.84444444444443"/>
    <n v="16.084444444444443"/>
    <x v="4"/>
    <m/>
  </r>
  <r>
    <n v="1973"/>
    <n v="39"/>
    <x v="0"/>
    <x v="8"/>
    <x v="18"/>
    <n v="188.91"/>
    <x v="2"/>
    <x v="0"/>
    <n v="3.4"/>
    <n v="20"/>
    <n v="5"/>
    <n v="236.13749999999999"/>
    <n v="47.227499999999992"/>
    <x v="1"/>
    <m/>
  </r>
  <r>
    <n v="1974"/>
    <n v="44"/>
    <x v="1"/>
    <x v="7"/>
    <x v="11"/>
    <n v="108.13"/>
    <x v="2"/>
    <x v="0"/>
    <n v="3.5"/>
    <n v="4"/>
    <n v="2"/>
    <n v="112.63541666666667"/>
    <n v="4.505416666666676"/>
    <x v="1"/>
    <m/>
  </r>
  <r>
    <n v="1975"/>
    <n v="60"/>
    <x v="0"/>
    <x v="7"/>
    <x v="11"/>
    <n v="49.64"/>
    <x v="1"/>
    <x v="1"/>
    <n v="3.2"/>
    <n v="12"/>
    <n v="6"/>
    <n v="56.409090909090907"/>
    <n v="6.7690909090909059"/>
    <x v="0"/>
    <m/>
  </r>
  <r>
    <n v="1976"/>
    <n v="57"/>
    <x v="0"/>
    <x v="8"/>
    <x v="18"/>
    <n v="33.5"/>
    <x v="3"/>
    <x v="0"/>
    <n v="1.7"/>
    <n v="11"/>
    <n v="3"/>
    <n v="37.640449438202246"/>
    <n v="4.1404494382022463"/>
    <x v="0"/>
    <m/>
  </r>
  <r>
    <n v="1977"/>
    <n v="48"/>
    <x v="1"/>
    <x v="1"/>
    <x v="20"/>
    <n v="176.4"/>
    <x v="0"/>
    <x v="0"/>
    <n v="4.3"/>
    <n v="2"/>
    <n v="1"/>
    <n v="180"/>
    <n v="3.5999999999999943"/>
    <x v="4"/>
    <m/>
  </r>
  <r>
    <n v="1978"/>
    <n v="38"/>
    <x v="0"/>
    <x v="7"/>
    <x v="11"/>
    <n v="177.52"/>
    <x v="2"/>
    <x v="0"/>
    <n v="4.7"/>
    <n v="11"/>
    <n v="3"/>
    <n v="199.46067415730337"/>
    <n v="21.940674157303363"/>
    <x v="1"/>
    <m/>
  </r>
  <r>
    <n v="1979"/>
    <n v="66"/>
    <x v="0"/>
    <x v="8"/>
    <x v="14"/>
    <n v="48.85"/>
    <x v="1"/>
    <x v="0"/>
    <n v="4.3"/>
    <n v="24"/>
    <n v="7"/>
    <n v="64.276315789473685"/>
    <n v="15.426315789473684"/>
    <x v="2"/>
    <m/>
  </r>
  <r>
    <n v="1980"/>
    <n v="70"/>
    <x v="0"/>
    <x v="8"/>
    <x v="18"/>
    <n v="139.16999999999999"/>
    <x v="3"/>
    <x v="0"/>
    <n v="4.3"/>
    <n v="19"/>
    <n v="7"/>
    <n v="171.81481481481478"/>
    <n v="32.644814814814794"/>
    <x v="2"/>
    <m/>
  </r>
  <r>
    <n v="1981"/>
    <n v="24"/>
    <x v="1"/>
    <x v="1"/>
    <x v="9"/>
    <n v="196.55"/>
    <x v="3"/>
    <x v="0"/>
    <n v="3.2"/>
    <n v="8"/>
    <n v="4"/>
    <n v="213.64130434782609"/>
    <n v="17.091304347826082"/>
    <x v="3"/>
    <m/>
  </r>
  <r>
    <n v="1982"/>
    <n v="41"/>
    <x v="0"/>
    <x v="6"/>
    <x v="6"/>
    <n v="26.86"/>
    <x v="2"/>
    <x v="0"/>
    <n v="3.5"/>
    <n v="9"/>
    <n v="2"/>
    <n v="29.516483516483515"/>
    <n v="2.6564835164835152"/>
    <x v="1"/>
    <m/>
  </r>
  <r>
    <n v="1983"/>
    <n v="63"/>
    <x v="1"/>
    <x v="2"/>
    <x v="10"/>
    <n v="161.59"/>
    <x v="1"/>
    <x v="0"/>
    <n v="5"/>
    <n v="21"/>
    <n v="8"/>
    <n v="204.54430379746836"/>
    <n v="42.954303797468356"/>
    <x v="0"/>
    <m/>
  </r>
  <r>
    <n v="1984"/>
    <n v="40"/>
    <x v="0"/>
    <x v="8"/>
    <x v="17"/>
    <n v="171.74"/>
    <x v="0"/>
    <x v="0"/>
    <n v="2.9"/>
    <n v="18"/>
    <n v="4"/>
    <n v="209.4390243902439"/>
    <n v="37.699024390243892"/>
    <x v="1"/>
    <m/>
  </r>
  <r>
    <n v="1985"/>
    <n v="52"/>
    <x v="1"/>
    <x v="2"/>
    <x v="12"/>
    <n v="46.83"/>
    <x v="2"/>
    <x v="0"/>
    <n v="3.7"/>
    <n v="22"/>
    <n v="6"/>
    <n v="60.038461538461533"/>
    <n v="13.208461538461535"/>
    <x v="4"/>
    <m/>
  </r>
  <r>
    <n v="1986"/>
    <n v="38"/>
    <x v="1"/>
    <x v="2"/>
    <x v="2"/>
    <n v="61.79"/>
    <x v="0"/>
    <x v="0"/>
    <n v="2.9"/>
    <n v="28"/>
    <n v="9"/>
    <n v="85.819444444444443"/>
    <n v="24.029444444444444"/>
    <x v="1"/>
    <m/>
  </r>
  <r>
    <n v="1987"/>
    <n v="25"/>
    <x v="1"/>
    <x v="1"/>
    <x v="20"/>
    <n v="111.92"/>
    <x v="0"/>
    <x v="0"/>
    <n v="4.3"/>
    <n v="21"/>
    <n v="8"/>
    <n v="141.67088607594937"/>
    <n v="29.750886075949367"/>
    <x v="5"/>
    <m/>
  </r>
  <r>
    <n v="1988"/>
    <n v="56"/>
    <x v="1"/>
    <x v="5"/>
    <x v="21"/>
    <n v="1616.64"/>
    <x v="3"/>
    <x v="0"/>
    <n v="4.2"/>
    <n v="16"/>
    <n v="3"/>
    <n v="1924.5714285714287"/>
    <n v="307.93142857142857"/>
    <x v="0"/>
    <m/>
  </r>
  <r>
    <n v="1989"/>
    <n v="48"/>
    <x v="1"/>
    <x v="2"/>
    <x v="10"/>
    <n v="217.52"/>
    <x v="3"/>
    <x v="0"/>
    <n v="4.5"/>
    <n v="22"/>
    <n v="6"/>
    <n v="278.87179487179486"/>
    <n v="61.351794871794851"/>
    <x v="4"/>
    <m/>
  </r>
  <r>
    <n v="1990"/>
    <n v="64"/>
    <x v="1"/>
    <x v="2"/>
    <x v="10"/>
    <n v="162.80000000000001"/>
    <x v="1"/>
    <x v="0"/>
    <n v="4.9000000000000004"/>
    <n v="18"/>
    <n v="4"/>
    <n v="198.53658536585365"/>
    <n v="35.736585365853642"/>
    <x v="0"/>
    <m/>
  </r>
  <r>
    <n v="1991"/>
    <n v="22"/>
    <x v="1"/>
    <x v="1"/>
    <x v="20"/>
    <n v="65.02"/>
    <x v="3"/>
    <x v="0"/>
    <n v="3.9"/>
    <n v="16"/>
    <n v="3"/>
    <n v="77.404761904761898"/>
    <n v="12.384761904761902"/>
    <x v="3"/>
    <m/>
  </r>
  <r>
    <n v="1992"/>
    <n v="36"/>
    <x v="1"/>
    <x v="7"/>
    <x v="8"/>
    <n v="138.44999999999999"/>
    <x v="3"/>
    <x v="0"/>
    <n v="3.2"/>
    <n v="20"/>
    <n v="5"/>
    <n v="173.06249999999997"/>
    <n v="34.612499999999983"/>
    <x v="1"/>
    <m/>
  </r>
  <r>
    <n v="1993"/>
    <n v="45"/>
    <x v="0"/>
    <x v="2"/>
    <x v="2"/>
    <n v="184.55"/>
    <x v="1"/>
    <x v="0"/>
    <n v="4.2"/>
    <n v="8"/>
    <n v="4"/>
    <n v="200.59782608695653"/>
    <n v="16.047826086956519"/>
    <x v="4"/>
    <m/>
  </r>
  <r>
    <n v="1994"/>
    <n v="33"/>
    <x v="0"/>
    <x v="8"/>
    <x v="17"/>
    <n v="109.48"/>
    <x v="1"/>
    <x v="0"/>
    <n v="3.8"/>
    <n v="12"/>
    <n v="6"/>
    <n v="124.40909090909091"/>
    <n v="14.929090909090903"/>
    <x v="5"/>
    <m/>
  </r>
  <r>
    <n v="1995"/>
    <n v="59"/>
    <x v="0"/>
    <x v="8"/>
    <x v="14"/>
    <n v="147.63"/>
    <x v="2"/>
    <x v="0"/>
    <n v="5"/>
    <n v="17"/>
    <n v="6"/>
    <n v="177.86746987951807"/>
    <n v="30.237469879518073"/>
    <x v="0"/>
    <m/>
  </r>
  <r>
    <n v="1996"/>
    <n v="49"/>
    <x v="1"/>
    <x v="1"/>
    <x v="1"/>
    <n v="176.47"/>
    <x v="3"/>
    <x v="0"/>
    <n v="3.2"/>
    <n v="18"/>
    <n v="4"/>
    <n v="215.20731707317071"/>
    <n v="38.737317073170715"/>
    <x v="4"/>
    <m/>
  </r>
  <r>
    <n v="1997"/>
    <n v="36"/>
    <x v="1"/>
    <x v="5"/>
    <x v="5"/>
    <n v="1270.98"/>
    <x v="1"/>
    <x v="0"/>
    <n v="5"/>
    <n v="12"/>
    <n v="6"/>
    <n v="1444.2954545454545"/>
    <n v="173.31545454545449"/>
    <x v="1"/>
    <m/>
  </r>
  <r>
    <n v="1998"/>
    <n v="59"/>
    <x v="1"/>
    <x v="2"/>
    <x v="2"/>
    <n v="158.36000000000001"/>
    <x v="3"/>
    <x v="0"/>
    <n v="4.0999999999999996"/>
    <n v="21"/>
    <n v="8"/>
    <n v="200.45569620253164"/>
    <n v="42.095696202531627"/>
    <x v="0"/>
    <m/>
  </r>
  <r>
    <n v="1999"/>
    <n v="47"/>
    <x v="1"/>
    <x v="2"/>
    <x v="2"/>
    <n v="25.96"/>
    <x v="2"/>
    <x v="1"/>
    <n v="3.5"/>
    <n v="24"/>
    <n v="7"/>
    <n v="34.157894736842103"/>
    <n v="8.1978947368421018"/>
    <x v="4"/>
    <m/>
  </r>
  <r>
    <n v="2000"/>
    <n v="45"/>
    <x v="0"/>
    <x v="7"/>
    <x v="8"/>
    <n v="219.08"/>
    <x v="1"/>
    <x v="0"/>
    <n v="3.9"/>
    <n v="25"/>
    <n v="10"/>
    <n v="292.10666666666668"/>
    <n v="73.026666666666671"/>
    <x v="4"/>
    <m/>
  </r>
  <r>
    <n v="2001"/>
    <n v="44"/>
    <x v="1"/>
    <x v="2"/>
    <x v="10"/>
    <n v="216.53"/>
    <x v="1"/>
    <x v="0"/>
    <n v="3.4"/>
    <n v="2"/>
    <n v="1"/>
    <n v="220.94897959183675"/>
    <n v="4.4189795918367452"/>
    <x v="1"/>
    <m/>
  </r>
  <r>
    <n v="2002"/>
    <n v="58"/>
    <x v="1"/>
    <x v="2"/>
    <x v="10"/>
    <n v="155.38999999999999"/>
    <x v="2"/>
    <x v="0"/>
    <n v="3.5"/>
    <n v="21"/>
    <n v="8"/>
    <n v="196.69620253164555"/>
    <n v="41.306202531645567"/>
    <x v="0"/>
    <m/>
  </r>
  <r>
    <n v="2003"/>
    <n v="65"/>
    <x v="1"/>
    <x v="7"/>
    <x v="11"/>
    <n v="178.96"/>
    <x v="2"/>
    <x v="0"/>
    <n v="3.1"/>
    <n v="16"/>
    <n v="3"/>
    <n v="213.04761904761907"/>
    <n v="34.087619047619057"/>
    <x v="2"/>
    <m/>
  </r>
  <r>
    <n v="2004"/>
    <n v="50"/>
    <x v="1"/>
    <x v="1"/>
    <x v="9"/>
    <n v="156.35"/>
    <x v="2"/>
    <x v="0"/>
    <n v="3.1"/>
    <n v="9"/>
    <n v="2"/>
    <n v="171.8131868131868"/>
    <n v="15.463186813186809"/>
    <x v="4"/>
    <m/>
  </r>
  <r>
    <n v="2005"/>
    <n v="32"/>
    <x v="0"/>
    <x v="4"/>
    <x v="26"/>
    <n v="30.91"/>
    <x v="1"/>
    <x v="0"/>
    <n v="3.4"/>
    <n v="14"/>
    <n v="2"/>
    <n v="35.941860465116278"/>
    <n v="5.0318604651162779"/>
    <x v="5"/>
    <m/>
  </r>
  <r>
    <n v="2006"/>
    <n v="33"/>
    <x v="0"/>
    <x v="4"/>
    <x v="29"/>
    <n v="33.28"/>
    <x v="0"/>
    <x v="0"/>
    <n v="4.2"/>
    <n v="8"/>
    <n v="4"/>
    <n v="36.173913043478258"/>
    <n v="2.893913043478257"/>
    <x v="5"/>
    <m/>
  </r>
  <r>
    <n v="2007"/>
    <n v="41"/>
    <x v="0"/>
    <x v="4"/>
    <x v="4"/>
    <n v="14.36"/>
    <x v="2"/>
    <x v="1"/>
    <n v="3.6"/>
    <n v="15"/>
    <n v="5"/>
    <n v="16.894117647058824"/>
    <n v="2.5341176470588245"/>
    <x v="1"/>
    <m/>
  </r>
  <r>
    <n v="2008"/>
    <n v="60"/>
    <x v="1"/>
    <x v="2"/>
    <x v="2"/>
    <n v="164.7"/>
    <x v="3"/>
    <x v="0"/>
    <n v="4.8"/>
    <n v="26"/>
    <n v="8"/>
    <n v="222.56756756756755"/>
    <n v="57.867567567567562"/>
    <x v="0"/>
    <m/>
  </r>
  <r>
    <n v="2009"/>
    <n v="54"/>
    <x v="1"/>
    <x v="2"/>
    <x v="12"/>
    <n v="156.24"/>
    <x v="3"/>
    <x v="0"/>
    <n v="4.5999999999999996"/>
    <n v="16"/>
    <n v="3"/>
    <n v="186.00000000000003"/>
    <n v="29.760000000000019"/>
    <x v="4"/>
    <m/>
  </r>
  <r>
    <n v="2010"/>
    <n v="34"/>
    <x v="0"/>
    <x v="8"/>
    <x v="16"/>
    <n v="153.01"/>
    <x v="3"/>
    <x v="0"/>
    <n v="3.8"/>
    <n v="13"/>
    <n v="4"/>
    <n v="175.87356321839079"/>
    <n v="22.863563218390794"/>
    <x v="5"/>
    <m/>
  </r>
  <r>
    <n v="2011"/>
    <n v="46"/>
    <x v="0"/>
    <x v="7"/>
    <x v="11"/>
    <n v="120.06"/>
    <x v="0"/>
    <x v="0"/>
    <n v="4.0999999999999996"/>
    <n v="6"/>
    <n v="3"/>
    <n v="127.72340425531915"/>
    <n v="7.6634042553191506"/>
    <x v="4"/>
    <m/>
  </r>
  <r>
    <n v="2012"/>
    <n v="38"/>
    <x v="0"/>
    <x v="8"/>
    <x v="17"/>
    <n v="162.6"/>
    <x v="3"/>
    <x v="0"/>
    <n v="4.4000000000000004"/>
    <n v="26"/>
    <n v="8"/>
    <n v="219.72972972972971"/>
    <n v="57.129729729729718"/>
    <x v="1"/>
    <m/>
  </r>
  <r>
    <n v="2013"/>
    <n v="51"/>
    <x v="0"/>
    <x v="6"/>
    <x v="6"/>
    <n v="89.47"/>
    <x v="1"/>
    <x v="0"/>
    <n v="3.6"/>
    <n v="10"/>
    <n v="5"/>
    <n v="99.411111111111111"/>
    <n v="9.9411111111111126"/>
    <x v="4"/>
    <m/>
  </r>
  <r>
    <n v="2014"/>
    <n v="20"/>
    <x v="0"/>
    <x v="7"/>
    <x v="13"/>
    <n v="88.2"/>
    <x v="2"/>
    <x v="1"/>
    <n v="3.4"/>
    <n v="17"/>
    <n v="6"/>
    <n v="106.26506024096386"/>
    <n v="18.065060240963859"/>
    <x v="3"/>
    <m/>
  </r>
  <r>
    <n v="2015"/>
    <n v="35"/>
    <x v="1"/>
    <x v="7"/>
    <x v="11"/>
    <n v="199.05"/>
    <x v="2"/>
    <x v="0"/>
    <n v="3.4"/>
    <n v="10"/>
    <n v="5"/>
    <n v="221.16666666666669"/>
    <n v="22.116666666666674"/>
    <x v="1"/>
    <m/>
  </r>
  <r>
    <n v="2016"/>
    <n v="57"/>
    <x v="1"/>
    <x v="3"/>
    <x v="3"/>
    <n v="97.73"/>
    <x v="2"/>
    <x v="1"/>
    <n v="4.0999999999999996"/>
    <n v="12"/>
    <n v="6"/>
    <n v="111.05681818181819"/>
    <n v="13.326818181818183"/>
    <x v="0"/>
    <m/>
  </r>
  <r>
    <n v="2017"/>
    <n v="35"/>
    <x v="1"/>
    <x v="4"/>
    <x v="26"/>
    <n v="21.46"/>
    <x v="3"/>
    <x v="1"/>
    <n v="3.7"/>
    <n v="8"/>
    <n v="4"/>
    <n v="23.326086956521738"/>
    <n v="1.8660869565217375"/>
    <x v="1"/>
    <m/>
  </r>
  <r>
    <n v="2018"/>
    <n v="51"/>
    <x v="0"/>
    <x v="8"/>
    <x v="17"/>
    <n v="196.16"/>
    <x v="0"/>
    <x v="0"/>
    <n v="3.4"/>
    <n v="20"/>
    <n v="5"/>
    <n v="245.2"/>
    <n v="49.039999999999992"/>
    <x v="4"/>
    <m/>
  </r>
  <r>
    <n v="2019"/>
    <n v="45"/>
    <x v="0"/>
    <x v="6"/>
    <x v="27"/>
    <n v="89.54"/>
    <x v="1"/>
    <x v="1"/>
    <n v="4.5999999999999996"/>
    <n v="20"/>
    <n v="5"/>
    <n v="111.925"/>
    <n v="22.384999999999991"/>
    <x v="4"/>
    <m/>
  </r>
  <r>
    <n v="2020"/>
    <n v="48"/>
    <x v="1"/>
    <x v="7"/>
    <x v="13"/>
    <n v="65.63"/>
    <x v="0"/>
    <x v="0"/>
    <n v="3.4"/>
    <n v="20"/>
    <n v="5"/>
    <n v="82.037499999999994"/>
    <n v="16.407499999999999"/>
    <x v="4"/>
    <m/>
  </r>
  <r>
    <n v="2021"/>
    <n v="29"/>
    <x v="1"/>
    <x v="4"/>
    <x v="26"/>
    <n v="50.38"/>
    <x v="0"/>
    <x v="1"/>
    <n v="4.5"/>
    <n v="12"/>
    <n v="6"/>
    <n v="57.25"/>
    <n v="6.8699999999999974"/>
    <x v="5"/>
    <m/>
  </r>
  <r>
    <n v="2022"/>
    <n v="58"/>
    <x v="1"/>
    <x v="4"/>
    <x v="4"/>
    <n v="10.55"/>
    <x v="0"/>
    <x v="0"/>
    <n v="4.2"/>
    <n v="16"/>
    <n v="3"/>
    <n v="12.55952380952381"/>
    <n v="2.0095238095238095"/>
    <x v="0"/>
    <m/>
  </r>
  <r>
    <n v="2023"/>
    <n v="22"/>
    <x v="0"/>
    <x v="4"/>
    <x v="19"/>
    <n v="9.68"/>
    <x v="3"/>
    <x v="1"/>
    <n v="4.4000000000000004"/>
    <n v="18"/>
    <n v="4"/>
    <n v="11.804878048780486"/>
    <n v="2.1248780487804861"/>
    <x v="3"/>
    <m/>
  </r>
  <r>
    <n v="2024"/>
    <n v="69"/>
    <x v="0"/>
    <x v="3"/>
    <x v="24"/>
    <n v="58.08"/>
    <x v="0"/>
    <x v="1"/>
    <n v="3.3"/>
    <n v="20"/>
    <n v="5"/>
    <n v="72.599999999999994"/>
    <n v="14.519999999999996"/>
    <x v="2"/>
    <m/>
  </r>
  <r>
    <n v="2025"/>
    <n v="50"/>
    <x v="1"/>
    <x v="7"/>
    <x v="13"/>
    <n v="87.66"/>
    <x v="2"/>
    <x v="0"/>
    <n v="3"/>
    <n v="16"/>
    <n v="3"/>
    <n v="104.35714285714286"/>
    <n v="16.697142857142865"/>
    <x v="4"/>
    <m/>
  </r>
  <r>
    <n v="2026"/>
    <n v="58"/>
    <x v="1"/>
    <x v="5"/>
    <x v="21"/>
    <n v="715.45"/>
    <x v="0"/>
    <x v="0"/>
    <n v="3.3"/>
    <n v="20"/>
    <n v="5"/>
    <n v="894.3125"/>
    <n v="178.86249999999995"/>
    <x v="0"/>
    <m/>
  </r>
  <r>
    <n v="2027"/>
    <n v="30"/>
    <x v="0"/>
    <x v="0"/>
    <x v="28"/>
    <n v="96.49"/>
    <x v="2"/>
    <x v="1"/>
    <n v="4.7"/>
    <n v="29"/>
    <n v="12"/>
    <n v="135.90140845070422"/>
    <n v="39.411408450704229"/>
    <x v="5"/>
    <m/>
  </r>
  <r>
    <n v="2028"/>
    <n v="25"/>
    <x v="0"/>
    <x v="0"/>
    <x v="28"/>
    <n v="152.71"/>
    <x v="2"/>
    <x v="0"/>
    <n v="3.8"/>
    <n v="18"/>
    <n v="4"/>
    <n v="186.23170731707316"/>
    <n v="33.521707317073151"/>
    <x v="5"/>
    <m/>
  </r>
  <r>
    <n v="2029"/>
    <n v="51"/>
    <x v="0"/>
    <x v="0"/>
    <x v="0"/>
    <n v="72.38"/>
    <x v="1"/>
    <x v="1"/>
    <n v="5"/>
    <n v="11"/>
    <n v="3"/>
    <n v="81.325842696629209"/>
    <n v="8.9458426966292137"/>
    <x v="4"/>
    <m/>
  </r>
  <r>
    <n v="2030"/>
    <n v="46"/>
    <x v="0"/>
    <x v="0"/>
    <x v="28"/>
    <n v="67.510000000000005"/>
    <x v="2"/>
    <x v="1"/>
    <n v="3.8"/>
    <n v="13"/>
    <n v="4"/>
    <n v="77.597701149425291"/>
    <n v="10.087701149425286"/>
    <x v="4"/>
    <m/>
  </r>
  <r>
    <n v="2031"/>
    <n v="54"/>
    <x v="0"/>
    <x v="3"/>
    <x v="15"/>
    <n v="174.89"/>
    <x v="3"/>
    <x v="0"/>
    <n v="4.2"/>
    <n v="11"/>
    <n v="3"/>
    <n v="196.50561797752806"/>
    <n v="21.615617977528075"/>
    <x v="4"/>
    <m/>
  </r>
  <r>
    <n v="2032"/>
    <n v="27"/>
    <x v="1"/>
    <x v="2"/>
    <x v="10"/>
    <n v="96.73"/>
    <x v="2"/>
    <x v="0"/>
    <n v="2.6"/>
    <n v="9"/>
    <n v="2"/>
    <n v="106.2967032967033"/>
    <n v="9.5667032967032952"/>
    <x v="5"/>
    <m/>
  </r>
  <r>
    <n v="2033"/>
    <n v="63"/>
    <x v="1"/>
    <x v="1"/>
    <x v="1"/>
    <n v="68.14"/>
    <x v="3"/>
    <x v="0"/>
    <n v="5"/>
    <n v="19"/>
    <n v="7"/>
    <n v="84.123456790123456"/>
    <n v="15.983456790123455"/>
    <x v="0"/>
    <m/>
  </r>
  <r>
    <n v="2034"/>
    <n v="66"/>
    <x v="0"/>
    <x v="7"/>
    <x v="11"/>
    <n v="54.49"/>
    <x v="0"/>
    <x v="0"/>
    <n v="4.8"/>
    <n v="4"/>
    <n v="2"/>
    <n v="56.760416666666671"/>
    <n v="2.2704166666666694"/>
    <x v="2"/>
    <m/>
  </r>
  <r>
    <n v="2035"/>
    <n v="70"/>
    <x v="1"/>
    <x v="5"/>
    <x v="21"/>
    <n v="896.45"/>
    <x v="3"/>
    <x v="0"/>
    <n v="4.4000000000000004"/>
    <n v="15"/>
    <n v="5"/>
    <n v="1054.6470588235295"/>
    <n v="158.19705882352946"/>
    <x v="2"/>
    <m/>
  </r>
  <r>
    <n v="2036"/>
    <n v="60"/>
    <x v="0"/>
    <x v="0"/>
    <x v="28"/>
    <n v="129.05000000000001"/>
    <x v="3"/>
    <x v="0"/>
    <n v="2.5"/>
    <n v="12"/>
    <n v="6"/>
    <n v="146.64772727272728"/>
    <n v="17.597727272727269"/>
    <x v="0"/>
    <m/>
  </r>
  <r>
    <n v="2037"/>
    <n v="57"/>
    <x v="1"/>
    <x v="4"/>
    <x v="26"/>
    <n v="74.010000000000005"/>
    <x v="1"/>
    <x v="0"/>
    <n v="2.7"/>
    <n v="20"/>
    <n v="5"/>
    <n v="92.512500000000003"/>
    <n v="18.502499999999998"/>
    <x v="0"/>
    <m/>
  </r>
  <r>
    <n v="2038"/>
    <n v="47"/>
    <x v="0"/>
    <x v="4"/>
    <x v="26"/>
    <n v="28.94"/>
    <x v="2"/>
    <x v="0"/>
    <n v="4.2"/>
    <n v="10"/>
    <n v="5"/>
    <n v="32.155555555555559"/>
    <n v="3.2155555555555573"/>
    <x v="4"/>
    <m/>
  </r>
  <r>
    <n v="2039"/>
    <n v="60"/>
    <x v="1"/>
    <x v="1"/>
    <x v="14"/>
    <n v="97.47"/>
    <x v="2"/>
    <x v="1"/>
    <n v="4.4000000000000004"/>
    <n v="9"/>
    <n v="2"/>
    <n v="107.1098901098901"/>
    <n v="9.6398901098901035"/>
    <x v="0"/>
    <m/>
  </r>
  <r>
    <n v="2040"/>
    <n v="59"/>
    <x v="0"/>
    <x v="7"/>
    <x v="13"/>
    <n v="145.79"/>
    <x v="3"/>
    <x v="0"/>
    <n v="4"/>
    <n v="17"/>
    <n v="6"/>
    <n v="175.65060240963857"/>
    <n v="29.860602409638574"/>
    <x v="0"/>
    <m/>
  </r>
  <r>
    <n v="2041"/>
    <n v="54"/>
    <x v="0"/>
    <x v="3"/>
    <x v="15"/>
    <n v="39.020000000000003"/>
    <x v="0"/>
    <x v="0"/>
    <n v="3.5"/>
    <n v="17"/>
    <n v="6"/>
    <n v="47.01204819277109"/>
    <n v="7.9920481927710867"/>
    <x v="4"/>
    <m/>
  </r>
  <r>
    <n v="2042"/>
    <n v="49"/>
    <x v="1"/>
    <x v="2"/>
    <x v="10"/>
    <n v="186.01"/>
    <x v="2"/>
    <x v="0"/>
    <n v="4.3"/>
    <n v="18"/>
    <n v="4"/>
    <n v="226.84146341463412"/>
    <n v="40.831463414634129"/>
    <x v="4"/>
    <m/>
  </r>
  <r>
    <n v="2043"/>
    <n v="67"/>
    <x v="1"/>
    <x v="7"/>
    <x v="13"/>
    <n v="58.17"/>
    <x v="3"/>
    <x v="0"/>
    <n v="4.9000000000000004"/>
    <n v="15"/>
    <n v="5"/>
    <n v="68.435294117647061"/>
    <n v="10.265294117647059"/>
    <x v="2"/>
    <m/>
  </r>
  <r>
    <n v="2044"/>
    <n v="69"/>
    <x v="1"/>
    <x v="7"/>
    <x v="13"/>
    <n v="173.95"/>
    <x v="3"/>
    <x v="0"/>
    <n v="3.6"/>
    <n v="21"/>
    <n v="8"/>
    <n v="220.18987341772149"/>
    <n v="46.239873417721498"/>
    <x v="2"/>
    <m/>
  </r>
  <r>
    <n v="2045"/>
    <n v="48"/>
    <x v="1"/>
    <x v="7"/>
    <x v="11"/>
    <n v="249.92"/>
    <x v="0"/>
    <x v="0"/>
    <n v="4.5"/>
    <n v="9"/>
    <n v="2"/>
    <n v="274.63736263736263"/>
    <n v="24.71736263736264"/>
    <x v="4"/>
    <m/>
  </r>
  <r>
    <n v="2046"/>
    <n v="21"/>
    <x v="1"/>
    <x v="7"/>
    <x v="13"/>
    <n v="96.58"/>
    <x v="0"/>
    <x v="0"/>
    <n v="2.2000000000000002"/>
    <n v="6"/>
    <n v="3"/>
    <n v="102.74468085106383"/>
    <n v="6.1646808510638351"/>
    <x v="3"/>
    <m/>
  </r>
  <r>
    <n v="2047"/>
    <n v="33"/>
    <x v="1"/>
    <x v="2"/>
    <x v="2"/>
    <n v="80.86"/>
    <x v="2"/>
    <x v="0"/>
    <n v="4.5"/>
    <n v="8"/>
    <n v="4"/>
    <n v="87.891304347826079"/>
    <n v="7.0313043478260795"/>
    <x v="5"/>
    <m/>
  </r>
  <r>
    <n v="2048"/>
    <n v="37"/>
    <x v="1"/>
    <x v="1"/>
    <x v="1"/>
    <n v="50.27"/>
    <x v="3"/>
    <x v="0"/>
    <n v="3"/>
    <n v="10"/>
    <n v="5"/>
    <n v="55.855555555555554"/>
    <n v="5.5855555555555512"/>
    <x v="1"/>
    <m/>
  </r>
  <r>
    <n v="2049"/>
    <n v="24"/>
    <x v="0"/>
    <x v="6"/>
    <x v="23"/>
    <n v="34.42"/>
    <x v="0"/>
    <x v="1"/>
    <n v="4.5"/>
    <n v="17"/>
    <n v="6"/>
    <n v="41.46987951807229"/>
    <n v="7.049879518072288"/>
    <x v="3"/>
    <m/>
  </r>
  <r>
    <n v="2050"/>
    <n v="34"/>
    <x v="0"/>
    <x v="6"/>
    <x v="23"/>
    <n v="49.63"/>
    <x v="3"/>
    <x v="0"/>
    <n v="3.7"/>
    <n v="19"/>
    <n v="7"/>
    <n v="61.271604938271601"/>
    <n v="11.641604938271598"/>
    <x v="5"/>
    <m/>
  </r>
  <r>
    <n v="2051"/>
    <n v="25"/>
    <x v="0"/>
    <x v="3"/>
    <x v="3"/>
    <n v="219.43"/>
    <x v="1"/>
    <x v="0"/>
    <n v="2.9"/>
    <n v="20"/>
    <n v="5"/>
    <n v="274.28749999999997"/>
    <n v="54.857499999999959"/>
    <x v="5"/>
    <m/>
  </r>
  <r>
    <n v="2052"/>
    <n v="69"/>
    <x v="1"/>
    <x v="7"/>
    <x v="13"/>
    <n v="145.47999999999999"/>
    <x v="0"/>
    <x v="0"/>
    <n v="3.7"/>
    <n v="13"/>
    <n v="4"/>
    <n v="167.2183908045977"/>
    <n v="21.738390804597714"/>
    <x v="2"/>
    <m/>
  </r>
  <r>
    <n v="2053"/>
    <n v="64"/>
    <x v="0"/>
    <x v="7"/>
    <x v="11"/>
    <n v="194.52"/>
    <x v="3"/>
    <x v="0"/>
    <n v="4.0999999999999996"/>
    <n v="8"/>
    <n v="4"/>
    <n v="211.43478260869566"/>
    <n v="16.914782608695646"/>
    <x v="0"/>
    <m/>
  </r>
  <r>
    <n v="2054"/>
    <n v="65"/>
    <x v="1"/>
    <x v="7"/>
    <x v="13"/>
    <n v="230.37"/>
    <x v="1"/>
    <x v="0"/>
    <n v="2.6"/>
    <n v="9"/>
    <n v="2"/>
    <n v="253.15384615384616"/>
    <n v="22.783846153846156"/>
    <x v="2"/>
    <m/>
  </r>
  <r>
    <n v="2055"/>
    <n v="45"/>
    <x v="1"/>
    <x v="7"/>
    <x v="11"/>
    <n v="60.13"/>
    <x v="1"/>
    <x v="0"/>
    <n v="2.8"/>
    <n v="19"/>
    <n v="7"/>
    <n v="74.23456790123457"/>
    <n v="14.104567901234567"/>
    <x v="4"/>
    <m/>
  </r>
  <r>
    <n v="2056"/>
    <n v="64"/>
    <x v="1"/>
    <x v="2"/>
    <x v="12"/>
    <n v="34.24"/>
    <x v="2"/>
    <x v="0"/>
    <n v="4"/>
    <n v="16"/>
    <n v="8"/>
    <n v="40.761904761904766"/>
    <n v="6.5219047619047643"/>
    <x v="0"/>
    <m/>
  </r>
  <r>
    <n v="2057"/>
    <n v="60"/>
    <x v="1"/>
    <x v="1"/>
    <x v="20"/>
    <n v="167.44"/>
    <x v="2"/>
    <x v="0"/>
    <n v="3.9"/>
    <n v="18"/>
    <n v="4"/>
    <n v="204.19512195121951"/>
    <n v="36.755121951219508"/>
    <x v="0"/>
    <m/>
  </r>
  <r>
    <n v="2058"/>
    <n v="24"/>
    <x v="0"/>
    <x v="6"/>
    <x v="23"/>
    <n v="115.74"/>
    <x v="1"/>
    <x v="0"/>
    <n v="3.2"/>
    <n v="14"/>
    <n v="2"/>
    <n v="134.58139534883722"/>
    <n v="18.841395348837224"/>
    <x v="3"/>
    <m/>
  </r>
  <r>
    <n v="2059"/>
    <n v="54"/>
    <x v="0"/>
    <x v="7"/>
    <x v="11"/>
    <n v="62.32"/>
    <x v="3"/>
    <x v="1"/>
    <n v="3.2"/>
    <n v="18"/>
    <n v="4"/>
    <n v="76"/>
    <n v="13.68"/>
    <x v="4"/>
    <m/>
  </r>
  <r>
    <n v="2060"/>
    <n v="22"/>
    <x v="0"/>
    <x v="4"/>
    <x v="26"/>
    <n v="63.29"/>
    <x v="1"/>
    <x v="0"/>
    <n v="4.3"/>
    <n v="13"/>
    <n v="4"/>
    <n v="72.747126436781613"/>
    <n v="9.4571264367816141"/>
    <x v="3"/>
    <m/>
  </r>
  <r>
    <n v="2061"/>
    <n v="34"/>
    <x v="0"/>
    <x v="0"/>
    <x v="28"/>
    <n v="32.61"/>
    <x v="3"/>
    <x v="1"/>
    <n v="3.4"/>
    <n v="22"/>
    <n v="6"/>
    <n v="41.807692307692307"/>
    <n v="9.1976923076923072"/>
    <x v="5"/>
    <m/>
  </r>
  <r>
    <n v="2062"/>
    <n v="51"/>
    <x v="0"/>
    <x v="3"/>
    <x v="15"/>
    <n v="108.64"/>
    <x v="1"/>
    <x v="0"/>
    <n v="2.8"/>
    <n v="12"/>
    <n v="6"/>
    <n v="123.45454545454545"/>
    <n v="14.814545454545453"/>
    <x v="4"/>
    <m/>
  </r>
  <r>
    <n v="2063"/>
    <n v="36"/>
    <x v="1"/>
    <x v="1"/>
    <x v="9"/>
    <n v="193.29"/>
    <x v="3"/>
    <x v="0"/>
    <n v="3.3"/>
    <n v="20"/>
    <n v="5"/>
    <n v="241.61249999999998"/>
    <n v="48.322499999999991"/>
    <x v="1"/>
    <m/>
  </r>
  <r>
    <n v="2064"/>
    <n v="45"/>
    <x v="1"/>
    <x v="1"/>
    <x v="20"/>
    <n v="58.73"/>
    <x v="3"/>
    <x v="1"/>
    <n v="3.9"/>
    <n v="14"/>
    <n v="7"/>
    <n v="68.290697674418595"/>
    <n v="9.5606976744185985"/>
    <x v="4"/>
    <m/>
  </r>
  <r>
    <n v="2065"/>
    <n v="55"/>
    <x v="0"/>
    <x v="7"/>
    <x v="8"/>
    <n v="178.52"/>
    <x v="0"/>
    <x v="0"/>
    <n v="3.8"/>
    <n v="11"/>
    <n v="3"/>
    <n v="200.58426966292134"/>
    <n v="22.064269662921333"/>
    <x v="0"/>
    <m/>
  </r>
  <r>
    <n v="2066"/>
    <n v="29"/>
    <x v="1"/>
    <x v="5"/>
    <x v="7"/>
    <n v="636.49"/>
    <x v="3"/>
    <x v="0"/>
    <n v="3.7"/>
    <n v="12"/>
    <n v="6"/>
    <n v="723.28409090909088"/>
    <n v="86.794090909090869"/>
    <x v="5"/>
    <m/>
  </r>
  <r>
    <n v="2067"/>
    <n v="46"/>
    <x v="0"/>
    <x v="6"/>
    <x v="27"/>
    <n v="86.93"/>
    <x v="1"/>
    <x v="1"/>
    <n v="2.6"/>
    <n v="13"/>
    <n v="4"/>
    <n v="99.919540229885072"/>
    <n v="12.989540229885066"/>
    <x v="4"/>
    <m/>
  </r>
  <r>
    <n v="2068"/>
    <n v="63"/>
    <x v="1"/>
    <x v="1"/>
    <x v="14"/>
    <n v="101.13"/>
    <x v="2"/>
    <x v="0"/>
    <n v="3.7"/>
    <n v="24"/>
    <n v="7"/>
    <n v="133.06578947368419"/>
    <n v="31.935789473684196"/>
    <x v="0"/>
    <m/>
  </r>
  <r>
    <n v="2069"/>
    <n v="42"/>
    <x v="1"/>
    <x v="3"/>
    <x v="24"/>
    <n v="143.76"/>
    <x v="3"/>
    <x v="0"/>
    <n v="3.8"/>
    <n v="14"/>
    <n v="7"/>
    <n v="167.16279069767441"/>
    <n v="23.402790697674419"/>
    <x v="1"/>
    <m/>
  </r>
  <r>
    <n v="2070"/>
    <n v="42"/>
    <x v="1"/>
    <x v="3"/>
    <x v="24"/>
    <n v="204.7"/>
    <x v="1"/>
    <x v="0"/>
    <n v="4.2"/>
    <n v="20"/>
    <n v="5"/>
    <n v="255.87499999999997"/>
    <n v="51.174999999999983"/>
    <x v="1"/>
    <m/>
  </r>
  <r>
    <n v="2071"/>
    <n v="54"/>
    <x v="0"/>
    <x v="6"/>
    <x v="27"/>
    <n v="78.61"/>
    <x v="1"/>
    <x v="0"/>
    <n v="4.5999999999999996"/>
    <n v="13"/>
    <n v="4"/>
    <n v="90.356321839080465"/>
    <n v="11.746321839080466"/>
    <x v="4"/>
    <m/>
  </r>
  <r>
    <n v="2072"/>
    <n v="43"/>
    <x v="1"/>
    <x v="5"/>
    <x v="5"/>
    <n v="2249.9499999999998"/>
    <x v="1"/>
    <x v="0"/>
    <n v="3.8"/>
    <n v="14"/>
    <n v="2"/>
    <n v="2616.2209302325577"/>
    <n v="366.27093023255793"/>
    <x v="1"/>
    <m/>
  </r>
  <r>
    <n v="2073"/>
    <n v="47"/>
    <x v="1"/>
    <x v="3"/>
    <x v="15"/>
    <n v="129.09"/>
    <x v="3"/>
    <x v="0"/>
    <n v="4"/>
    <n v="19"/>
    <n v="7"/>
    <n v="159.37037037037035"/>
    <n v="30.280370370370349"/>
    <x v="4"/>
    <m/>
  </r>
  <r>
    <n v="2074"/>
    <n v="36"/>
    <x v="1"/>
    <x v="5"/>
    <x v="25"/>
    <n v="2297.54"/>
    <x v="0"/>
    <x v="0"/>
    <n v="3.2"/>
    <n v="4"/>
    <n v="2"/>
    <n v="2393.2708333333335"/>
    <n v="95.730833333333521"/>
    <x v="1"/>
    <m/>
  </r>
  <r>
    <n v="2075"/>
    <n v="23"/>
    <x v="0"/>
    <x v="3"/>
    <x v="3"/>
    <n v="219.81"/>
    <x v="1"/>
    <x v="0"/>
    <n v="3.7"/>
    <n v="11"/>
    <n v="3"/>
    <n v="246.97752808988764"/>
    <n v="27.167528089887639"/>
    <x v="3"/>
    <m/>
  </r>
  <r>
    <n v="2076"/>
    <n v="40"/>
    <x v="0"/>
    <x v="2"/>
    <x v="12"/>
    <n v="211.71"/>
    <x v="1"/>
    <x v="0"/>
    <n v="2.5"/>
    <n v="17"/>
    <n v="6"/>
    <n v="255.07228915662654"/>
    <n v="43.362289156626531"/>
    <x v="1"/>
    <m/>
  </r>
  <r>
    <n v="2077"/>
    <n v="62"/>
    <x v="0"/>
    <x v="4"/>
    <x v="4"/>
    <n v="65.47"/>
    <x v="2"/>
    <x v="0"/>
    <n v="4.8"/>
    <n v="14"/>
    <n v="2"/>
    <n v="76.127906976744185"/>
    <n v="10.657906976744187"/>
    <x v="0"/>
    <m/>
  </r>
  <r>
    <n v="2078"/>
    <n v="21"/>
    <x v="1"/>
    <x v="5"/>
    <x v="5"/>
    <n v="854.78"/>
    <x v="2"/>
    <x v="0"/>
    <n v="2.2999999999999998"/>
    <n v="13"/>
    <n v="4"/>
    <n v="982.50574712643675"/>
    <n v="127.72574712643677"/>
    <x v="3"/>
    <m/>
  </r>
  <r>
    <n v="2079"/>
    <n v="60"/>
    <x v="0"/>
    <x v="0"/>
    <x v="0"/>
    <n v="177.57"/>
    <x v="1"/>
    <x v="0"/>
    <n v="5"/>
    <n v="32"/>
    <n v="11"/>
    <n v="261.13235294117646"/>
    <n v="83.562352941176471"/>
    <x v="0"/>
    <m/>
  </r>
  <r>
    <n v="2080"/>
    <n v="45"/>
    <x v="0"/>
    <x v="0"/>
    <x v="28"/>
    <n v="145.21"/>
    <x v="0"/>
    <x v="0"/>
    <n v="3.1"/>
    <n v="17"/>
    <n v="6"/>
    <n v="174.95180722891567"/>
    <n v="29.741807228915661"/>
    <x v="4"/>
    <m/>
  </r>
  <r>
    <n v="2081"/>
    <n v="30"/>
    <x v="1"/>
    <x v="7"/>
    <x v="8"/>
    <n v="162.9"/>
    <x v="1"/>
    <x v="0"/>
    <n v="3.7"/>
    <n v="10"/>
    <n v="5"/>
    <n v="181"/>
    <n v="18.099999999999994"/>
    <x v="5"/>
    <m/>
  </r>
  <r>
    <n v="2082"/>
    <n v="31"/>
    <x v="1"/>
    <x v="7"/>
    <x v="11"/>
    <n v="89.34"/>
    <x v="1"/>
    <x v="1"/>
    <n v="3"/>
    <n v="6"/>
    <n v="3"/>
    <n v="95.042553191489375"/>
    <n v="5.7025531914893719"/>
    <x v="5"/>
    <m/>
  </r>
  <r>
    <n v="2083"/>
    <n v="37"/>
    <x v="0"/>
    <x v="6"/>
    <x v="27"/>
    <n v="138.25"/>
    <x v="2"/>
    <x v="0"/>
    <n v="4.5999999999999996"/>
    <n v="6"/>
    <n v="3"/>
    <n v="147.07446808510639"/>
    <n v="8.824468085106389"/>
    <x v="1"/>
    <m/>
  </r>
  <r>
    <n v="2084"/>
    <n v="62"/>
    <x v="1"/>
    <x v="2"/>
    <x v="10"/>
    <n v="99.57"/>
    <x v="1"/>
    <x v="0"/>
    <n v="4.8"/>
    <n v="27"/>
    <n v="11"/>
    <n v="136.39726027397259"/>
    <n v="36.827260273972598"/>
    <x v="0"/>
    <m/>
  </r>
  <r>
    <n v="2085"/>
    <n v="56"/>
    <x v="0"/>
    <x v="0"/>
    <x v="22"/>
    <n v="63.46"/>
    <x v="3"/>
    <x v="1"/>
    <n v="3.5"/>
    <n v="13"/>
    <n v="4"/>
    <n v="72.94252873563218"/>
    <n v="9.4825287356321795"/>
    <x v="0"/>
    <m/>
  </r>
  <r>
    <n v="2086"/>
    <n v="21"/>
    <x v="1"/>
    <x v="2"/>
    <x v="2"/>
    <n v="245.31"/>
    <x v="0"/>
    <x v="0"/>
    <n v="4.7"/>
    <n v="15"/>
    <n v="5"/>
    <n v="288.60000000000002"/>
    <n v="43.29000000000002"/>
    <x v="3"/>
    <m/>
  </r>
  <r>
    <n v="2087"/>
    <n v="39"/>
    <x v="0"/>
    <x v="3"/>
    <x v="24"/>
    <n v="214"/>
    <x v="1"/>
    <x v="0"/>
    <n v="4"/>
    <n v="24"/>
    <n v="7"/>
    <n v="281.57894736842104"/>
    <n v="67.578947368421041"/>
    <x v="1"/>
    <m/>
  </r>
  <r>
    <n v="2088"/>
    <n v="39"/>
    <x v="0"/>
    <x v="4"/>
    <x v="19"/>
    <n v="16.440000000000001"/>
    <x v="0"/>
    <x v="0"/>
    <n v="4.7"/>
    <n v="14"/>
    <n v="7"/>
    <n v="19.116279069767444"/>
    <n v="2.6762790697674426"/>
    <x v="1"/>
    <m/>
  </r>
  <r>
    <n v="2089"/>
    <n v="37"/>
    <x v="0"/>
    <x v="8"/>
    <x v="17"/>
    <n v="141.18"/>
    <x v="1"/>
    <x v="0"/>
    <n v="3.9"/>
    <n v="20"/>
    <n v="5"/>
    <n v="176.47499999999999"/>
    <n v="35.294999999999987"/>
    <x v="1"/>
    <m/>
  </r>
  <r>
    <n v="2090"/>
    <n v="45"/>
    <x v="1"/>
    <x v="7"/>
    <x v="13"/>
    <n v="178.77"/>
    <x v="3"/>
    <x v="0"/>
    <n v="4.2"/>
    <n v="12"/>
    <n v="1"/>
    <n v="203.14772727272728"/>
    <n v="24.37772727272727"/>
    <x v="4"/>
    <m/>
  </r>
  <r>
    <n v="2091"/>
    <n v="30"/>
    <x v="1"/>
    <x v="7"/>
    <x v="11"/>
    <n v="109.01"/>
    <x v="3"/>
    <x v="0"/>
    <n v="2.5"/>
    <n v="20"/>
    <n v="5"/>
    <n v="136.26249999999999"/>
    <n v="27.252499999999984"/>
    <x v="5"/>
    <m/>
  </r>
  <r>
    <n v="2092"/>
    <n v="28"/>
    <x v="0"/>
    <x v="0"/>
    <x v="28"/>
    <n v="167.86"/>
    <x v="1"/>
    <x v="0"/>
    <n v="4.0999999999999996"/>
    <n v="12"/>
    <n v="6"/>
    <n v="190.75000000000003"/>
    <n v="22.890000000000015"/>
    <x v="5"/>
    <m/>
  </r>
  <r>
    <n v="2093"/>
    <n v="49"/>
    <x v="0"/>
    <x v="6"/>
    <x v="27"/>
    <n v="115.21"/>
    <x v="0"/>
    <x v="0"/>
    <n v="3.4"/>
    <n v="9"/>
    <n v="2"/>
    <n v="126.60439560439559"/>
    <n v="11.394395604395598"/>
    <x v="4"/>
    <m/>
  </r>
  <r>
    <n v="2094"/>
    <n v="61"/>
    <x v="0"/>
    <x v="7"/>
    <x v="11"/>
    <n v="54"/>
    <x v="3"/>
    <x v="0"/>
    <n v="2"/>
    <n v="13"/>
    <n v="4"/>
    <n v="62.068965517241381"/>
    <n v="8.0689655172413808"/>
    <x v="0"/>
    <m/>
  </r>
  <r>
    <n v="2095"/>
    <n v="46"/>
    <x v="1"/>
    <x v="5"/>
    <x v="21"/>
    <n v="2492.66"/>
    <x v="3"/>
    <x v="0"/>
    <n v="3.3"/>
    <n v="12"/>
    <n v="6"/>
    <n v="2832.5681818181815"/>
    <n v="339.90818181818167"/>
    <x v="4"/>
    <m/>
  </r>
  <r>
    <n v="2096"/>
    <n v="64"/>
    <x v="0"/>
    <x v="6"/>
    <x v="27"/>
    <n v="124.33"/>
    <x v="1"/>
    <x v="0"/>
    <n v="4"/>
    <n v="18"/>
    <n v="4"/>
    <n v="151.62195121951217"/>
    <n v="27.291951219512171"/>
    <x v="0"/>
    <m/>
  </r>
  <r>
    <n v="2097"/>
    <n v="69"/>
    <x v="0"/>
    <x v="2"/>
    <x v="12"/>
    <n v="238.61"/>
    <x v="3"/>
    <x v="0"/>
    <n v="5"/>
    <n v="18"/>
    <n v="4"/>
    <n v="290.98780487804879"/>
    <n v="52.377804878048778"/>
    <x v="2"/>
    <m/>
  </r>
  <r>
    <n v="2098"/>
    <n v="64"/>
    <x v="1"/>
    <x v="7"/>
    <x v="11"/>
    <n v="93.33"/>
    <x v="0"/>
    <x v="1"/>
    <n v="3.7"/>
    <n v="14"/>
    <n v="2"/>
    <n v="108.52325581395348"/>
    <n v="15.193255813953485"/>
    <x v="0"/>
    <m/>
  </r>
  <r>
    <n v="2099"/>
    <n v="54"/>
    <x v="1"/>
    <x v="4"/>
    <x v="19"/>
    <n v="63.11"/>
    <x v="0"/>
    <x v="1"/>
    <n v="5"/>
    <n v="24"/>
    <n v="7"/>
    <n v="83.03947368421052"/>
    <n v="19.929473684210521"/>
    <x v="4"/>
    <m/>
  </r>
  <r>
    <n v="2100"/>
    <n v="35"/>
    <x v="1"/>
    <x v="1"/>
    <x v="1"/>
    <n v="187.27"/>
    <x v="3"/>
    <x v="0"/>
    <n v="4.4000000000000004"/>
    <n v="20"/>
    <n v="5"/>
    <n v="234.08750000000001"/>
    <n v="46.817499999999995"/>
    <x v="1"/>
    <m/>
  </r>
  <r>
    <n v="2101"/>
    <n v="62"/>
    <x v="0"/>
    <x v="7"/>
    <x v="11"/>
    <n v="106.67"/>
    <x v="1"/>
    <x v="0"/>
    <n v="3.3"/>
    <n v="16"/>
    <n v="8"/>
    <n v="126.98809523809524"/>
    <n v="20.318095238095239"/>
    <x v="0"/>
    <m/>
  </r>
  <r>
    <n v="2102"/>
    <n v="63"/>
    <x v="1"/>
    <x v="1"/>
    <x v="9"/>
    <n v="52.94"/>
    <x v="1"/>
    <x v="0"/>
    <n v="4.3"/>
    <n v="15"/>
    <n v="5"/>
    <n v="62.28235294117647"/>
    <n v="9.3423529411764719"/>
    <x v="0"/>
    <m/>
  </r>
  <r>
    <n v="2103"/>
    <n v="56"/>
    <x v="1"/>
    <x v="1"/>
    <x v="9"/>
    <n v="124.47"/>
    <x v="0"/>
    <x v="0"/>
    <n v="3.6"/>
    <n v="12"/>
    <n v="6"/>
    <n v="141.44318181818181"/>
    <n v="16.973181818181814"/>
    <x v="0"/>
    <m/>
  </r>
  <r>
    <n v="2104"/>
    <n v="36"/>
    <x v="0"/>
    <x v="8"/>
    <x v="18"/>
    <n v="165.8"/>
    <x v="1"/>
    <x v="0"/>
    <n v="3.5"/>
    <n v="22"/>
    <n v="6"/>
    <n v="212.56410256410257"/>
    <n v="46.764102564102558"/>
    <x v="1"/>
    <m/>
  </r>
  <r>
    <n v="2105"/>
    <n v="30"/>
    <x v="0"/>
    <x v="0"/>
    <x v="0"/>
    <n v="103.79"/>
    <x v="0"/>
    <x v="0"/>
    <n v="3.3"/>
    <n v="14"/>
    <n v="7"/>
    <n v="120.68604651162792"/>
    <n v="16.896046511627915"/>
    <x v="5"/>
    <m/>
  </r>
  <r>
    <n v="2106"/>
    <n v="20"/>
    <x v="1"/>
    <x v="5"/>
    <x v="21"/>
    <n v="647.02"/>
    <x v="1"/>
    <x v="0"/>
    <n v="3.5"/>
    <n v="10"/>
    <n v="5"/>
    <n v="718.91111111111104"/>
    <n v="71.891111111111059"/>
    <x v="3"/>
    <m/>
  </r>
  <r>
    <n v="2107"/>
    <n v="57"/>
    <x v="1"/>
    <x v="2"/>
    <x v="12"/>
    <n v="70.3"/>
    <x v="1"/>
    <x v="1"/>
    <n v="3.9"/>
    <n v="17"/>
    <n v="6"/>
    <n v="84.698795180722897"/>
    <n v="14.3987951807229"/>
    <x v="0"/>
    <m/>
  </r>
  <r>
    <n v="2108"/>
    <n v="38"/>
    <x v="1"/>
    <x v="5"/>
    <x v="21"/>
    <n v="1795.05"/>
    <x v="2"/>
    <x v="0"/>
    <n v="3.6"/>
    <n v="18"/>
    <n v="4"/>
    <n v="2189.0853658536585"/>
    <n v="394.0353658536585"/>
    <x v="1"/>
    <m/>
  </r>
  <r>
    <n v="2109"/>
    <n v="64"/>
    <x v="0"/>
    <x v="7"/>
    <x v="8"/>
    <n v="247.74"/>
    <x v="1"/>
    <x v="0"/>
    <n v="3.6"/>
    <n v="19"/>
    <n v="7"/>
    <n v="305.85185185185185"/>
    <n v="58.111851851851839"/>
    <x v="0"/>
    <m/>
  </r>
  <r>
    <n v="2110"/>
    <n v="54"/>
    <x v="0"/>
    <x v="0"/>
    <x v="28"/>
    <n v="161.25"/>
    <x v="3"/>
    <x v="0"/>
    <n v="3.8"/>
    <n v="15"/>
    <n v="5"/>
    <n v="189.70588235294119"/>
    <n v="28.455882352941188"/>
    <x v="4"/>
    <m/>
  </r>
  <r>
    <n v="2111"/>
    <n v="70"/>
    <x v="0"/>
    <x v="6"/>
    <x v="27"/>
    <n v="75.11"/>
    <x v="3"/>
    <x v="1"/>
    <n v="4.2"/>
    <n v="16"/>
    <n v="3"/>
    <n v="89.416666666666671"/>
    <n v="14.306666666666672"/>
    <x v="2"/>
    <m/>
  </r>
  <r>
    <n v="2112"/>
    <n v="28"/>
    <x v="1"/>
    <x v="1"/>
    <x v="1"/>
    <n v="47.83"/>
    <x v="2"/>
    <x v="0"/>
    <n v="2.2000000000000002"/>
    <n v="16"/>
    <n v="3"/>
    <n v="56.94047619047619"/>
    <n v="9.1104761904761915"/>
    <x v="5"/>
    <m/>
  </r>
  <r>
    <n v="2113"/>
    <n v="65"/>
    <x v="1"/>
    <x v="3"/>
    <x v="24"/>
    <n v="214.25"/>
    <x v="0"/>
    <x v="0"/>
    <n v="3.1"/>
    <n v="9"/>
    <n v="2"/>
    <n v="235.43956043956044"/>
    <n v="21.189560439560438"/>
    <x v="2"/>
    <m/>
  </r>
  <r>
    <n v="2114"/>
    <n v="42"/>
    <x v="1"/>
    <x v="7"/>
    <x v="8"/>
    <n v="246.94"/>
    <x v="0"/>
    <x v="0"/>
    <n v="2.5"/>
    <n v="9"/>
    <n v="2"/>
    <n v="271.36263736263737"/>
    <n v="24.422637362637374"/>
    <x v="1"/>
    <m/>
  </r>
  <r>
    <n v="2115"/>
    <n v="65"/>
    <x v="0"/>
    <x v="8"/>
    <x v="18"/>
    <n v="32.9"/>
    <x v="2"/>
    <x v="0"/>
    <n v="4.5999999999999996"/>
    <n v="16"/>
    <n v="3"/>
    <n v="39.166666666666664"/>
    <n v="6.2666666666666657"/>
    <x v="2"/>
    <m/>
  </r>
  <r>
    <n v="2116"/>
    <n v="20"/>
    <x v="1"/>
    <x v="4"/>
    <x v="4"/>
    <n v="53.05"/>
    <x v="1"/>
    <x v="0"/>
    <n v="4.8"/>
    <n v="28"/>
    <n v="9"/>
    <n v="73.680555555555557"/>
    <n v="20.63055555555556"/>
    <x v="3"/>
    <m/>
  </r>
  <r>
    <n v="2117"/>
    <n v="68"/>
    <x v="1"/>
    <x v="1"/>
    <x v="20"/>
    <n v="68.39"/>
    <x v="0"/>
    <x v="1"/>
    <n v="4.0999999999999996"/>
    <n v="26"/>
    <n v="8"/>
    <n v="92.418918918918919"/>
    <n v="24.028918918918919"/>
    <x v="2"/>
    <m/>
  </r>
  <r>
    <n v="2118"/>
    <n v="49"/>
    <x v="1"/>
    <x v="1"/>
    <x v="1"/>
    <n v="153.15"/>
    <x v="2"/>
    <x v="0"/>
    <n v="3.1"/>
    <n v="8"/>
    <n v="4"/>
    <n v="166.46739130434781"/>
    <n v="13.317391304347808"/>
    <x v="4"/>
    <m/>
  </r>
  <r>
    <n v="2119"/>
    <n v="63"/>
    <x v="0"/>
    <x v="0"/>
    <x v="0"/>
    <n v="50.16"/>
    <x v="2"/>
    <x v="0"/>
    <n v="4.3"/>
    <n v="12"/>
    <n v="6"/>
    <n v="56.999999999999993"/>
    <n v="6.8399999999999963"/>
    <x v="0"/>
    <m/>
  </r>
  <r>
    <n v="2120"/>
    <n v="30"/>
    <x v="1"/>
    <x v="7"/>
    <x v="11"/>
    <n v="103.58"/>
    <x v="1"/>
    <x v="0"/>
    <n v="4.5"/>
    <n v="15"/>
    <n v="5"/>
    <n v="121.85882352941177"/>
    <n v="18.278823529411767"/>
    <x v="5"/>
    <m/>
  </r>
  <r>
    <n v="2121"/>
    <n v="65"/>
    <x v="0"/>
    <x v="8"/>
    <x v="17"/>
    <n v="159.66999999999999"/>
    <x v="0"/>
    <x v="0"/>
    <n v="3.8"/>
    <n v="10"/>
    <n v="5"/>
    <n v="177.4111111111111"/>
    <n v="17.74111111111111"/>
    <x v="2"/>
    <m/>
  </r>
  <r>
    <n v="2122"/>
    <n v="22"/>
    <x v="0"/>
    <x v="6"/>
    <x v="27"/>
    <n v="100.76"/>
    <x v="0"/>
    <x v="0"/>
    <n v="5"/>
    <n v="19"/>
    <n v="7"/>
    <n v="124.39506172839506"/>
    <n v="23.635061728395058"/>
    <x v="3"/>
    <m/>
  </r>
  <r>
    <n v="2123"/>
    <n v="64"/>
    <x v="1"/>
    <x v="2"/>
    <x v="2"/>
    <n v="229.26"/>
    <x v="0"/>
    <x v="0"/>
    <n v="4"/>
    <n v="22"/>
    <n v="6"/>
    <n v="293.92307692307691"/>
    <n v="64.663076923076915"/>
    <x v="0"/>
    <m/>
  </r>
  <r>
    <n v="2124"/>
    <n v="20"/>
    <x v="1"/>
    <x v="1"/>
    <x v="9"/>
    <n v="121.19"/>
    <x v="1"/>
    <x v="0"/>
    <n v="3.6"/>
    <n v="20"/>
    <n v="5"/>
    <n v="151.48749999999998"/>
    <n v="30.297499999999985"/>
    <x v="3"/>
    <m/>
  </r>
  <r>
    <n v="2125"/>
    <n v="36"/>
    <x v="1"/>
    <x v="1"/>
    <x v="14"/>
    <n v="172.85"/>
    <x v="2"/>
    <x v="0"/>
    <n v="3.6"/>
    <n v="13"/>
    <n v="4"/>
    <n v="198.67816091954023"/>
    <n v="25.828160919540238"/>
    <x v="1"/>
    <m/>
  </r>
  <r>
    <n v="2126"/>
    <n v="37"/>
    <x v="1"/>
    <x v="5"/>
    <x v="7"/>
    <n v="2994.75"/>
    <x v="2"/>
    <x v="0"/>
    <n v="3.4"/>
    <n v="12"/>
    <n v="6"/>
    <n v="3403.125"/>
    <n v="408.375"/>
    <x v="1"/>
    <m/>
  </r>
  <r>
    <n v="2127"/>
    <n v="24"/>
    <x v="0"/>
    <x v="7"/>
    <x v="11"/>
    <n v="169.29"/>
    <x v="1"/>
    <x v="0"/>
    <n v="3.5"/>
    <n v="22"/>
    <n v="6"/>
    <n v="217.03846153846152"/>
    <n v="47.748461538461527"/>
    <x v="3"/>
    <m/>
  </r>
  <r>
    <n v="2128"/>
    <n v="45"/>
    <x v="0"/>
    <x v="0"/>
    <x v="22"/>
    <n v="48"/>
    <x v="1"/>
    <x v="0"/>
    <n v="3.6"/>
    <n v="16"/>
    <n v="8"/>
    <n v="57.142857142857146"/>
    <n v="9.1428571428571459"/>
    <x v="4"/>
    <m/>
  </r>
  <r>
    <n v="2129"/>
    <n v="28"/>
    <x v="1"/>
    <x v="2"/>
    <x v="2"/>
    <n v="73.95"/>
    <x v="3"/>
    <x v="0"/>
    <n v="3.8"/>
    <n v="7"/>
    <n v="1"/>
    <n v="79.516129032258078"/>
    <n v="5.5661290322580754"/>
    <x v="5"/>
    <m/>
  </r>
  <r>
    <n v="2130"/>
    <n v="38"/>
    <x v="1"/>
    <x v="4"/>
    <x v="29"/>
    <n v="44.44"/>
    <x v="1"/>
    <x v="1"/>
    <n v="4.9000000000000004"/>
    <n v="20"/>
    <n v="5"/>
    <n v="55.55"/>
    <n v="11.11"/>
    <x v="1"/>
    <m/>
  </r>
  <r>
    <n v="2131"/>
    <n v="42"/>
    <x v="0"/>
    <x v="0"/>
    <x v="28"/>
    <n v="162.6"/>
    <x v="1"/>
    <x v="0"/>
    <n v="4.7"/>
    <n v="12"/>
    <n v="1"/>
    <n v="184.77272727272725"/>
    <n v="22.172727272727258"/>
    <x v="1"/>
    <m/>
  </r>
  <r>
    <n v="2132"/>
    <n v="36"/>
    <x v="1"/>
    <x v="5"/>
    <x v="25"/>
    <n v="1381.61"/>
    <x v="1"/>
    <x v="0"/>
    <n v="4.8"/>
    <n v="13"/>
    <n v="4"/>
    <n v="1588.0574712643677"/>
    <n v="206.44747126436778"/>
    <x v="1"/>
    <m/>
  </r>
  <r>
    <n v="2133"/>
    <n v="37"/>
    <x v="1"/>
    <x v="5"/>
    <x v="25"/>
    <n v="2720.99"/>
    <x v="1"/>
    <x v="0"/>
    <n v="3.1"/>
    <n v="20"/>
    <n v="5"/>
    <n v="3401.2374999999997"/>
    <n v="680.24749999999995"/>
    <x v="1"/>
    <m/>
  </r>
  <r>
    <n v="2134"/>
    <n v="24"/>
    <x v="1"/>
    <x v="7"/>
    <x v="11"/>
    <n v="53.39"/>
    <x v="1"/>
    <x v="1"/>
    <n v="3.3"/>
    <n v="10"/>
    <n v="5"/>
    <n v="59.322222222222223"/>
    <n v="5.9322222222222223"/>
    <x v="3"/>
    <m/>
  </r>
  <r>
    <n v="2135"/>
    <n v="42"/>
    <x v="1"/>
    <x v="7"/>
    <x v="13"/>
    <n v="156.01"/>
    <x v="3"/>
    <x v="0"/>
    <n v="3.9"/>
    <n v="8"/>
    <n v="4"/>
    <n v="169.57608695652172"/>
    <n v="13.56608695652173"/>
    <x v="1"/>
    <m/>
  </r>
  <r>
    <n v="2136"/>
    <n v="23"/>
    <x v="0"/>
    <x v="6"/>
    <x v="6"/>
    <n v="107.23"/>
    <x v="2"/>
    <x v="0"/>
    <n v="3.3"/>
    <n v="9"/>
    <n v="2"/>
    <n v="117.83516483516483"/>
    <n v="10.605164835164828"/>
    <x v="3"/>
    <m/>
  </r>
  <r>
    <n v="2137"/>
    <n v="31"/>
    <x v="0"/>
    <x v="6"/>
    <x v="6"/>
    <n v="72.150000000000006"/>
    <x v="0"/>
    <x v="1"/>
    <n v="4.0999999999999996"/>
    <n v="16"/>
    <n v="3"/>
    <n v="85.892857142857153"/>
    <n v="13.742857142857147"/>
    <x v="5"/>
    <m/>
  </r>
  <r>
    <n v="2138"/>
    <n v="28"/>
    <x v="0"/>
    <x v="7"/>
    <x v="13"/>
    <n v="235.98"/>
    <x v="2"/>
    <x v="0"/>
    <n v="2.6"/>
    <n v="26"/>
    <n v="8"/>
    <n v="318.89189189189187"/>
    <n v="82.911891891891884"/>
    <x v="5"/>
    <m/>
  </r>
  <r>
    <n v="2139"/>
    <n v="65"/>
    <x v="0"/>
    <x v="7"/>
    <x v="13"/>
    <n v="216.73"/>
    <x v="3"/>
    <x v="0"/>
    <n v="5"/>
    <n v="16"/>
    <n v="3"/>
    <n v="258.01190476190476"/>
    <n v="41.281904761904769"/>
    <x v="2"/>
    <m/>
  </r>
  <r>
    <n v="2140"/>
    <n v="57"/>
    <x v="1"/>
    <x v="1"/>
    <x v="20"/>
    <n v="76.98"/>
    <x v="3"/>
    <x v="0"/>
    <n v="3.9"/>
    <n v="24"/>
    <n v="7"/>
    <n v="101.28947368421053"/>
    <n v="24.309473684210531"/>
    <x v="0"/>
    <m/>
  </r>
  <r>
    <n v="2141"/>
    <n v="66"/>
    <x v="0"/>
    <x v="8"/>
    <x v="18"/>
    <n v="104.42"/>
    <x v="1"/>
    <x v="0"/>
    <n v="3.6"/>
    <n v="10"/>
    <n v="5"/>
    <n v="116.02222222222223"/>
    <n v="11.602222222222224"/>
    <x v="2"/>
    <m/>
  </r>
  <r>
    <n v="2142"/>
    <n v="30"/>
    <x v="0"/>
    <x v="8"/>
    <x v="14"/>
    <n v="190.44"/>
    <x v="2"/>
    <x v="0"/>
    <n v="4"/>
    <n v="8"/>
    <n v="4"/>
    <n v="207"/>
    <n v="16.560000000000002"/>
    <x v="5"/>
    <m/>
  </r>
  <r>
    <n v="2143"/>
    <n v="52"/>
    <x v="1"/>
    <x v="7"/>
    <x v="11"/>
    <n v="140.52000000000001"/>
    <x v="1"/>
    <x v="0"/>
    <n v="3.5"/>
    <n v="15"/>
    <n v="5"/>
    <n v="165.31764705882355"/>
    <n v="24.797647058823543"/>
    <x v="4"/>
    <m/>
  </r>
  <r>
    <n v="2144"/>
    <n v="59"/>
    <x v="1"/>
    <x v="7"/>
    <x v="11"/>
    <n v="109.11"/>
    <x v="2"/>
    <x v="0"/>
    <n v="4.3"/>
    <n v="8"/>
    <n v="4"/>
    <n v="118.59782608695652"/>
    <n v="9.4878260869565167"/>
    <x v="0"/>
    <m/>
  </r>
  <r>
    <n v="2145"/>
    <n v="46"/>
    <x v="1"/>
    <x v="2"/>
    <x v="2"/>
    <n v="179.23"/>
    <x v="1"/>
    <x v="0"/>
    <n v="3.8"/>
    <n v="12"/>
    <n v="6"/>
    <n v="203.67045454545453"/>
    <n v="24.440454545454543"/>
    <x v="4"/>
    <m/>
  </r>
  <r>
    <n v="2146"/>
    <n v="40"/>
    <x v="1"/>
    <x v="4"/>
    <x v="26"/>
    <n v="23.38"/>
    <x v="0"/>
    <x v="1"/>
    <n v="2.9"/>
    <n v="12"/>
    <n v="6"/>
    <n v="26.568181818181817"/>
    <n v="3.1881818181818176"/>
    <x v="1"/>
    <m/>
  </r>
  <r>
    <n v="2147"/>
    <n v="60"/>
    <x v="0"/>
    <x v="2"/>
    <x v="10"/>
    <n v="243.83"/>
    <x v="0"/>
    <x v="0"/>
    <n v="4"/>
    <n v="20"/>
    <n v="5"/>
    <n v="304.78750000000002"/>
    <n v="60.95750000000001"/>
    <x v="0"/>
    <m/>
  </r>
  <r>
    <n v="2148"/>
    <n v="57"/>
    <x v="1"/>
    <x v="2"/>
    <x v="10"/>
    <n v="111.73"/>
    <x v="1"/>
    <x v="0"/>
    <n v="5"/>
    <n v="26"/>
    <n v="8"/>
    <n v="150.98648648648648"/>
    <n v="39.25648648648648"/>
    <x v="0"/>
    <m/>
  </r>
  <r>
    <n v="2149"/>
    <n v="46"/>
    <x v="1"/>
    <x v="1"/>
    <x v="9"/>
    <n v="86.78"/>
    <x v="2"/>
    <x v="0"/>
    <n v="4.4000000000000004"/>
    <n v="12"/>
    <n v="6"/>
    <n v="98.61363636363636"/>
    <n v="11.833636363636359"/>
    <x v="4"/>
    <m/>
  </r>
  <r>
    <n v="2150"/>
    <n v="66"/>
    <x v="1"/>
    <x v="7"/>
    <x v="8"/>
    <n v="115.51"/>
    <x v="0"/>
    <x v="0"/>
    <n v="3.8"/>
    <n v="8"/>
    <n v="4"/>
    <n v="125.55434782608695"/>
    <n v="10.044347826086948"/>
    <x v="2"/>
    <m/>
  </r>
  <r>
    <n v="2151"/>
    <n v="25"/>
    <x v="1"/>
    <x v="5"/>
    <x v="7"/>
    <n v="2459.81"/>
    <x v="2"/>
    <x v="0"/>
    <n v="4.0999999999999996"/>
    <n v="6"/>
    <n v="3"/>
    <n v="2616.8191489361702"/>
    <n v="157.00914893617028"/>
    <x v="5"/>
    <m/>
  </r>
  <r>
    <n v="2152"/>
    <n v="43"/>
    <x v="0"/>
    <x v="8"/>
    <x v="16"/>
    <n v="89.23"/>
    <x v="3"/>
    <x v="0"/>
    <n v="3.2"/>
    <n v="10"/>
    <n v="5"/>
    <n v="99.144444444444446"/>
    <n v="9.9144444444444417"/>
    <x v="1"/>
    <m/>
  </r>
  <r>
    <n v="2153"/>
    <n v="48"/>
    <x v="0"/>
    <x v="6"/>
    <x v="23"/>
    <n v="108.66"/>
    <x v="1"/>
    <x v="0"/>
    <n v="3.7"/>
    <n v="12"/>
    <n v="6"/>
    <n v="123.47727272727272"/>
    <n v="14.817272727272723"/>
    <x v="4"/>
    <m/>
  </r>
  <r>
    <n v="2154"/>
    <n v="32"/>
    <x v="0"/>
    <x v="2"/>
    <x v="12"/>
    <n v="156.96"/>
    <x v="0"/>
    <x v="0"/>
    <n v="3.4"/>
    <n v="22"/>
    <n v="6"/>
    <n v="201.23076923076923"/>
    <n v="44.270769230769218"/>
    <x v="5"/>
    <m/>
  </r>
  <r>
    <n v="2155"/>
    <n v="51"/>
    <x v="0"/>
    <x v="8"/>
    <x v="17"/>
    <n v="162.77000000000001"/>
    <x v="2"/>
    <x v="0"/>
    <n v="3.3"/>
    <n v="20"/>
    <n v="5"/>
    <n v="203.46250000000001"/>
    <n v="40.692499999999995"/>
    <x v="4"/>
    <m/>
  </r>
  <r>
    <n v="2156"/>
    <n v="24"/>
    <x v="0"/>
    <x v="8"/>
    <x v="18"/>
    <n v="134.74"/>
    <x v="3"/>
    <x v="0"/>
    <n v="4.4000000000000004"/>
    <n v="12"/>
    <n v="6"/>
    <n v="153.11363636363637"/>
    <n v="18.373636363636365"/>
    <x v="3"/>
    <m/>
  </r>
  <r>
    <n v="2157"/>
    <n v="25"/>
    <x v="0"/>
    <x v="8"/>
    <x v="16"/>
    <n v="62.82"/>
    <x v="3"/>
    <x v="0"/>
    <n v="3.4"/>
    <n v="15"/>
    <n v="5"/>
    <n v="73.905882352941177"/>
    <n v="11.085882352941177"/>
    <x v="5"/>
    <m/>
  </r>
  <r>
    <n v="2158"/>
    <n v="21"/>
    <x v="1"/>
    <x v="1"/>
    <x v="20"/>
    <n v="185.24"/>
    <x v="3"/>
    <x v="0"/>
    <n v="3.7"/>
    <n v="20"/>
    <n v="5"/>
    <n v="231.55"/>
    <n v="46.31"/>
    <x v="3"/>
    <m/>
  </r>
  <r>
    <n v="2159"/>
    <n v="21"/>
    <x v="0"/>
    <x v="6"/>
    <x v="6"/>
    <n v="52.12"/>
    <x v="3"/>
    <x v="0"/>
    <n v="2.2000000000000002"/>
    <n v="14"/>
    <n v="7"/>
    <n v="60.604651162790695"/>
    <n v="8.4846511627906978"/>
    <x v="3"/>
    <m/>
  </r>
  <r>
    <n v="2160"/>
    <n v="26"/>
    <x v="1"/>
    <x v="1"/>
    <x v="14"/>
    <n v="117.39"/>
    <x v="2"/>
    <x v="0"/>
    <n v="4.0999999999999996"/>
    <n v="17"/>
    <n v="6"/>
    <n v="141.43373493975903"/>
    <n v="24.043734939759034"/>
    <x v="5"/>
    <m/>
  </r>
  <r>
    <n v="2161"/>
    <n v="64"/>
    <x v="1"/>
    <x v="5"/>
    <x v="25"/>
    <n v="1748.62"/>
    <x v="1"/>
    <x v="0"/>
    <n v="4.5999999999999996"/>
    <n v="13"/>
    <n v="4"/>
    <n v="2009.9080459770114"/>
    <n v="261.28804597701151"/>
    <x v="0"/>
    <m/>
  </r>
  <r>
    <n v="2162"/>
    <n v="47"/>
    <x v="0"/>
    <x v="8"/>
    <x v="17"/>
    <n v="156.93"/>
    <x v="0"/>
    <x v="0"/>
    <n v="3.4"/>
    <n v="11"/>
    <n v="3"/>
    <n v="176.32584269662922"/>
    <n v="19.395842696629217"/>
    <x v="4"/>
    <m/>
  </r>
  <r>
    <n v="2163"/>
    <n v="58"/>
    <x v="0"/>
    <x v="4"/>
    <x v="26"/>
    <n v="10.97"/>
    <x v="0"/>
    <x v="0"/>
    <n v="3.3"/>
    <n v="10"/>
    <n v="5"/>
    <n v="12.18888888888889"/>
    <n v="1.2188888888888894"/>
    <x v="0"/>
    <m/>
  </r>
  <r>
    <n v="2164"/>
    <n v="38"/>
    <x v="1"/>
    <x v="1"/>
    <x v="20"/>
    <n v="196.58"/>
    <x v="3"/>
    <x v="0"/>
    <n v="4.0999999999999996"/>
    <n v="15"/>
    <n v="5"/>
    <n v="231.27058823529413"/>
    <n v="34.690588235294115"/>
    <x v="1"/>
    <m/>
  </r>
  <r>
    <n v="2165"/>
    <n v="33"/>
    <x v="0"/>
    <x v="6"/>
    <x v="27"/>
    <n v="124.79"/>
    <x v="1"/>
    <x v="0"/>
    <n v="3.2"/>
    <n v="13"/>
    <n v="4"/>
    <n v="143.43678160919541"/>
    <n v="18.646781609195401"/>
    <x v="5"/>
    <m/>
  </r>
  <r>
    <n v="2166"/>
    <n v="58"/>
    <x v="1"/>
    <x v="1"/>
    <x v="1"/>
    <n v="126.22"/>
    <x v="0"/>
    <x v="0"/>
    <n v="4.9000000000000004"/>
    <n v="16"/>
    <n v="3"/>
    <n v="150.26190476190476"/>
    <n v="24.04190476190476"/>
    <x v="0"/>
    <m/>
  </r>
  <r>
    <n v="2167"/>
    <n v="43"/>
    <x v="0"/>
    <x v="6"/>
    <x v="27"/>
    <n v="55.3"/>
    <x v="2"/>
    <x v="1"/>
    <n v="2.7"/>
    <n v="8"/>
    <n v="4"/>
    <n v="60.108695652173907"/>
    <n v="4.8086956521739097"/>
    <x v="1"/>
    <m/>
  </r>
  <r>
    <n v="2168"/>
    <n v="49"/>
    <x v="0"/>
    <x v="8"/>
    <x v="14"/>
    <n v="153.03"/>
    <x v="1"/>
    <x v="0"/>
    <n v="3.9"/>
    <n v="23"/>
    <n v="9"/>
    <n v="198.74025974025975"/>
    <n v="45.710259740259744"/>
    <x v="4"/>
    <m/>
  </r>
  <r>
    <n v="2169"/>
    <n v="36"/>
    <x v="1"/>
    <x v="5"/>
    <x v="5"/>
    <n v="2044.39"/>
    <x v="2"/>
    <x v="0"/>
    <n v="3.5"/>
    <n v="28"/>
    <n v="9"/>
    <n v="2839.4305555555557"/>
    <n v="795.04055555555556"/>
    <x v="1"/>
    <m/>
  </r>
  <r>
    <n v="2170"/>
    <n v="69"/>
    <x v="0"/>
    <x v="2"/>
    <x v="2"/>
    <n v="125.7"/>
    <x v="2"/>
    <x v="0"/>
    <n v="4.4000000000000004"/>
    <n v="15"/>
    <n v="5"/>
    <n v="147.88235294117646"/>
    <n v="22.182352941176461"/>
    <x v="2"/>
    <m/>
  </r>
  <r>
    <n v="2171"/>
    <n v="50"/>
    <x v="1"/>
    <x v="2"/>
    <x v="2"/>
    <n v="57.74"/>
    <x v="3"/>
    <x v="1"/>
    <n v="3"/>
    <n v="16"/>
    <n v="8"/>
    <n v="68.738095238095241"/>
    <n v="10.998095238095239"/>
    <x v="4"/>
    <m/>
  </r>
  <r>
    <n v="2172"/>
    <n v="35"/>
    <x v="0"/>
    <x v="7"/>
    <x v="8"/>
    <n v="42.14"/>
    <x v="3"/>
    <x v="0"/>
    <n v="2.9"/>
    <n v="17"/>
    <n v="6"/>
    <n v="50.7710843373494"/>
    <n v="8.6310843373493995"/>
    <x v="1"/>
    <m/>
  </r>
  <r>
    <n v="2173"/>
    <n v="29"/>
    <x v="0"/>
    <x v="0"/>
    <x v="28"/>
    <n v="65.650000000000006"/>
    <x v="3"/>
    <x v="1"/>
    <n v="3.6"/>
    <n v="11"/>
    <n v="3"/>
    <n v="73.764044943820224"/>
    <n v="8.1140449438202182"/>
    <x v="5"/>
    <m/>
  </r>
  <r>
    <n v="2174"/>
    <n v="23"/>
    <x v="1"/>
    <x v="5"/>
    <x v="7"/>
    <n v="899.3"/>
    <x v="1"/>
    <x v="0"/>
    <n v="3.8"/>
    <n v="14"/>
    <n v="2"/>
    <n v="1045.6976744186047"/>
    <n v="146.39767441860477"/>
    <x v="3"/>
    <m/>
  </r>
  <r>
    <n v="2175"/>
    <n v="70"/>
    <x v="1"/>
    <x v="3"/>
    <x v="15"/>
    <n v="189.01"/>
    <x v="1"/>
    <x v="0"/>
    <n v="4.8"/>
    <n v="24"/>
    <n v="7"/>
    <n v="248.69736842105263"/>
    <n v="59.687368421052639"/>
    <x v="2"/>
    <m/>
  </r>
  <r>
    <n v="2176"/>
    <n v="55"/>
    <x v="0"/>
    <x v="0"/>
    <x v="22"/>
    <n v="155.94999999999999"/>
    <x v="1"/>
    <x v="0"/>
    <n v="3.1"/>
    <n v="15"/>
    <n v="5"/>
    <n v="183.47058823529412"/>
    <n v="27.520588235294127"/>
    <x v="0"/>
    <m/>
  </r>
  <r>
    <n v="2177"/>
    <n v="28"/>
    <x v="0"/>
    <x v="6"/>
    <x v="23"/>
    <n v="90.72"/>
    <x v="2"/>
    <x v="1"/>
    <n v="1.4"/>
    <n v="8"/>
    <n v="4"/>
    <n v="98.608695652173907"/>
    <n v="7.888695652173908"/>
    <x v="5"/>
    <m/>
  </r>
  <r>
    <n v="2178"/>
    <n v="24"/>
    <x v="0"/>
    <x v="6"/>
    <x v="23"/>
    <n v="58.6"/>
    <x v="2"/>
    <x v="0"/>
    <n v="3.1"/>
    <n v="17"/>
    <n v="6"/>
    <n v="70.602409638554221"/>
    <n v="12.002409638554219"/>
    <x v="3"/>
    <m/>
  </r>
  <r>
    <n v="2179"/>
    <n v="69"/>
    <x v="0"/>
    <x v="8"/>
    <x v="17"/>
    <n v="58.78"/>
    <x v="3"/>
    <x v="0"/>
    <n v="3.7"/>
    <n v="18"/>
    <n v="4"/>
    <n v="71.682926829268283"/>
    <n v="12.902926829268281"/>
    <x v="2"/>
    <m/>
  </r>
  <r>
    <n v="2180"/>
    <n v="54"/>
    <x v="0"/>
    <x v="7"/>
    <x v="13"/>
    <n v="249.37"/>
    <x v="3"/>
    <x v="0"/>
    <n v="3.8"/>
    <n v="8"/>
    <n v="4"/>
    <n v="271.05434782608694"/>
    <n v="21.684347826086935"/>
    <x v="4"/>
    <m/>
  </r>
  <r>
    <n v="2181"/>
    <n v="39"/>
    <x v="1"/>
    <x v="2"/>
    <x v="12"/>
    <n v="66.75"/>
    <x v="3"/>
    <x v="0"/>
    <n v="3.3"/>
    <n v="8"/>
    <n v="4"/>
    <n v="72.554347826086953"/>
    <n v="5.8043478260869534"/>
    <x v="1"/>
    <m/>
  </r>
  <r>
    <n v="2182"/>
    <n v="21"/>
    <x v="1"/>
    <x v="2"/>
    <x v="12"/>
    <n v="232.78"/>
    <x v="1"/>
    <x v="0"/>
    <n v="4.0999999999999996"/>
    <n v="16"/>
    <n v="3"/>
    <n v="277.11904761904765"/>
    <n v="44.339047619047648"/>
    <x v="3"/>
    <m/>
  </r>
  <r>
    <n v="2183"/>
    <n v="55"/>
    <x v="1"/>
    <x v="3"/>
    <x v="15"/>
    <n v="271.73"/>
    <x v="0"/>
    <x v="0"/>
    <n v="2.8"/>
    <n v="4"/>
    <n v="2"/>
    <n v="283.05208333333337"/>
    <n v="11.322083333333353"/>
    <x v="0"/>
    <m/>
  </r>
  <r>
    <n v="2184"/>
    <n v="32"/>
    <x v="0"/>
    <x v="2"/>
    <x v="10"/>
    <n v="117.69"/>
    <x v="0"/>
    <x v="0"/>
    <n v="3.4"/>
    <n v="22"/>
    <n v="6"/>
    <n v="150.88461538461539"/>
    <n v="33.194615384615389"/>
    <x v="5"/>
    <m/>
  </r>
  <r>
    <n v="2185"/>
    <n v="21"/>
    <x v="0"/>
    <x v="2"/>
    <x v="10"/>
    <n v="248.21"/>
    <x v="1"/>
    <x v="0"/>
    <n v="4"/>
    <n v="8"/>
    <n v="4"/>
    <n v="269.79347826086956"/>
    <n v="21.583478260869555"/>
    <x v="3"/>
    <m/>
  </r>
  <r>
    <n v="2186"/>
    <n v="20"/>
    <x v="0"/>
    <x v="2"/>
    <x v="2"/>
    <n v="83.38"/>
    <x v="2"/>
    <x v="1"/>
    <n v="3.5"/>
    <n v="4"/>
    <n v="2"/>
    <n v="86.854166666666671"/>
    <n v="3.474166666666676"/>
    <x v="3"/>
    <m/>
  </r>
  <r>
    <n v="2187"/>
    <n v="39"/>
    <x v="0"/>
    <x v="3"/>
    <x v="3"/>
    <n v="113.79"/>
    <x v="0"/>
    <x v="0"/>
    <n v="5"/>
    <n v="14"/>
    <n v="2"/>
    <n v="132.31395348837211"/>
    <n v="18.523953488372101"/>
    <x v="1"/>
    <m/>
  </r>
  <r>
    <n v="2188"/>
    <n v="44"/>
    <x v="0"/>
    <x v="3"/>
    <x v="24"/>
    <n v="278.16000000000003"/>
    <x v="1"/>
    <x v="0"/>
    <n v="2.7"/>
    <n v="7"/>
    <n v="1"/>
    <n v="299.09677419354841"/>
    <n v="20.936774193548388"/>
    <x v="1"/>
    <m/>
  </r>
  <r>
    <n v="2189"/>
    <n v="45"/>
    <x v="0"/>
    <x v="7"/>
    <x v="13"/>
    <n v="136.82"/>
    <x v="0"/>
    <x v="0"/>
    <n v="3.7"/>
    <n v="13"/>
    <n v="4"/>
    <n v="157.26436781609195"/>
    <n v="20.444367816091955"/>
    <x v="4"/>
    <m/>
  </r>
  <r>
    <n v="2190"/>
    <n v="22"/>
    <x v="0"/>
    <x v="8"/>
    <x v="17"/>
    <n v="198.84"/>
    <x v="2"/>
    <x v="0"/>
    <n v="3.5"/>
    <n v="15"/>
    <n v="5"/>
    <n v="233.92941176470589"/>
    <n v="35.089411764705886"/>
    <x v="3"/>
    <m/>
  </r>
  <r>
    <n v="2191"/>
    <n v="55"/>
    <x v="0"/>
    <x v="7"/>
    <x v="13"/>
    <n v="228.85"/>
    <x v="3"/>
    <x v="0"/>
    <n v="4.3"/>
    <n v="18"/>
    <n v="4"/>
    <n v="279.08536585365852"/>
    <n v="50.235365853658521"/>
    <x v="0"/>
    <m/>
  </r>
  <r>
    <n v="2192"/>
    <n v="59"/>
    <x v="1"/>
    <x v="2"/>
    <x v="2"/>
    <n v="46.03"/>
    <x v="3"/>
    <x v="1"/>
    <n v="3.2"/>
    <n v="12"/>
    <n v="6"/>
    <n v="52.30681818181818"/>
    <n v="6.2768181818181787"/>
    <x v="0"/>
    <m/>
  </r>
  <r>
    <n v="2193"/>
    <n v="42"/>
    <x v="0"/>
    <x v="8"/>
    <x v="18"/>
    <n v="66.91"/>
    <x v="1"/>
    <x v="1"/>
    <n v="4.5"/>
    <n v="20"/>
    <n v="5"/>
    <n v="83.637499999999989"/>
    <n v="16.727499999999992"/>
    <x v="1"/>
    <m/>
  </r>
  <r>
    <n v="2194"/>
    <n v="63"/>
    <x v="0"/>
    <x v="8"/>
    <x v="14"/>
    <n v="70.959999999999994"/>
    <x v="2"/>
    <x v="1"/>
    <n v="2.5"/>
    <n v="6"/>
    <n v="3"/>
    <n v="75.489361702127653"/>
    <n v="4.5293617021276589"/>
    <x v="0"/>
    <m/>
  </r>
  <r>
    <n v="2195"/>
    <n v="24"/>
    <x v="0"/>
    <x v="6"/>
    <x v="27"/>
    <n v="33.03"/>
    <x v="1"/>
    <x v="1"/>
    <n v="4.7"/>
    <n v="12"/>
    <n v="6"/>
    <n v="37.534090909090914"/>
    <n v="4.5040909090909125"/>
    <x v="3"/>
    <m/>
  </r>
  <r>
    <n v="2196"/>
    <n v="27"/>
    <x v="0"/>
    <x v="7"/>
    <x v="8"/>
    <n v="167.37"/>
    <x v="2"/>
    <x v="0"/>
    <n v="3.4"/>
    <n v="19"/>
    <n v="7"/>
    <n v="206.62962962962962"/>
    <n v="39.259629629629615"/>
    <x v="5"/>
    <m/>
  </r>
  <r>
    <n v="2197"/>
    <n v="46"/>
    <x v="1"/>
    <x v="5"/>
    <x v="5"/>
    <n v="1442.61"/>
    <x v="0"/>
    <x v="0"/>
    <n v="2.9"/>
    <n v="17"/>
    <n v="6"/>
    <n v="1738.0843373493976"/>
    <n v="295.47433734939773"/>
    <x v="4"/>
    <m/>
  </r>
  <r>
    <n v="2198"/>
    <n v="67"/>
    <x v="1"/>
    <x v="2"/>
    <x v="2"/>
    <n v="246"/>
    <x v="0"/>
    <x v="0"/>
    <n v="5"/>
    <n v="18"/>
    <n v="4"/>
    <n v="300"/>
    <n v="54"/>
    <x v="2"/>
    <m/>
  </r>
  <r>
    <n v="2199"/>
    <n v="46"/>
    <x v="1"/>
    <x v="2"/>
    <x v="12"/>
    <n v="68.17"/>
    <x v="2"/>
    <x v="1"/>
    <n v="3.4"/>
    <n v="17"/>
    <n v="6"/>
    <n v="82.132530120481931"/>
    <n v="13.962530120481929"/>
    <x v="4"/>
    <m/>
  </r>
  <r>
    <n v="2200"/>
    <n v="41"/>
    <x v="1"/>
    <x v="7"/>
    <x v="13"/>
    <n v="74.88"/>
    <x v="3"/>
    <x v="0"/>
    <n v="4.7"/>
    <n v="16"/>
    <n v="3"/>
    <n v="89.142857142857139"/>
    <n v="14.262857142857143"/>
    <x v="1"/>
    <m/>
  </r>
  <r>
    <n v="2201"/>
    <n v="36"/>
    <x v="1"/>
    <x v="2"/>
    <x v="10"/>
    <n v="105.09"/>
    <x v="1"/>
    <x v="0"/>
    <n v="3.6"/>
    <n v="22"/>
    <n v="6"/>
    <n v="134.73076923076923"/>
    <n v="29.640769230769223"/>
    <x v="1"/>
    <m/>
  </r>
  <r>
    <n v="2202"/>
    <n v="23"/>
    <x v="1"/>
    <x v="2"/>
    <x v="2"/>
    <n v="109.86"/>
    <x v="0"/>
    <x v="0"/>
    <n v="5"/>
    <n v="7"/>
    <n v="1"/>
    <n v="118.12903225806453"/>
    <n v="8.2690322580645272"/>
    <x v="3"/>
    <m/>
  </r>
  <r>
    <n v="2203"/>
    <n v="32"/>
    <x v="0"/>
    <x v="7"/>
    <x v="8"/>
    <n v="232.22"/>
    <x v="1"/>
    <x v="0"/>
    <n v="3.5"/>
    <n v="11"/>
    <n v="3"/>
    <n v="260.92134831460675"/>
    <n v="28.701348314606747"/>
    <x v="5"/>
    <m/>
  </r>
  <r>
    <n v="2204"/>
    <n v="60"/>
    <x v="1"/>
    <x v="1"/>
    <x v="9"/>
    <n v="170.41"/>
    <x v="3"/>
    <x v="0"/>
    <n v="2.6"/>
    <n v="17"/>
    <n v="6"/>
    <n v="205.31325301204819"/>
    <n v="34.903253012048197"/>
    <x v="0"/>
    <m/>
  </r>
  <r>
    <n v="2205"/>
    <n v="43"/>
    <x v="1"/>
    <x v="1"/>
    <x v="14"/>
    <n v="122.14"/>
    <x v="1"/>
    <x v="0"/>
    <n v="4"/>
    <n v="10"/>
    <n v="5"/>
    <n v="135.71111111111111"/>
    <n v="13.571111111111108"/>
    <x v="1"/>
    <m/>
  </r>
  <r>
    <n v="2206"/>
    <n v="58"/>
    <x v="0"/>
    <x v="0"/>
    <x v="0"/>
    <n v="98.65"/>
    <x v="1"/>
    <x v="1"/>
    <n v="3.9"/>
    <n v="8"/>
    <n v="4"/>
    <n v="107.22826086956522"/>
    <n v="8.5782608695652129"/>
    <x v="0"/>
    <m/>
  </r>
  <r>
    <n v="2207"/>
    <n v="70"/>
    <x v="1"/>
    <x v="2"/>
    <x v="2"/>
    <n v="43.95"/>
    <x v="0"/>
    <x v="1"/>
    <n v="3.4"/>
    <n v="15"/>
    <n v="5"/>
    <n v="51.705882352941181"/>
    <n v="7.7558823529411782"/>
    <x v="2"/>
    <m/>
  </r>
  <r>
    <n v="2208"/>
    <n v="43"/>
    <x v="1"/>
    <x v="2"/>
    <x v="2"/>
    <n v="127.93"/>
    <x v="2"/>
    <x v="0"/>
    <n v="2.9"/>
    <n v="13"/>
    <n v="4"/>
    <n v="147.04597701149427"/>
    <n v="19.115977011494266"/>
    <x v="1"/>
    <m/>
  </r>
  <r>
    <n v="2209"/>
    <n v="55"/>
    <x v="1"/>
    <x v="4"/>
    <x v="4"/>
    <n v="62.57"/>
    <x v="0"/>
    <x v="1"/>
    <n v="3.6"/>
    <n v="12"/>
    <n v="6"/>
    <n v="71.102272727272734"/>
    <n v="8.5322727272727334"/>
    <x v="0"/>
    <m/>
  </r>
  <r>
    <n v="2210"/>
    <n v="24"/>
    <x v="0"/>
    <x v="8"/>
    <x v="14"/>
    <n v="106.76"/>
    <x v="0"/>
    <x v="0"/>
    <n v="3.2"/>
    <n v="8"/>
    <n v="4"/>
    <n v="116.04347826086956"/>
    <n v="9.2834782608695576"/>
    <x v="3"/>
    <m/>
  </r>
  <r>
    <n v="2211"/>
    <n v="41"/>
    <x v="0"/>
    <x v="3"/>
    <x v="24"/>
    <n v="245.42"/>
    <x v="3"/>
    <x v="0"/>
    <n v="3.6"/>
    <n v="20"/>
    <n v="5"/>
    <n v="306.77499999999998"/>
    <n v="61.35499999999999"/>
    <x v="1"/>
    <m/>
  </r>
  <r>
    <n v="2212"/>
    <n v="33"/>
    <x v="1"/>
    <x v="2"/>
    <x v="10"/>
    <n v="184.79"/>
    <x v="2"/>
    <x v="0"/>
    <n v="2.8"/>
    <n v="11"/>
    <n v="3"/>
    <n v="207.62921348314606"/>
    <n v="22.839213483146068"/>
    <x v="5"/>
    <m/>
  </r>
  <r>
    <n v="2213"/>
    <n v="64"/>
    <x v="0"/>
    <x v="0"/>
    <x v="28"/>
    <n v="176.59"/>
    <x v="0"/>
    <x v="0"/>
    <n v="3.9"/>
    <n v="20"/>
    <n v="5"/>
    <n v="220.73749999999998"/>
    <n v="44.14749999999998"/>
    <x v="0"/>
    <m/>
  </r>
  <r>
    <n v="2214"/>
    <n v="26"/>
    <x v="0"/>
    <x v="8"/>
    <x v="17"/>
    <n v="58.44"/>
    <x v="2"/>
    <x v="1"/>
    <n v="2.1"/>
    <n v="19"/>
    <n v="7"/>
    <n v="72.148148148148138"/>
    <n v="13.70814814814814"/>
    <x v="5"/>
    <m/>
  </r>
  <r>
    <n v="2215"/>
    <n v="53"/>
    <x v="0"/>
    <x v="4"/>
    <x v="29"/>
    <n v="9.7200000000000006"/>
    <x v="2"/>
    <x v="0"/>
    <n v="3.9"/>
    <n v="24"/>
    <n v="7"/>
    <n v="12.789473684210527"/>
    <n v="3.0694736842105268"/>
    <x v="4"/>
    <m/>
  </r>
  <r>
    <n v="2216"/>
    <n v="34"/>
    <x v="0"/>
    <x v="7"/>
    <x v="13"/>
    <n v="97.08"/>
    <x v="3"/>
    <x v="0"/>
    <n v="2.7"/>
    <n v="12"/>
    <n v="1"/>
    <n v="110.31818181818181"/>
    <n v="13.238181818181815"/>
    <x v="5"/>
    <m/>
  </r>
  <r>
    <n v="2217"/>
    <n v="35"/>
    <x v="0"/>
    <x v="0"/>
    <x v="0"/>
    <n v="150.88"/>
    <x v="2"/>
    <x v="0"/>
    <n v="4.3"/>
    <n v="16"/>
    <n v="8"/>
    <n v="179.61904761904762"/>
    <n v="28.739047619047625"/>
    <x v="1"/>
    <m/>
  </r>
  <r>
    <n v="2218"/>
    <n v="24"/>
    <x v="0"/>
    <x v="7"/>
    <x v="11"/>
    <n v="173.83"/>
    <x v="0"/>
    <x v="0"/>
    <n v="2.7"/>
    <n v="6"/>
    <n v="3"/>
    <n v="184.92553191489364"/>
    <n v="11.095531914893627"/>
    <x v="3"/>
    <m/>
  </r>
  <r>
    <n v="2219"/>
    <n v="57"/>
    <x v="1"/>
    <x v="5"/>
    <x v="5"/>
    <n v="1857.16"/>
    <x v="0"/>
    <x v="0"/>
    <n v="4"/>
    <n v="13"/>
    <n v="4"/>
    <n v="2134.666666666667"/>
    <n v="277.50666666666689"/>
    <x v="0"/>
    <m/>
  </r>
  <r>
    <n v="2220"/>
    <n v="31"/>
    <x v="1"/>
    <x v="2"/>
    <x v="10"/>
    <n v="227.4"/>
    <x v="2"/>
    <x v="0"/>
    <n v="3.5"/>
    <n v="11"/>
    <n v="3"/>
    <n v="255.50561797752809"/>
    <n v="28.105617977528084"/>
    <x v="5"/>
    <m/>
  </r>
  <r>
    <n v="2221"/>
    <n v="52"/>
    <x v="0"/>
    <x v="0"/>
    <x v="0"/>
    <n v="119.11"/>
    <x v="3"/>
    <x v="0"/>
    <n v="4.8"/>
    <n v="25"/>
    <n v="10"/>
    <n v="158.81333333333333"/>
    <n v="39.703333333333333"/>
    <x v="4"/>
    <m/>
  </r>
  <r>
    <n v="2222"/>
    <n v="30"/>
    <x v="1"/>
    <x v="5"/>
    <x v="25"/>
    <n v="1425.84"/>
    <x v="1"/>
    <x v="0"/>
    <n v="3.6"/>
    <n v="14"/>
    <n v="2"/>
    <n v="1657.953488372093"/>
    <n v="232.11348837209312"/>
    <x v="5"/>
    <m/>
  </r>
  <r>
    <n v="2223"/>
    <n v="32"/>
    <x v="1"/>
    <x v="7"/>
    <x v="8"/>
    <n v="170.66"/>
    <x v="1"/>
    <x v="0"/>
    <n v="4.2"/>
    <n v="17"/>
    <n v="6"/>
    <n v="205.6144578313253"/>
    <n v="34.9544578313253"/>
    <x v="5"/>
    <m/>
  </r>
  <r>
    <n v="2224"/>
    <n v="21"/>
    <x v="1"/>
    <x v="2"/>
    <x v="12"/>
    <n v="246.8"/>
    <x v="0"/>
    <x v="0"/>
    <n v="3.2"/>
    <n v="13"/>
    <n v="4"/>
    <n v="283.67816091954023"/>
    <n v="36.878160919540221"/>
    <x v="3"/>
    <m/>
  </r>
  <r>
    <n v="2225"/>
    <n v="63"/>
    <x v="0"/>
    <x v="6"/>
    <x v="27"/>
    <n v="40.06"/>
    <x v="3"/>
    <x v="1"/>
    <n v="4"/>
    <n v="20"/>
    <n v="5"/>
    <n v="50.075000000000003"/>
    <n v="10.015000000000001"/>
    <x v="0"/>
    <m/>
  </r>
  <r>
    <n v="2226"/>
    <n v="38"/>
    <x v="0"/>
    <x v="7"/>
    <x v="8"/>
    <n v="47"/>
    <x v="3"/>
    <x v="0"/>
    <n v="3.4"/>
    <n v="18"/>
    <n v="9"/>
    <n v="57.317073170731703"/>
    <n v="10.317073170731703"/>
    <x v="1"/>
    <m/>
  </r>
  <r>
    <n v="2227"/>
    <n v="46"/>
    <x v="0"/>
    <x v="8"/>
    <x v="17"/>
    <n v="149.94999999999999"/>
    <x v="3"/>
    <x v="0"/>
    <n v="4.2"/>
    <n v="9"/>
    <n v="2"/>
    <n v="164.78021978021977"/>
    <n v="14.830219780219778"/>
    <x v="4"/>
    <m/>
  </r>
  <r>
    <n v="2228"/>
    <n v="68"/>
    <x v="1"/>
    <x v="5"/>
    <x v="7"/>
    <n v="1383.02"/>
    <x v="1"/>
    <x v="0"/>
    <n v="4.5999999999999996"/>
    <n v="16"/>
    <n v="3"/>
    <n v="1646.452380952381"/>
    <n v="263.43238095238098"/>
    <x v="2"/>
    <m/>
  </r>
  <r>
    <n v="2229"/>
    <n v="30"/>
    <x v="0"/>
    <x v="8"/>
    <x v="17"/>
    <n v="170.78"/>
    <x v="2"/>
    <x v="0"/>
    <n v="5"/>
    <n v="22"/>
    <n v="6"/>
    <n v="218.94871794871796"/>
    <n v="48.168717948717955"/>
    <x v="5"/>
    <m/>
  </r>
  <r>
    <n v="2230"/>
    <n v="26"/>
    <x v="1"/>
    <x v="1"/>
    <x v="9"/>
    <n v="119.83"/>
    <x v="0"/>
    <x v="0"/>
    <n v="3.4"/>
    <n v="8"/>
    <n v="4"/>
    <n v="130.25"/>
    <n v="10.420000000000002"/>
    <x v="5"/>
    <m/>
  </r>
  <r>
    <n v="2231"/>
    <n v="49"/>
    <x v="1"/>
    <x v="5"/>
    <x v="5"/>
    <n v="2780.13"/>
    <x v="2"/>
    <x v="0"/>
    <n v="3.6"/>
    <n v="15"/>
    <n v="5"/>
    <n v="3270.7411764705885"/>
    <n v="490.61117647058836"/>
    <x v="4"/>
    <m/>
  </r>
  <r>
    <n v="2232"/>
    <n v="68"/>
    <x v="1"/>
    <x v="7"/>
    <x v="11"/>
    <n v="206.56"/>
    <x v="1"/>
    <x v="0"/>
    <n v="3.3"/>
    <n v="10"/>
    <n v="5"/>
    <n v="229.51111111111112"/>
    <n v="22.951111111111118"/>
    <x v="2"/>
    <m/>
  </r>
  <r>
    <n v="2233"/>
    <n v="30"/>
    <x v="0"/>
    <x v="8"/>
    <x v="14"/>
    <n v="186.33"/>
    <x v="1"/>
    <x v="0"/>
    <n v="3.5"/>
    <n v="12"/>
    <n v="6"/>
    <n v="211.73863636363637"/>
    <n v="25.408636363636361"/>
    <x v="5"/>
    <m/>
  </r>
  <r>
    <n v="2234"/>
    <n v="38"/>
    <x v="1"/>
    <x v="1"/>
    <x v="1"/>
    <n v="156.71"/>
    <x v="2"/>
    <x v="0"/>
    <n v="3.4"/>
    <n v="16"/>
    <n v="8"/>
    <n v="186.55952380952382"/>
    <n v="29.849523809523816"/>
    <x v="1"/>
    <m/>
  </r>
  <r>
    <n v="2235"/>
    <n v="42"/>
    <x v="0"/>
    <x v="6"/>
    <x v="23"/>
    <n v="78.39"/>
    <x v="3"/>
    <x v="0"/>
    <n v="3.7"/>
    <n v="22"/>
    <n v="6"/>
    <n v="100.5"/>
    <n v="22.11"/>
    <x v="1"/>
    <m/>
  </r>
  <r>
    <n v="2236"/>
    <n v="63"/>
    <x v="1"/>
    <x v="2"/>
    <x v="12"/>
    <n v="214.61"/>
    <x v="2"/>
    <x v="0"/>
    <n v="3.4"/>
    <n v="9"/>
    <n v="2"/>
    <n v="235.83516483516485"/>
    <n v="21.225164835164833"/>
    <x v="0"/>
    <m/>
  </r>
  <r>
    <n v="2237"/>
    <n v="34"/>
    <x v="1"/>
    <x v="4"/>
    <x v="29"/>
    <n v="10.119999999999999"/>
    <x v="1"/>
    <x v="1"/>
    <n v="4.3"/>
    <n v="10"/>
    <n v="5"/>
    <n v="11.244444444444444"/>
    <n v="1.1244444444444444"/>
    <x v="5"/>
    <m/>
  </r>
  <r>
    <n v="2238"/>
    <n v="28"/>
    <x v="0"/>
    <x v="0"/>
    <x v="28"/>
    <n v="125.16"/>
    <x v="2"/>
    <x v="0"/>
    <n v="3.8"/>
    <n v="8"/>
    <n v="4"/>
    <n v="136.04347826086956"/>
    <n v="10.883478260869566"/>
    <x v="5"/>
    <m/>
  </r>
  <r>
    <n v="2239"/>
    <n v="34"/>
    <x v="0"/>
    <x v="8"/>
    <x v="17"/>
    <n v="90.17"/>
    <x v="1"/>
    <x v="1"/>
    <n v="3.1"/>
    <n v="19"/>
    <n v="7"/>
    <n v="111.32098765432099"/>
    <n v="21.150987654320986"/>
    <x v="5"/>
    <m/>
  </r>
  <r>
    <n v="2240"/>
    <n v="60"/>
    <x v="1"/>
    <x v="5"/>
    <x v="7"/>
    <n v="1445.76"/>
    <x v="1"/>
    <x v="0"/>
    <n v="4.5"/>
    <n v="16"/>
    <n v="3"/>
    <n v="1721.1428571428571"/>
    <n v="275.38285714285712"/>
    <x v="0"/>
    <m/>
  </r>
  <r>
    <n v="2241"/>
    <n v="64"/>
    <x v="1"/>
    <x v="7"/>
    <x v="8"/>
    <n v="45.29"/>
    <x v="3"/>
    <x v="1"/>
    <n v="4"/>
    <n v="30"/>
    <n v="10"/>
    <n v="64.7"/>
    <n v="19.410000000000004"/>
    <x v="0"/>
    <m/>
  </r>
  <r>
    <n v="2242"/>
    <n v="36"/>
    <x v="0"/>
    <x v="7"/>
    <x v="11"/>
    <n v="120.65"/>
    <x v="1"/>
    <x v="0"/>
    <n v="4.9000000000000004"/>
    <n v="6"/>
    <n v="3"/>
    <n v="128.35106382978725"/>
    <n v="7.7010638297872447"/>
    <x v="1"/>
    <m/>
  </r>
  <r>
    <n v="2243"/>
    <n v="69"/>
    <x v="1"/>
    <x v="2"/>
    <x v="10"/>
    <n v="204.74"/>
    <x v="3"/>
    <x v="0"/>
    <n v="4.0999999999999996"/>
    <n v="15"/>
    <n v="5"/>
    <n v="240.87058823529412"/>
    <n v="36.130588235294113"/>
    <x v="2"/>
    <m/>
  </r>
  <r>
    <n v="2244"/>
    <n v="37"/>
    <x v="0"/>
    <x v="6"/>
    <x v="23"/>
    <n v="23.24"/>
    <x v="3"/>
    <x v="0"/>
    <n v="3.6"/>
    <n v="20"/>
    <n v="5"/>
    <n v="29.049999999999997"/>
    <n v="5.8099999999999987"/>
    <x v="1"/>
    <m/>
  </r>
  <r>
    <n v="2245"/>
    <n v="52"/>
    <x v="0"/>
    <x v="6"/>
    <x v="6"/>
    <n v="32.67"/>
    <x v="2"/>
    <x v="1"/>
    <n v="3.6"/>
    <n v="17"/>
    <n v="6"/>
    <n v="39.361445783132531"/>
    <n v="6.6914457831325294"/>
    <x v="4"/>
    <m/>
  </r>
  <r>
    <n v="2246"/>
    <n v="31"/>
    <x v="1"/>
    <x v="5"/>
    <x v="5"/>
    <n v="2789.38"/>
    <x v="1"/>
    <x v="0"/>
    <n v="4.7"/>
    <n v="12"/>
    <n v="6"/>
    <n v="3169.75"/>
    <n v="380.36999999999989"/>
    <x v="5"/>
    <m/>
  </r>
  <r>
    <n v="2247"/>
    <n v="67"/>
    <x v="1"/>
    <x v="7"/>
    <x v="8"/>
    <n v="54.61"/>
    <x v="0"/>
    <x v="0"/>
    <n v="4.0999999999999996"/>
    <n v="8"/>
    <n v="4"/>
    <n v="59.358695652173907"/>
    <n v="4.7486956521739074"/>
    <x v="2"/>
    <m/>
  </r>
  <r>
    <n v="2248"/>
    <n v="28"/>
    <x v="1"/>
    <x v="2"/>
    <x v="10"/>
    <n v="157.25"/>
    <x v="1"/>
    <x v="0"/>
    <n v="4.2"/>
    <n v="18"/>
    <n v="4"/>
    <n v="191.76829268292681"/>
    <n v="34.518292682926813"/>
    <x v="5"/>
    <m/>
  </r>
  <r>
    <n v="2249"/>
    <n v="43"/>
    <x v="1"/>
    <x v="4"/>
    <x v="4"/>
    <n v="20.079999999999998"/>
    <x v="3"/>
    <x v="0"/>
    <n v="4.2"/>
    <n v="9"/>
    <n v="2"/>
    <n v="22.065934065934062"/>
    <n v="1.9859340659340639"/>
    <x v="1"/>
    <m/>
  </r>
  <r>
    <n v="2250"/>
    <n v="45"/>
    <x v="0"/>
    <x v="0"/>
    <x v="22"/>
    <n v="50.5"/>
    <x v="0"/>
    <x v="1"/>
    <n v="2.5"/>
    <n v="20"/>
    <n v="5"/>
    <n v="63.125"/>
    <n v="12.625"/>
    <x v="4"/>
    <m/>
  </r>
  <r>
    <n v="2251"/>
    <n v="57"/>
    <x v="0"/>
    <x v="8"/>
    <x v="14"/>
    <n v="106.78"/>
    <x v="1"/>
    <x v="0"/>
    <n v="5"/>
    <n v="28"/>
    <n v="9"/>
    <n v="148.30555555555557"/>
    <n v="41.52555555555557"/>
    <x v="0"/>
    <m/>
  </r>
  <r>
    <n v="2252"/>
    <n v="33"/>
    <x v="0"/>
    <x v="0"/>
    <x v="28"/>
    <n v="21.35"/>
    <x v="2"/>
    <x v="1"/>
    <n v="3.9"/>
    <n v="13"/>
    <n v="4"/>
    <n v="24.540229885057474"/>
    <n v="3.1902298850574731"/>
    <x v="5"/>
    <m/>
  </r>
  <r>
    <n v="2253"/>
    <n v="69"/>
    <x v="0"/>
    <x v="8"/>
    <x v="17"/>
    <n v="59.4"/>
    <x v="1"/>
    <x v="0"/>
    <n v="3.6"/>
    <n v="17"/>
    <n v="6"/>
    <n v="71.566265060240966"/>
    <n v="12.166265060240967"/>
    <x v="2"/>
    <m/>
  </r>
  <r>
    <n v="2254"/>
    <n v="60"/>
    <x v="1"/>
    <x v="2"/>
    <x v="12"/>
    <n v="196.16"/>
    <x v="0"/>
    <x v="0"/>
    <n v="1.9"/>
    <n v="4"/>
    <n v="2"/>
    <n v="204.33333333333334"/>
    <n v="8.1733333333333462"/>
    <x v="0"/>
    <m/>
  </r>
  <r>
    <n v="2255"/>
    <n v="34"/>
    <x v="0"/>
    <x v="3"/>
    <x v="24"/>
    <n v="228.6"/>
    <x v="3"/>
    <x v="0"/>
    <n v="3.6"/>
    <n v="22"/>
    <n v="6"/>
    <n v="293.07692307692304"/>
    <n v="64.476923076923043"/>
    <x v="5"/>
    <m/>
  </r>
  <r>
    <n v="2256"/>
    <n v="62"/>
    <x v="0"/>
    <x v="6"/>
    <x v="23"/>
    <n v="146.15"/>
    <x v="0"/>
    <x v="0"/>
    <n v="2.4"/>
    <n v="14"/>
    <n v="7"/>
    <n v="169.94186046511629"/>
    <n v="23.791860465116287"/>
    <x v="0"/>
    <m/>
  </r>
  <r>
    <n v="2257"/>
    <n v="44"/>
    <x v="0"/>
    <x v="6"/>
    <x v="6"/>
    <n v="118.63"/>
    <x v="1"/>
    <x v="0"/>
    <n v="3.1"/>
    <n v="8"/>
    <n v="4"/>
    <n v="128.94565217391303"/>
    <n v="10.315652173913037"/>
    <x v="1"/>
    <m/>
  </r>
  <r>
    <n v="2258"/>
    <n v="21"/>
    <x v="1"/>
    <x v="5"/>
    <x v="5"/>
    <n v="1725.52"/>
    <x v="1"/>
    <x v="0"/>
    <n v="4.3"/>
    <n v="10"/>
    <n v="5"/>
    <n v="1917.2444444444443"/>
    <n v="191.72444444444432"/>
    <x v="3"/>
    <m/>
  </r>
  <r>
    <n v="2259"/>
    <n v="42"/>
    <x v="1"/>
    <x v="7"/>
    <x v="11"/>
    <n v="217.85"/>
    <x v="0"/>
    <x v="0"/>
    <n v="4"/>
    <n v="26"/>
    <n v="8"/>
    <n v="294.39189189189187"/>
    <n v="76.541891891891879"/>
    <x v="1"/>
    <m/>
  </r>
  <r>
    <n v="2260"/>
    <n v="39"/>
    <x v="1"/>
    <x v="7"/>
    <x v="8"/>
    <n v="106.65"/>
    <x v="2"/>
    <x v="0"/>
    <n v="4.4000000000000004"/>
    <n v="16"/>
    <n v="3"/>
    <n v="126.96428571428572"/>
    <n v="20.314285714285717"/>
    <x v="1"/>
    <m/>
  </r>
  <r>
    <n v="2261"/>
    <n v="44"/>
    <x v="0"/>
    <x v="2"/>
    <x v="12"/>
    <n v="108.39"/>
    <x v="2"/>
    <x v="0"/>
    <n v="3.3"/>
    <n v="23"/>
    <n v="9"/>
    <n v="140.76623376623377"/>
    <n v="32.376233766233767"/>
    <x v="1"/>
    <m/>
  </r>
  <r>
    <n v="2262"/>
    <n v="20"/>
    <x v="1"/>
    <x v="1"/>
    <x v="9"/>
    <n v="167.57"/>
    <x v="2"/>
    <x v="0"/>
    <n v="3.5"/>
    <n v="11"/>
    <n v="3"/>
    <n v="188.28089887640448"/>
    <n v="20.710898876404485"/>
    <x v="3"/>
    <m/>
  </r>
  <r>
    <n v="2263"/>
    <n v="57"/>
    <x v="0"/>
    <x v="6"/>
    <x v="27"/>
    <n v="102.35"/>
    <x v="0"/>
    <x v="0"/>
    <n v="4"/>
    <n v="10"/>
    <n v="5"/>
    <n v="113.72222222222221"/>
    <n v="11.37222222222222"/>
    <x v="0"/>
    <m/>
  </r>
  <r>
    <n v="2264"/>
    <n v="44"/>
    <x v="1"/>
    <x v="1"/>
    <x v="20"/>
    <n v="121.98"/>
    <x v="2"/>
    <x v="0"/>
    <n v="2.2000000000000002"/>
    <n v="9"/>
    <n v="2"/>
    <n v="134.04395604395603"/>
    <n v="12.063956043956026"/>
    <x v="1"/>
    <m/>
  </r>
  <r>
    <n v="2265"/>
    <n v="35"/>
    <x v="1"/>
    <x v="7"/>
    <x v="8"/>
    <n v="248.74"/>
    <x v="1"/>
    <x v="0"/>
    <n v="2.5"/>
    <n v="14"/>
    <n v="2"/>
    <n v="289.23255813953489"/>
    <n v="40.492558139534879"/>
    <x v="1"/>
    <m/>
  </r>
  <r>
    <n v="2266"/>
    <n v="43"/>
    <x v="0"/>
    <x v="6"/>
    <x v="6"/>
    <n v="73.459999999999994"/>
    <x v="2"/>
    <x v="1"/>
    <n v="3.6"/>
    <n v="20"/>
    <n v="5"/>
    <n v="91.824999999999989"/>
    <n v="18.364999999999995"/>
    <x v="1"/>
    <m/>
  </r>
  <r>
    <n v="2267"/>
    <n v="29"/>
    <x v="1"/>
    <x v="5"/>
    <x v="21"/>
    <n v="1145.69"/>
    <x v="2"/>
    <x v="0"/>
    <n v="3.3"/>
    <n v="18"/>
    <n v="4"/>
    <n v="1397.1829268292684"/>
    <n v="251.4929268292683"/>
    <x v="5"/>
    <m/>
  </r>
  <r>
    <n v="2268"/>
    <n v="21"/>
    <x v="0"/>
    <x v="4"/>
    <x v="26"/>
    <n v="52.42"/>
    <x v="3"/>
    <x v="0"/>
    <n v="3.7"/>
    <n v="6"/>
    <n v="3"/>
    <n v="55.765957446808514"/>
    <n v="3.3459574468085123"/>
    <x v="3"/>
    <m/>
  </r>
  <r>
    <n v="2269"/>
    <n v="50"/>
    <x v="1"/>
    <x v="1"/>
    <x v="1"/>
    <n v="173.36"/>
    <x v="2"/>
    <x v="0"/>
    <n v="3.5"/>
    <n v="4"/>
    <n v="2"/>
    <n v="180.58333333333334"/>
    <n v="7.2233333333333292"/>
    <x v="4"/>
    <m/>
  </r>
  <r>
    <n v="2270"/>
    <n v="51"/>
    <x v="1"/>
    <x v="5"/>
    <x v="7"/>
    <n v="1611.83"/>
    <x v="1"/>
    <x v="0"/>
    <n v="2.6"/>
    <n v="24"/>
    <n v="7"/>
    <n v="2120.8289473684208"/>
    <n v="508.99894736842089"/>
    <x v="4"/>
    <m/>
  </r>
  <r>
    <n v="2271"/>
    <n v="49"/>
    <x v="0"/>
    <x v="8"/>
    <x v="18"/>
    <n v="189.27"/>
    <x v="3"/>
    <x v="0"/>
    <n v="4.0999999999999996"/>
    <n v="12"/>
    <n v="1"/>
    <n v="215.07954545454547"/>
    <n v="25.809545454545457"/>
    <x v="4"/>
    <m/>
  </r>
  <r>
    <n v="2272"/>
    <n v="38"/>
    <x v="0"/>
    <x v="4"/>
    <x v="26"/>
    <n v="36.090000000000003"/>
    <x v="1"/>
    <x v="1"/>
    <n v="3.3"/>
    <n v="7"/>
    <n v="1"/>
    <n v="38.806451612903231"/>
    <n v="2.7164516129032279"/>
    <x v="1"/>
    <m/>
  </r>
  <r>
    <n v="2273"/>
    <n v="33"/>
    <x v="0"/>
    <x v="0"/>
    <x v="28"/>
    <n v="107.15"/>
    <x v="1"/>
    <x v="0"/>
    <n v="4.5"/>
    <n v="17"/>
    <n v="6"/>
    <n v="129.09638554216869"/>
    <n v="21.946385542168684"/>
    <x v="5"/>
    <m/>
  </r>
  <r>
    <n v="2274"/>
    <n v="59"/>
    <x v="0"/>
    <x v="0"/>
    <x v="22"/>
    <n v="23.3"/>
    <x v="1"/>
    <x v="0"/>
    <n v="3.7"/>
    <n v="12"/>
    <n v="6"/>
    <n v="26.477272727272727"/>
    <n v="3.1772727272727259"/>
    <x v="0"/>
    <m/>
  </r>
  <r>
    <n v="2275"/>
    <n v="51"/>
    <x v="0"/>
    <x v="4"/>
    <x v="29"/>
    <n v="37.909999999999997"/>
    <x v="0"/>
    <x v="1"/>
    <n v="4.2"/>
    <n v="20"/>
    <n v="5"/>
    <n v="47.387499999999996"/>
    <n v="9.4774999999999991"/>
    <x v="4"/>
    <m/>
  </r>
  <r>
    <n v="2276"/>
    <n v="21"/>
    <x v="0"/>
    <x v="4"/>
    <x v="29"/>
    <n v="14.56"/>
    <x v="0"/>
    <x v="1"/>
    <n v="4.2"/>
    <n v="11"/>
    <n v="3"/>
    <n v="16.359550561797754"/>
    <n v="1.7995505617977532"/>
    <x v="3"/>
    <m/>
  </r>
  <r>
    <n v="2277"/>
    <n v="25"/>
    <x v="0"/>
    <x v="6"/>
    <x v="23"/>
    <n v="95.41"/>
    <x v="0"/>
    <x v="1"/>
    <n v="2.7"/>
    <n v="18"/>
    <n v="4"/>
    <n v="116.35365853658536"/>
    <n v="20.94365853658536"/>
    <x v="5"/>
    <m/>
  </r>
  <r>
    <n v="2278"/>
    <n v="35"/>
    <x v="1"/>
    <x v="5"/>
    <x v="7"/>
    <n v="549.72"/>
    <x v="0"/>
    <x v="0"/>
    <n v="2.4"/>
    <n v="18"/>
    <n v="4"/>
    <n v="670.39024390243901"/>
    <n v="120.67024390243898"/>
    <x v="1"/>
    <m/>
  </r>
  <r>
    <n v="2279"/>
    <n v="21"/>
    <x v="1"/>
    <x v="5"/>
    <x v="5"/>
    <n v="2756.53"/>
    <x v="2"/>
    <x v="0"/>
    <n v="3.4"/>
    <n v="4"/>
    <n v="2"/>
    <n v="2871.385416666667"/>
    <n v="114.85541666666677"/>
    <x v="3"/>
    <m/>
  </r>
  <r>
    <n v="2280"/>
    <n v="44"/>
    <x v="0"/>
    <x v="7"/>
    <x v="11"/>
    <n v="189.21"/>
    <x v="3"/>
    <x v="0"/>
    <n v="5"/>
    <n v="12"/>
    <n v="6"/>
    <n v="215.01136363636365"/>
    <n v="25.801363636363646"/>
    <x v="1"/>
    <m/>
  </r>
  <r>
    <n v="2281"/>
    <n v="47"/>
    <x v="0"/>
    <x v="8"/>
    <x v="17"/>
    <n v="110.42"/>
    <x v="0"/>
    <x v="0"/>
    <n v="3.7"/>
    <n v="15"/>
    <n v="5"/>
    <n v="129.90588235294118"/>
    <n v="19.485882352941175"/>
    <x v="4"/>
    <m/>
  </r>
  <r>
    <n v="2282"/>
    <n v="24"/>
    <x v="1"/>
    <x v="5"/>
    <x v="5"/>
    <n v="1152.0999999999999"/>
    <x v="3"/>
    <x v="0"/>
    <n v="3.8"/>
    <n v="17"/>
    <n v="6"/>
    <n v="1388.0722891566265"/>
    <n v="235.97228915662663"/>
    <x v="3"/>
    <m/>
  </r>
  <r>
    <n v="2283"/>
    <n v="56"/>
    <x v="1"/>
    <x v="2"/>
    <x v="12"/>
    <n v="114.65"/>
    <x v="1"/>
    <x v="0"/>
    <n v="4"/>
    <n v="20"/>
    <n v="5"/>
    <n v="143.3125"/>
    <n v="28.662499999999994"/>
    <x v="0"/>
    <m/>
  </r>
  <r>
    <n v="2284"/>
    <n v="42"/>
    <x v="0"/>
    <x v="2"/>
    <x v="10"/>
    <n v="41.07"/>
    <x v="1"/>
    <x v="1"/>
    <n v="4.0999999999999996"/>
    <n v="12"/>
    <n v="6"/>
    <n v="46.670454545454547"/>
    <n v="5.6004545454545465"/>
    <x v="1"/>
    <m/>
  </r>
  <r>
    <n v="2285"/>
    <n v="61"/>
    <x v="1"/>
    <x v="1"/>
    <x v="1"/>
    <n v="74.099999999999994"/>
    <x v="0"/>
    <x v="0"/>
    <n v="3.9"/>
    <n v="19"/>
    <n v="7"/>
    <n v="91.481481481481467"/>
    <n v="17.381481481481472"/>
    <x v="0"/>
    <m/>
  </r>
  <r>
    <n v="2286"/>
    <n v="53"/>
    <x v="0"/>
    <x v="3"/>
    <x v="24"/>
    <n v="168.46"/>
    <x v="0"/>
    <x v="0"/>
    <n v="3"/>
    <n v="21"/>
    <n v="8"/>
    <n v="213.24050632911391"/>
    <n v="44.780506329113905"/>
    <x v="4"/>
    <m/>
  </r>
  <r>
    <n v="2287"/>
    <n v="39"/>
    <x v="1"/>
    <x v="5"/>
    <x v="25"/>
    <n v="1717.63"/>
    <x v="0"/>
    <x v="0"/>
    <n v="4.3"/>
    <n v="18"/>
    <n v="4"/>
    <n v="2094.6707317073169"/>
    <n v="377.04073170731681"/>
    <x v="1"/>
    <m/>
  </r>
  <r>
    <n v="2288"/>
    <n v="58"/>
    <x v="0"/>
    <x v="0"/>
    <x v="28"/>
    <n v="74.28"/>
    <x v="2"/>
    <x v="1"/>
    <n v="5"/>
    <n v="18"/>
    <n v="4"/>
    <n v="90.58536585365853"/>
    <n v="16.305365853658529"/>
    <x v="0"/>
    <m/>
  </r>
  <r>
    <n v="2289"/>
    <n v="70"/>
    <x v="0"/>
    <x v="4"/>
    <x v="29"/>
    <n v="52.34"/>
    <x v="2"/>
    <x v="0"/>
    <n v="3.8"/>
    <n v="18"/>
    <n v="4"/>
    <n v="63.829268292682926"/>
    <n v="11.489268292682922"/>
    <x v="2"/>
    <m/>
  </r>
  <r>
    <n v="2290"/>
    <n v="62"/>
    <x v="1"/>
    <x v="1"/>
    <x v="1"/>
    <n v="174.7"/>
    <x v="2"/>
    <x v="0"/>
    <n v="4.2"/>
    <n v="10"/>
    <n v="5"/>
    <n v="194.11111111111109"/>
    <n v="19.411111111111097"/>
    <x v="0"/>
    <m/>
  </r>
  <r>
    <n v="2291"/>
    <n v="45"/>
    <x v="1"/>
    <x v="2"/>
    <x v="2"/>
    <n v="169.77"/>
    <x v="0"/>
    <x v="0"/>
    <n v="4.5999999999999996"/>
    <n v="14"/>
    <n v="7"/>
    <n v="197.40697674418607"/>
    <n v="27.636976744186057"/>
    <x v="4"/>
    <m/>
  </r>
  <r>
    <n v="2292"/>
    <n v="60"/>
    <x v="1"/>
    <x v="7"/>
    <x v="11"/>
    <n v="70.959999999999994"/>
    <x v="1"/>
    <x v="0"/>
    <n v="3.6"/>
    <n v="20"/>
    <n v="5"/>
    <n v="88.699999999999989"/>
    <n v="17.739999999999995"/>
    <x v="0"/>
    <m/>
  </r>
  <r>
    <n v="2293"/>
    <n v="68"/>
    <x v="1"/>
    <x v="2"/>
    <x v="2"/>
    <n v="177.66"/>
    <x v="3"/>
    <x v="0"/>
    <n v="4.7"/>
    <n v="22"/>
    <n v="6"/>
    <n v="227.76923076923075"/>
    <n v="50.109230769230749"/>
    <x v="2"/>
    <m/>
  </r>
  <r>
    <n v="2294"/>
    <n v="58"/>
    <x v="0"/>
    <x v="0"/>
    <x v="0"/>
    <n v="114.19"/>
    <x v="1"/>
    <x v="0"/>
    <n v="1.8"/>
    <n v="10"/>
    <n v="5"/>
    <n v="126.87777777777777"/>
    <n v="12.687777777777768"/>
    <x v="0"/>
    <m/>
  </r>
  <r>
    <n v="2295"/>
    <n v="66"/>
    <x v="1"/>
    <x v="2"/>
    <x v="10"/>
    <n v="242.46"/>
    <x v="1"/>
    <x v="0"/>
    <n v="3.9"/>
    <n v="12"/>
    <n v="6"/>
    <n v="275.52272727272725"/>
    <n v="33.062727272727244"/>
    <x v="2"/>
    <m/>
  </r>
  <r>
    <n v="2296"/>
    <n v="51"/>
    <x v="0"/>
    <x v="0"/>
    <x v="28"/>
    <n v="140.91999999999999"/>
    <x v="1"/>
    <x v="0"/>
    <n v="2.7"/>
    <n v="28"/>
    <n v="9"/>
    <n v="195.7222222222222"/>
    <n v="54.802222222222213"/>
    <x v="4"/>
    <m/>
  </r>
  <r>
    <n v="2297"/>
    <n v="55"/>
    <x v="0"/>
    <x v="7"/>
    <x v="13"/>
    <n v="81.99"/>
    <x v="3"/>
    <x v="1"/>
    <n v="4.7"/>
    <n v="18"/>
    <n v="9"/>
    <n v="99.987804878048763"/>
    <n v="17.997804878048768"/>
    <x v="0"/>
    <m/>
  </r>
  <r>
    <n v="2298"/>
    <n v="50"/>
    <x v="1"/>
    <x v="7"/>
    <x v="11"/>
    <n v="72.37"/>
    <x v="0"/>
    <x v="0"/>
    <n v="4.2"/>
    <n v="12"/>
    <n v="6"/>
    <n v="82.238636363636374"/>
    <n v="9.8686363636363694"/>
    <x v="4"/>
    <m/>
  </r>
  <r>
    <n v="2299"/>
    <n v="36"/>
    <x v="0"/>
    <x v="7"/>
    <x v="11"/>
    <n v="174.35"/>
    <x v="0"/>
    <x v="0"/>
    <n v="4.2"/>
    <n v="16"/>
    <n v="3"/>
    <n v="207.55952380952382"/>
    <n v="33.20952380952383"/>
    <x v="1"/>
    <m/>
  </r>
  <r>
    <n v="2300"/>
    <n v="31"/>
    <x v="1"/>
    <x v="1"/>
    <x v="14"/>
    <n v="78.33"/>
    <x v="3"/>
    <x v="1"/>
    <n v="3.5"/>
    <n v="18"/>
    <n v="9"/>
    <n v="95.524390243902431"/>
    <n v="17.194390243902433"/>
    <x v="5"/>
    <m/>
  </r>
  <r>
    <n v="2301"/>
    <n v="44"/>
    <x v="0"/>
    <x v="6"/>
    <x v="6"/>
    <n v="39.78"/>
    <x v="3"/>
    <x v="1"/>
    <n v="3.2"/>
    <n v="14"/>
    <n v="2"/>
    <n v="46.255813953488371"/>
    <n v="6.4758139534883696"/>
    <x v="1"/>
    <m/>
  </r>
  <r>
    <n v="2302"/>
    <n v="48"/>
    <x v="1"/>
    <x v="1"/>
    <x v="1"/>
    <n v="185.38"/>
    <x v="2"/>
    <x v="0"/>
    <n v="4"/>
    <n v="21"/>
    <n v="8"/>
    <n v="234.65822784810126"/>
    <n v="49.278227848101267"/>
    <x v="4"/>
    <m/>
  </r>
  <r>
    <n v="2303"/>
    <n v="56"/>
    <x v="1"/>
    <x v="5"/>
    <x v="21"/>
    <n v="1705.8"/>
    <x v="2"/>
    <x v="0"/>
    <n v="4.4000000000000004"/>
    <n v="12"/>
    <n v="6"/>
    <n v="1938.4090909090908"/>
    <n v="232.60909090909081"/>
    <x v="0"/>
    <m/>
  </r>
  <r>
    <n v="2304"/>
    <n v="64"/>
    <x v="0"/>
    <x v="3"/>
    <x v="3"/>
    <n v="169.94"/>
    <x v="2"/>
    <x v="0"/>
    <n v="4.5"/>
    <n v="11"/>
    <n v="3"/>
    <n v="190.9438202247191"/>
    <n v="21.003820224719107"/>
    <x v="0"/>
    <m/>
  </r>
  <r>
    <n v="2305"/>
    <n v="61"/>
    <x v="0"/>
    <x v="7"/>
    <x v="8"/>
    <n v="50"/>
    <x v="3"/>
    <x v="1"/>
    <n v="3.8"/>
    <n v="15"/>
    <n v="5"/>
    <n v="58.82352941176471"/>
    <n v="8.8235294117647101"/>
    <x v="0"/>
    <m/>
  </r>
  <r>
    <n v="2306"/>
    <n v="27"/>
    <x v="0"/>
    <x v="8"/>
    <x v="14"/>
    <n v="60.07"/>
    <x v="0"/>
    <x v="1"/>
    <n v="4.2"/>
    <n v="13"/>
    <n v="4"/>
    <n v="69.045977011494259"/>
    <n v="8.9759770114942583"/>
    <x v="5"/>
    <m/>
  </r>
  <r>
    <n v="2307"/>
    <n v="27"/>
    <x v="0"/>
    <x v="0"/>
    <x v="22"/>
    <n v="20.49"/>
    <x v="1"/>
    <x v="0"/>
    <n v="4.7"/>
    <n v="19"/>
    <n v="7"/>
    <n v="25.296296296296294"/>
    <n v="4.8062962962962956"/>
    <x v="5"/>
    <m/>
  </r>
  <r>
    <n v="2308"/>
    <n v="50"/>
    <x v="0"/>
    <x v="0"/>
    <x v="28"/>
    <n v="140.16"/>
    <x v="3"/>
    <x v="0"/>
    <n v="4.5"/>
    <n v="9"/>
    <n v="2"/>
    <n v="154.02197802197801"/>
    <n v="13.861978021978018"/>
    <x v="4"/>
    <m/>
  </r>
  <r>
    <n v="2309"/>
    <n v="21"/>
    <x v="0"/>
    <x v="6"/>
    <x v="23"/>
    <n v="108.17"/>
    <x v="0"/>
    <x v="0"/>
    <n v="4.5"/>
    <n v="12"/>
    <n v="6"/>
    <n v="122.92045454545455"/>
    <n v="14.750454545454545"/>
    <x v="3"/>
    <m/>
  </r>
  <r>
    <n v="2310"/>
    <n v="65"/>
    <x v="1"/>
    <x v="2"/>
    <x v="2"/>
    <n v="153.65"/>
    <x v="0"/>
    <x v="0"/>
    <n v="2.9"/>
    <n v="23"/>
    <n v="9"/>
    <n v="199.54545454545456"/>
    <n v="45.895454545454555"/>
    <x v="2"/>
    <m/>
  </r>
  <r>
    <n v="2311"/>
    <n v="68"/>
    <x v="1"/>
    <x v="7"/>
    <x v="13"/>
    <n v="224.62"/>
    <x v="3"/>
    <x v="0"/>
    <n v="3.9"/>
    <n v="4"/>
    <n v="2"/>
    <n v="233.97916666666669"/>
    <n v="9.3591666666666811"/>
    <x v="2"/>
    <m/>
  </r>
  <r>
    <n v="2312"/>
    <n v="45"/>
    <x v="1"/>
    <x v="2"/>
    <x v="2"/>
    <n v="111.02"/>
    <x v="2"/>
    <x v="0"/>
    <n v="3.4"/>
    <n v="10"/>
    <n v="5"/>
    <n v="123.35555555555555"/>
    <n v="12.335555555555558"/>
    <x v="4"/>
    <m/>
  </r>
  <r>
    <n v="2313"/>
    <n v="34"/>
    <x v="1"/>
    <x v="1"/>
    <x v="9"/>
    <n v="149.08000000000001"/>
    <x v="3"/>
    <x v="0"/>
    <n v="3.8"/>
    <n v="20"/>
    <n v="5"/>
    <n v="186.35"/>
    <n v="37.269999999999982"/>
    <x v="5"/>
    <m/>
  </r>
  <r>
    <n v="2314"/>
    <n v="25"/>
    <x v="1"/>
    <x v="4"/>
    <x v="4"/>
    <n v="13.2"/>
    <x v="0"/>
    <x v="0"/>
    <n v="3.9"/>
    <n v="26"/>
    <n v="8"/>
    <n v="17.837837837837839"/>
    <n v="4.6378378378378393"/>
    <x v="5"/>
    <m/>
  </r>
  <r>
    <n v="2315"/>
    <n v="37"/>
    <x v="1"/>
    <x v="3"/>
    <x v="15"/>
    <n v="64.239999999999995"/>
    <x v="3"/>
    <x v="0"/>
    <n v="3.6"/>
    <n v="4"/>
    <n v="2"/>
    <n v="66.916666666666657"/>
    <n v="2.6766666666666623"/>
    <x v="1"/>
    <m/>
  </r>
  <r>
    <n v="2316"/>
    <n v="41"/>
    <x v="1"/>
    <x v="2"/>
    <x v="10"/>
    <n v="124.84"/>
    <x v="0"/>
    <x v="0"/>
    <n v="3.9"/>
    <n v="22"/>
    <n v="6"/>
    <n v="160.05128205128204"/>
    <n v="35.211282051282041"/>
    <x v="1"/>
    <m/>
  </r>
  <r>
    <n v="2317"/>
    <n v="68"/>
    <x v="1"/>
    <x v="7"/>
    <x v="11"/>
    <n v="102.27"/>
    <x v="3"/>
    <x v="0"/>
    <n v="3.9"/>
    <n v="12"/>
    <n v="6"/>
    <n v="116.21590909090908"/>
    <n v="13.945909090909083"/>
    <x v="2"/>
    <m/>
  </r>
  <r>
    <n v="2318"/>
    <n v="46"/>
    <x v="0"/>
    <x v="3"/>
    <x v="3"/>
    <n v="186.17"/>
    <x v="1"/>
    <x v="0"/>
    <n v="3.7"/>
    <n v="22"/>
    <n v="6"/>
    <n v="238.67948717948715"/>
    <n v="52.509487179487166"/>
    <x v="4"/>
    <m/>
  </r>
  <r>
    <n v="2319"/>
    <n v="39"/>
    <x v="0"/>
    <x v="8"/>
    <x v="17"/>
    <n v="143.51"/>
    <x v="3"/>
    <x v="0"/>
    <n v="3.7"/>
    <n v="22"/>
    <n v="6"/>
    <n v="183.98717948717947"/>
    <n v="40.477179487179484"/>
    <x v="1"/>
    <m/>
  </r>
  <r>
    <n v="2320"/>
    <n v="53"/>
    <x v="1"/>
    <x v="7"/>
    <x v="13"/>
    <n v="97.72"/>
    <x v="0"/>
    <x v="0"/>
    <n v="3.3"/>
    <n v="24"/>
    <n v="7"/>
    <n v="128.57894736842104"/>
    <n v="30.858947368421042"/>
    <x v="4"/>
    <m/>
  </r>
  <r>
    <n v="2321"/>
    <n v="47"/>
    <x v="0"/>
    <x v="2"/>
    <x v="2"/>
    <n v="212.99"/>
    <x v="0"/>
    <x v="0"/>
    <n v="4.0999999999999996"/>
    <n v="15"/>
    <n v="5"/>
    <n v="250.57647058823531"/>
    <n v="37.586470588235301"/>
    <x v="4"/>
    <m/>
  </r>
  <r>
    <n v="2322"/>
    <n v="70"/>
    <x v="0"/>
    <x v="0"/>
    <x v="22"/>
    <n v="149.53"/>
    <x v="3"/>
    <x v="0"/>
    <n v="3.8"/>
    <n v="8"/>
    <n v="4"/>
    <n v="162.53260869565216"/>
    <n v="13.002608695652157"/>
    <x v="2"/>
    <m/>
  </r>
  <r>
    <n v="2323"/>
    <n v="27"/>
    <x v="1"/>
    <x v="7"/>
    <x v="13"/>
    <n v="104.13"/>
    <x v="2"/>
    <x v="0"/>
    <n v="3"/>
    <n v="19"/>
    <n v="7"/>
    <n v="128.55555555555554"/>
    <n v="24.425555555555547"/>
    <x v="5"/>
    <m/>
  </r>
  <r>
    <n v="2324"/>
    <n v="66"/>
    <x v="1"/>
    <x v="7"/>
    <x v="13"/>
    <n v="86.86"/>
    <x v="1"/>
    <x v="1"/>
    <n v="2.6"/>
    <n v="12"/>
    <n v="6"/>
    <n v="98.704545454545453"/>
    <n v="11.844545454545454"/>
    <x v="2"/>
    <m/>
  </r>
  <r>
    <n v="2325"/>
    <n v="50"/>
    <x v="1"/>
    <x v="7"/>
    <x v="13"/>
    <n v="155.91999999999999"/>
    <x v="2"/>
    <x v="0"/>
    <n v="2.6"/>
    <n v="6"/>
    <n v="3"/>
    <n v="165.87234042553192"/>
    <n v="9.9523404255319292"/>
    <x v="4"/>
    <m/>
  </r>
  <r>
    <n v="2326"/>
    <n v="46"/>
    <x v="0"/>
    <x v="6"/>
    <x v="27"/>
    <n v="42.37"/>
    <x v="3"/>
    <x v="0"/>
    <n v="3.3"/>
    <n v="11"/>
    <n v="3"/>
    <n v="47.606741573033702"/>
    <n v="5.2367415730337044"/>
    <x v="4"/>
    <m/>
  </r>
  <r>
    <n v="2327"/>
    <n v="34"/>
    <x v="1"/>
    <x v="1"/>
    <x v="9"/>
    <n v="55.77"/>
    <x v="0"/>
    <x v="0"/>
    <n v="2.4"/>
    <n v="10"/>
    <n v="5"/>
    <n v="61.966666666666669"/>
    <n v="6.1966666666666654"/>
    <x v="5"/>
    <m/>
  </r>
  <r>
    <n v="2328"/>
    <n v="35"/>
    <x v="0"/>
    <x v="7"/>
    <x v="11"/>
    <n v="202.39"/>
    <x v="2"/>
    <x v="0"/>
    <n v="2.5"/>
    <n v="11"/>
    <n v="3"/>
    <n v="227.40449438202245"/>
    <n v="25.014494382022463"/>
    <x v="1"/>
    <m/>
  </r>
  <r>
    <n v="2329"/>
    <n v="30"/>
    <x v="0"/>
    <x v="6"/>
    <x v="23"/>
    <n v="146.26"/>
    <x v="2"/>
    <x v="0"/>
    <n v="3.9"/>
    <n v="7"/>
    <n v="1"/>
    <n v="157.26881720430109"/>
    <n v="11.008817204301096"/>
    <x v="5"/>
    <m/>
  </r>
  <r>
    <n v="2330"/>
    <n v="64"/>
    <x v="1"/>
    <x v="5"/>
    <x v="25"/>
    <n v="1531.63"/>
    <x v="1"/>
    <x v="0"/>
    <n v="4.0999999999999996"/>
    <n v="28"/>
    <n v="9"/>
    <n v="2127.2638888888891"/>
    <n v="595.63388888888903"/>
    <x v="0"/>
    <m/>
  </r>
  <r>
    <n v="2331"/>
    <n v="42"/>
    <x v="1"/>
    <x v="7"/>
    <x v="11"/>
    <n v="53.4"/>
    <x v="3"/>
    <x v="1"/>
    <n v="4.4000000000000004"/>
    <n v="16"/>
    <n v="3"/>
    <n v="63.571428571428569"/>
    <n v="10.171428571428571"/>
    <x v="1"/>
    <m/>
  </r>
  <r>
    <n v="2332"/>
    <n v="70"/>
    <x v="1"/>
    <x v="3"/>
    <x v="3"/>
    <n v="255.78"/>
    <x v="0"/>
    <x v="0"/>
    <n v="2.9"/>
    <n v="20"/>
    <n v="5"/>
    <n v="319.72499999999997"/>
    <n v="63.944999999999965"/>
    <x v="2"/>
    <m/>
  </r>
  <r>
    <n v="2333"/>
    <n v="48"/>
    <x v="0"/>
    <x v="8"/>
    <x v="16"/>
    <n v="171.19"/>
    <x v="2"/>
    <x v="0"/>
    <n v="3.8"/>
    <n v="14"/>
    <n v="7"/>
    <n v="199.05813953488371"/>
    <n v="27.86813953488371"/>
    <x v="4"/>
    <m/>
  </r>
  <r>
    <n v="2334"/>
    <n v="43"/>
    <x v="0"/>
    <x v="0"/>
    <x v="0"/>
    <n v="38.450000000000003"/>
    <x v="2"/>
    <x v="0"/>
    <n v="4.2"/>
    <n v="19"/>
    <n v="7"/>
    <n v="47.46913580246914"/>
    <n v="9.0191358024691368"/>
    <x v="1"/>
    <m/>
  </r>
  <r>
    <n v="2335"/>
    <n v="68"/>
    <x v="1"/>
    <x v="7"/>
    <x v="8"/>
    <n v="117.49"/>
    <x v="0"/>
    <x v="0"/>
    <n v="4.3"/>
    <n v="19"/>
    <n v="7"/>
    <n v="145.04938271604937"/>
    <n v="27.55938271604937"/>
    <x v="2"/>
    <m/>
  </r>
  <r>
    <n v="2336"/>
    <n v="64"/>
    <x v="1"/>
    <x v="4"/>
    <x v="26"/>
    <n v="8.3699999999999992"/>
    <x v="3"/>
    <x v="1"/>
    <n v="4.4000000000000004"/>
    <n v="22"/>
    <n v="11"/>
    <n v="10.73076923076923"/>
    <n v="2.3607692307692307"/>
    <x v="0"/>
    <m/>
  </r>
  <r>
    <n v="2337"/>
    <n v="45"/>
    <x v="1"/>
    <x v="1"/>
    <x v="1"/>
    <n v="157.65"/>
    <x v="2"/>
    <x v="0"/>
    <n v="2.7"/>
    <n v="15"/>
    <n v="5"/>
    <n v="185.47058823529412"/>
    <n v="27.82058823529411"/>
    <x v="4"/>
    <m/>
  </r>
  <r>
    <n v="2338"/>
    <n v="37"/>
    <x v="0"/>
    <x v="0"/>
    <x v="22"/>
    <n v="172.44"/>
    <x v="3"/>
    <x v="0"/>
    <n v="3.9"/>
    <n v="18"/>
    <n v="9"/>
    <n v="210.29268292682926"/>
    <n v="37.85268292682926"/>
    <x v="1"/>
    <m/>
  </r>
  <r>
    <n v="2339"/>
    <n v="55"/>
    <x v="0"/>
    <x v="0"/>
    <x v="28"/>
    <n v="109.99"/>
    <x v="3"/>
    <x v="0"/>
    <n v="3.8"/>
    <n v="6"/>
    <n v="3"/>
    <n v="117.01063829787235"/>
    <n v="7.0206382978723525"/>
    <x v="0"/>
    <m/>
  </r>
  <r>
    <n v="2340"/>
    <n v="26"/>
    <x v="1"/>
    <x v="7"/>
    <x v="11"/>
    <n v="123.73"/>
    <x v="1"/>
    <x v="0"/>
    <n v="3.3"/>
    <n v="23"/>
    <n v="9"/>
    <n v="160.6883116883117"/>
    <n v="36.958311688311696"/>
    <x v="5"/>
    <m/>
  </r>
  <r>
    <n v="2341"/>
    <n v="66"/>
    <x v="0"/>
    <x v="6"/>
    <x v="27"/>
    <n v="102.25"/>
    <x v="1"/>
    <x v="0"/>
    <n v="3.4"/>
    <n v="16"/>
    <n v="3"/>
    <n v="121.72619047619048"/>
    <n v="19.476190476190482"/>
    <x v="2"/>
    <m/>
  </r>
  <r>
    <n v="2342"/>
    <n v="49"/>
    <x v="0"/>
    <x v="8"/>
    <x v="18"/>
    <n v="46.77"/>
    <x v="3"/>
    <x v="1"/>
    <n v="4.4000000000000004"/>
    <n v="14"/>
    <n v="2"/>
    <n v="54.383720930232563"/>
    <n v="7.6137209302325601"/>
    <x v="4"/>
    <m/>
  </r>
  <r>
    <n v="2343"/>
    <n v="52"/>
    <x v="1"/>
    <x v="7"/>
    <x v="11"/>
    <n v="107.99"/>
    <x v="2"/>
    <x v="0"/>
    <n v="3.7"/>
    <n v="14"/>
    <n v="7"/>
    <n v="125.56976744186046"/>
    <n v="17.579767441860469"/>
    <x v="4"/>
    <m/>
  </r>
  <r>
    <n v="2344"/>
    <n v="57"/>
    <x v="0"/>
    <x v="2"/>
    <x v="10"/>
    <n v="133.57"/>
    <x v="0"/>
    <x v="0"/>
    <n v="3.8"/>
    <n v="24"/>
    <n v="7"/>
    <n v="175.75"/>
    <n v="42.180000000000007"/>
    <x v="0"/>
    <m/>
  </r>
  <r>
    <n v="2345"/>
    <n v="66"/>
    <x v="1"/>
    <x v="1"/>
    <x v="9"/>
    <n v="95.73"/>
    <x v="2"/>
    <x v="1"/>
    <n v="2.7"/>
    <n v="19"/>
    <n v="7"/>
    <n v="118.18518518518518"/>
    <n v="22.455185185185172"/>
    <x v="2"/>
    <m/>
  </r>
  <r>
    <n v="2346"/>
    <n v="55"/>
    <x v="1"/>
    <x v="7"/>
    <x v="11"/>
    <n v="97.58"/>
    <x v="1"/>
    <x v="0"/>
    <n v="3.5"/>
    <n v="16"/>
    <n v="3"/>
    <n v="116.16666666666667"/>
    <n v="18.586666666666673"/>
    <x v="0"/>
    <m/>
  </r>
  <r>
    <n v="2347"/>
    <n v="34"/>
    <x v="0"/>
    <x v="7"/>
    <x v="11"/>
    <n v="46.66"/>
    <x v="0"/>
    <x v="0"/>
    <n v="4.0999999999999996"/>
    <n v="15"/>
    <n v="5"/>
    <n v="54.89411764705882"/>
    <n v="8.2341176470588238"/>
    <x v="5"/>
    <m/>
  </r>
  <r>
    <n v="2348"/>
    <n v="57"/>
    <x v="0"/>
    <x v="8"/>
    <x v="16"/>
    <n v="120.4"/>
    <x v="1"/>
    <x v="0"/>
    <n v="3.5"/>
    <n v="18"/>
    <n v="4"/>
    <n v="146.82926829268291"/>
    <n v="26.429268292682906"/>
    <x v="0"/>
    <m/>
  </r>
  <r>
    <n v="2349"/>
    <n v="25"/>
    <x v="0"/>
    <x v="4"/>
    <x v="29"/>
    <n v="32.25"/>
    <x v="2"/>
    <x v="1"/>
    <n v="3.5"/>
    <n v="15"/>
    <n v="5"/>
    <n v="37.941176470588239"/>
    <n v="5.6911764705882391"/>
    <x v="5"/>
    <m/>
  </r>
  <r>
    <n v="2350"/>
    <n v="56"/>
    <x v="0"/>
    <x v="6"/>
    <x v="23"/>
    <n v="140.52000000000001"/>
    <x v="0"/>
    <x v="0"/>
    <n v="3.7"/>
    <n v="6"/>
    <n v="3"/>
    <n v="149.48936170212767"/>
    <n v="8.9693617021276566"/>
    <x v="0"/>
    <m/>
  </r>
  <r>
    <n v="2351"/>
    <n v="63"/>
    <x v="1"/>
    <x v="1"/>
    <x v="9"/>
    <n v="56.51"/>
    <x v="1"/>
    <x v="0"/>
    <n v="3.4"/>
    <n v="13"/>
    <n v="4"/>
    <n v="64.954022988505741"/>
    <n v="8.4440229885057434"/>
    <x v="0"/>
    <m/>
  </r>
  <r>
    <n v="2352"/>
    <n v="41"/>
    <x v="1"/>
    <x v="5"/>
    <x v="7"/>
    <n v="1053.68"/>
    <x v="3"/>
    <x v="0"/>
    <n v="3.5"/>
    <n v="6"/>
    <n v="3"/>
    <n v="1120.936170212766"/>
    <n v="67.256170212765937"/>
    <x v="1"/>
    <m/>
  </r>
  <r>
    <n v="2353"/>
    <n v="57"/>
    <x v="1"/>
    <x v="1"/>
    <x v="1"/>
    <n v="147.72999999999999"/>
    <x v="2"/>
    <x v="0"/>
    <n v="3.6"/>
    <n v="15"/>
    <n v="5"/>
    <n v="173.79999999999998"/>
    <n v="26.069999999999993"/>
    <x v="0"/>
    <m/>
  </r>
  <r>
    <n v="2354"/>
    <n v="29"/>
    <x v="0"/>
    <x v="3"/>
    <x v="3"/>
    <n v="58.79"/>
    <x v="0"/>
    <x v="1"/>
    <n v="2.4"/>
    <n v="18"/>
    <n v="9"/>
    <n v="71.695121951219505"/>
    <n v="12.905121951219506"/>
    <x v="5"/>
    <m/>
  </r>
  <r>
    <n v="2355"/>
    <n v="52"/>
    <x v="0"/>
    <x v="4"/>
    <x v="19"/>
    <n v="17.37"/>
    <x v="2"/>
    <x v="1"/>
    <n v="4.3"/>
    <n v="17"/>
    <n v="6"/>
    <n v="20.927710843373497"/>
    <n v="3.5577108433734956"/>
    <x v="4"/>
    <m/>
  </r>
  <r>
    <n v="2356"/>
    <n v="59"/>
    <x v="0"/>
    <x v="0"/>
    <x v="28"/>
    <n v="153.74"/>
    <x v="2"/>
    <x v="0"/>
    <n v="4"/>
    <n v="15"/>
    <n v="5"/>
    <n v="180.87058823529412"/>
    <n v="27.130588235294113"/>
    <x v="0"/>
    <m/>
  </r>
  <r>
    <n v="2357"/>
    <n v="70"/>
    <x v="1"/>
    <x v="4"/>
    <x v="26"/>
    <n v="22.29"/>
    <x v="2"/>
    <x v="1"/>
    <n v="4.2"/>
    <n v="12"/>
    <n v="6"/>
    <n v="25.329545454545453"/>
    <n v="3.0395454545454541"/>
    <x v="2"/>
    <m/>
  </r>
  <r>
    <n v="2358"/>
    <n v="50"/>
    <x v="0"/>
    <x v="6"/>
    <x v="23"/>
    <n v="29.51"/>
    <x v="1"/>
    <x v="1"/>
    <n v="4.2"/>
    <n v="34"/>
    <n v="12"/>
    <n v="44.712121212121218"/>
    <n v="15.202121212121217"/>
    <x v="4"/>
    <m/>
  </r>
  <r>
    <n v="2359"/>
    <n v="24"/>
    <x v="1"/>
    <x v="2"/>
    <x v="10"/>
    <n v="232.38"/>
    <x v="1"/>
    <x v="0"/>
    <n v="4.7"/>
    <n v="22"/>
    <n v="6"/>
    <n v="297.92307692307691"/>
    <n v="65.54307692307691"/>
    <x v="3"/>
    <m/>
  </r>
  <r>
    <n v="2360"/>
    <n v="45"/>
    <x v="0"/>
    <x v="2"/>
    <x v="10"/>
    <n v="107.39"/>
    <x v="1"/>
    <x v="0"/>
    <n v="4.0999999999999996"/>
    <n v="12"/>
    <n v="6"/>
    <n v="122.03409090909091"/>
    <n v="14.644090909090906"/>
    <x v="4"/>
    <m/>
  </r>
  <r>
    <n v="2361"/>
    <n v="59"/>
    <x v="0"/>
    <x v="0"/>
    <x v="0"/>
    <n v="97.16"/>
    <x v="2"/>
    <x v="1"/>
    <n v="2.9"/>
    <n v="17"/>
    <n v="6"/>
    <n v="117.06024096385542"/>
    <n v="19.900240963855424"/>
    <x v="0"/>
    <m/>
  </r>
  <r>
    <n v="2362"/>
    <n v="46"/>
    <x v="1"/>
    <x v="2"/>
    <x v="12"/>
    <n v="173.47"/>
    <x v="1"/>
    <x v="0"/>
    <n v="4"/>
    <n v="24"/>
    <n v="7"/>
    <n v="228.25"/>
    <n v="54.78"/>
    <x v="4"/>
    <m/>
  </r>
  <r>
    <n v="2363"/>
    <n v="42"/>
    <x v="0"/>
    <x v="7"/>
    <x v="8"/>
    <n v="119.21"/>
    <x v="3"/>
    <x v="0"/>
    <n v="2.7"/>
    <n v="6"/>
    <n v="3"/>
    <n v="126.81914893617021"/>
    <n v="7.6091489361702145"/>
    <x v="1"/>
    <m/>
  </r>
  <r>
    <n v="2364"/>
    <n v="56"/>
    <x v="1"/>
    <x v="2"/>
    <x v="10"/>
    <n v="39.86"/>
    <x v="2"/>
    <x v="0"/>
    <n v="2.9"/>
    <n v="4"/>
    <n v="2"/>
    <n v="41.520833333333336"/>
    <n v="1.6608333333333363"/>
    <x v="0"/>
    <m/>
  </r>
  <r>
    <n v="2365"/>
    <n v="22"/>
    <x v="1"/>
    <x v="5"/>
    <x v="7"/>
    <n v="504.91"/>
    <x v="3"/>
    <x v="0"/>
    <n v="3.8"/>
    <n v="15"/>
    <n v="5"/>
    <n v="594.01176470588234"/>
    <n v="89.101764705882317"/>
    <x v="3"/>
    <m/>
  </r>
  <r>
    <n v="2366"/>
    <n v="45"/>
    <x v="1"/>
    <x v="7"/>
    <x v="13"/>
    <n v="96.52"/>
    <x v="1"/>
    <x v="1"/>
    <n v="3.3"/>
    <n v="11"/>
    <n v="3"/>
    <n v="108.44943820224718"/>
    <n v="11.929438202247184"/>
    <x v="4"/>
    <m/>
  </r>
  <r>
    <n v="2367"/>
    <n v="34"/>
    <x v="1"/>
    <x v="7"/>
    <x v="8"/>
    <n v="109.16"/>
    <x v="1"/>
    <x v="0"/>
    <n v="3.7"/>
    <n v="13"/>
    <n v="4"/>
    <n v="125.47126436781609"/>
    <n v="16.311264367816094"/>
    <x v="5"/>
    <m/>
  </r>
  <r>
    <n v="2368"/>
    <n v="69"/>
    <x v="0"/>
    <x v="0"/>
    <x v="28"/>
    <n v="145.25"/>
    <x v="2"/>
    <x v="0"/>
    <n v="4.7"/>
    <n v="11"/>
    <n v="3"/>
    <n v="163.20224719101122"/>
    <n v="17.952247191011224"/>
    <x v="2"/>
    <m/>
  </r>
  <r>
    <n v="2369"/>
    <n v="57"/>
    <x v="0"/>
    <x v="8"/>
    <x v="17"/>
    <n v="193.36"/>
    <x v="3"/>
    <x v="0"/>
    <n v="3.8"/>
    <n v="20"/>
    <n v="5"/>
    <n v="241.70000000000002"/>
    <n v="48.34"/>
    <x v="0"/>
    <m/>
  </r>
  <r>
    <n v="2370"/>
    <n v="36"/>
    <x v="1"/>
    <x v="7"/>
    <x v="11"/>
    <n v="116.93"/>
    <x v="0"/>
    <x v="0"/>
    <n v="4.8"/>
    <n v="32"/>
    <n v="11"/>
    <n v="171.95588235294119"/>
    <n v="55.025882352941181"/>
    <x v="1"/>
    <m/>
  </r>
  <r>
    <n v="2371"/>
    <n v="53"/>
    <x v="0"/>
    <x v="0"/>
    <x v="22"/>
    <n v="152.31"/>
    <x v="2"/>
    <x v="0"/>
    <n v="4.7"/>
    <n v="18"/>
    <n v="4"/>
    <n v="185.74390243902437"/>
    <n v="33.433902439024365"/>
    <x v="4"/>
    <m/>
  </r>
  <r>
    <n v="2372"/>
    <n v="27"/>
    <x v="1"/>
    <x v="2"/>
    <x v="10"/>
    <n v="52.75"/>
    <x v="1"/>
    <x v="0"/>
    <n v="3.8"/>
    <n v="19"/>
    <n v="7"/>
    <n v="65.123456790123456"/>
    <n v="12.373456790123456"/>
    <x v="5"/>
    <m/>
  </r>
  <r>
    <n v="2373"/>
    <n v="49"/>
    <x v="0"/>
    <x v="6"/>
    <x v="27"/>
    <n v="141.08000000000001"/>
    <x v="3"/>
    <x v="0"/>
    <n v="4.5"/>
    <n v="23"/>
    <n v="9"/>
    <n v="183.22077922077924"/>
    <n v="42.140779220779223"/>
    <x v="4"/>
    <m/>
  </r>
  <r>
    <n v="2374"/>
    <n v="45"/>
    <x v="0"/>
    <x v="4"/>
    <x v="4"/>
    <n v="79"/>
    <x v="1"/>
    <x v="1"/>
    <n v="3.1"/>
    <n v="11"/>
    <n v="3"/>
    <n v="88.764044943820224"/>
    <n v="9.7640449438202239"/>
    <x v="4"/>
    <m/>
  </r>
  <r>
    <n v="2375"/>
    <n v="58"/>
    <x v="0"/>
    <x v="3"/>
    <x v="3"/>
    <n v="53.86"/>
    <x v="1"/>
    <x v="0"/>
    <n v="4"/>
    <n v="8"/>
    <n v="4"/>
    <n v="58.543478260869563"/>
    <n v="4.6834782608695633"/>
    <x v="0"/>
    <m/>
  </r>
  <r>
    <n v="2376"/>
    <n v="57"/>
    <x v="1"/>
    <x v="2"/>
    <x v="12"/>
    <n v="143.78"/>
    <x v="3"/>
    <x v="0"/>
    <n v="3.1"/>
    <n v="8"/>
    <n v="4"/>
    <n v="156.28260869565216"/>
    <n v="12.502608695652157"/>
    <x v="0"/>
    <m/>
  </r>
  <r>
    <n v="2377"/>
    <n v="50"/>
    <x v="0"/>
    <x v="7"/>
    <x v="11"/>
    <n v="225.05"/>
    <x v="3"/>
    <x v="0"/>
    <n v="3.8"/>
    <n v="11"/>
    <n v="3"/>
    <n v="252.86516853932585"/>
    <n v="27.815168539325839"/>
    <x v="4"/>
    <m/>
  </r>
  <r>
    <n v="2378"/>
    <n v="26"/>
    <x v="1"/>
    <x v="2"/>
    <x v="12"/>
    <n v="180.74"/>
    <x v="1"/>
    <x v="0"/>
    <n v="4.2"/>
    <n v="32"/>
    <n v="11"/>
    <n v="265.79411764705884"/>
    <n v="85.054117647058831"/>
    <x v="5"/>
    <m/>
  </r>
  <r>
    <n v="2379"/>
    <n v="31"/>
    <x v="1"/>
    <x v="2"/>
    <x v="2"/>
    <n v="197.61"/>
    <x v="0"/>
    <x v="0"/>
    <n v="3.5"/>
    <n v="12"/>
    <n v="6"/>
    <n v="224.55681818181819"/>
    <n v="26.946818181818173"/>
    <x v="5"/>
    <m/>
  </r>
  <r>
    <n v="2380"/>
    <n v="59"/>
    <x v="0"/>
    <x v="8"/>
    <x v="17"/>
    <n v="192.86"/>
    <x v="1"/>
    <x v="0"/>
    <n v="4.2"/>
    <n v="18"/>
    <n v="4"/>
    <n v="235.19512195121951"/>
    <n v="42.335121951219492"/>
    <x v="0"/>
    <m/>
  </r>
  <r>
    <n v="2381"/>
    <n v="36"/>
    <x v="0"/>
    <x v="8"/>
    <x v="18"/>
    <n v="71.03"/>
    <x v="3"/>
    <x v="0"/>
    <n v="4.8"/>
    <n v="22"/>
    <n v="6"/>
    <n v="91.064102564102569"/>
    <n v="20.034102564102568"/>
    <x v="1"/>
    <m/>
  </r>
  <r>
    <n v="2382"/>
    <n v="37"/>
    <x v="0"/>
    <x v="6"/>
    <x v="6"/>
    <n v="90.69"/>
    <x v="0"/>
    <x v="0"/>
    <n v="4.3"/>
    <n v="10"/>
    <n v="0"/>
    <n v="100.76666666666667"/>
    <n v="10.076666666666668"/>
    <x v="1"/>
    <m/>
  </r>
  <r>
    <n v="2383"/>
    <n v="60"/>
    <x v="0"/>
    <x v="6"/>
    <x v="27"/>
    <n v="75.290000000000006"/>
    <x v="1"/>
    <x v="0"/>
    <n v="5"/>
    <n v="20"/>
    <n v="5"/>
    <n v="94.112499999999997"/>
    <n v="18.822499999999991"/>
    <x v="0"/>
    <m/>
  </r>
  <r>
    <n v="2384"/>
    <n v="27"/>
    <x v="1"/>
    <x v="1"/>
    <x v="20"/>
    <n v="62.41"/>
    <x v="1"/>
    <x v="1"/>
    <n v="2.9"/>
    <n v="13"/>
    <n v="4"/>
    <n v="71.735632183908038"/>
    <n v="9.3256321839080414"/>
    <x v="5"/>
    <m/>
  </r>
  <r>
    <n v="2385"/>
    <n v="65"/>
    <x v="1"/>
    <x v="1"/>
    <x v="20"/>
    <n v="169.17"/>
    <x v="0"/>
    <x v="0"/>
    <n v="3.8"/>
    <n v="10"/>
    <n v="5"/>
    <n v="187.96666666666664"/>
    <n v="18.796666666666653"/>
    <x v="2"/>
    <m/>
  </r>
  <r>
    <n v="2386"/>
    <n v="39"/>
    <x v="1"/>
    <x v="5"/>
    <x v="5"/>
    <n v="2886.67"/>
    <x v="3"/>
    <x v="0"/>
    <n v="3.6"/>
    <n v="19"/>
    <n v="7"/>
    <n v="3563.7901234567898"/>
    <n v="677.12012345678977"/>
    <x v="1"/>
    <m/>
  </r>
  <r>
    <n v="2387"/>
    <n v="60"/>
    <x v="1"/>
    <x v="7"/>
    <x v="13"/>
    <n v="144.37"/>
    <x v="2"/>
    <x v="0"/>
    <n v="4.4000000000000004"/>
    <n v="18"/>
    <n v="4"/>
    <n v="176.0609756097561"/>
    <n v="31.690975609756094"/>
    <x v="0"/>
    <m/>
  </r>
  <r>
    <n v="2388"/>
    <n v="56"/>
    <x v="1"/>
    <x v="4"/>
    <x v="26"/>
    <n v="23.35"/>
    <x v="2"/>
    <x v="0"/>
    <n v="4.9000000000000004"/>
    <n v="17"/>
    <n v="6"/>
    <n v="28.132530120481931"/>
    <n v="4.7825301204819297"/>
    <x v="0"/>
    <m/>
  </r>
  <r>
    <n v="2389"/>
    <n v="32"/>
    <x v="1"/>
    <x v="1"/>
    <x v="14"/>
    <n v="191.09"/>
    <x v="3"/>
    <x v="0"/>
    <n v="4.2"/>
    <n v="14"/>
    <n v="7"/>
    <n v="222.19767441860466"/>
    <n v="31.10767441860466"/>
    <x v="5"/>
    <m/>
  </r>
  <r>
    <n v="2390"/>
    <n v="47"/>
    <x v="0"/>
    <x v="7"/>
    <x v="8"/>
    <n v="69.52"/>
    <x v="3"/>
    <x v="1"/>
    <n v="3.2"/>
    <n v="20"/>
    <n v="5"/>
    <n v="86.899999999999991"/>
    <n v="17.379999999999995"/>
    <x v="4"/>
    <m/>
  </r>
  <r>
    <n v="2391"/>
    <n v="55"/>
    <x v="1"/>
    <x v="1"/>
    <x v="14"/>
    <n v="119.06"/>
    <x v="0"/>
    <x v="0"/>
    <n v="3.6"/>
    <n v="8"/>
    <n v="4"/>
    <n v="129.41304347826087"/>
    <n v="10.353043478260872"/>
    <x v="0"/>
    <m/>
  </r>
  <r>
    <n v="2392"/>
    <n v="52"/>
    <x v="0"/>
    <x v="6"/>
    <x v="23"/>
    <n v="64.56"/>
    <x v="2"/>
    <x v="0"/>
    <n v="3.2"/>
    <n v="12"/>
    <n v="6"/>
    <n v="73.36363636363636"/>
    <n v="8.8036363636363575"/>
    <x v="4"/>
    <m/>
  </r>
  <r>
    <n v="2393"/>
    <n v="59"/>
    <x v="0"/>
    <x v="7"/>
    <x v="13"/>
    <n v="90.14"/>
    <x v="1"/>
    <x v="1"/>
    <n v="3.9"/>
    <n v="11"/>
    <n v="3"/>
    <n v="101.28089887640449"/>
    <n v="11.140898876404492"/>
    <x v="0"/>
    <m/>
  </r>
  <r>
    <n v="2394"/>
    <n v="32"/>
    <x v="1"/>
    <x v="5"/>
    <x v="25"/>
    <n v="1690.64"/>
    <x v="1"/>
    <x v="0"/>
    <n v="4.5999999999999996"/>
    <n v="18"/>
    <n v="4"/>
    <n v="2061.7560975609754"/>
    <n v="371.11609756097528"/>
    <x v="5"/>
    <m/>
  </r>
  <r>
    <n v="2395"/>
    <n v="60"/>
    <x v="0"/>
    <x v="7"/>
    <x v="11"/>
    <n v="136.97"/>
    <x v="3"/>
    <x v="0"/>
    <n v="4.5"/>
    <n v="11"/>
    <n v="3"/>
    <n v="153.89887640449439"/>
    <n v="16.928876404494389"/>
    <x v="0"/>
    <m/>
  </r>
  <r>
    <n v="2396"/>
    <n v="66"/>
    <x v="1"/>
    <x v="3"/>
    <x v="15"/>
    <n v="116.48"/>
    <x v="1"/>
    <x v="0"/>
    <n v="5"/>
    <n v="24"/>
    <n v="12"/>
    <n v="153.26315789473685"/>
    <n v="36.783157894736846"/>
    <x v="2"/>
    <m/>
  </r>
  <r>
    <n v="2397"/>
    <n v="22"/>
    <x v="1"/>
    <x v="5"/>
    <x v="5"/>
    <n v="503.66"/>
    <x v="2"/>
    <x v="0"/>
    <n v="2.8"/>
    <n v="14"/>
    <n v="7"/>
    <n v="585.65116279069775"/>
    <n v="81.991162790697729"/>
    <x v="3"/>
    <m/>
  </r>
  <r>
    <n v="2398"/>
    <n v="21"/>
    <x v="0"/>
    <x v="7"/>
    <x v="13"/>
    <n v="176.14"/>
    <x v="0"/>
    <x v="0"/>
    <n v="3.6"/>
    <n v="26"/>
    <n v="8"/>
    <n v="238.027027027027"/>
    <n v="61.887027027027017"/>
    <x v="3"/>
    <m/>
  </r>
  <r>
    <n v="2399"/>
    <n v="61"/>
    <x v="0"/>
    <x v="7"/>
    <x v="8"/>
    <n v="202.84"/>
    <x v="1"/>
    <x v="0"/>
    <n v="3.2"/>
    <n v="10"/>
    <n v="5"/>
    <n v="225.37777777777777"/>
    <n v="22.537777777777762"/>
    <x v="0"/>
    <m/>
  </r>
  <r>
    <n v="2400"/>
    <n v="45"/>
    <x v="1"/>
    <x v="7"/>
    <x v="11"/>
    <n v="95.24"/>
    <x v="2"/>
    <x v="1"/>
    <n v="4.5999999999999996"/>
    <n v="11"/>
    <n v="3"/>
    <n v="107.01123595505618"/>
    <n v="11.771235955056184"/>
    <x v="4"/>
    <m/>
  </r>
  <r>
    <n v="2401"/>
    <n v="59"/>
    <x v="0"/>
    <x v="8"/>
    <x v="17"/>
    <n v="188.01"/>
    <x v="2"/>
    <x v="0"/>
    <n v="2.8"/>
    <n v="12"/>
    <n v="6"/>
    <n v="213.64772727272725"/>
    <n v="25.637727272727261"/>
    <x v="0"/>
    <m/>
  </r>
  <r>
    <n v="2402"/>
    <n v="50"/>
    <x v="1"/>
    <x v="4"/>
    <x v="29"/>
    <n v="11.64"/>
    <x v="3"/>
    <x v="1"/>
    <n v="2.8"/>
    <n v="2"/>
    <n v="1"/>
    <n v="11.877551020408164"/>
    <n v="0.23755102040816389"/>
    <x v="4"/>
    <m/>
  </r>
  <r>
    <n v="2403"/>
    <n v="61"/>
    <x v="1"/>
    <x v="4"/>
    <x v="29"/>
    <n v="49.05"/>
    <x v="3"/>
    <x v="0"/>
    <n v="2.7"/>
    <n v="22"/>
    <n v="6"/>
    <n v="62.88461538461538"/>
    <n v="13.834615384615383"/>
    <x v="0"/>
    <m/>
  </r>
  <r>
    <n v="2404"/>
    <n v="36"/>
    <x v="0"/>
    <x v="2"/>
    <x v="10"/>
    <n v="51.28"/>
    <x v="1"/>
    <x v="0"/>
    <n v="4.5"/>
    <n v="22"/>
    <n v="6"/>
    <n v="65.743589743589737"/>
    <n v="14.463589743589736"/>
    <x v="1"/>
    <m/>
  </r>
  <r>
    <n v="2405"/>
    <n v="45"/>
    <x v="1"/>
    <x v="7"/>
    <x v="13"/>
    <n v="53.31"/>
    <x v="3"/>
    <x v="1"/>
    <n v="3.8"/>
    <n v="20"/>
    <n v="5"/>
    <n v="66.637500000000003"/>
    <n v="13.327500000000001"/>
    <x v="4"/>
    <m/>
  </r>
  <r>
    <n v="2406"/>
    <n v="23"/>
    <x v="1"/>
    <x v="7"/>
    <x v="11"/>
    <n v="70.92"/>
    <x v="3"/>
    <x v="0"/>
    <n v="2.8"/>
    <n v="24"/>
    <n v="7"/>
    <n v="93.315789473684205"/>
    <n v="22.395789473684204"/>
    <x v="3"/>
    <m/>
  </r>
  <r>
    <n v="2407"/>
    <n v="66"/>
    <x v="0"/>
    <x v="3"/>
    <x v="15"/>
    <n v="245.8"/>
    <x v="2"/>
    <x v="0"/>
    <n v="3.1"/>
    <n v="14"/>
    <n v="7"/>
    <n v="285.81395348837214"/>
    <n v="40.013953488372124"/>
    <x v="2"/>
    <m/>
  </r>
  <r>
    <n v="2408"/>
    <n v="62"/>
    <x v="1"/>
    <x v="7"/>
    <x v="11"/>
    <n v="111.93"/>
    <x v="3"/>
    <x v="0"/>
    <n v="2.2999999999999998"/>
    <n v="10"/>
    <n v="5"/>
    <n v="124.36666666666667"/>
    <n v="12.436666666666667"/>
    <x v="0"/>
    <m/>
  </r>
  <r>
    <n v="2409"/>
    <n v="33"/>
    <x v="1"/>
    <x v="1"/>
    <x v="9"/>
    <n v="81.37"/>
    <x v="3"/>
    <x v="1"/>
    <n v="4.2"/>
    <n v="18"/>
    <n v="4"/>
    <n v="99.231707317073173"/>
    <n v="17.861707317073169"/>
    <x v="5"/>
    <m/>
  </r>
  <r>
    <n v="2410"/>
    <n v="64"/>
    <x v="0"/>
    <x v="6"/>
    <x v="23"/>
    <n v="49.12"/>
    <x v="0"/>
    <x v="1"/>
    <n v="3.6"/>
    <n v="19"/>
    <n v="7"/>
    <n v="60.641975308641968"/>
    <n v="11.52197530864197"/>
    <x v="0"/>
    <m/>
  </r>
  <r>
    <n v="2411"/>
    <n v="34"/>
    <x v="0"/>
    <x v="0"/>
    <x v="0"/>
    <n v="23.82"/>
    <x v="2"/>
    <x v="0"/>
    <n v="4.5999999999999996"/>
    <n v="24"/>
    <n v="7"/>
    <n v="31.342105263157894"/>
    <n v="7.5221052631578935"/>
    <x v="5"/>
    <m/>
  </r>
  <r>
    <n v="2412"/>
    <n v="41"/>
    <x v="1"/>
    <x v="3"/>
    <x v="3"/>
    <n v="295.39"/>
    <x v="0"/>
    <x v="0"/>
    <n v="3.8"/>
    <n v="6"/>
    <n v="3"/>
    <n v="314.24468085106383"/>
    <n v="18.854680851063847"/>
    <x v="1"/>
    <m/>
  </r>
  <r>
    <n v="2413"/>
    <n v="62"/>
    <x v="0"/>
    <x v="8"/>
    <x v="18"/>
    <n v="191.31"/>
    <x v="2"/>
    <x v="0"/>
    <n v="3.6"/>
    <n v="12"/>
    <n v="6"/>
    <n v="217.39772727272728"/>
    <n v="26.087727272727278"/>
    <x v="0"/>
    <m/>
  </r>
  <r>
    <n v="2414"/>
    <n v="63"/>
    <x v="0"/>
    <x v="7"/>
    <x v="11"/>
    <n v="75.31"/>
    <x v="0"/>
    <x v="1"/>
    <n v="4"/>
    <n v="22"/>
    <n v="11"/>
    <n v="96.551282051282044"/>
    <n v="21.241282051282042"/>
    <x v="0"/>
    <m/>
  </r>
  <r>
    <n v="2415"/>
    <n v="65"/>
    <x v="1"/>
    <x v="1"/>
    <x v="9"/>
    <n v="191.04"/>
    <x v="0"/>
    <x v="0"/>
    <n v="4.2"/>
    <n v="16"/>
    <n v="3"/>
    <n v="227.42857142857142"/>
    <n v="36.388571428571424"/>
    <x v="2"/>
    <m/>
  </r>
  <r>
    <n v="2416"/>
    <n v="44"/>
    <x v="0"/>
    <x v="6"/>
    <x v="23"/>
    <n v="68.39"/>
    <x v="3"/>
    <x v="1"/>
    <n v="3.2"/>
    <n v="15"/>
    <n v="5"/>
    <n v="80.458823529411774"/>
    <n v="12.068823529411773"/>
    <x v="1"/>
    <m/>
  </r>
  <r>
    <n v="2417"/>
    <n v="53"/>
    <x v="1"/>
    <x v="7"/>
    <x v="13"/>
    <n v="192.28"/>
    <x v="1"/>
    <x v="0"/>
    <n v="3.7"/>
    <n v="14"/>
    <n v="7"/>
    <n v="223.58139534883722"/>
    <n v="31.301395348837218"/>
    <x v="4"/>
    <m/>
  </r>
  <r>
    <n v="2418"/>
    <n v="40"/>
    <x v="1"/>
    <x v="7"/>
    <x v="8"/>
    <n v="236.78"/>
    <x v="1"/>
    <x v="0"/>
    <n v="4.0999999999999996"/>
    <n v="22"/>
    <n v="6"/>
    <n v="303.56410256410254"/>
    <n v="66.78410256410254"/>
    <x v="1"/>
    <m/>
  </r>
  <r>
    <n v="2419"/>
    <n v="31"/>
    <x v="0"/>
    <x v="4"/>
    <x v="29"/>
    <n v="52.19"/>
    <x v="2"/>
    <x v="1"/>
    <n v="5"/>
    <n v="2"/>
    <n v="1"/>
    <n v="53.255102040816325"/>
    <n v="1.0651020408163276"/>
    <x v="5"/>
    <m/>
  </r>
  <r>
    <n v="2420"/>
    <n v="46"/>
    <x v="0"/>
    <x v="6"/>
    <x v="27"/>
    <n v="63.26"/>
    <x v="0"/>
    <x v="1"/>
    <n v="4.2"/>
    <n v="22"/>
    <n v="6"/>
    <n v="81.102564102564102"/>
    <n v="17.842564102564104"/>
    <x v="4"/>
    <m/>
  </r>
  <r>
    <n v="2421"/>
    <n v="43"/>
    <x v="0"/>
    <x v="6"/>
    <x v="6"/>
    <n v="57.97"/>
    <x v="3"/>
    <x v="1"/>
    <n v="4.8"/>
    <n v="20"/>
    <n v="5"/>
    <n v="72.462499999999991"/>
    <n v="14.492499999999993"/>
    <x v="1"/>
    <m/>
  </r>
  <r>
    <n v="2422"/>
    <n v="58"/>
    <x v="1"/>
    <x v="5"/>
    <x v="5"/>
    <n v="2430.6"/>
    <x v="0"/>
    <x v="0"/>
    <n v="3.1"/>
    <n v="6"/>
    <n v="3"/>
    <n v="2585.744680851064"/>
    <n v="155.14468085106409"/>
    <x v="0"/>
    <m/>
  </r>
  <r>
    <n v="2423"/>
    <n v="63"/>
    <x v="1"/>
    <x v="3"/>
    <x v="24"/>
    <n v="50.59"/>
    <x v="1"/>
    <x v="1"/>
    <n v="3.2"/>
    <n v="6"/>
    <n v="3"/>
    <n v="53.819148936170222"/>
    <n v="3.229148936170219"/>
    <x v="0"/>
    <m/>
  </r>
  <r>
    <n v="2424"/>
    <n v="31"/>
    <x v="1"/>
    <x v="5"/>
    <x v="5"/>
    <n v="2025.94"/>
    <x v="3"/>
    <x v="0"/>
    <n v="3.8"/>
    <n v="18"/>
    <n v="9"/>
    <n v="2470.6585365853657"/>
    <n v="444.71853658536565"/>
    <x v="5"/>
    <m/>
  </r>
  <r>
    <n v="2425"/>
    <n v="29"/>
    <x v="1"/>
    <x v="2"/>
    <x v="10"/>
    <n v="217.27"/>
    <x v="1"/>
    <x v="0"/>
    <n v="4.5"/>
    <n v="18"/>
    <n v="4"/>
    <n v="264.96341463414632"/>
    <n v="47.693414634146308"/>
    <x v="5"/>
    <m/>
  </r>
  <r>
    <n v="2426"/>
    <n v="61"/>
    <x v="0"/>
    <x v="6"/>
    <x v="27"/>
    <n v="81.17"/>
    <x v="1"/>
    <x v="1"/>
    <n v="3.7"/>
    <n v="18"/>
    <n v="4"/>
    <n v="98.987804878048777"/>
    <n v="17.817804878048776"/>
    <x v="0"/>
    <m/>
  </r>
  <r>
    <n v="2427"/>
    <n v="22"/>
    <x v="0"/>
    <x v="2"/>
    <x v="10"/>
    <n v="88.1"/>
    <x v="1"/>
    <x v="1"/>
    <n v="3.3"/>
    <n v="25"/>
    <n v="10"/>
    <n v="117.46666666666665"/>
    <n v="29.36666666666666"/>
    <x v="3"/>
    <m/>
  </r>
  <r>
    <n v="2428"/>
    <n v="45"/>
    <x v="0"/>
    <x v="8"/>
    <x v="14"/>
    <n v="174.75"/>
    <x v="0"/>
    <x v="0"/>
    <n v="3.5"/>
    <n v="14"/>
    <n v="2"/>
    <n v="203.19767441860466"/>
    <n v="28.447674418604663"/>
    <x v="4"/>
    <m/>
  </r>
  <r>
    <n v="2429"/>
    <n v="39"/>
    <x v="1"/>
    <x v="4"/>
    <x v="19"/>
    <n v="56.99"/>
    <x v="0"/>
    <x v="1"/>
    <n v="3.3"/>
    <n v="25"/>
    <n v="10"/>
    <n v="75.986666666666665"/>
    <n v="18.996666666666663"/>
    <x v="1"/>
    <m/>
  </r>
  <r>
    <n v="2430"/>
    <n v="20"/>
    <x v="0"/>
    <x v="8"/>
    <x v="17"/>
    <n v="95.46"/>
    <x v="0"/>
    <x v="1"/>
    <n v="4.5"/>
    <n v="23"/>
    <n v="9"/>
    <n v="123.97402597402596"/>
    <n v="28.514025974025969"/>
    <x v="3"/>
    <m/>
  </r>
  <r>
    <n v="2431"/>
    <n v="22"/>
    <x v="1"/>
    <x v="2"/>
    <x v="12"/>
    <n v="108.86"/>
    <x v="1"/>
    <x v="0"/>
    <n v="3.6"/>
    <n v="15"/>
    <n v="5"/>
    <n v="128.07058823529411"/>
    <n v="19.210588235294111"/>
    <x v="3"/>
    <m/>
  </r>
  <r>
    <n v="2432"/>
    <n v="54"/>
    <x v="0"/>
    <x v="8"/>
    <x v="16"/>
    <n v="166.88"/>
    <x v="1"/>
    <x v="0"/>
    <n v="3.5"/>
    <n v="18"/>
    <n v="4"/>
    <n v="203.51219512195121"/>
    <n v="36.632195121951213"/>
    <x v="4"/>
    <m/>
  </r>
  <r>
    <n v="2433"/>
    <n v="52"/>
    <x v="1"/>
    <x v="5"/>
    <x v="5"/>
    <n v="523.38"/>
    <x v="3"/>
    <x v="0"/>
    <n v="3.9"/>
    <n v="18"/>
    <n v="4"/>
    <n v="638.26829268292681"/>
    <n v="114.88829268292682"/>
    <x v="4"/>
    <m/>
  </r>
  <r>
    <n v="2434"/>
    <n v="25"/>
    <x v="1"/>
    <x v="1"/>
    <x v="9"/>
    <n v="109.68"/>
    <x v="2"/>
    <x v="0"/>
    <n v="2.8"/>
    <n v="13"/>
    <n v="4"/>
    <n v="126.06896551724138"/>
    <n v="16.388965517241374"/>
    <x v="5"/>
    <m/>
  </r>
  <r>
    <n v="2435"/>
    <n v="67"/>
    <x v="1"/>
    <x v="3"/>
    <x v="15"/>
    <n v="222.65"/>
    <x v="0"/>
    <x v="0"/>
    <n v="3"/>
    <n v="9"/>
    <n v="2"/>
    <n v="244.67032967032966"/>
    <n v="22.020329670329659"/>
    <x v="2"/>
    <m/>
  </r>
  <r>
    <n v="2436"/>
    <n v="59"/>
    <x v="1"/>
    <x v="7"/>
    <x v="11"/>
    <n v="141.41"/>
    <x v="1"/>
    <x v="0"/>
    <n v="3.3"/>
    <n v="12"/>
    <n v="6"/>
    <n v="160.69318181818181"/>
    <n v="19.283181818181816"/>
    <x v="0"/>
    <m/>
  </r>
  <r>
    <n v="2437"/>
    <n v="59"/>
    <x v="1"/>
    <x v="2"/>
    <x v="10"/>
    <n v="165.82"/>
    <x v="2"/>
    <x v="0"/>
    <n v="3.8"/>
    <n v="17"/>
    <n v="6"/>
    <n v="199.7831325301205"/>
    <n v="33.963132530120504"/>
    <x v="0"/>
    <m/>
  </r>
  <r>
    <n v="2438"/>
    <n v="66"/>
    <x v="0"/>
    <x v="8"/>
    <x v="16"/>
    <n v="52.02"/>
    <x v="0"/>
    <x v="1"/>
    <n v="3.9"/>
    <n v="20"/>
    <n v="5"/>
    <n v="65.025000000000006"/>
    <n v="13.005000000000003"/>
    <x v="2"/>
    <m/>
  </r>
  <r>
    <n v="2439"/>
    <n v="45"/>
    <x v="0"/>
    <x v="6"/>
    <x v="6"/>
    <n v="130.55000000000001"/>
    <x v="0"/>
    <x v="0"/>
    <n v="4.8"/>
    <n v="8"/>
    <n v="4"/>
    <n v="141.9021739130435"/>
    <n v="11.352173913043487"/>
    <x v="4"/>
    <m/>
  </r>
  <r>
    <n v="2440"/>
    <n v="36"/>
    <x v="1"/>
    <x v="1"/>
    <x v="20"/>
    <n v="108.9"/>
    <x v="3"/>
    <x v="0"/>
    <n v="3"/>
    <n v="16"/>
    <n v="8"/>
    <n v="129.64285714285717"/>
    <n v="20.742857142857162"/>
    <x v="1"/>
    <m/>
  </r>
  <r>
    <n v="2441"/>
    <n v="48"/>
    <x v="0"/>
    <x v="6"/>
    <x v="27"/>
    <n v="88.67"/>
    <x v="2"/>
    <x v="0"/>
    <n v="4.2"/>
    <n v="20"/>
    <n v="5"/>
    <n v="110.83749999999999"/>
    <n v="22.16749999999999"/>
    <x v="4"/>
    <m/>
  </r>
  <r>
    <n v="2442"/>
    <n v="26"/>
    <x v="1"/>
    <x v="2"/>
    <x v="12"/>
    <n v="231.99"/>
    <x v="2"/>
    <x v="0"/>
    <n v="3"/>
    <n v="20"/>
    <n v="5"/>
    <n v="289.98750000000001"/>
    <n v="57.997500000000002"/>
    <x v="5"/>
    <m/>
  </r>
  <r>
    <n v="2443"/>
    <n v="34"/>
    <x v="1"/>
    <x v="5"/>
    <x v="25"/>
    <n v="585.57000000000005"/>
    <x v="3"/>
    <x v="0"/>
    <n v="4.5999999999999996"/>
    <n v="26"/>
    <n v="8"/>
    <n v="791.31081081081084"/>
    <n v="205.74081081081079"/>
    <x v="5"/>
    <m/>
  </r>
  <r>
    <n v="2444"/>
    <n v="63"/>
    <x v="0"/>
    <x v="6"/>
    <x v="6"/>
    <n v="33.49"/>
    <x v="3"/>
    <x v="1"/>
    <n v="3.6"/>
    <n v="21"/>
    <n v="8"/>
    <n v="42.392405063291143"/>
    <n v="8.9024050632911411"/>
    <x v="0"/>
    <m/>
  </r>
  <r>
    <n v="2445"/>
    <n v="68"/>
    <x v="1"/>
    <x v="7"/>
    <x v="11"/>
    <n v="145.49"/>
    <x v="3"/>
    <x v="0"/>
    <n v="3.9"/>
    <n v="10"/>
    <n v="5"/>
    <n v="161.65555555555557"/>
    <n v="16.165555555555557"/>
    <x v="2"/>
    <m/>
  </r>
  <r>
    <n v="2446"/>
    <n v="65"/>
    <x v="0"/>
    <x v="3"/>
    <x v="3"/>
    <n v="39.99"/>
    <x v="0"/>
    <x v="1"/>
    <n v="2.8"/>
    <n v="17"/>
    <n v="6"/>
    <n v="48.180722891566269"/>
    <n v="8.1907228915662671"/>
    <x v="2"/>
    <m/>
  </r>
  <r>
    <n v="2447"/>
    <n v="39"/>
    <x v="1"/>
    <x v="5"/>
    <x v="21"/>
    <n v="1959.09"/>
    <x v="2"/>
    <x v="0"/>
    <n v="4.2"/>
    <n v="12"/>
    <n v="1"/>
    <n v="2226.238636363636"/>
    <n v="267.14863636363611"/>
    <x v="1"/>
    <m/>
  </r>
  <r>
    <n v="2448"/>
    <n v="66"/>
    <x v="0"/>
    <x v="2"/>
    <x v="2"/>
    <n v="109.15"/>
    <x v="2"/>
    <x v="0"/>
    <n v="2.8"/>
    <n v="18"/>
    <n v="4"/>
    <n v="133.10975609756096"/>
    <n v="23.959756097560955"/>
    <x v="2"/>
    <m/>
  </r>
  <r>
    <n v="2449"/>
    <n v="31"/>
    <x v="1"/>
    <x v="2"/>
    <x v="10"/>
    <n v="247.77"/>
    <x v="1"/>
    <x v="0"/>
    <n v="2.8"/>
    <n v="10"/>
    <n v="5"/>
    <n v="275.3"/>
    <n v="27.53"/>
    <x v="5"/>
    <m/>
  </r>
  <r>
    <n v="2450"/>
    <n v="29"/>
    <x v="0"/>
    <x v="7"/>
    <x v="8"/>
    <n v="175.99"/>
    <x v="1"/>
    <x v="0"/>
    <n v="5"/>
    <n v="24"/>
    <n v="7"/>
    <n v="231.56578947368422"/>
    <n v="55.57578947368421"/>
    <x v="5"/>
    <m/>
  </r>
  <r>
    <n v="2451"/>
    <n v="33"/>
    <x v="0"/>
    <x v="6"/>
    <x v="23"/>
    <n v="20.03"/>
    <x v="3"/>
    <x v="0"/>
    <n v="3.6"/>
    <n v="20"/>
    <n v="5"/>
    <n v="25.037500000000001"/>
    <n v="5.0075000000000003"/>
    <x v="5"/>
    <m/>
  </r>
  <r>
    <n v="2452"/>
    <n v="23"/>
    <x v="0"/>
    <x v="8"/>
    <x v="16"/>
    <n v="194.96"/>
    <x v="1"/>
    <x v="0"/>
    <n v="2.9"/>
    <n v="14"/>
    <n v="7"/>
    <n v="226.69767441860466"/>
    <n v="31.737674418604655"/>
    <x v="3"/>
    <m/>
  </r>
  <r>
    <n v="2453"/>
    <n v="47"/>
    <x v="0"/>
    <x v="6"/>
    <x v="23"/>
    <n v="132.65"/>
    <x v="2"/>
    <x v="0"/>
    <n v="3.9"/>
    <n v="19"/>
    <n v="7"/>
    <n v="163.76543209876542"/>
    <n v="31.11543209876541"/>
    <x v="4"/>
    <m/>
  </r>
  <r>
    <n v="2454"/>
    <n v="32"/>
    <x v="0"/>
    <x v="2"/>
    <x v="10"/>
    <n v="119.74"/>
    <x v="1"/>
    <x v="0"/>
    <n v="3.3"/>
    <n v="22"/>
    <n v="11"/>
    <n v="153.5128205128205"/>
    <n v="33.772820512820502"/>
    <x v="5"/>
    <m/>
  </r>
  <r>
    <n v="2455"/>
    <n v="49"/>
    <x v="0"/>
    <x v="2"/>
    <x v="2"/>
    <n v="105.64"/>
    <x v="1"/>
    <x v="0"/>
    <n v="3.3"/>
    <n v="24"/>
    <n v="7"/>
    <n v="139"/>
    <n v="33.36"/>
    <x v="4"/>
    <m/>
  </r>
  <r>
    <n v="2456"/>
    <n v="37"/>
    <x v="1"/>
    <x v="7"/>
    <x v="8"/>
    <n v="232.32"/>
    <x v="3"/>
    <x v="0"/>
    <n v="3.8"/>
    <n v="16"/>
    <n v="3"/>
    <n v="276.57142857142856"/>
    <n v="44.251428571428562"/>
    <x v="1"/>
    <m/>
  </r>
  <r>
    <n v="2457"/>
    <n v="41"/>
    <x v="1"/>
    <x v="2"/>
    <x v="2"/>
    <n v="142.71"/>
    <x v="2"/>
    <x v="0"/>
    <n v="4.2"/>
    <n v="20"/>
    <n v="5"/>
    <n v="178.38749999999999"/>
    <n v="35.677499999999981"/>
    <x v="1"/>
    <m/>
  </r>
  <r>
    <n v="2458"/>
    <n v="37"/>
    <x v="1"/>
    <x v="2"/>
    <x v="12"/>
    <n v="163.30000000000001"/>
    <x v="0"/>
    <x v="0"/>
    <n v="3.6"/>
    <n v="12"/>
    <n v="6"/>
    <n v="185.56818181818184"/>
    <n v="22.26818181818183"/>
    <x v="1"/>
    <m/>
  </r>
  <r>
    <n v="2459"/>
    <n v="55"/>
    <x v="1"/>
    <x v="5"/>
    <x v="21"/>
    <n v="2997.94"/>
    <x v="0"/>
    <x v="0"/>
    <n v="4.2"/>
    <n v="14"/>
    <n v="2"/>
    <n v="3485.9767441860467"/>
    <n v="488.03674418604669"/>
    <x v="0"/>
    <m/>
  </r>
  <r>
    <n v="2460"/>
    <n v="42"/>
    <x v="1"/>
    <x v="5"/>
    <x v="7"/>
    <n v="1412.92"/>
    <x v="0"/>
    <x v="0"/>
    <n v="3.9"/>
    <n v="19"/>
    <n v="7"/>
    <n v="1744.3456790123457"/>
    <n v="331.42567901234565"/>
    <x v="1"/>
    <m/>
  </r>
  <r>
    <n v="2461"/>
    <n v="60"/>
    <x v="0"/>
    <x v="7"/>
    <x v="11"/>
    <n v="104.02"/>
    <x v="2"/>
    <x v="0"/>
    <n v="5"/>
    <n v="8"/>
    <n v="4"/>
    <n v="113.06521739130434"/>
    <n v="9.0452173913043481"/>
    <x v="0"/>
    <m/>
  </r>
  <r>
    <n v="2462"/>
    <n v="62"/>
    <x v="0"/>
    <x v="6"/>
    <x v="23"/>
    <n v="20.71"/>
    <x v="0"/>
    <x v="0"/>
    <n v="3.8"/>
    <n v="20"/>
    <n v="5"/>
    <n v="25.887499999999999"/>
    <n v="5.1774999999999984"/>
    <x v="0"/>
    <m/>
  </r>
  <r>
    <n v="2463"/>
    <n v="56"/>
    <x v="0"/>
    <x v="8"/>
    <x v="18"/>
    <n v="83.87"/>
    <x v="1"/>
    <x v="0"/>
    <n v="3.9"/>
    <n v="17"/>
    <n v="6"/>
    <n v="101.04819277108435"/>
    <n v="17.178192771084341"/>
    <x v="0"/>
    <m/>
  </r>
  <r>
    <n v="2464"/>
    <n v="67"/>
    <x v="1"/>
    <x v="1"/>
    <x v="9"/>
    <n v="43.13"/>
    <x v="2"/>
    <x v="1"/>
    <n v="3"/>
    <n v="9"/>
    <n v="2"/>
    <n v="47.395604395604394"/>
    <n v="4.2656043956043916"/>
    <x v="2"/>
    <m/>
  </r>
  <r>
    <n v="2465"/>
    <n v="59"/>
    <x v="1"/>
    <x v="2"/>
    <x v="2"/>
    <n v="73.739999999999995"/>
    <x v="3"/>
    <x v="0"/>
    <n v="3.8"/>
    <n v="15"/>
    <n v="5"/>
    <n v="86.752941176470586"/>
    <n v="13.012941176470591"/>
    <x v="0"/>
    <m/>
  </r>
  <r>
    <n v="2466"/>
    <n v="32"/>
    <x v="1"/>
    <x v="2"/>
    <x v="2"/>
    <n v="144.04"/>
    <x v="3"/>
    <x v="0"/>
    <n v="3.8"/>
    <n v="13"/>
    <n v="4"/>
    <n v="165.56321839080459"/>
    <n v="21.523218390804601"/>
    <x v="5"/>
    <m/>
  </r>
  <r>
    <n v="2467"/>
    <n v="24"/>
    <x v="0"/>
    <x v="6"/>
    <x v="23"/>
    <n v="82.17"/>
    <x v="2"/>
    <x v="0"/>
    <n v="3.4"/>
    <n v="15"/>
    <n v="5"/>
    <n v="96.670588235294119"/>
    <n v="14.500588235294117"/>
    <x v="3"/>
    <m/>
  </r>
  <r>
    <n v="2468"/>
    <n v="31"/>
    <x v="0"/>
    <x v="8"/>
    <x v="16"/>
    <n v="128.18"/>
    <x v="0"/>
    <x v="0"/>
    <n v="4"/>
    <n v="17"/>
    <n v="6"/>
    <n v="154.43373493975906"/>
    <n v="26.253734939759056"/>
    <x v="5"/>
    <m/>
  </r>
  <r>
    <n v="2469"/>
    <n v="67"/>
    <x v="0"/>
    <x v="8"/>
    <x v="17"/>
    <n v="74.73"/>
    <x v="0"/>
    <x v="1"/>
    <n v="3.7"/>
    <n v="20"/>
    <n v="5"/>
    <n v="93.412499999999994"/>
    <n v="18.68249999999999"/>
    <x v="2"/>
    <m/>
  </r>
  <r>
    <n v="2470"/>
    <n v="41"/>
    <x v="0"/>
    <x v="3"/>
    <x v="3"/>
    <n v="159.58000000000001"/>
    <x v="1"/>
    <x v="0"/>
    <n v="4.4000000000000004"/>
    <n v="8"/>
    <n v="4"/>
    <n v="173.45652173913044"/>
    <n v="13.876521739130425"/>
    <x v="1"/>
    <m/>
  </r>
  <r>
    <n v="2471"/>
    <n v="58"/>
    <x v="0"/>
    <x v="8"/>
    <x v="16"/>
    <n v="142.94999999999999"/>
    <x v="2"/>
    <x v="0"/>
    <n v="4.8"/>
    <n v="15"/>
    <n v="5"/>
    <n v="168.17647058823528"/>
    <n v="25.226470588235287"/>
    <x v="0"/>
    <m/>
  </r>
  <r>
    <n v="2472"/>
    <n v="22"/>
    <x v="0"/>
    <x v="6"/>
    <x v="6"/>
    <n v="56.67"/>
    <x v="3"/>
    <x v="1"/>
    <n v="4.3"/>
    <n v="15"/>
    <n v="5"/>
    <n v="66.670588235294119"/>
    <n v="10.000588235294117"/>
    <x v="3"/>
    <m/>
  </r>
  <r>
    <n v="2473"/>
    <n v="56"/>
    <x v="0"/>
    <x v="0"/>
    <x v="28"/>
    <n v="60.82"/>
    <x v="1"/>
    <x v="1"/>
    <n v="3.5"/>
    <n v="8"/>
    <n v="4"/>
    <n v="66.108695652173907"/>
    <n v="5.2886956521739066"/>
    <x v="0"/>
    <m/>
  </r>
  <r>
    <n v="2474"/>
    <n v="64"/>
    <x v="0"/>
    <x v="7"/>
    <x v="13"/>
    <n v="249.17"/>
    <x v="1"/>
    <x v="0"/>
    <n v="4.8"/>
    <n v="8"/>
    <n v="4"/>
    <n v="270.83695652173913"/>
    <n v="21.666956521739138"/>
    <x v="0"/>
    <m/>
  </r>
  <r>
    <n v="2475"/>
    <n v="58"/>
    <x v="0"/>
    <x v="8"/>
    <x v="18"/>
    <n v="105.75"/>
    <x v="0"/>
    <x v="0"/>
    <n v="4.5"/>
    <n v="19"/>
    <n v="7"/>
    <n v="130.55555555555554"/>
    <n v="24.805555555555543"/>
    <x v="0"/>
    <m/>
  </r>
  <r>
    <n v="2476"/>
    <n v="57"/>
    <x v="1"/>
    <x v="2"/>
    <x v="12"/>
    <n v="89.44"/>
    <x v="0"/>
    <x v="1"/>
    <n v="4.9000000000000004"/>
    <n v="10"/>
    <n v="5"/>
    <n v="99.377777777777766"/>
    <n v="9.9377777777777681"/>
    <x v="0"/>
    <m/>
  </r>
  <r>
    <n v="2477"/>
    <n v="37"/>
    <x v="1"/>
    <x v="2"/>
    <x v="2"/>
    <n v="182.81"/>
    <x v="3"/>
    <x v="0"/>
    <n v="3.2"/>
    <n v="16"/>
    <n v="3"/>
    <n v="217.63095238095238"/>
    <n v="34.820952380952377"/>
    <x v="1"/>
    <m/>
  </r>
  <r>
    <n v="2478"/>
    <n v="30"/>
    <x v="1"/>
    <x v="2"/>
    <x v="2"/>
    <n v="49.64"/>
    <x v="1"/>
    <x v="1"/>
    <n v="4.0999999999999996"/>
    <n v="9"/>
    <n v="2"/>
    <n v="54.549450549450547"/>
    <n v="4.9094505494505469"/>
    <x v="5"/>
    <m/>
  </r>
  <r>
    <n v="2479"/>
    <n v="56"/>
    <x v="1"/>
    <x v="2"/>
    <x v="10"/>
    <n v="118.27"/>
    <x v="0"/>
    <x v="0"/>
    <n v="4"/>
    <n v="19"/>
    <n v="7"/>
    <n v="146.01234567901233"/>
    <n v="27.742345679012331"/>
    <x v="0"/>
    <m/>
  </r>
  <r>
    <n v="2480"/>
    <n v="41"/>
    <x v="0"/>
    <x v="0"/>
    <x v="28"/>
    <n v="155.41"/>
    <x v="2"/>
    <x v="0"/>
    <n v="5"/>
    <n v="22"/>
    <n v="6"/>
    <n v="199.24358974358972"/>
    <n v="43.833589743589727"/>
    <x v="1"/>
    <m/>
  </r>
  <r>
    <n v="2481"/>
    <n v="47"/>
    <x v="1"/>
    <x v="7"/>
    <x v="11"/>
    <n v="162.15"/>
    <x v="0"/>
    <x v="0"/>
    <n v="4.9000000000000004"/>
    <n v="22"/>
    <n v="6"/>
    <n v="207.88461538461539"/>
    <n v="45.734615384615381"/>
    <x v="4"/>
    <m/>
  </r>
  <r>
    <n v="2482"/>
    <n v="62"/>
    <x v="1"/>
    <x v="1"/>
    <x v="1"/>
    <n v="122.41"/>
    <x v="1"/>
    <x v="0"/>
    <n v="3"/>
    <n v="17"/>
    <n v="6"/>
    <n v="147.48192771084337"/>
    <n v="25.071927710843369"/>
    <x v="0"/>
    <m/>
  </r>
  <r>
    <n v="2483"/>
    <n v="42"/>
    <x v="1"/>
    <x v="7"/>
    <x v="11"/>
    <n v="166.76"/>
    <x v="1"/>
    <x v="0"/>
    <n v="3.4"/>
    <n v="18"/>
    <n v="9"/>
    <n v="203.36585365853657"/>
    <n v="36.605853658536574"/>
    <x v="1"/>
    <m/>
  </r>
  <r>
    <n v="2484"/>
    <n v="55"/>
    <x v="1"/>
    <x v="2"/>
    <x v="2"/>
    <n v="91.77"/>
    <x v="0"/>
    <x v="1"/>
    <n v="3.8"/>
    <n v="20"/>
    <n v="5"/>
    <n v="114.71249999999999"/>
    <n v="22.942499999999995"/>
    <x v="0"/>
    <m/>
  </r>
  <r>
    <n v="2485"/>
    <n v="70"/>
    <x v="0"/>
    <x v="8"/>
    <x v="17"/>
    <n v="112.59"/>
    <x v="1"/>
    <x v="0"/>
    <n v="4.7"/>
    <n v="18"/>
    <n v="4"/>
    <n v="137.30487804878049"/>
    <n v="24.714878048780491"/>
    <x v="2"/>
    <m/>
  </r>
  <r>
    <n v="2486"/>
    <n v="30"/>
    <x v="0"/>
    <x v="8"/>
    <x v="17"/>
    <n v="77.540000000000006"/>
    <x v="3"/>
    <x v="1"/>
    <n v="3.8"/>
    <n v="18"/>
    <n v="4"/>
    <n v="94.560975609756099"/>
    <n v="17.020975609756093"/>
    <x v="5"/>
    <m/>
  </r>
  <r>
    <n v="2487"/>
    <n v="58"/>
    <x v="0"/>
    <x v="0"/>
    <x v="22"/>
    <n v="125.61"/>
    <x v="0"/>
    <x v="0"/>
    <n v="3.3"/>
    <n v="12"/>
    <n v="6"/>
    <n v="142.73863636363637"/>
    <n v="17.128636363636375"/>
    <x v="0"/>
    <m/>
  </r>
  <r>
    <n v="2488"/>
    <n v="66"/>
    <x v="0"/>
    <x v="0"/>
    <x v="0"/>
    <n v="175.38"/>
    <x v="0"/>
    <x v="0"/>
    <n v="4.0999999999999996"/>
    <n v="12"/>
    <n v="6"/>
    <n v="199.29545454545453"/>
    <n v="23.915454545454537"/>
    <x v="2"/>
    <m/>
  </r>
  <r>
    <n v="2489"/>
    <n v="45"/>
    <x v="0"/>
    <x v="7"/>
    <x v="11"/>
    <n v="199.34"/>
    <x v="3"/>
    <x v="0"/>
    <n v="5"/>
    <n v="16"/>
    <n v="3"/>
    <n v="237.30952380952382"/>
    <n v="37.969523809523821"/>
    <x v="4"/>
    <m/>
  </r>
  <r>
    <n v="2490"/>
    <n v="57"/>
    <x v="1"/>
    <x v="7"/>
    <x v="13"/>
    <n v="102.02"/>
    <x v="2"/>
    <x v="0"/>
    <n v="4"/>
    <n v="19"/>
    <n v="7"/>
    <n v="125.95061728395061"/>
    <n v="23.93061728395061"/>
    <x v="0"/>
    <m/>
  </r>
  <r>
    <n v="2491"/>
    <n v="27"/>
    <x v="1"/>
    <x v="5"/>
    <x v="7"/>
    <n v="736.82"/>
    <x v="0"/>
    <x v="0"/>
    <n v="4.4000000000000004"/>
    <n v="10"/>
    <n v="5"/>
    <n v="818.68888888888887"/>
    <n v="81.868888888888819"/>
    <x v="5"/>
    <m/>
  </r>
  <r>
    <n v="2492"/>
    <n v="61"/>
    <x v="1"/>
    <x v="1"/>
    <x v="1"/>
    <n v="67.64"/>
    <x v="3"/>
    <x v="1"/>
    <n v="3.6"/>
    <n v="18"/>
    <n v="4"/>
    <n v="82.487804878048777"/>
    <n v="14.847804878048777"/>
    <x v="0"/>
    <m/>
  </r>
  <r>
    <n v="2493"/>
    <n v="61"/>
    <x v="1"/>
    <x v="1"/>
    <x v="1"/>
    <n v="97.18"/>
    <x v="3"/>
    <x v="0"/>
    <n v="3.9"/>
    <n v="19"/>
    <n v="7"/>
    <n v="119.9753086419753"/>
    <n v="22.795308641975296"/>
    <x v="0"/>
    <m/>
  </r>
  <r>
    <n v="2494"/>
    <n v="36"/>
    <x v="0"/>
    <x v="8"/>
    <x v="17"/>
    <n v="96.2"/>
    <x v="2"/>
    <x v="1"/>
    <n v="5"/>
    <n v="6"/>
    <n v="3"/>
    <n v="102.3404255319149"/>
    <n v="6.1404255319149001"/>
    <x v="1"/>
    <m/>
  </r>
  <r>
    <n v="2495"/>
    <n v="30"/>
    <x v="1"/>
    <x v="7"/>
    <x v="8"/>
    <n v="178.66"/>
    <x v="2"/>
    <x v="0"/>
    <n v="3.1"/>
    <n v="16"/>
    <n v="3"/>
    <n v="212.6904761904762"/>
    <n v="34.030476190476207"/>
    <x v="5"/>
    <m/>
  </r>
  <r>
    <n v="2496"/>
    <n v="58"/>
    <x v="1"/>
    <x v="1"/>
    <x v="1"/>
    <n v="59.56"/>
    <x v="0"/>
    <x v="0"/>
    <n v="4.5"/>
    <n v="24"/>
    <n v="7"/>
    <n v="78.368421052631575"/>
    <n v="18.808421052631573"/>
    <x v="0"/>
    <m/>
  </r>
  <r>
    <n v="2497"/>
    <n v="44"/>
    <x v="1"/>
    <x v="2"/>
    <x v="2"/>
    <n v="211.96"/>
    <x v="1"/>
    <x v="0"/>
    <n v="2.7"/>
    <n v="24"/>
    <n v="7"/>
    <n v="278.89473684210526"/>
    <n v="66.934736842105252"/>
    <x v="1"/>
    <m/>
  </r>
  <r>
    <n v="2498"/>
    <n v="28"/>
    <x v="1"/>
    <x v="7"/>
    <x v="8"/>
    <n v="54.72"/>
    <x v="2"/>
    <x v="1"/>
    <n v="3"/>
    <n v="8"/>
    <n v="4"/>
    <n v="59.478260869565212"/>
    <n v="4.7582608695652127"/>
    <x v="5"/>
    <m/>
  </r>
  <r>
    <n v="2499"/>
    <n v="50"/>
    <x v="0"/>
    <x v="8"/>
    <x v="14"/>
    <n v="166.8"/>
    <x v="0"/>
    <x v="0"/>
    <n v="4.8"/>
    <n v="15"/>
    <n v="5"/>
    <n v="196.23529411764707"/>
    <n v="29.435294117647061"/>
    <x v="4"/>
    <m/>
  </r>
  <r>
    <n v="2500"/>
    <n v="36"/>
    <x v="0"/>
    <x v="2"/>
    <x v="2"/>
    <n v="180.09"/>
    <x v="2"/>
    <x v="0"/>
    <n v="4.9000000000000004"/>
    <n v="19"/>
    <n v="7"/>
    <n v="222.33333333333331"/>
    <n v="42.243333333333311"/>
    <x v="1"/>
    <m/>
  </r>
  <r>
    <n v="2501"/>
    <n v="55"/>
    <x v="0"/>
    <x v="2"/>
    <x v="2"/>
    <n v="73.290000000000006"/>
    <x v="2"/>
    <x v="0"/>
    <n v="4.5999999999999996"/>
    <n v="19"/>
    <n v="7"/>
    <n v="90.481481481481481"/>
    <n v="17.191481481481475"/>
    <x v="0"/>
    <m/>
  </r>
  <r>
    <n v="2502"/>
    <n v="49"/>
    <x v="1"/>
    <x v="2"/>
    <x v="2"/>
    <n v="240.58"/>
    <x v="1"/>
    <x v="0"/>
    <n v="4.2"/>
    <n v="24"/>
    <n v="7"/>
    <n v="316.5526315789474"/>
    <n v="75.972631578947386"/>
    <x v="4"/>
    <m/>
  </r>
  <r>
    <n v="2503"/>
    <n v="58"/>
    <x v="0"/>
    <x v="3"/>
    <x v="24"/>
    <n v="80.55"/>
    <x v="1"/>
    <x v="0"/>
    <n v="4.8"/>
    <n v="13"/>
    <n v="4"/>
    <n v="92.586206896551715"/>
    <n v="12.036206896551718"/>
    <x v="0"/>
    <m/>
  </r>
  <r>
    <n v="2504"/>
    <n v="57"/>
    <x v="1"/>
    <x v="5"/>
    <x v="7"/>
    <n v="1635.17"/>
    <x v="3"/>
    <x v="0"/>
    <n v="4.0999999999999996"/>
    <n v="9"/>
    <n v="2"/>
    <n v="1796.8901098901099"/>
    <n v="161.72010989010982"/>
    <x v="0"/>
    <m/>
  </r>
  <r>
    <n v="2505"/>
    <n v="25"/>
    <x v="1"/>
    <x v="7"/>
    <x v="8"/>
    <n v="226.76"/>
    <x v="2"/>
    <x v="0"/>
    <n v="4.2"/>
    <n v="21"/>
    <n v="8"/>
    <n v="287.03797468354429"/>
    <n v="60.277974683544301"/>
    <x v="5"/>
    <m/>
  </r>
  <r>
    <n v="2506"/>
    <n v="42"/>
    <x v="1"/>
    <x v="2"/>
    <x v="2"/>
    <n v="132.34"/>
    <x v="1"/>
    <x v="0"/>
    <n v="4.5"/>
    <n v="20"/>
    <n v="5"/>
    <n v="165.42499999999998"/>
    <n v="33.08499999999998"/>
    <x v="1"/>
    <m/>
  </r>
  <r>
    <n v="2507"/>
    <n v="42"/>
    <x v="0"/>
    <x v="0"/>
    <x v="28"/>
    <n v="151.58000000000001"/>
    <x v="1"/>
    <x v="0"/>
    <n v="4.0999999999999996"/>
    <n v="2"/>
    <n v="1"/>
    <n v="154.67346938775512"/>
    <n v="3.0934693877551069"/>
    <x v="1"/>
    <m/>
  </r>
  <r>
    <n v="2508"/>
    <n v="35"/>
    <x v="1"/>
    <x v="4"/>
    <x v="26"/>
    <n v="6.79"/>
    <x v="0"/>
    <x v="1"/>
    <n v="3.4"/>
    <n v="16"/>
    <n v="8"/>
    <n v="8.0833333333333339"/>
    <n v="1.2933333333333339"/>
    <x v="1"/>
    <m/>
  </r>
  <r>
    <n v="2509"/>
    <n v="53"/>
    <x v="0"/>
    <x v="7"/>
    <x v="11"/>
    <n v="177.6"/>
    <x v="0"/>
    <x v="0"/>
    <n v="5"/>
    <n v="26"/>
    <n v="8"/>
    <n v="240"/>
    <n v="62.400000000000006"/>
    <x v="4"/>
    <m/>
  </r>
  <r>
    <n v="2510"/>
    <n v="49"/>
    <x v="1"/>
    <x v="5"/>
    <x v="7"/>
    <n v="1297.0899999999999"/>
    <x v="1"/>
    <x v="0"/>
    <n v="4.8"/>
    <n v="20"/>
    <n v="5"/>
    <n v="1621.3624999999997"/>
    <n v="324.27249999999981"/>
    <x v="4"/>
    <m/>
  </r>
  <r>
    <n v="2511"/>
    <n v="28"/>
    <x v="0"/>
    <x v="0"/>
    <x v="22"/>
    <n v="76.02"/>
    <x v="0"/>
    <x v="0"/>
    <n v="4"/>
    <n v="22"/>
    <n v="6"/>
    <n v="97.461538461538453"/>
    <n v="21.441538461538457"/>
    <x v="5"/>
    <m/>
  </r>
  <r>
    <n v="2512"/>
    <n v="37"/>
    <x v="0"/>
    <x v="7"/>
    <x v="8"/>
    <n v="158.57"/>
    <x v="1"/>
    <x v="0"/>
    <n v="3.3"/>
    <n v="6"/>
    <n v="3"/>
    <n v="168.69148936170214"/>
    <n v="10.121489361702146"/>
    <x v="1"/>
    <m/>
  </r>
  <r>
    <n v="2513"/>
    <n v="27"/>
    <x v="0"/>
    <x v="8"/>
    <x v="16"/>
    <n v="88.33"/>
    <x v="2"/>
    <x v="0"/>
    <n v="3.8"/>
    <n v="10"/>
    <n v="5"/>
    <n v="98.144444444444446"/>
    <n v="9.8144444444444474"/>
    <x v="5"/>
    <m/>
  </r>
  <r>
    <n v="2514"/>
    <n v="54"/>
    <x v="1"/>
    <x v="1"/>
    <x v="1"/>
    <n v="181.51"/>
    <x v="0"/>
    <x v="0"/>
    <n v="4.8"/>
    <n v="13"/>
    <n v="4"/>
    <n v="208.63218390804596"/>
    <n v="27.122183908045969"/>
    <x v="4"/>
    <m/>
  </r>
  <r>
    <n v="2515"/>
    <n v="27"/>
    <x v="1"/>
    <x v="1"/>
    <x v="1"/>
    <n v="48.86"/>
    <x v="2"/>
    <x v="1"/>
    <n v="4.8"/>
    <n v="8"/>
    <n v="4"/>
    <n v="53.108695652173907"/>
    <n v="4.2486956521739074"/>
    <x v="5"/>
    <m/>
  </r>
  <r>
    <n v="2516"/>
    <n v="55"/>
    <x v="0"/>
    <x v="0"/>
    <x v="0"/>
    <n v="124.2"/>
    <x v="1"/>
    <x v="0"/>
    <n v="3.6"/>
    <n v="12"/>
    <n v="6"/>
    <n v="141.13636363636363"/>
    <n v="16.936363636363623"/>
    <x v="0"/>
    <m/>
  </r>
  <r>
    <n v="2517"/>
    <n v="37"/>
    <x v="0"/>
    <x v="6"/>
    <x v="27"/>
    <n v="130.83000000000001"/>
    <x v="1"/>
    <x v="0"/>
    <n v="5"/>
    <n v="18"/>
    <n v="4"/>
    <n v="159.54878048780489"/>
    <n v="28.718780487804878"/>
    <x v="1"/>
    <m/>
  </r>
  <r>
    <n v="2518"/>
    <n v="21"/>
    <x v="1"/>
    <x v="1"/>
    <x v="1"/>
    <n v="46.83"/>
    <x v="1"/>
    <x v="0"/>
    <n v="5"/>
    <n v="16"/>
    <n v="3"/>
    <n v="55.75"/>
    <n v="8.9200000000000017"/>
    <x v="3"/>
    <m/>
  </r>
  <r>
    <n v="2519"/>
    <n v="47"/>
    <x v="1"/>
    <x v="7"/>
    <x v="8"/>
    <n v="43.11"/>
    <x v="1"/>
    <x v="0"/>
    <n v="3.6"/>
    <n v="16"/>
    <n v="8"/>
    <n v="51.321428571428569"/>
    <n v="8.21142857142857"/>
    <x v="4"/>
    <m/>
  </r>
  <r>
    <n v="2520"/>
    <n v="55"/>
    <x v="0"/>
    <x v="6"/>
    <x v="23"/>
    <n v="131.37"/>
    <x v="0"/>
    <x v="0"/>
    <n v="3.4"/>
    <n v="14"/>
    <n v="2"/>
    <n v="152.75581395348837"/>
    <n v="21.385813953488366"/>
    <x v="0"/>
    <m/>
  </r>
  <r>
    <n v="2521"/>
    <n v="35"/>
    <x v="0"/>
    <x v="7"/>
    <x v="8"/>
    <n v="216.78"/>
    <x v="0"/>
    <x v="0"/>
    <n v="3.7"/>
    <n v="10"/>
    <n v="5"/>
    <n v="240.86666666666667"/>
    <n v="24.086666666666673"/>
    <x v="1"/>
    <m/>
  </r>
  <r>
    <n v="2522"/>
    <n v="45"/>
    <x v="0"/>
    <x v="4"/>
    <x v="4"/>
    <n v="21.14"/>
    <x v="2"/>
    <x v="0"/>
    <n v="3.7"/>
    <n v="22"/>
    <n v="6"/>
    <n v="27.102564102564102"/>
    <n v="5.9625641025641016"/>
    <x v="4"/>
    <m/>
  </r>
  <r>
    <n v="2523"/>
    <n v="69"/>
    <x v="0"/>
    <x v="7"/>
    <x v="8"/>
    <n v="237.37"/>
    <x v="0"/>
    <x v="0"/>
    <n v="3.1"/>
    <n v="16"/>
    <n v="3"/>
    <n v="282.58333333333337"/>
    <n v="45.213333333333367"/>
    <x v="2"/>
    <m/>
  </r>
  <r>
    <n v="2524"/>
    <n v="35"/>
    <x v="0"/>
    <x v="7"/>
    <x v="11"/>
    <n v="112.58"/>
    <x v="2"/>
    <x v="0"/>
    <n v="4"/>
    <n v="8"/>
    <n v="4"/>
    <n v="122.3695652173913"/>
    <n v="9.7895652173912993"/>
    <x v="1"/>
    <m/>
  </r>
  <r>
    <n v="2525"/>
    <n v="47"/>
    <x v="1"/>
    <x v="4"/>
    <x v="19"/>
    <n v="38.119999999999997"/>
    <x v="0"/>
    <x v="1"/>
    <n v="3.7"/>
    <n v="8"/>
    <n v="4"/>
    <n v="41.434782608695649"/>
    <n v="3.3147826086956513"/>
    <x v="4"/>
    <m/>
  </r>
  <r>
    <n v="2526"/>
    <n v="40"/>
    <x v="0"/>
    <x v="6"/>
    <x v="6"/>
    <n v="79.73"/>
    <x v="0"/>
    <x v="0"/>
    <n v="3.5"/>
    <n v="12"/>
    <n v="1"/>
    <n v="90.602272727272734"/>
    <n v="10.87227272727273"/>
    <x v="1"/>
    <m/>
  </r>
  <r>
    <n v="2527"/>
    <n v="40"/>
    <x v="0"/>
    <x v="4"/>
    <x v="4"/>
    <n v="23.39"/>
    <x v="2"/>
    <x v="1"/>
    <n v="3.7"/>
    <n v="18"/>
    <n v="4"/>
    <n v="28.524390243902438"/>
    <n v="5.1343902439024376"/>
    <x v="1"/>
    <m/>
  </r>
  <r>
    <n v="2528"/>
    <n v="49"/>
    <x v="0"/>
    <x v="2"/>
    <x v="2"/>
    <n v="155.91999999999999"/>
    <x v="3"/>
    <x v="0"/>
    <n v="4.0999999999999996"/>
    <n v="8"/>
    <n v="4"/>
    <n v="169.47826086956519"/>
    <n v="13.558260869565203"/>
    <x v="4"/>
    <m/>
  </r>
  <r>
    <n v="2529"/>
    <n v="25"/>
    <x v="1"/>
    <x v="5"/>
    <x v="25"/>
    <n v="1144.23"/>
    <x v="3"/>
    <x v="0"/>
    <n v="3.4"/>
    <n v="2"/>
    <n v="1"/>
    <n v="1167.5816326530612"/>
    <n v="23.351632653061188"/>
    <x v="5"/>
    <m/>
  </r>
  <r>
    <n v="2530"/>
    <n v="35"/>
    <x v="1"/>
    <x v="1"/>
    <x v="9"/>
    <n v="180.47"/>
    <x v="2"/>
    <x v="0"/>
    <n v="4"/>
    <n v="12"/>
    <n v="6"/>
    <n v="205.07954545454544"/>
    <n v="24.60954545454544"/>
    <x v="1"/>
    <m/>
  </r>
  <r>
    <n v="2531"/>
    <n v="67"/>
    <x v="0"/>
    <x v="3"/>
    <x v="15"/>
    <n v="127.66"/>
    <x v="3"/>
    <x v="0"/>
    <n v="4.3"/>
    <n v="15"/>
    <n v="5"/>
    <n v="150.18823529411765"/>
    <n v="22.52823529411765"/>
    <x v="2"/>
    <m/>
  </r>
  <r>
    <n v="2532"/>
    <n v="58"/>
    <x v="0"/>
    <x v="4"/>
    <x v="26"/>
    <n v="24.67"/>
    <x v="1"/>
    <x v="0"/>
    <n v="5"/>
    <n v="8"/>
    <n v="4"/>
    <n v="26.815217391304348"/>
    <n v="2.145217391304346"/>
    <x v="0"/>
    <m/>
  </r>
  <r>
    <n v="2533"/>
    <n v="57"/>
    <x v="1"/>
    <x v="3"/>
    <x v="3"/>
    <n v="146.46"/>
    <x v="1"/>
    <x v="0"/>
    <n v="4.4000000000000004"/>
    <n v="6"/>
    <n v="3"/>
    <n v="155.80851063829789"/>
    <n v="9.3485106382978813"/>
    <x v="0"/>
    <m/>
  </r>
  <r>
    <n v="2534"/>
    <n v="44"/>
    <x v="0"/>
    <x v="8"/>
    <x v="16"/>
    <n v="88.66"/>
    <x v="1"/>
    <x v="1"/>
    <n v="3.1"/>
    <n v="15"/>
    <n v="5"/>
    <n v="104.30588235294117"/>
    <n v="15.645882352941172"/>
    <x v="1"/>
    <m/>
  </r>
  <r>
    <n v="2535"/>
    <n v="22"/>
    <x v="1"/>
    <x v="2"/>
    <x v="12"/>
    <n v="174.54"/>
    <x v="2"/>
    <x v="0"/>
    <n v="3.3"/>
    <n v="18"/>
    <n v="9"/>
    <n v="212.85365853658533"/>
    <n v="38.313658536585336"/>
    <x v="3"/>
    <m/>
  </r>
  <r>
    <n v="2536"/>
    <n v="26"/>
    <x v="1"/>
    <x v="5"/>
    <x v="21"/>
    <n v="689.29"/>
    <x v="0"/>
    <x v="0"/>
    <n v="3.7"/>
    <n v="4"/>
    <n v="2"/>
    <n v="718.01041666666663"/>
    <n v="28.720416666666665"/>
    <x v="5"/>
    <m/>
  </r>
  <r>
    <n v="2537"/>
    <n v="48"/>
    <x v="0"/>
    <x v="8"/>
    <x v="17"/>
    <n v="102.81"/>
    <x v="3"/>
    <x v="0"/>
    <n v="2.8"/>
    <n v="13"/>
    <n v="4"/>
    <n v="118.17241379310344"/>
    <n v="15.362413793103443"/>
    <x v="4"/>
    <m/>
  </r>
  <r>
    <n v="2538"/>
    <n v="53"/>
    <x v="0"/>
    <x v="8"/>
    <x v="16"/>
    <n v="98.94"/>
    <x v="0"/>
    <x v="0"/>
    <n v="4.8"/>
    <n v="15"/>
    <n v="5"/>
    <n v="116.4"/>
    <n v="17.460000000000008"/>
    <x v="4"/>
    <m/>
  </r>
  <r>
    <n v="2539"/>
    <n v="63"/>
    <x v="1"/>
    <x v="1"/>
    <x v="9"/>
    <n v="111.55"/>
    <x v="2"/>
    <x v="0"/>
    <n v="3.4"/>
    <n v="12"/>
    <n v="6"/>
    <n v="126.76136363636363"/>
    <n v="15.211363636363629"/>
    <x v="0"/>
    <m/>
  </r>
  <r>
    <n v="2540"/>
    <n v="56"/>
    <x v="0"/>
    <x v="7"/>
    <x v="8"/>
    <n v="97.22"/>
    <x v="0"/>
    <x v="0"/>
    <n v="2.8"/>
    <n v="4"/>
    <n v="2"/>
    <n v="101.27083333333334"/>
    <n v="4.0508333333333439"/>
    <x v="0"/>
    <m/>
  </r>
  <r>
    <n v="2541"/>
    <n v="61"/>
    <x v="0"/>
    <x v="2"/>
    <x v="10"/>
    <n v="25.02"/>
    <x v="1"/>
    <x v="1"/>
    <n v="4.2"/>
    <n v="16"/>
    <n v="3"/>
    <n v="29.785714285714285"/>
    <n v="4.7657142857142851"/>
    <x v="0"/>
    <m/>
  </r>
  <r>
    <n v="2542"/>
    <n v="36"/>
    <x v="0"/>
    <x v="7"/>
    <x v="13"/>
    <n v="96.04"/>
    <x v="0"/>
    <x v="1"/>
    <n v="2.8"/>
    <n v="20"/>
    <n v="5"/>
    <n v="120.05"/>
    <n v="24.009999999999991"/>
    <x v="1"/>
    <m/>
  </r>
  <r>
    <n v="2543"/>
    <n v="25"/>
    <x v="1"/>
    <x v="7"/>
    <x v="11"/>
    <n v="77.540000000000006"/>
    <x v="3"/>
    <x v="0"/>
    <n v="4"/>
    <n v="15"/>
    <n v="5"/>
    <n v="91.223529411764716"/>
    <n v="13.683529411764709"/>
    <x v="5"/>
    <m/>
  </r>
  <r>
    <n v="2544"/>
    <n v="23"/>
    <x v="0"/>
    <x v="7"/>
    <x v="11"/>
    <n v="128.30000000000001"/>
    <x v="0"/>
    <x v="0"/>
    <n v="2.7"/>
    <n v="10"/>
    <n v="5"/>
    <n v="142.55555555555557"/>
    <n v="14.25555555555556"/>
    <x v="3"/>
    <m/>
  </r>
  <r>
    <n v="2545"/>
    <n v="64"/>
    <x v="0"/>
    <x v="7"/>
    <x v="13"/>
    <n v="123.62"/>
    <x v="2"/>
    <x v="0"/>
    <n v="4.2"/>
    <n v="10"/>
    <n v="5"/>
    <n v="137.35555555555555"/>
    <n v="13.73555555555555"/>
    <x v="0"/>
    <m/>
  </r>
  <r>
    <n v="2546"/>
    <n v="54"/>
    <x v="1"/>
    <x v="2"/>
    <x v="10"/>
    <n v="113.57"/>
    <x v="0"/>
    <x v="0"/>
    <n v="3"/>
    <n v="15"/>
    <n v="5"/>
    <n v="133.61176470588234"/>
    <n v="20.041764705882343"/>
    <x v="4"/>
    <m/>
  </r>
  <r>
    <n v="2547"/>
    <n v="22"/>
    <x v="0"/>
    <x v="0"/>
    <x v="22"/>
    <n v="76.34"/>
    <x v="3"/>
    <x v="1"/>
    <n v="3.9"/>
    <n v="17"/>
    <n v="6"/>
    <n v="91.975903614457835"/>
    <n v="15.635903614457831"/>
    <x v="3"/>
    <m/>
  </r>
  <r>
    <n v="2548"/>
    <n v="61"/>
    <x v="1"/>
    <x v="1"/>
    <x v="9"/>
    <n v="128.18"/>
    <x v="1"/>
    <x v="0"/>
    <n v="3.6"/>
    <n v="16"/>
    <n v="3"/>
    <n v="152.5952380952381"/>
    <n v="24.415238095238095"/>
    <x v="0"/>
    <m/>
  </r>
  <r>
    <n v="2549"/>
    <n v="26"/>
    <x v="1"/>
    <x v="2"/>
    <x v="2"/>
    <n v="98.3"/>
    <x v="0"/>
    <x v="0"/>
    <n v="3.9"/>
    <n v="16"/>
    <n v="3"/>
    <n v="117.02380952380952"/>
    <n v="18.723809523809521"/>
    <x v="5"/>
    <m/>
  </r>
  <r>
    <n v="2550"/>
    <n v="42"/>
    <x v="0"/>
    <x v="6"/>
    <x v="27"/>
    <n v="74.72"/>
    <x v="1"/>
    <x v="0"/>
    <n v="4.3"/>
    <n v="25"/>
    <n v="10"/>
    <n v="99.626666666666665"/>
    <n v="24.906666666666666"/>
    <x v="1"/>
    <m/>
  </r>
  <r>
    <n v="2551"/>
    <n v="56"/>
    <x v="0"/>
    <x v="8"/>
    <x v="17"/>
    <n v="104.87"/>
    <x v="0"/>
    <x v="0"/>
    <n v="4.4000000000000004"/>
    <n v="22"/>
    <n v="11"/>
    <n v="134.44871794871796"/>
    <n v="29.578717948717951"/>
    <x v="0"/>
    <m/>
  </r>
  <r>
    <n v="2552"/>
    <n v="54"/>
    <x v="0"/>
    <x v="0"/>
    <x v="28"/>
    <n v="54.62"/>
    <x v="3"/>
    <x v="1"/>
    <n v="3.7"/>
    <n v="8"/>
    <n v="4"/>
    <n v="59.369565217391298"/>
    <n v="4.7495652173913001"/>
    <x v="4"/>
    <m/>
  </r>
  <r>
    <n v="2553"/>
    <n v="50"/>
    <x v="0"/>
    <x v="0"/>
    <x v="28"/>
    <n v="161.18"/>
    <x v="3"/>
    <x v="0"/>
    <n v="3.9"/>
    <n v="22"/>
    <n v="6"/>
    <n v="206.64102564102564"/>
    <n v="45.461025641025628"/>
    <x v="4"/>
    <m/>
  </r>
  <r>
    <n v="2554"/>
    <n v="52"/>
    <x v="0"/>
    <x v="4"/>
    <x v="26"/>
    <n v="36.75"/>
    <x v="0"/>
    <x v="0"/>
    <n v="4"/>
    <n v="8"/>
    <n v="4"/>
    <n v="39.945652173913039"/>
    <n v="3.1956521739130395"/>
    <x v="4"/>
    <m/>
  </r>
  <r>
    <n v="2555"/>
    <n v="41"/>
    <x v="0"/>
    <x v="0"/>
    <x v="22"/>
    <n v="101.23"/>
    <x v="1"/>
    <x v="0"/>
    <n v="2.8"/>
    <n v="15"/>
    <n v="5"/>
    <n v="119.09411764705884"/>
    <n v="17.864117647058833"/>
    <x v="1"/>
    <m/>
  </r>
  <r>
    <n v="2556"/>
    <n v="63"/>
    <x v="0"/>
    <x v="4"/>
    <x v="29"/>
    <n v="69.8"/>
    <x v="0"/>
    <x v="1"/>
    <n v="5"/>
    <n v="10"/>
    <n v="5"/>
    <n v="77.555555555555557"/>
    <n v="7.75555555555556"/>
    <x v="0"/>
    <m/>
  </r>
  <r>
    <n v="2557"/>
    <n v="57"/>
    <x v="0"/>
    <x v="4"/>
    <x v="29"/>
    <n v="56.76"/>
    <x v="3"/>
    <x v="0"/>
    <n v="3.9"/>
    <n v="22"/>
    <n v="6"/>
    <n v="72.769230769230759"/>
    <n v="16.009230769230761"/>
    <x v="0"/>
    <m/>
  </r>
  <r>
    <n v="2558"/>
    <n v="44"/>
    <x v="0"/>
    <x v="2"/>
    <x v="12"/>
    <n v="192.76"/>
    <x v="0"/>
    <x v="0"/>
    <n v="3.5"/>
    <n v="15"/>
    <n v="5"/>
    <n v="226.7764705882353"/>
    <n v="34.016470588235308"/>
    <x v="1"/>
    <m/>
  </r>
  <r>
    <n v="2559"/>
    <n v="47"/>
    <x v="1"/>
    <x v="2"/>
    <x v="12"/>
    <n v="133.84"/>
    <x v="3"/>
    <x v="0"/>
    <n v="5"/>
    <n v="14"/>
    <n v="7"/>
    <n v="155.62790697674419"/>
    <n v="21.787906976744182"/>
    <x v="4"/>
    <m/>
  </r>
  <r>
    <n v="2560"/>
    <n v="66"/>
    <x v="0"/>
    <x v="0"/>
    <x v="22"/>
    <n v="48.53"/>
    <x v="3"/>
    <x v="0"/>
    <n v="2.9"/>
    <n v="11"/>
    <n v="3"/>
    <n v="54.528089887640448"/>
    <n v="5.9980898876404467"/>
    <x v="2"/>
    <m/>
  </r>
  <r>
    <n v="2561"/>
    <n v="65"/>
    <x v="0"/>
    <x v="3"/>
    <x v="24"/>
    <n v="157.49"/>
    <x v="1"/>
    <x v="0"/>
    <n v="3.8"/>
    <n v="17"/>
    <n v="6"/>
    <n v="189.74698795180726"/>
    <n v="32.256987951807247"/>
    <x v="2"/>
    <m/>
  </r>
  <r>
    <n v="2562"/>
    <n v="69"/>
    <x v="1"/>
    <x v="7"/>
    <x v="8"/>
    <n v="157.19999999999999"/>
    <x v="2"/>
    <x v="0"/>
    <n v="4.4000000000000004"/>
    <n v="11"/>
    <n v="3"/>
    <n v="176.62921348314606"/>
    <n v="19.429213483146071"/>
    <x v="2"/>
    <m/>
  </r>
  <r>
    <n v="2563"/>
    <n v="45"/>
    <x v="0"/>
    <x v="6"/>
    <x v="27"/>
    <n v="59.66"/>
    <x v="0"/>
    <x v="0"/>
    <n v="3.8"/>
    <n v="11"/>
    <n v="3"/>
    <n v="67.033707865168537"/>
    <n v="7.3737078651685408"/>
    <x v="4"/>
    <m/>
  </r>
  <r>
    <n v="2564"/>
    <n v="37"/>
    <x v="0"/>
    <x v="8"/>
    <x v="14"/>
    <n v="181.19"/>
    <x v="3"/>
    <x v="0"/>
    <n v="4.3"/>
    <n v="22"/>
    <n v="6"/>
    <n v="232.2948717948718"/>
    <n v="51.104871794871798"/>
    <x v="1"/>
    <m/>
  </r>
  <r>
    <n v="2565"/>
    <n v="47"/>
    <x v="0"/>
    <x v="8"/>
    <x v="18"/>
    <n v="123.24"/>
    <x v="1"/>
    <x v="0"/>
    <n v="3.6"/>
    <n v="10"/>
    <n v="5"/>
    <n v="136.93333333333334"/>
    <n v="13.693333333333342"/>
    <x v="4"/>
    <m/>
  </r>
  <r>
    <n v="2566"/>
    <n v="33"/>
    <x v="0"/>
    <x v="8"/>
    <x v="18"/>
    <n v="53.56"/>
    <x v="1"/>
    <x v="0"/>
    <n v="3.1"/>
    <n v="10"/>
    <n v="5"/>
    <n v="59.511111111111113"/>
    <n v="5.9511111111111106"/>
    <x v="5"/>
    <m/>
  </r>
  <r>
    <n v="2567"/>
    <n v="44"/>
    <x v="0"/>
    <x v="0"/>
    <x v="0"/>
    <n v="153.44999999999999"/>
    <x v="1"/>
    <x v="0"/>
    <n v="4.0999999999999996"/>
    <n v="13"/>
    <n v="4"/>
    <n v="176.37931034482759"/>
    <n v="22.929310344827599"/>
    <x v="1"/>
    <m/>
  </r>
  <r>
    <n v="2568"/>
    <n v="30"/>
    <x v="0"/>
    <x v="7"/>
    <x v="13"/>
    <n v="136.93"/>
    <x v="3"/>
    <x v="0"/>
    <n v="5"/>
    <n v="9"/>
    <n v="2"/>
    <n v="150.47252747252747"/>
    <n v="13.542527472527468"/>
    <x v="5"/>
    <m/>
  </r>
  <r>
    <n v="2569"/>
    <n v="70"/>
    <x v="1"/>
    <x v="1"/>
    <x v="14"/>
    <n v="198.86"/>
    <x v="1"/>
    <x v="0"/>
    <n v="4.0999999999999996"/>
    <n v="8"/>
    <n v="4"/>
    <n v="216.15217391304347"/>
    <n v="17.292173913043456"/>
    <x v="2"/>
    <m/>
  </r>
  <r>
    <n v="2570"/>
    <n v="44"/>
    <x v="1"/>
    <x v="2"/>
    <x v="10"/>
    <n v="154.32"/>
    <x v="2"/>
    <x v="0"/>
    <n v="4.5999999999999996"/>
    <n v="10"/>
    <n v="5"/>
    <n v="171.46666666666667"/>
    <n v="17.146666666666675"/>
    <x v="1"/>
    <m/>
  </r>
  <r>
    <n v="2571"/>
    <n v="69"/>
    <x v="1"/>
    <x v="1"/>
    <x v="20"/>
    <n v="176.88"/>
    <x v="1"/>
    <x v="0"/>
    <n v="4.3"/>
    <n v="9"/>
    <n v="2"/>
    <n v="194.37362637362637"/>
    <n v="17.49362637362637"/>
    <x v="2"/>
    <m/>
  </r>
  <r>
    <n v="2572"/>
    <n v="48"/>
    <x v="0"/>
    <x v="2"/>
    <x v="10"/>
    <n v="91.06"/>
    <x v="3"/>
    <x v="0"/>
    <n v="4.2"/>
    <n v="11"/>
    <n v="3"/>
    <n v="102.31460674157303"/>
    <n v="11.254606741573028"/>
    <x v="4"/>
    <m/>
  </r>
  <r>
    <n v="2573"/>
    <n v="33"/>
    <x v="0"/>
    <x v="7"/>
    <x v="11"/>
    <n v="76.06"/>
    <x v="0"/>
    <x v="0"/>
    <n v="4"/>
    <n v="15"/>
    <n v="5"/>
    <n v="89.482352941176472"/>
    <n v="13.42235294117647"/>
    <x v="5"/>
    <m/>
  </r>
  <r>
    <n v="2574"/>
    <n v="52"/>
    <x v="0"/>
    <x v="0"/>
    <x v="28"/>
    <n v="65.97"/>
    <x v="1"/>
    <x v="0"/>
    <n v="2.9"/>
    <n v="6"/>
    <n v="3"/>
    <n v="70.180851063829792"/>
    <n v="4.2108510638297929"/>
    <x v="4"/>
    <m/>
  </r>
  <r>
    <n v="2575"/>
    <n v="65"/>
    <x v="1"/>
    <x v="1"/>
    <x v="14"/>
    <n v="119.34"/>
    <x v="2"/>
    <x v="0"/>
    <n v="4.0999999999999996"/>
    <n v="8"/>
    <n v="4"/>
    <n v="129.71739130434781"/>
    <n v="10.37739130434781"/>
    <x v="2"/>
    <m/>
  </r>
  <r>
    <n v="2576"/>
    <n v="70"/>
    <x v="0"/>
    <x v="8"/>
    <x v="14"/>
    <n v="140.91"/>
    <x v="1"/>
    <x v="0"/>
    <n v="3.1"/>
    <n v="10"/>
    <n v="5"/>
    <n v="156.56666666666666"/>
    <n v="15.656666666666666"/>
    <x v="2"/>
    <m/>
  </r>
  <r>
    <n v="2577"/>
    <n v="29"/>
    <x v="1"/>
    <x v="4"/>
    <x v="4"/>
    <n v="51.55"/>
    <x v="0"/>
    <x v="0"/>
    <n v="4.2"/>
    <n v="7"/>
    <n v="1"/>
    <n v="55.43010752688172"/>
    <n v="3.8801075268817229"/>
    <x v="5"/>
    <m/>
  </r>
  <r>
    <n v="2578"/>
    <n v="47"/>
    <x v="1"/>
    <x v="7"/>
    <x v="11"/>
    <n v="45.39"/>
    <x v="0"/>
    <x v="0"/>
    <n v="4.0999999999999996"/>
    <n v="19"/>
    <n v="7"/>
    <n v="56.037037037037031"/>
    <n v="10.64703703703703"/>
    <x v="4"/>
    <m/>
  </r>
  <r>
    <n v="2579"/>
    <n v="69"/>
    <x v="0"/>
    <x v="2"/>
    <x v="2"/>
    <n v="116.25"/>
    <x v="2"/>
    <x v="0"/>
    <n v="4.5999999999999996"/>
    <n v="24"/>
    <n v="7"/>
    <n v="152.96052631578948"/>
    <n v="36.71052631578948"/>
    <x v="2"/>
    <m/>
  </r>
  <r>
    <n v="2580"/>
    <n v="43"/>
    <x v="0"/>
    <x v="4"/>
    <x v="19"/>
    <n v="65.16"/>
    <x v="2"/>
    <x v="1"/>
    <n v="4.7"/>
    <n v="18"/>
    <n v="4"/>
    <n v="79.463414634146332"/>
    <n v="14.303414634146336"/>
    <x v="1"/>
    <m/>
  </r>
  <r>
    <n v="2581"/>
    <n v="33"/>
    <x v="0"/>
    <x v="8"/>
    <x v="17"/>
    <n v="123.96"/>
    <x v="1"/>
    <x v="0"/>
    <n v="3.1"/>
    <n v="15"/>
    <n v="5"/>
    <n v="145.83529411764707"/>
    <n v="21.875294117647073"/>
    <x v="5"/>
    <m/>
  </r>
  <r>
    <n v="2582"/>
    <n v="66"/>
    <x v="1"/>
    <x v="7"/>
    <x v="11"/>
    <n v="58.45"/>
    <x v="2"/>
    <x v="0"/>
    <n v="3.5"/>
    <n v="20"/>
    <n v="5"/>
    <n v="73.0625"/>
    <n v="14.612499999999997"/>
    <x v="2"/>
    <m/>
  </r>
  <r>
    <n v="2583"/>
    <n v="59"/>
    <x v="0"/>
    <x v="7"/>
    <x v="8"/>
    <n v="183.81"/>
    <x v="1"/>
    <x v="0"/>
    <n v="4.0999999999999996"/>
    <n v="22"/>
    <n v="6"/>
    <n v="235.65384615384616"/>
    <n v="51.843846153846158"/>
    <x v="0"/>
    <m/>
  </r>
  <r>
    <n v="2584"/>
    <n v="30"/>
    <x v="0"/>
    <x v="6"/>
    <x v="27"/>
    <n v="129.88999999999999"/>
    <x v="3"/>
    <x v="0"/>
    <n v="4.2"/>
    <n v="17"/>
    <n v="6"/>
    <n v="156.49397590361446"/>
    <n v="26.603975903614469"/>
    <x v="5"/>
    <m/>
  </r>
  <r>
    <n v="2585"/>
    <n v="47"/>
    <x v="1"/>
    <x v="1"/>
    <x v="20"/>
    <n v="97.5"/>
    <x v="1"/>
    <x v="1"/>
    <n v="4.7"/>
    <n v="12"/>
    <n v="6"/>
    <n v="110.79545454545455"/>
    <n v="13.295454545454547"/>
    <x v="4"/>
    <m/>
  </r>
  <r>
    <n v="2586"/>
    <n v="68"/>
    <x v="1"/>
    <x v="2"/>
    <x v="12"/>
    <n v="123.53"/>
    <x v="1"/>
    <x v="0"/>
    <n v="4.4000000000000004"/>
    <n v="14"/>
    <n v="2"/>
    <n v="143.63953488372093"/>
    <n v="20.109534883720926"/>
    <x v="2"/>
    <m/>
  </r>
  <r>
    <n v="2587"/>
    <n v="53"/>
    <x v="1"/>
    <x v="2"/>
    <x v="10"/>
    <n v="152.44999999999999"/>
    <x v="1"/>
    <x v="0"/>
    <n v="3"/>
    <n v="19"/>
    <n v="7"/>
    <n v="188.20987654320984"/>
    <n v="35.759876543209856"/>
    <x v="4"/>
    <m/>
  </r>
  <r>
    <n v="2588"/>
    <n v="30"/>
    <x v="0"/>
    <x v="8"/>
    <x v="17"/>
    <n v="148.18"/>
    <x v="2"/>
    <x v="0"/>
    <n v="4.7"/>
    <n v="24"/>
    <n v="7"/>
    <n v="194.97368421052633"/>
    <n v="46.793684210526322"/>
    <x v="5"/>
    <m/>
  </r>
  <r>
    <n v="2589"/>
    <n v="52"/>
    <x v="0"/>
    <x v="4"/>
    <x v="29"/>
    <n v="69.489999999999995"/>
    <x v="1"/>
    <x v="1"/>
    <n v="3.9"/>
    <n v="12"/>
    <n v="6"/>
    <n v="78.965909090909079"/>
    <n v="9.4759090909090844"/>
    <x v="4"/>
    <m/>
  </r>
  <r>
    <n v="2590"/>
    <n v="28"/>
    <x v="0"/>
    <x v="7"/>
    <x v="11"/>
    <n v="221.51"/>
    <x v="1"/>
    <x v="0"/>
    <n v="3"/>
    <n v="8"/>
    <n v="4"/>
    <n v="240.77173913043475"/>
    <n v="19.261739130434762"/>
    <x v="5"/>
    <m/>
  </r>
  <r>
    <n v="2591"/>
    <n v="40"/>
    <x v="0"/>
    <x v="2"/>
    <x v="10"/>
    <n v="129.22"/>
    <x v="0"/>
    <x v="0"/>
    <n v="4.3"/>
    <n v="12"/>
    <n v="6"/>
    <n v="146.84090909090909"/>
    <n v="17.620909090909095"/>
    <x v="1"/>
    <m/>
  </r>
  <r>
    <n v="2592"/>
    <n v="46"/>
    <x v="1"/>
    <x v="2"/>
    <x v="12"/>
    <n v="67.89"/>
    <x v="3"/>
    <x v="0"/>
    <n v="3.3"/>
    <n v="8"/>
    <n v="4"/>
    <n v="73.793478260869563"/>
    <n v="5.9034782608695622"/>
    <x v="4"/>
    <m/>
  </r>
  <r>
    <n v="2593"/>
    <n v="26"/>
    <x v="1"/>
    <x v="4"/>
    <x v="19"/>
    <n v="31.17"/>
    <x v="0"/>
    <x v="1"/>
    <n v="3.4"/>
    <n v="11"/>
    <n v="3"/>
    <n v="35.022471910112358"/>
    <n v="3.8524719101123566"/>
    <x v="5"/>
    <m/>
  </r>
  <r>
    <n v="2594"/>
    <n v="54"/>
    <x v="0"/>
    <x v="0"/>
    <x v="22"/>
    <n v="90.54"/>
    <x v="3"/>
    <x v="1"/>
    <n v="3.4"/>
    <n v="18"/>
    <n v="4"/>
    <n v="110.41463414634146"/>
    <n v="19.87463414634145"/>
    <x v="4"/>
    <m/>
  </r>
  <r>
    <n v="2595"/>
    <n v="34"/>
    <x v="1"/>
    <x v="1"/>
    <x v="1"/>
    <n v="62.19"/>
    <x v="2"/>
    <x v="1"/>
    <n v="4.0999999999999996"/>
    <n v="18"/>
    <n v="4"/>
    <n v="75.841463414634134"/>
    <n v="13.651463414634136"/>
    <x v="5"/>
    <m/>
  </r>
  <r>
    <n v="2596"/>
    <n v="53"/>
    <x v="0"/>
    <x v="7"/>
    <x v="13"/>
    <n v="160.62"/>
    <x v="3"/>
    <x v="0"/>
    <n v="3.4"/>
    <n v="21"/>
    <n v="8"/>
    <n v="203.31645569620252"/>
    <n v="42.69645569620252"/>
    <x v="4"/>
    <m/>
  </r>
  <r>
    <n v="2597"/>
    <n v="53"/>
    <x v="1"/>
    <x v="5"/>
    <x v="21"/>
    <n v="2661.25"/>
    <x v="1"/>
    <x v="0"/>
    <n v="4.5"/>
    <n v="24"/>
    <n v="7"/>
    <n v="3501.6447368421054"/>
    <n v="840.39473684210543"/>
    <x v="4"/>
    <m/>
  </r>
  <r>
    <n v="2598"/>
    <n v="60"/>
    <x v="0"/>
    <x v="8"/>
    <x v="17"/>
    <n v="57.4"/>
    <x v="2"/>
    <x v="1"/>
    <n v="3.3"/>
    <n v="17"/>
    <n v="6"/>
    <n v="69.156626506024097"/>
    <n v="11.756626506024098"/>
    <x v="0"/>
    <m/>
  </r>
  <r>
    <n v="2599"/>
    <n v="24"/>
    <x v="1"/>
    <x v="1"/>
    <x v="20"/>
    <n v="38.57"/>
    <x v="3"/>
    <x v="0"/>
    <n v="3.5"/>
    <n v="6"/>
    <n v="3"/>
    <n v="41.031914893617021"/>
    <n v="2.4619148936170205"/>
    <x v="3"/>
    <m/>
  </r>
  <r>
    <n v="2600"/>
    <n v="29"/>
    <x v="0"/>
    <x v="7"/>
    <x v="11"/>
    <n v="57.06"/>
    <x v="0"/>
    <x v="0"/>
    <n v="4.0999999999999996"/>
    <n v="12"/>
    <n v="6"/>
    <n v="64.840909090909093"/>
    <n v="7.7809090909090912"/>
    <x v="5"/>
    <m/>
  </r>
  <r>
    <n v="2601"/>
    <n v="64"/>
    <x v="1"/>
    <x v="4"/>
    <x v="19"/>
    <n v="49.9"/>
    <x v="3"/>
    <x v="0"/>
    <n v="4.2"/>
    <n v="14"/>
    <n v="7"/>
    <n v="58.02325581395349"/>
    <n v="8.1232558139534916"/>
    <x v="0"/>
    <m/>
  </r>
  <r>
    <n v="2602"/>
    <n v="48"/>
    <x v="0"/>
    <x v="0"/>
    <x v="0"/>
    <n v="142.62"/>
    <x v="0"/>
    <x v="0"/>
    <n v="3.6"/>
    <n v="18"/>
    <n v="9"/>
    <n v="173.92682926829266"/>
    <n v="31.30682926829266"/>
    <x v="4"/>
    <m/>
  </r>
  <r>
    <n v="2603"/>
    <n v="55"/>
    <x v="1"/>
    <x v="1"/>
    <x v="14"/>
    <n v="90.45"/>
    <x v="1"/>
    <x v="1"/>
    <n v="3.3"/>
    <n v="8"/>
    <n v="4"/>
    <n v="98.315217391304344"/>
    <n v="7.8652173913043413"/>
    <x v="0"/>
    <m/>
  </r>
  <r>
    <n v="2604"/>
    <n v="59"/>
    <x v="1"/>
    <x v="2"/>
    <x v="10"/>
    <n v="207.97"/>
    <x v="1"/>
    <x v="0"/>
    <n v="4.5"/>
    <n v="13"/>
    <n v="4"/>
    <n v="239.04597701149424"/>
    <n v="31.075977011494246"/>
    <x v="0"/>
    <m/>
  </r>
  <r>
    <n v="2605"/>
    <n v="29"/>
    <x v="1"/>
    <x v="2"/>
    <x v="12"/>
    <n v="78.87"/>
    <x v="3"/>
    <x v="1"/>
    <n v="3.9"/>
    <n v="17"/>
    <n v="6"/>
    <n v="95.02409638554218"/>
    <n v="16.154096385542175"/>
    <x v="5"/>
    <m/>
  </r>
  <r>
    <n v="2606"/>
    <n v="47"/>
    <x v="1"/>
    <x v="1"/>
    <x v="9"/>
    <n v="160.26"/>
    <x v="3"/>
    <x v="0"/>
    <n v="3.7"/>
    <n v="20"/>
    <n v="5"/>
    <n v="200.32499999999999"/>
    <n v="40.064999999999998"/>
    <x v="4"/>
    <m/>
  </r>
  <r>
    <n v="2607"/>
    <n v="27"/>
    <x v="1"/>
    <x v="2"/>
    <x v="2"/>
    <n v="227.6"/>
    <x v="2"/>
    <x v="0"/>
    <n v="4.9000000000000004"/>
    <n v="14"/>
    <n v="2"/>
    <n v="264.6511627906977"/>
    <n v="37.051162790697703"/>
    <x v="5"/>
    <m/>
  </r>
  <r>
    <n v="2608"/>
    <n v="37"/>
    <x v="0"/>
    <x v="7"/>
    <x v="11"/>
    <n v="62.2"/>
    <x v="3"/>
    <x v="1"/>
    <n v="4"/>
    <n v="18"/>
    <n v="9"/>
    <n v="75.853658536585357"/>
    <n v="13.653658536585354"/>
    <x v="1"/>
    <m/>
  </r>
  <r>
    <n v="2609"/>
    <n v="30"/>
    <x v="1"/>
    <x v="1"/>
    <x v="1"/>
    <n v="111.07"/>
    <x v="1"/>
    <x v="0"/>
    <n v="3.9"/>
    <n v="23"/>
    <n v="9"/>
    <n v="144.24675324675323"/>
    <n v="33.176753246753236"/>
    <x v="5"/>
    <m/>
  </r>
  <r>
    <n v="2610"/>
    <n v="44"/>
    <x v="1"/>
    <x v="3"/>
    <x v="15"/>
    <n v="136.96"/>
    <x v="3"/>
    <x v="0"/>
    <n v="2.5"/>
    <n v="19"/>
    <n v="7"/>
    <n v="169.08641975308643"/>
    <n v="32.126419753086424"/>
    <x v="1"/>
    <m/>
  </r>
  <r>
    <n v="2611"/>
    <n v="28"/>
    <x v="0"/>
    <x v="2"/>
    <x v="12"/>
    <n v="99.34"/>
    <x v="2"/>
    <x v="1"/>
    <n v="4.0999999999999996"/>
    <n v="15"/>
    <n v="5"/>
    <n v="116.87058823529412"/>
    <n v="17.530588235294118"/>
    <x v="5"/>
    <m/>
  </r>
  <r>
    <n v="2612"/>
    <n v="58"/>
    <x v="0"/>
    <x v="6"/>
    <x v="27"/>
    <n v="59.64"/>
    <x v="1"/>
    <x v="1"/>
    <n v="3.1"/>
    <n v="15"/>
    <n v="5"/>
    <n v="70.164705882352948"/>
    <n v="10.524705882352947"/>
    <x v="0"/>
    <m/>
  </r>
  <r>
    <n v="2613"/>
    <n v="67"/>
    <x v="0"/>
    <x v="8"/>
    <x v="18"/>
    <n v="44.95"/>
    <x v="2"/>
    <x v="0"/>
    <n v="2.8"/>
    <n v="12"/>
    <n v="6"/>
    <n v="51.07954545454546"/>
    <n v="6.1295454545454575"/>
    <x v="2"/>
    <m/>
  </r>
  <r>
    <n v="2614"/>
    <n v="58"/>
    <x v="1"/>
    <x v="5"/>
    <x v="5"/>
    <n v="926.5"/>
    <x v="3"/>
    <x v="0"/>
    <n v="4.3"/>
    <n v="6"/>
    <n v="3"/>
    <n v="985.63829787234044"/>
    <n v="59.138297872340445"/>
    <x v="0"/>
    <m/>
  </r>
  <r>
    <n v="2615"/>
    <n v="45"/>
    <x v="0"/>
    <x v="4"/>
    <x v="29"/>
    <n v="59.98"/>
    <x v="3"/>
    <x v="0"/>
    <n v="4"/>
    <n v="6"/>
    <n v="3"/>
    <n v="63.808510638297875"/>
    <n v="3.8285106382978782"/>
    <x v="4"/>
    <m/>
  </r>
  <r>
    <n v="2616"/>
    <n v="26"/>
    <x v="1"/>
    <x v="2"/>
    <x v="10"/>
    <n v="188.94"/>
    <x v="2"/>
    <x v="0"/>
    <n v="4.3"/>
    <n v="18"/>
    <n v="4"/>
    <n v="230.41463414634146"/>
    <n v="41.474634146341458"/>
    <x v="5"/>
    <m/>
  </r>
  <r>
    <n v="2617"/>
    <n v="56"/>
    <x v="0"/>
    <x v="7"/>
    <x v="13"/>
    <n v="177.97"/>
    <x v="1"/>
    <x v="0"/>
    <n v="4"/>
    <n v="20"/>
    <n v="10"/>
    <n v="222.46249999999998"/>
    <n v="44.492499999999978"/>
    <x v="0"/>
    <m/>
  </r>
  <r>
    <n v="2618"/>
    <n v="50"/>
    <x v="0"/>
    <x v="0"/>
    <x v="28"/>
    <n v="128.68"/>
    <x v="1"/>
    <x v="0"/>
    <n v="3.7"/>
    <n v="11"/>
    <n v="3"/>
    <n v="144.58426966292134"/>
    <n v="15.904269662921337"/>
    <x v="4"/>
    <m/>
  </r>
  <r>
    <n v="2619"/>
    <n v="48"/>
    <x v="1"/>
    <x v="2"/>
    <x v="2"/>
    <n v="137.66999999999999"/>
    <x v="1"/>
    <x v="0"/>
    <n v="3.7"/>
    <n v="4"/>
    <n v="2"/>
    <n v="143.40625"/>
    <n v="5.7362500000000125"/>
    <x v="4"/>
    <m/>
  </r>
  <r>
    <n v="2620"/>
    <n v="28"/>
    <x v="1"/>
    <x v="1"/>
    <x v="14"/>
    <n v="138.24"/>
    <x v="0"/>
    <x v="0"/>
    <n v="3.1"/>
    <n v="11"/>
    <n v="3"/>
    <n v="155.32584269662922"/>
    <n v="17.085842696629214"/>
    <x v="5"/>
    <m/>
  </r>
  <r>
    <n v="2621"/>
    <n v="60"/>
    <x v="1"/>
    <x v="2"/>
    <x v="10"/>
    <n v="26.82"/>
    <x v="2"/>
    <x v="0"/>
    <n v="4.5"/>
    <n v="11"/>
    <n v="3"/>
    <n v="30.134831460674157"/>
    <n v="3.3148314606741565"/>
    <x v="0"/>
    <m/>
  </r>
  <r>
    <n v="2622"/>
    <n v="64"/>
    <x v="0"/>
    <x v="8"/>
    <x v="16"/>
    <n v="83.11"/>
    <x v="1"/>
    <x v="1"/>
    <n v="2.9"/>
    <n v="11"/>
    <n v="3"/>
    <n v="93.382022471910105"/>
    <n v="10.272022471910105"/>
    <x v="0"/>
    <m/>
  </r>
  <r>
    <n v="2623"/>
    <n v="47"/>
    <x v="1"/>
    <x v="2"/>
    <x v="10"/>
    <n v="126.93"/>
    <x v="3"/>
    <x v="0"/>
    <n v="3.6"/>
    <n v="20"/>
    <n v="10"/>
    <n v="158.66249999999999"/>
    <n v="31.732499999999987"/>
    <x v="4"/>
    <m/>
  </r>
  <r>
    <n v="2624"/>
    <n v="28"/>
    <x v="1"/>
    <x v="3"/>
    <x v="24"/>
    <n v="241.39"/>
    <x v="1"/>
    <x v="0"/>
    <n v="3.2"/>
    <n v="17"/>
    <n v="6"/>
    <n v="290.8313253012048"/>
    <n v="49.441325301204813"/>
    <x v="5"/>
    <m/>
  </r>
  <r>
    <n v="2625"/>
    <n v="48"/>
    <x v="0"/>
    <x v="6"/>
    <x v="27"/>
    <n v="128.09"/>
    <x v="2"/>
    <x v="0"/>
    <n v="4.2"/>
    <n v="14"/>
    <n v="7"/>
    <n v="148.94186046511629"/>
    <n v="20.851860465116289"/>
    <x v="4"/>
    <m/>
  </r>
  <r>
    <n v="2626"/>
    <n v="29"/>
    <x v="1"/>
    <x v="7"/>
    <x v="8"/>
    <n v="184.29"/>
    <x v="1"/>
    <x v="0"/>
    <n v="2.8"/>
    <n v="24"/>
    <n v="7"/>
    <n v="242.48684210526315"/>
    <n v="58.196842105263158"/>
    <x v="5"/>
    <m/>
  </r>
  <r>
    <n v="2627"/>
    <n v="60"/>
    <x v="0"/>
    <x v="6"/>
    <x v="27"/>
    <n v="144.08000000000001"/>
    <x v="0"/>
    <x v="0"/>
    <n v="2.5"/>
    <n v="6"/>
    <n v="3"/>
    <n v="153.27659574468086"/>
    <n v="9.1965957446808488"/>
    <x v="0"/>
    <m/>
  </r>
  <r>
    <n v="2628"/>
    <n v="48"/>
    <x v="0"/>
    <x v="8"/>
    <x v="16"/>
    <n v="74.56"/>
    <x v="0"/>
    <x v="1"/>
    <n v="3.3"/>
    <n v="8"/>
    <n v="4"/>
    <n v="81.043478260869563"/>
    <n v="6.4834782608695605"/>
    <x v="4"/>
    <m/>
  </r>
  <r>
    <n v="2629"/>
    <n v="66"/>
    <x v="1"/>
    <x v="7"/>
    <x v="8"/>
    <n v="127.67"/>
    <x v="0"/>
    <x v="0"/>
    <n v="3.4"/>
    <n v="0"/>
    <n v="0"/>
    <n v="127.67"/>
    <n v="0"/>
    <x v="2"/>
    <m/>
  </r>
  <r>
    <n v="2630"/>
    <n v="49"/>
    <x v="0"/>
    <x v="7"/>
    <x v="8"/>
    <n v="73.3"/>
    <x v="3"/>
    <x v="1"/>
    <n v="3.3"/>
    <n v="8"/>
    <n v="4"/>
    <n v="79.673913043478251"/>
    <n v="6.3739130434782538"/>
    <x v="4"/>
    <m/>
  </r>
  <r>
    <n v="2631"/>
    <n v="25"/>
    <x v="1"/>
    <x v="2"/>
    <x v="2"/>
    <n v="106.6"/>
    <x v="0"/>
    <x v="0"/>
    <n v="3.8"/>
    <n v="17"/>
    <n v="6"/>
    <n v="128.43373493975903"/>
    <n v="21.83373493975904"/>
    <x v="5"/>
    <m/>
  </r>
  <r>
    <n v="2632"/>
    <n v="52"/>
    <x v="1"/>
    <x v="5"/>
    <x v="5"/>
    <n v="1302.45"/>
    <x v="0"/>
    <x v="0"/>
    <n v="4.5"/>
    <n v="18"/>
    <n v="9"/>
    <n v="1588.3536585365853"/>
    <n v="285.90365853658523"/>
    <x v="4"/>
    <m/>
  </r>
  <r>
    <n v="2633"/>
    <n v="65"/>
    <x v="1"/>
    <x v="3"/>
    <x v="24"/>
    <n v="275.33999999999997"/>
    <x v="0"/>
    <x v="0"/>
    <n v="3"/>
    <n v="14"/>
    <n v="7"/>
    <n v="320.16279069767438"/>
    <n v="44.822790697674407"/>
    <x v="2"/>
    <m/>
  </r>
  <r>
    <n v="2634"/>
    <n v="62"/>
    <x v="0"/>
    <x v="8"/>
    <x v="14"/>
    <n v="167.27"/>
    <x v="3"/>
    <x v="0"/>
    <n v="3.3"/>
    <n v="18"/>
    <n v="4"/>
    <n v="203.98780487804879"/>
    <n v="36.717804878048781"/>
    <x v="0"/>
    <m/>
  </r>
  <r>
    <n v="2635"/>
    <n v="70"/>
    <x v="1"/>
    <x v="1"/>
    <x v="1"/>
    <n v="191.8"/>
    <x v="0"/>
    <x v="0"/>
    <n v="2.4"/>
    <n v="13"/>
    <n v="4"/>
    <n v="220.45977011494253"/>
    <n v="28.659770114942518"/>
    <x v="2"/>
    <m/>
  </r>
  <r>
    <n v="2636"/>
    <n v="64"/>
    <x v="1"/>
    <x v="7"/>
    <x v="13"/>
    <n v="62.44"/>
    <x v="0"/>
    <x v="0"/>
    <n v="5"/>
    <n v="16"/>
    <n v="8"/>
    <n v="74.333333333333329"/>
    <n v="11.893333333333331"/>
    <x v="0"/>
    <m/>
  </r>
  <r>
    <n v="2637"/>
    <n v="22"/>
    <x v="0"/>
    <x v="7"/>
    <x v="13"/>
    <n v="146.36000000000001"/>
    <x v="3"/>
    <x v="0"/>
    <n v="4.5999999999999996"/>
    <n v="10"/>
    <n v="5"/>
    <n v="162.62222222222223"/>
    <n v="16.262222222222221"/>
    <x v="3"/>
    <m/>
  </r>
  <r>
    <n v="2638"/>
    <n v="61"/>
    <x v="1"/>
    <x v="2"/>
    <x v="10"/>
    <n v="237.45"/>
    <x v="3"/>
    <x v="0"/>
    <n v="5"/>
    <n v="24"/>
    <n v="7"/>
    <n v="312.43421052631578"/>
    <n v="74.984210526315792"/>
    <x v="0"/>
    <m/>
  </r>
  <r>
    <n v="2639"/>
    <n v="63"/>
    <x v="0"/>
    <x v="6"/>
    <x v="6"/>
    <n v="85.28"/>
    <x v="3"/>
    <x v="0"/>
    <n v="4.9000000000000004"/>
    <n v="20"/>
    <n v="10"/>
    <n v="106.6"/>
    <n v="21.319999999999993"/>
    <x v="0"/>
    <m/>
  </r>
  <r>
    <n v="2640"/>
    <n v="45"/>
    <x v="1"/>
    <x v="5"/>
    <x v="21"/>
    <n v="1766.89"/>
    <x v="0"/>
    <x v="0"/>
    <n v="4.5"/>
    <n v="20"/>
    <n v="5"/>
    <n v="2208.6125000000002"/>
    <n v="441.72250000000008"/>
    <x v="4"/>
    <m/>
  </r>
  <r>
    <n v="2641"/>
    <n v="26"/>
    <x v="0"/>
    <x v="8"/>
    <x v="16"/>
    <n v="56.74"/>
    <x v="3"/>
    <x v="1"/>
    <n v="3.8"/>
    <n v="19"/>
    <n v="7"/>
    <n v="70.049382716049379"/>
    <n v="13.309382716049377"/>
    <x v="5"/>
    <m/>
  </r>
  <r>
    <n v="2642"/>
    <n v="48"/>
    <x v="0"/>
    <x v="6"/>
    <x v="23"/>
    <n v="39.32"/>
    <x v="2"/>
    <x v="1"/>
    <n v="4.2"/>
    <n v="13"/>
    <n v="4"/>
    <n v="45.195402298850574"/>
    <n v="5.8754022988505739"/>
    <x v="4"/>
    <m/>
  </r>
  <r>
    <n v="2643"/>
    <n v="64"/>
    <x v="0"/>
    <x v="0"/>
    <x v="0"/>
    <n v="98.93"/>
    <x v="1"/>
    <x v="1"/>
    <n v="3.9"/>
    <n v="16"/>
    <n v="3"/>
    <n v="117.77380952380953"/>
    <n v="18.843809523809526"/>
    <x v="0"/>
    <m/>
  </r>
  <r>
    <n v="2644"/>
    <n v="61"/>
    <x v="1"/>
    <x v="4"/>
    <x v="26"/>
    <n v="57.47"/>
    <x v="3"/>
    <x v="1"/>
    <n v="3.4"/>
    <n v="18"/>
    <n v="4"/>
    <n v="70.08536585365853"/>
    <n v="12.615365853658531"/>
    <x v="0"/>
    <m/>
  </r>
  <r>
    <n v="2645"/>
    <n v="36"/>
    <x v="0"/>
    <x v="4"/>
    <x v="19"/>
    <n v="57.01"/>
    <x v="0"/>
    <x v="0"/>
    <n v="3.9"/>
    <n v="6"/>
    <n v="3"/>
    <n v="60.648936170212764"/>
    <n v="3.6389361702127658"/>
    <x v="1"/>
    <m/>
  </r>
  <r>
    <n v="2646"/>
    <n v="64"/>
    <x v="1"/>
    <x v="1"/>
    <x v="9"/>
    <n v="150.52000000000001"/>
    <x v="2"/>
    <x v="0"/>
    <n v="4.3"/>
    <n v="18"/>
    <n v="4"/>
    <n v="183.5609756097561"/>
    <n v="33.040975609756089"/>
    <x v="0"/>
    <m/>
  </r>
  <r>
    <n v="2647"/>
    <n v="50"/>
    <x v="0"/>
    <x v="6"/>
    <x v="6"/>
    <n v="58.55"/>
    <x v="1"/>
    <x v="0"/>
    <n v="3.4"/>
    <n v="19"/>
    <n v="7"/>
    <n v="72.283950617283949"/>
    <n v="13.733950617283952"/>
    <x v="4"/>
    <m/>
  </r>
  <r>
    <n v="2648"/>
    <n v="64"/>
    <x v="0"/>
    <x v="8"/>
    <x v="16"/>
    <n v="32.29"/>
    <x v="2"/>
    <x v="1"/>
    <n v="4.2"/>
    <n v="12"/>
    <n v="6"/>
    <n v="36.69318181818182"/>
    <n v="4.403181818181821"/>
    <x v="0"/>
    <m/>
  </r>
  <r>
    <n v="2649"/>
    <n v="65"/>
    <x v="1"/>
    <x v="5"/>
    <x v="5"/>
    <n v="1042.54"/>
    <x v="0"/>
    <x v="0"/>
    <n v="3.7"/>
    <n v="12"/>
    <n v="6"/>
    <n v="1184.7045454545455"/>
    <n v="142.16454545454553"/>
    <x v="2"/>
    <m/>
  </r>
  <r>
    <n v="2650"/>
    <n v="69"/>
    <x v="0"/>
    <x v="4"/>
    <x v="29"/>
    <n v="26.45"/>
    <x v="3"/>
    <x v="1"/>
    <n v="4.5"/>
    <n v="20"/>
    <n v="5"/>
    <n v="33.0625"/>
    <n v="6.6125000000000007"/>
    <x v="2"/>
    <m/>
  </r>
  <r>
    <n v="2651"/>
    <n v="32"/>
    <x v="0"/>
    <x v="7"/>
    <x v="11"/>
    <n v="90.64"/>
    <x v="3"/>
    <x v="1"/>
    <n v="3.7"/>
    <n v="17"/>
    <n v="6"/>
    <n v="109.20481927710844"/>
    <n v="18.564819277108441"/>
    <x v="5"/>
    <m/>
  </r>
  <r>
    <n v="2652"/>
    <n v="33"/>
    <x v="1"/>
    <x v="7"/>
    <x v="8"/>
    <n v="44.23"/>
    <x v="1"/>
    <x v="1"/>
    <n v="2.4"/>
    <n v="8"/>
    <n v="4"/>
    <n v="48.076086956521735"/>
    <n v="3.8460869565217379"/>
    <x v="5"/>
    <m/>
  </r>
  <r>
    <n v="2653"/>
    <n v="58"/>
    <x v="1"/>
    <x v="7"/>
    <x v="8"/>
    <n v="54.47"/>
    <x v="0"/>
    <x v="0"/>
    <n v="3.1"/>
    <n v="12"/>
    <n v="6"/>
    <n v="61.897727272727273"/>
    <n v="7.4277272727272745"/>
    <x v="0"/>
    <m/>
  </r>
  <r>
    <n v="2654"/>
    <n v="51"/>
    <x v="0"/>
    <x v="0"/>
    <x v="28"/>
    <n v="121.74"/>
    <x v="2"/>
    <x v="0"/>
    <n v="4.5999999999999996"/>
    <n v="4"/>
    <n v="2"/>
    <n v="126.8125"/>
    <n v="5.0725000000000051"/>
    <x v="4"/>
    <m/>
  </r>
  <r>
    <n v="2655"/>
    <n v="69"/>
    <x v="0"/>
    <x v="3"/>
    <x v="24"/>
    <n v="51.27"/>
    <x v="3"/>
    <x v="0"/>
    <n v="3.9"/>
    <n v="16"/>
    <n v="3"/>
    <n v="61.035714285714292"/>
    <n v="9.7657142857142887"/>
    <x v="2"/>
    <m/>
  </r>
  <r>
    <n v="2656"/>
    <n v="39"/>
    <x v="1"/>
    <x v="3"/>
    <x v="15"/>
    <n v="188.31"/>
    <x v="0"/>
    <x v="0"/>
    <n v="2.8"/>
    <n v="8"/>
    <n v="4"/>
    <n v="204.68478260869566"/>
    <n v="16.374782608695654"/>
    <x v="1"/>
    <m/>
  </r>
  <r>
    <n v="2657"/>
    <n v="63"/>
    <x v="0"/>
    <x v="7"/>
    <x v="11"/>
    <n v="230.43"/>
    <x v="2"/>
    <x v="0"/>
    <n v="3.8"/>
    <n v="8"/>
    <n v="4"/>
    <n v="250.46739130434781"/>
    <n v="20.037391304347807"/>
    <x v="0"/>
    <m/>
  </r>
  <r>
    <n v="2658"/>
    <n v="56"/>
    <x v="1"/>
    <x v="1"/>
    <x v="9"/>
    <n v="47.11"/>
    <x v="1"/>
    <x v="1"/>
    <n v="4.4000000000000004"/>
    <n v="8"/>
    <n v="4"/>
    <n v="51.20652173913043"/>
    <n v="4.0965217391304307"/>
    <x v="0"/>
    <m/>
  </r>
  <r>
    <n v="2659"/>
    <n v="70"/>
    <x v="0"/>
    <x v="8"/>
    <x v="14"/>
    <n v="30.45"/>
    <x v="2"/>
    <x v="0"/>
    <n v="3.8"/>
    <n v="12"/>
    <n v="6"/>
    <n v="34.602272727272727"/>
    <n v="4.1522727272727273"/>
    <x v="2"/>
    <m/>
  </r>
  <r>
    <n v="2660"/>
    <n v="50"/>
    <x v="0"/>
    <x v="6"/>
    <x v="27"/>
    <n v="54.62"/>
    <x v="1"/>
    <x v="1"/>
    <n v="4.0999999999999996"/>
    <n v="16"/>
    <n v="3"/>
    <n v="65.023809523809518"/>
    <n v="10.403809523809521"/>
    <x v="4"/>
    <m/>
  </r>
  <r>
    <n v="2661"/>
    <n v="45"/>
    <x v="1"/>
    <x v="4"/>
    <x v="26"/>
    <n v="5.85"/>
    <x v="2"/>
    <x v="0"/>
    <n v="4.5"/>
    <n v="13"/>
    <n v="4"/>
    <n v="6.7241379310344822"/>
    <n v="0.87413793103448256"/>
    <x v="4"/>
    <m/>
  </r>
  <r>
    <n v="2662"/>
    <n v="55"/>
    <x v="1"/>
    <x v="2"/>
    <x v="12"/>
    <n v="175.82"/>
    <x v="3"/>
    <x v="0"/>
    <n v="4.5999999999999996"/>
    <n v="7"/>
    <n v="1"/>
    <n v="189.05376344086022"/>
    <n v="13.23376344086023"/>
    <x v="0"/>
    <m/>
  </r>
  <r>
    <n v="2663"/>
    <n v="26"/>
    <x v="1"/>
    <x v="2"/>
    <x v="12"/>
    <n v="34.479999999999997"/>
    <x v="0"/>
    <x v="1"/>
    <n v="4"/>
    <n v="17"/>
    <n v="6"/>
    <n v="41.542168674698793"/>
    <n v="7.0621686746987962"/>
    <x v="5"/>
    <m/>
  </r>
  <r>
    <n v="2664"/>
    <n v="69"/>
    <x v="1"/>
    <x v="5"/>
    <x v="5"/>
    <n v="2410.79"/>
    <x v="2"/>
    <x v="0"/>
    <n v="4.3"/>
    <n v="16"/>
    <n v="8"/>
    <n v="2869.9880952380954"/>
    <n v="459.19809523809545"/>
    <x v="2"/>
    <m/>
  </r>
  <r>
    <n v="2665"/>
    <n v="64"/>
    <x v="1"/>
    <x v="2"/>
    <x v="2"/>
    <n v="232.53"/>
    <x v="0"/>
    <x v="0"/>
    <n v="4.3"/>
    <n v="19"/>
    <n v="7"/>
    <n v="287.07407407407408"/>
    <n v="54.544074074074075"/>
    <x v="0"/>
    <m/>
  </r>
  <r>
    <n v="2666"/>
    <n v="31"/>
    <x v="1"/>
    <x v="7"/>
    <x v="11"/>
    <n v="112.63"/>
    <x v="0"/>
    <x v="0"/>
    <n v="2.7"/>
    <n v="8"/>
    <n v="4"/>
    <n v="122.42391304347825"/>
    <n v="9.7939130434782555"/>
    <x v="5"/>
    <m/>
  </r>
  <r>
    <n v="2667"/>
    <n v="60"/>
    <x v="0"/>
    <x v="0"/>
    <x v="0"/>
    <n v="138.91"/>
    <x v="0"/>
    <x v="0"/>
    <n v="4.4000000000000004"/>
    <n v="13"/>
    <n v="4"/>
    <n v="159.66666666666666"/>
    <n v="20.756666666666661"/>
    <x v="0"/>
    <m/>
  </r>
  <r>
    <n v="2668"/>
    <n v="26"/>
    <x v="1"/>
    <x v="7"/>
    <x v="11"/>
    <n v="221.47"/>
    <x v="0"/>
    <x v="0"/>
    <n v="3.1"/>
    <n v="12"/>
    <n v="6"/>
    <n v="251.67045454545453"/>
    <n v="30.200454545454534"/>
    <x v="5"/>
    <m/>
  </r>
  <r>
    <n v="2669"/>
    <n v="21"/>
    <x v="0"/>
    <x v="8"/>
    <x v="14"/>
    <n v="52.43"/>
    <x v="0"/>
    <x v="1"/>
    <n v="3.6"/>
    <n v="25"/>
    <n v="10"/>
    <n v="69.906666666666666"/>
    <n v="17.476666666666667"/>
    <x v="3"/>
    <m/>
  </r>
  <r>
    <n v="2670"/>
    <n v="37"/>
    <x v="1"/>
    <x v="2"/>
    <x v="12"/>
    <n v="172.83"/>
    <x v="1"/>
    <x v="0"/>
    <n v="3.1"/>
    <n v="22"/>
    <n v="6"/>
    <n v="221.57692307692309"/>
    <n v="48.746923076923082"/>
    <x v="1"/>
    <m/>
  </r>
  <r>
    <n v="2671"/>
    <n v="35"/>
    <x v="0"/>
    <x v="3"/>
    <x v="3"/>
    <n v="217.67"/>
    <x v="2"/>
    <x v="0"/>
    <n v="3.5"/>
    <n v="10"/>
    <n v="5"/>
    <n v="241.85555555555553"/>
    <n v="24.185555555555538"/>
    <x v="1"/>
    <m/>
  </r>
  <r>
    <n v="2672"/>
    <n v="29"/>
    <x v="1"/>
    <x v="7"/>
    <x v="13"/>
    <n v="217.41"/>
    <x v="0"/>
    <x v="0"/>
    <n v="4.3"/>
    <n v="14"/>
    <n v="7"/>
    <n v="252.80232558139534"/>
    <n v="35.39232558139534"/>
    <x v="5"/>
    <m/>
  </r>
  <r>
    <n v="2673"/>
    <n v="41"/>
    <x v="1"/>
    <x v="7"/>
    <x v="13"/>
    <n v="171.5"/>
    <x v="2"/>
    <x v="0"/>
    <n v="3.3"/>
    <n v="19"/>
    <n v="7"/>
    <n v="211.72839506172838"/>
    <n v="40.228395061728378"/>
    <x v="1"/>
    <m/>
  </r>
  <r>
    <n v="2674"/>
    <n v="35"/>
    <x v="1"/>
    <x v="5"/>
    <x v="21"/>
    <n v="2366.84"/>
    <x v="2"/>
    <x v="0"/>
    <n v="3.6"/>
    <n v="26"/>
    <n v="8"/>
    <n v="3198.4324324324325"/>
    <n v="831.59243243243236"/>
    <x v="1"/>
    <m/>
  </r>
  <r>
    <n v="2675"/>
    <n v="70"/>
    <x v="0"/>
    <x v="0"/>
    <x v="28"/>
    <n v="169.45"/>
    <x v="1"/>
    <x v="0"/>
    <n v="3.1"/>
    <n v="15"/>
    <n v="5"/>
    <n v="199.35294117647058"/>
    <n v="29.902941176470591"/>
    <x v="2"/>
    <m/>
  </r>
  <r>
    <n v="2676"/>
    <n v="50"/>
    <x v="0"/>
    <x v="0"/>
    <x v="0"/>
    <n v="51.73"/>
    <x v="0"/>
    <x v="1"/>
    <n v="3.4"/>
    <n v="10"/>
    <n v="5"/>
    <n v="57.477777777777774"/>
    <n v="5.7477777777777774"/>
    <x v="4"/>
    <m/>
  </r>
  <r>
    <n v="2677"/>
    <n v="43"/>
    <x v="0"/>
    <x v="7"/>
    <x v="8"/>
    <n v="111.39"/>
    <x v="0"/>
    <x v="0"/>
    <n v="2.8"/>
    <n v="6"/>
    <n v="3"/>
    <n v="118.50000000000001"/>
    <n v="7.1100000000000136"/>
    <x v="1"/>
    <m/>
  </r>
  <r>
    <n v="2678"/>
    <n v="40"/>
    <x v="0"/>
    <x v="7"/>
    <x v="13"/>
    <n v="184.33"/>
    <x v="3"/>
    <x v="0"/>
    <n v="4.3"/>
    <n v="26"/>
    <n v="8"/>
    <n v="249.09459459459461"/>
    <n v="64.764594594594598"/>
    <x v="1"/>
    <m/>
  </r>
  <r>
    <n v="2679"/>
    <n v="32"/>
    <x v="0"/>
    <x v="8"/>
    <x v="18"/>
    <n v="110.27"/>
    <x v="2"/>
    <x v="0"/>
    <n v="4.4000000000000004"/>
    <n v="18"/>
    <n v="4"/>
    <n v="134.47560975609755"/>
    <n v="24.205609756097559"/>
    <x v="5"/>
    <m/>
  </r>
  <r>
    <n v="2680"/>
    <n v="61"/>
    <x v="0"/>
    <x v="8"/>
    <x v="17"/>
    <n v="79.69"/>
    <x v="0"/>
    <x v="1"/>
    <n v="3.3"/>
    <n v="18"/>
    <n v="4"/>
    <n v="97.182926829268283"/>
    <n v="17.492926829268285"/>
    <x v="0"/>
    <m/>
  </r>
  <r>
    <n v="2681"/>
    <n v="54"/>
    <x v="0"/>
    <x v="6"/>
    <x v="6"/>
    <n v="125.21"/>
    <x v="0"/>
    <x v="0"/>
    <n v="4.0999999999999996"/>
    <n v="8"/>
    <n v="4"/>
    <n v="136.0978260869565"/>
    <n v="10.887826086956508"/>
    <x v="4"/>
    <m/>
  </r>
  <r>
    <n v="2682"/>
    <n v="66"/>
    <x v="1"/>
    <x v="4"/>
    <x v="29"/>
    <n v="5.08"/>
    <x v="2"/>
    <x v="1"/>
    <n v="4.9000000000000004"/>
    <n v="17"/>
    <n v="6"/>
    <n v="6.120481927710844"/>
    <n v="1.0404819277108439"/>
    <x v="2"/>
    <m/>
  </r>
  <r>
    <n v="2683"/>
    <n v="69"/>
    <x v="0"/>
    <x v="7"/>
    <x v="13"/>
    <n v="228.38"/>
    <x v="0"/>
    <x v="0"/>
    <n v="4"/>
    <n v="14"/>
    <n v="7"/>
    <n v="265.55813953488371"/>
    <n v="37.178139534883712"/>
    <x v="2"/>
    <m/>
  </r>
  <r>
    <n v="2684"/>
    <n v="27"/>
    <x v="1"/>
    <x v="7"/>
    <x v="11"/>
    <n v="146.57"/>
    <x v="2"/>
    <x v="0"/>
    <n v="3.2"/>
    <n v="15"/>
    <n v="5"/>
    <n v="172.43529411764706"/>
    <n v="25.865294117647068"/>
    <x v="5"/>
    <m/>
  </r>
  <r>
    <n v="2685"/>
    <n v="64"/>
    <x v="0"/>
    <x v="7"/>
    <x v="11"/>
    <n v="90.12"/>
    <x v="2"/>
    <x v="0"/>
    <n v="5"/>
    <n v="13"/>
    <n v="4"/>
    <n v="103.58620689655173"/>
    <n v="13.466206896551725"/>
    <x v="0"/>
    <m/>
  </r>
  <r>
    <n v="2686"/>
    <n v="46"/>
    <x v="1"/>
    <x v="2"/>
    <x v="12"/>
    <n v="180.39"/>
    <x v="2"/>
    <x v="0"/>
    <n v="5"/>
    <n v="11"/>
    <n v="3"/>
    <n v="202.68539325842696"/>
    <n v="22.295393258426969"/>
    <x v="4"/>
    <m/>
  </r>
  <r>
    <n v="2687"/>
    <n v="21"/>
    <x v="0"/>
    <x v="7"/>
    <x v="11"/>
    <n v="234.56"/>
    <x v="3"/>
    <x v="0"/>
    <n v="4.0999999999999996"/>
    <n v="15"/>
    <n v="5"/>
    <n v="275.95294117647057"/>
    <n v="41.392941176470572"/>
    <x v="3"/>
    <m/>
  </r>
  <r>
    <n v="2688"/>
    <n v="31"/>
    <x v="1"/>
    <x v="1"/>
    <x v="14"/>
    <n v="172.58"/>
    <x v="0"/>
    <x v="0"/>
    <n v="2.4"/>
    <n v="18"/>
    <n v="4"/>
    <n v="210.46341463414635"/>
    <n v="37.883414634146334"/>
    <x v="5"/>
    <m/>
  </r>
  <r>
    <n v="2689"/>
    <n v="69"/>
    <x v="0"/>
    <x v="7"/>
    <x v="8"/>
    <n v="90.11"/>
    <x v="0"/>
    <x v="1"/>
    <n v="3.3"/>
    <n v="15"/>
    <n v="5"/>
    <n v="106.01176470588236"/>
    <n v="15.901764705882357"/>
    <x v="2"/>
    <m/>
  </r>
  <r>
    <n v="2690"/>
    <n v="55"/>
    <x v="0"/>
    <x v="8"/>
    <x v="16"/>
    <n v="159.87"/>
    <x v="2"/>
    <x v="0"/>
    <n v="3.6"/>
    <n v="8"/>
    <n v="4"/>
    <n v="173.77173913043478"/>
    <n v="13.901739130434777"/>
    <x v="0"/>
    <m/>
  </r>
  <r>
    <n v="2691"/>
    <n v="50"/>
    <x v="0"/>
    <x v="7"/>
    <x v="11"/>
    <n v="95.51"/>
    <x v="1"/>
    <x v="0"/>
    <n v="5"/>
    <n v="20"/>
    <n v="5"/>
    <n v="119.3875"/>
    <n v="23.877499999999998"/>
    <x v="4"/>
    <m/>
  </r>
  <r>
    <n v="2692"/>
    <n v="68"/>
    <x v="1"/>
    <x v="2"/>
    <x v="12"/>
    <n v="84.67"/>
    <x v="0"/>
    <x v="0"/>
    <n v="3"/>
    <n v="13"/>
    <n v="4"/>
    <n v="97.321839080459768"/>
    <n v="12.651839080459766"/>
    <x v="2"/>
    <m/>
  </r>
  <r>
    <n v="2693"/>
    <n v="64"/>
    <x v="1"/>
    <x v="2"/>
    <x v="12"/>
    <n v="25.56"/>
    <x v="2"/>
    <x v="1"/>
    <n v="3.2"/>
    <n v="11"/>
    <n v="3"/>
    <n v="28.719101123595504"/>
    <n v="3.1591011235955051"/>
    <x v="0"/>
    <m/>
  </r>
  <r>
    <n v="2694"/>
    <n v="63"/>
    <x v="0"/>
    <x v="6"/>
    <x v="6"/>
    <n v="49.07"/>
    <x v="0"/>
    <x v="0"/>
    <n v="4.5999999999999996"/>
    <n v="6"/>
    <n v="3"/>
    <n v="52.202127659574472"/>
    <n v="3.132127659574472"/>
    <x v="0"/>
    <m/>
  </r>
  <r>
    <n v="2695"/>
    <n v="32"/>
    <x v="1"/>
    <x v="1"/>
    <x v="1"/>
    <n v="73.680000000000007"/>
    <x v="1"/>
    <x v="1"/>
    <n v="4.5"/>
    <n v="22"/>
    <n v="6"/>
    <n v="94.461538461538467"/>
    <n v="20.78153846153846"/>
    <x v="5"/>
    <m/>
  </r>
  <r>
    <n v="2696"/>
    <n v="36"/>
    <x v="1"/>
    <x v="2"/>
    <x v="12"/>
    <n v="116.83"/>
    <x v="0"/>
    <x v="0"/>
    <n v="4"/>
    <n v="14"/>
    <n v="7"/>
    <n v="135.84883720930233"/>
    <n v="19.018837209302333"/>
    <x v="1"/>
    <m/>
  </r>
  <r>
    <n v="2697"/>
    <n v="49"/>
    <x v="1"/>
    <x v="5"/>
    <x v="5"/>
    <n v="1896.33"/>
    <x v="0"/>
    <x v="0"/>
    <n v="3.7"/>
    <n v="14"/>
    <n v="7"/>
    <n v="2205.0348837209303"/>
    <n v="308.70488372093041"/>
    <x v="4"/>
    <m/>
  </r>
  <r>
    <n v="2698"/>
    <n v="48"/>
    <x v="0"/>
    <x v="6"/>
    <x v="27"/>
    <n v="27.41"/>
    <x v="1"/>
    <x v="0"/>
    <n v="5"/>
    <n v="14"/>
    <n v="2"/>
    <n v="31.872093023255815"/>
    <n v="4.4620930232558145"/>
    <x v="4"/>
    <m/>
  </r>
  <r>
    <n v="2699"/>
    <n v="57"/>
    <x v="1"/>
    <x v="1"/>
    <x v="14"/>
    <n v="160.88"/>
    <x v="3"/>
    <x v="0"/>
    <n v="2.9"/>
    <n v="20"/>
    <n v="5"/>
    <n v="201.1"/>
    <n v="40.22"/>
    <x v="0"/>
    <m/>
  </r>
  <r>
    <n v="2700"/>
    <n v="47"/>
    <x v="0"/>
    <x v="6"/>
    <x v="27"/>
    <n v="133.68"/>
    <x v="3"/>
    <x v="0"/>
    <n v="4.9000000000000004"/>
    <n v="12"/>
    <n v="1"/>
    <n v="151.90909090909091"/>
    <n v="18.2290909090909"/>
    <x v="4"/>
    <m/>
  </r>
  <r>
    <n v="2701"/>
    <n v="64"/>
    <x v="1"/>
    <x v="5"/>
    <x v="21"/>
    <n v="2526.33"/>
    <x v="1"/>
    <x v="0"/>
    <n v="4.7"/>
    <n v="11"/>
    <n v="3"/>
    <n v="2838.5730337078649"/>
    <n v="312.24303370786492"/>
    <x v="0"/>
    <m/>
  </r>
  <r>
    <n v="2702"/>
    <n v="43"/>
    <x v="0"/>
    <x v="6"/>
    <x v="6"/>
    <n v="52.38"/>
    <x v="1"/>
    <x v="1"/>
    <n v="4.5"/>
    <n v="13"/>
    <n v="4"/>
    <n v="60.206896551724142"/>
    <n v="7.8268965517241398"/>
    <x v="1"/>
    <m/>
  </r>
  <r>
    <n v="2703"/>
    <n v="46"/>
    <x v="1"/>
    <x v="7"/>
    <x v="11"/>
    <n v="172.43"/>
    <x v="0"/>
    <x v="0"/>
    <n v="3.7"/>
    <n v="28"/>
    <n v="9"/>
    <n v="239.48611111111114"/>
    <n v="67.056111111111136"/>
    <x v="4"/>
    <m/>
  </r>
  <r>
    <n v="2704"/>
    <n v="31"/>
    <x v="0"/>
    <x v="6"/>
    <x v="6"/>
    <n v="22.43"/>
    <x v="1"/>
    <x v="1"/>
    <n v="5"/>
    <n v="20"/>
    <n v="5"/>
    <n v="28.037499999999998"/>
    <n v="5.6074999999999982"/>
    <x v="5"/>
    <m/>
  </r>
  <r>
    <n v="2705"/>
    <n v="57"/>
    <x v="0"/>
    <x v="6"/>
    <x v="23"/>
    <n v="134.93"/>
    <x v="1"/>
    <x v="0"/>
    <n v="4.5"/>
    <n v="16"/>
    <n v="3"/>
    <n v="160.63095238095241"/>
    <n v="25.700952380952401"/>
    <x v="0"/>
    <m/>
  </r>
  <r>
    <n v="2706"/>
    <n v="28"/>
    <x v="0"/>
    <x v="6"/>
    <x v="6"/>
    <n v="29.51"/>
    <x v="3"/>
    <x v="0"/>
    <n v="4.4000000000000004"/>
    <n v="16"/>
    <n v="8"/>
    <n v="35.130952380952387"/>
    <n v="5.6209523809523851"/>
    <x v="5"/>
    <m/>
  </r>
  <r>
    <n v="2707"/>
    <n v="21"/>
    <x v="1"/>
    <x v="1"/>
    <x v="1"/>
    <n v="58.68"/>
    <x v="0"/>
    <x v="0"/>
    <n v="3.6"/>
    <n v="20"/>
    <n v="5"/>
    <n v="73.349999999999994"/>
    <n v="14.669999999999995"/>
    <x v="3"/>
    <m/>
  </r>
  <r>
    <n v="2708"/>
    <n v="31"/>
    <x v="1"/>
    <x v="5"/>
    <x v="21"/>
    <n v="2023.48"/>
    <x v="0"/>
    <x v="0"/>
    <n v="2.6"/>
    <n v="9"/>
    <n v="2"/>
    <n v="2223.6043956043954"/>
    <n v="200.12439560439543"/>
    <x v="5"/>
    <m/>
  </r>
  <r>
    <n v="2709"/>
    <n v="57"/>
    <x v="0"/>
    <x v="6"/>
    <x v="27"/>
    <n v="66.39"/>
    <x v="3"/>
    <x v="1"/>
    <n v="3.1"/>
    <n v="8"/>
    <n v="4"/>
    <n v="72.16304347826086"/>
    <n v="5.7730434782608597"/>
    <x v="0"/>
    <m/>
  </r>
  <r>
    <n v="2710"/>
    <n v="59"/>
    <x v="1"/>
    <x v="1"/>
    <x v="20"/>
    <n v="141.61000000000001"/>
    <x v="3"/>
    <x v="0"/>
    <n v="4.0999999999999996"/>
    <n v="8"/>
    <n v="4"/>
    <n v="153.92391304347828"/>
    <n v="12.313913043478266"/>
    <x v="0"/>
    <m/>
  </r>
  <r>
    <n v="2711"/>
    <n v="21"/>
    <x v="1"/>
    <x v="5"/>
    <x v="21"/>
    <n v="2109.6799999999998"/>
    <x v="2"/>
    <x v="0"/>
    <n v="3.2"/>
    <n v="12"/>
    <n v="6"/>
    <n v="2397.363636363636"/>
    <n v="287.6836363636362"/>
    <x v="3"/>
    <m/>
  </r>
  <r>
    <n v="2712"/>
    <n v="25"/>
    <x v="0"/>
    <x v="4"/>
    <x v="4"/>
    <n v="41.72"/>
    <x v="0"/>
    <x v="1"/>
    <n v="5"/>
    <n v="2"/>
    <n v="1"/>
    <n v="42.571428571428569"/>
    <n v="0.85142857142857054"/>
    <x v="5"/>
    <m/>
  </r>
  <r>
    <n v="2713"/>
    <n v="41"/>
    <x v="0"/>
    <x v="6"/>
    <x v="6"/>
    <n v="139.88"/>
    <x v="1"/>
    <x v="0"/>
    <n v="4.3"/>
    <n v="6"/>
    <n v="3"/>
    <n v="148.80851063829789"/>
    <n v="8.9285106382978938"/>
    <x v="1"/>
    <m/>
  </r>
  <r>
    <n v="2714"/>
    <n v="46"/>
    <x v="0"/>
    <x v="0"/>
    <x v="22"/>
    <n v="39.06"/>
    <x v="2"/>
    <x v="1"/>
    <n v="3.2"/>
    <n v="12"/>
    <n v="6"/>
    <n v="44.38636363636364"/>
    <n v="5.326363636363638"/>
    <x v="4"/>
    <m/>
  </r>
  <r>
    <n v="2715"/>
    <n v="40"/>
    <x v="0"/>
    <x v="6"/>
    <x v="23"/>
    <n v="104.69"/>
    <x v="2"/>
    <x v="0"/>
    <n v="2.2000000000000002"/>
    <n v="17"/>
    <n v="6"/>
    <n v="126.13253012048193"/>
    <n v="21.442530120481933"/>
    <x v="1"/>
    <m/>
  </r>
  <r>
    <n v="2716"/>
    <n v="47"/>
    <x v="1"/>
    <x v="1"/>
    <x v="20"/>
    <n v="119.05"/>
    <x v="2"/>
    <x v="0"/>
    <n v="2.5"/>
    <n v="9"/>
    <n v="2"/>
    <n v="130.82417582417582"/>
    <n v="11.774175824175828"/>
    <x v="4"/>
    <m/>
  </r>
  <r>
    <n v="2717"/>
    <n v="53"/>
    <x v="0"/>
    <x v="0"/>
    <x v="22"/>
    <n v="158.47"/>
    <x v="3"/>
    <x v="0"/>
    <n v="4.4000000000000004"/>
    <n v="22"/>
    <n v="6"/>
    <n v="203.16666666666666"/>
    <n v="44.696666666666658"/>
    <x v="4"/>
    <m/>
  </r>
  <r>
    <n v="2718"/>
    <n v="34"/>
    <x v="1"/>
    <x v="1"/>
    <x v="14"/>
    <n v="111.49"/>
    <x v="1"/>
    <x v="0"/>
    <n v="4.5"/>
    <n v="18"/>
    <n v="4"/>
    <n v="135.96341463414632"/>
    <n v="24.473414634146323"/>
    <x v="5"/>
    <m/>
  </r>
  <r>
    <n v="2719"/>
    <n v="34"/>
    <x v="0"/>
    <x v="7"/>
    <x v="13"/>
    <n v="171.91"/>
    <x v="1"/>
    <x v="0"/>
    <n v="3.3"/>
    <n v="20"/>
    <n v="5"/>
    <n v="214.88749999999999"/>
    <n v="42.977499999999992"/>
    <x v="5"/>
    <m/>
  </r>
  <r>
    <n v="2720"/>
    <n v="61"/>
    <x v="0"/>
    <x v="8"/>
    <x v="14"/>
    <n v="199.45"/>
    <x v="1"/>
    <x v="0"/>
    <n v="3.2"/>
    <n v="24"/>
    <n v="7"/>
    <n v="262.43421052631578"/>
    <n v="62.984210526315792"/>
    <x v="0"/>
    <m/>
  </r>
  <r>
    <n v="2721"/>
    <n v="29"/>
    <x v="1"/>
    <x v="7"/>
    <x v="13"/>
    <n v="201.67"/>
    <x v="3"/>
    <x v="0"/>
    <n v="4.0999999999999996"/>
    <n v="11"/>
    <n v="3"/>
    <n v="226.59550561797752"/>
    <n v="24.925505617977535"/>
    <x v="5"/>
    <m/>
  </r>
  <r>
    <n v="2722"/>
    <n v="33"/>
    <x v="1"/>
    <x v="4"/>
    <x v="29"/>
    <n v="30.08"/>
    <x v="1"/>
    <x v="0"/>
    <n v="4.2"/>
    <n v="10"/>
    <n v="5"/>
    <n v="33.422222222222217"/>
    <n v="3.3422222222222189"/>
    <x v="5"/>
    <m/>
  </r>
  <r>
    <n v="2723"/>
    <n v="70"/>
    <x v="0"/>
    <x v="7"/>
    <x v="11"/>
    <n v="173.77"/>
    <x v="1"/>
    <x v="0"/>
    <n v="4"/>
    <n v="12"/>
    <n v="6"/>
    <n v="197.46590909090909"/>
    <n v="23.695909090909083"/>
    <x v="2"/>
    <m/>
  </r>
  <r>
    <n v="2724"/>
    <n v="51"/>
    <x v="1"/>
    <x v="2"/>
    <x v="12"/>
    <n v="26.65"/>
    <x v="2"/>
    <x v="0"/>
    <n v="3.5"/>
    <n v="12"/>
    <n v="6"/>
    <n v="30.284090909090907"/>
    <n v="3.6340909090909079"/>
    <x v="4"/>
    <m/>
  </r>
  <r>
    <n v="2725"/>
    <n v="57"/>
    <x v="1"/>
    <x v="5"/>
    <x v="5"/>
    <n v="800.36"/>
    <x v="0"/>
    <x v="0"/>
    <n v="4"/>
    <n v="22"/>
    <n v="6"/>
    <n v="1026.102564102564"/>
    <n v="225.74256410256396"/>
    <x v="0"/>
    <m/>
  </r>
  <r>
    <n v="2726"/>
    <n v="45"/>
    <x v="1"/>
    <x v="1"/>
    <x v="1"/>
    <n v="94.82"/>
    <x v="1"/>
    <x v="0"/>
    <n v="4.4000000000000004"/>
    <n v="19"/>
    <n v="7"/>
    <n v="117.06172839506171"/>
    <n v="22.241728395061713"/>
    <x v="4"/>
    <m/>
  </r>
  <r>
    <n v="2727"/>
    <n v="67"/>
    <x v="0"/>
    <x v="3"/>
    <x v="15"/>
    <n v="248.77"/>
    <x v="3"/>
    <x v="0"/>
    <n v="3.9"/>
    <n v="8"/>
    <n v="4"/>
    <n v="270.4021739130435"/>
    <n v="21.632173913043488"/>
    <x v="2"/>
    <m/>
  </r>
  <r>
    <n v="2728"/>
    <n v="45"/>
    <x v="0"/>
    <x v="0"/>
    <x v="22"/>
    <n v="30.71"/>
    <x v="2"/>
    <x v="1"/>
    <n v="3.5"/>
    <n v="12"/>
    <n v="1"/>
    <n v="34.897727272727273"/>
    <n v="4.1877272727272725"/>
    <x v="4"/>
    <m/>
  </r>
  <r>
    <n v="2729"/>
    <n v="60"/>
    <x v="1"/>
    <x v="2"/>
    <x v="12"/>
    <n v="165.51"/>
    <x v="2"/>
    <x v="0"/>
    <n v="2.6"/>
    <n v="8"/>
    <n v="4"/>
    <n v="179.90217391304347"/>
    <n v="14.392173913043479"/>
    <x v="0"/>
    <m/>
  </r>
  <r>
    <n v="2730"/>
    <n v="70"/>
    <x v="0"/>
    <x v="8"/>
    <x v="18"/>
    <n v="68.489999999999995"/>
    <x v="0"/>
    <x v="1"/>
    <n v="4.7"/>
    <n v="14"/>
    <n v="2"/>
    <n v="79.639534883720927"/>
    <n v="11.149534883720932"/>
    <x v="2"/>
    <m/>
  </r>
  <r>
    <n v="2731"/>
    <n v="21"/>
    <x v="1"/>
    <x v="5"/>
    <x v="21"/>
    <n v="2061.36"/>
    <x v="1"/>
    <x v="0"/>
    <n v="4"/>
    <n v="20"/>
    <n v="5"/>
    <n v="2576.6999999999998"/>
    <n v="515.33999999999969"/>
    <x v="3"/>
    <m/>
  </r>
  <r>
    <n v="2732"/>
    <n v="42"/>
    <x v="0"/>
    <x v="7"/>
    <x v="11"/>
    <n v="45.4"/>
    <x v="2"/>
    <x v="0"/>
    <n v="3.5"/>
    <n v="19"/>
    <n v="7"/>
    <n v="56.049382716049379"/>
    <n v="10.649382716049381"/>
    <x v="1"/>
    <m/>
  </r>
  <r>
    <n v="2733"/>
    <n v="26"/>
    <x v="0"/>
    <x v="8"/>
    <x v="16"/>
    <n v="66.62"/>
    <x v="0"/>
    <x v="1"/>
    <n v="3.5"/>
    <n v="2"/>
    <n v="1"/>
    <n v="67.979591836734699"/>
    <n v="1.359591836734694"/>
    <x v="5"/>
    <m/>
  </r>
  <r>
    <n v="2734"/>
    <n v="69"/>
    <x v="0"/>
    <x v="7"/>
    <x v="11"/>
    <n v="43.11"/>
    <x v="0"/>
    <x v="1"/>
    <n v="3.4"/>
    <n v="2"/>
    <n v="1"/>
    <n v="43.989795918367349"/>
    <n v="0.87979591836734983"/>
    <x v="2"/>
    <m/>
  </r>
  <r>
    <n v="2735"/>
    <n v="49"/>
    <x v="1"/>
    <x v="5"/>
    <x v="5"/>
    <n v="519.78"/>
    <x v="1"/>
    <x v="0"/>
    <n v="3.7"/>
    <n v="22"/>
    <n v="6"/>
    <n v="666.38461538461536"/>
    <n v="146.60461538461539"/>
    <x v="4"/>
    <m/>
  </r>
  <r>
    <n v="2736"/>
    <n v="28"/>
    <x v="0"/>
    <x v="8"/>
    <x v="14"/>
    <n v="167.8"/>
    <x v="1"/>
    <x v="0"/>
    <n v="3.8"/>
    <n v="19"/>
    <n v="7"/>
    <n v="207.16049382716051"/>
    <n v="39.360493827160496"/>
    <x v="5"/>
    <m/>
  </r>
  <r>
    <n v="2737"/>
    <n v="59"/>
    <x v="1"/>
    <x v="3"/>
    <x v="3"/>
    <n v="57.56"/>
    <x v="0"/>
    <x v="0"/>
    <n v="4.7"/>
    <n v="17"/>
    <n v="6"/>
    <n v="69.349397590361448"/>
    <n v="11.789397590361446"/>
    <x v="0"/>
    <m/>
  </r>
  <r>
    <n v="2738"/>
    <n v="41"/>
    <x v="0"/>
    <x v="3"/>
    <x v="24"/>
    <n v="82.73"/>
    <x v="3"/>
    <x v="1"/>
    <n v="3.9"/>
    <n v="26"/>
    <n v="8"/>
    <n v="111.79729729729731"/>
    <n v="29.067297297297301"/>
    <x v="1"/>
    <m/>
  </r>
  <r>
    <n v="2739"/>
    <n v="30"/>
    <x v="1"/>
    <x v="5"/>
    <x v="5"/>
    <n v="578.64"/>
    <x v="2"/>
    <x v="0"/>
    <n v="3.2"/>
    <n v="21"/>
    <n v="8"/>
    <n v="732.45569620253161"/>
    <n v="153.81569620253163"/>
    <x v="5"/>
    <m/>
  </r>
  <r>
    <n v="2740"/>
    <n v="69"/>
    <x v="1"/>
    <x v="4"/>
    <x v="4"/>
    <n v="65.16"/>
    <x v="0"/>
    <x v="0"/>
    <n v="4.2"/>
    <n v="11"/>
    <n v="3"/>
    <n v="73.213483146067418"/>
    <n v="8.0534831460674212"/>
    <x v="2"/>
    <m/>
  </r>
  <r>
    <n v="2741"/>
    <n v="62"/>
    <x v="0"/>
    <x v="8"/>
    <x v="14"/>
    <n v="101.41"/>
    <x v="1"/>
    <x v="0"/>
    <n v="3.9"/>
    <n v="8"/>
    <n v="4"/>
    <n v="110.2282608695652"/>
    <n v="8.8182608695652078"/>
    <x v="0"/>
    <m/>
  </r>
  <r>
    <n v="2742"/>
    <n v="33"/>
    <x v="0"/>
    <x v="6"/>
    <x v="6"/>
    <n v="110.21"/>
    <x v="2"/>
    <x v="0"/>
    <n v="4.0999999999999996"/>
    <n v="14"/>
    <n v="2"/>
    <n v="128.15116279069767"/>
    <n v="17.941162790697675"/>
    <x v="5"/>
    <m/>
  </r>
  <r>
    <n v="2743"/>
    <n v="22"/>
    <x v="1"/>
    <x v="2"/>
    <x v="12"/>
    <n v="63.38"/>
    <x v="0"/>
    <x v="1"/>
    <n v="3"/>
    <n v="28"/>
    <n v="9"/>
    <n v="88.027777777777786"/>
    <n v="24.647777777777783"/>
    <x v="3"/>
    <m/>
  </r>
  <r>
    <n v="2744"/>
    <n v="56"/>
    <x v="1"/>
    <x v="1"/>
    <x v="20"/>
    <n v="144.24"/>
    <x v="0"/>
    <x v="0"/>
    <n v="3.8"/>
    <n v="28"/>
    <n v="9"/>
    <n v="200.33333333333334"/>
    <n v="56.093333333333334"/>
    <x v="0"/>
    <m/>
  </r>
  <r>
    <n v="2745"/>
    <n v="37"/>
    <x v="1"/>
    <x v="7"/>
    <x v="11"/>
    <n v="235.76"/>
    <x v="2"/>
    <x v="0"/>
    <n v="4.5"/>
    <n v="28"/>
    <n v="9"/>
    <n v="327.44444444444446"/>
    <n v="91.684444444444466"/>
    <x v="1"/>
    <m/>
  </r>
  <r>
    <n v="2746"/>
    <n v="41"/>
    <x v="0"/>
    <x v="0"/>
    <x v="28"/>
    <n v="53.22"/>
    <x v="2"/>
    <x v="1"/>
    <n v="2.7"/>
    <n v="13"/>
    <n v="4"/>
    <n v="61.172413793103445"/>
    <n v="7.952413793103446"/>
    <x v="1"/>
    <m/>
  </r>
  <r>
    <n v="2747"/>
    <n v="66"/>
    <x v="1"/>
    <x v="2"/>
    <x v="10"/>
    <n v="50.31"/>
    <x v="1"/>
    <x v="1"/>
    <n v="2.6"/>
    <n v="18"/>
    <n v="4"/>
    <n v="61.353658536585364"/>
    <n v="11.043658536585362"/>
    <x v="2"/>
    <m/>
  </r>
  <r>
    <n v="2748"/>
    <n v="22"/>
    <x v="1"/>
    <x v="5"/>
    <x v="7"/>
    <n v="1764.17"/>
    <x v="2"/>
    <x v="0"/>
    <n v="4.0999999999999996"/>
    <n v="16"/>
    <n v="8"/>
    <n v="2100.2023809523812"/>
    <n v="336.03238095238112"/>
    <x v="3"/>
    <m/>
  </r>
  <r>
    <n v="2749"/>
    <n v="50"/>
    <x v="0"/>
    <x v="6"/>
    <x v="27"/>
    <n v="78.25"/>
    <x v="2"/>
    <x v="1"/>
    <n v="4.8"/>
    <n v="18"/>
    <n v="4"/>
    <n v="95.426829268292678"/>
    <n v="17.176829268292678"/>
    <x v="4"/>
    <m/>
  </r>
  <r>
    <n v="2750"/>
    <n v="67"/>
    <x v="1"/>
    <x v="4"/>
    <x v="4"/>
    <n v="18.2"/>
    <x v="1"/>
    <x v="0"/>
    <n v="3"/>
    <n v="14"/>
    <n v="7"/>
    <n v="21.162790697674417"/>
    <n v="2.9627906976744178"/>
    <x v="2"/>
    <m/>
  </r>
  <r>
    <n v="2751"/>
    <n v="35"/>
    <x v="1"/>
    <x v="3"/>
    <x v="3"/>
    <n v="244.27"/>
    <x v="1"/>
    <x v="0"/>
    <n v="4.5999999999999996"/>
    <n v="12"/>
    <n v="1"/>
    <n v="277.57954545454544"/>
    <n v="33.309545454545429"/>
    <x v="1"/>
    <m/>
  </r>
  <r>
    <n v="2752"/>
    <n v="36"/>
    <x v="1"/>
    <x v="3"/>
    <x v="24"/>
    <n v="112.07"/>
    <x v="3"/>
    <x v="0"/>
    <n v="3.8"/>
    <n v="14"/>
    <n v="7"/>
    <n v="130.31395348837208"/>
    <n v="18.243953488372085"/>
    <x v="1"/>
    <m/>
  </r>
  <r>
    <n v="2753"/>
    <n v="22"/>
    <x v="1"/>
    <x v="1"/>
    <x v="20"/>
    <n v="116.68"/>
    <x v="3"/>
    <x v="0"/>
    <n v="5"/>
    <n v="15"/>
    <n v="5"/>
    <n v="137.27058823529413"/>
    <n v="20.590588235294121"/>
    <x v="3"/>
    <m/>
  </r>
  <r>
    <n v="2754"/>
    <n v="30"/>
    <x v="0"/>
    <x v="4"/>
    <x v="4"/>
    <n v="28.54"/>
    <x v="1"/>
    <x v="0"/>
    <n v="3.5"/>
    <n v="12"/>
    <n v="6"/>
    <n v="32.43181818181818"/>
    <n v="3.8918181818181807"/>
    <x v="5"/>
    <m/>
  </r>
  <r>
    <n v="2755"/>
    <n v="54"/>
    <x v="1"/>
    <x v="5"/>
    <x v="25"/>
    <n v="1263.5899999999999"/>
    <x v="2"/>
    <x v="0"/>
    <n v="3.3"/>
    <n v="8"/>
    <n v="4"/>
    <n v="1373.4673913043478"/>
    <n v="109.87739130434784"/>
    <x v="4"/>
    <m/>
  </r>
  <r>
    <n v="2756"/>
    <n v="35"/>
    <x v="1"/>
    <x v="2"/>
    <x v="2"/>
    <n v="137.06"/>
    <x v="2"/>
    <x v="0"/>
    <n v="3.6"/>
    <n v="16"/>
    <n v="8"/>
    <n v="163.16666666666669"/>
    <n v="26.106666666666683"/>
    <x v="1"/>
    <m/>
  </r>
  <r>
    <n v="2757"/>
    <n v="21"/>
    <x v="1"/>
    <x v="4"/>
    <x v="26"/>
    <n v="49.98"/>
    <x v="1"/>
    <x v="0"/>
    <n v="3.2"/>
    <n v="13"/>
    <n v="4"/>
    <n v="57.448275862068961"/>
    <n v="7.468275862068964"/>
    <x v="3"/>
    <m/>
  </r>
  <r>
    <n v="2758"/>
    <n v="50"/>
    <x v="0"/>
    <x v="7"/>
    <x v="13"/>
    <n v="99.11"/>
    <x v="3"/>
    <x v="1"/>
    <n v="4.3"/>
    <n v="9"/>
    <n v="2"/>
    <n v="108.91208791208791"/>
    <n v="9.802087912087913"/>
    <x v="4"/>
    <m/>
  </r>
  <r>
    <n v="2759"/>
    <n v="30"/>
    <x v="1"/>
    <x v="5"/>
    <x v="5"/>
    <n v="1683.57"/>
    <x v="2"/>
    <x v="0"/>
    <n v="3.5"/>
    <n v="11"/>
    <n v="3"/>
    <n v="1891.6516853932583"/>
    <n v="208.08168539325834"/>
    <x v="5"/>
    <m/>
  </r>
  <r>
    <n v="2760"/>
    <n v="48"/>
    <x v="0"/>
    <x v="4"/>
    <x v="19"/>
    <n v="77.239999999999995"/>
    <x v="3"/>
    <x v="0"/>
    <n v="4.7"/>
    <n v="28"/>
    <n v="9"/>
    <n v="107.27777777777777"/>
    <n v="30.037777777777777"/>
    <x v="4"/>
    <m/>
  </r>
  <r>
    <n v="2761"/>
    <n v="38"/>
    <x v="0"/>
    <x v="4"/>
    <x v="26"/>
    <n v="15.14"/>
    <x v="1"/>
    <x v="0"/>
    <n v="3.2"/>
    <n v="18"/>
    <n v="4"/>
    <n v="18.463414634146339"/>
    <n v="3.3234146341463386"/>
    <x v="1"/>
    <m/>
  </r>
  <r>
    <n v="2762"/>
    <n v="62"/>
    <x v="1"/>
    <x v="7"/>
    <x v="11"/>
    <n v="43.56"/>
    <x v="2"/>
    <x v="1"/>
    <n v="2.6"/>
    <n v="24"/>
    <n v="7"/>
    <n v="57.315789473684212"/>
    <n v="13.75578947368421"/>
    <x v="0"/>
    <m/>
  </r>
  <r>
    <n v="2763"/>
    <n v="30"/>
    <x v="0"/>
    <x v="6"/>
    <x v="6"/>
    <n v="51"/>
    <x v="3"/>
    <x v="1"/>
    <n v="4.5"/>
    <n v="8"/>
    <n v="4"/>
    <n v="55.434782608695649"/>
    <n v="4.4347826086956488"/>
    <x v="5"/>
    <m/>
  </r>
  <r>
    <n v="2764"/>
    <n v="24"/>
    <x v="0"/>
    <x v="2"/>
    <x v="12"/>
    <n v="232.42"/>
    <x v="3"/>
    <x v="0"/>
    <n v="2.7"/>
    <n v="9"/>
    <n v="2"/>
    <n v="255.40659340659337"/>
    <n v="22.986593406593386"/>
    <x v="3"/>
    <m/>
  </r>
  <r>
    <n v="2765"/>
    <n v="56"/>
    <x v="0"/>
    <x v="6"/>
    <x v="27"/>
    <n v="78.209999999999994"/>
    <x v="1"/>
    <x v="1"/>
    <n v="5"/>
    <n v="22"/>
    <n v="6"/>
    <n v="100.26923076923076"/>
    <n v="22.059230769230766"/>
    <x v="0"/>
    <m/>
  </r>
  <r>
    <n v="2766"/>
    <n v="70"/>
    <x v="0"/>
    <x v="4"/>
    <x v="29"/>
    <n v="26.36"/>
    <x v="1"/>
    <x v="1"/>
    <n v="4.4000000000000004"/>
    <n v="10"/>
    <n v="5"/>
    <n v="29.288888888888888"/>
    <n v="2.9288888888888884"/>
    <x v="2"/>
    <m/>
  </r>
  <r>
    <n v="2767"/>
    <n v="22"/>
    <x v="1"/>
    <x v="1"/>
    <x v="20"/>
    <n v="59.51"/>
    <x v="2"/>
    <x v="0"/>
    <n v="3.3"/>
    <n v="16"/>
    <n v="3"/>
    <n v="70.845238095238102"/>
    <n v="11.335238095238104"/>
    <x v="3"/>
    <m/>
  </r>
  <r>
    <n v="2768"/>
    <n v="36"/>
    <x v="0"/>
    <x v="8"/>
    <x v="14"/>
    <n v="150.91999999999999"/>
    <x v="3"/>
    <x v="0"/>
    <n v="4.0999999999999996"/>
    <n v="15"/>
    <n v="5"/>
    <n v="177.55294117647057"/>
    <n v="26.632941176470581"/>
    <x v="1"/>
    <m/>
  </r>
  <r>
    <n v="2769"/>
    <n v="47"/>
    <x v="0"/>
    <x v="8"/>
    <x v="17"/>
    <n v="148.25"/>
    <x v="1"/>
    <x v="0"/>
    <n v="4"/>
    <n v="16"/>
    <n v="3"/>
    <n v="176.48809523809524"/>
    <n v="28.238095238095241"/>
    <x v="4"/>
    <m/>
  </r>
  <r>
    <n v="2770"/>
    <n v="57"/>
    <x v="1"/>
    <x v="7"/>
    <x v="8"/>
    <n v="196.03"/>
    <x v="2"/>
    <x v="0"/>
    <n v="4.3"/>
    <n v="6"/>
    <n v="3"/>
    <n v="208.54255319148936"/>
    <n v="12.51255319148936"/>
    <x v="0"/>
    <m/>
  </r>
  <r>
    <n v="2771"/>
    <n v="46"/>
    <x v="1"/>
    <x v="5"/>
    <x v="21"/>
    <n v="853.51"/>
    <x v="1"/>
    <x v="0"/>
    <n v="2.7"/>
    <n v="11"/>
    <n v="3"/>
    <n v="959"/>
    <n v="105.49000000000001"/>
    <x v="4"/>
    <m/>
  </r>
  <r>
    <n v="2772"/>
    <n v="62"/>
    <x v="1"/>
    <x v="5"/>
    <x v="25"/>
    <n v="1899.51"/>
    <x v="0"/>
    <x v="0"/>
    <n v="4.2"/>
    <n v="24"/>
    <n v="7"/>
    <n v="2499.3552631578946"/>
    <n v="599.84526315789458"/>
    <x v="0"/>
    <m/>
  </r>
  <r>
    <n v="2773"/>
    <n v="20"/>
    <x v="1"/>
    <x v="1"/>
    <x v="9"/>
    <n v="89.5"/>
    <x v="0"/>
    <x v="0"/>
    <n v="4.3"/>
    <n v="28"/>
    <n v="9"/>
    <n v="124.30555555555556"/>
    <n v="34.805555555555557"/>
    <x v="3"/>
    <m/>
  </r>
  <r>
    <n v="2774"/>
    <n v="61"/>
    <x v="1"/>
    <x v="2"/>
    <x v="12"/>
    <n v="30.95"/>
    <x v="2"/>
    <x v="0"/>
    <n v="3.5"/>
    <n v="17"/>
    <n v="6"/>
    <n v="37.289156626506028"/>
    <n v="6.3391566265060284"/>
    <x v="0"/>
    <m/>
  </r>
  <r>
    <n v="2775"/>
    <n v="48"/>
    <x v="1"/>
    <x v="3"/>
    <x v="24"/>
    <n v="297.56"/>
    <x v="2"/>
    <x v="0"/>
    <n v="5"/>
    <n v="18"/>
    <n v="4"/>
    <n v="362.8780487804878"/>
    <n v="65.3180487804878"/>
    <x v="4"/>
    <m/>
  </r>
  <r>
    <n v="2776"/>
    <n v="52"/>
    <x v="1"/>
    <x v="1"/>
    <x v="14"/>
    <n v="169.71"/>
    <x v="2"/>
    <x v="0"/>
    <n v="4.3"/>
    <n v="19"/>
    <n v="7"/>
    <n v="209.5185185185185"/>
    <n v="39.808518518518497"/>
    <x v="4"/>
    <m/>
  </r>
  <r>
    <n v="2777"/>
    <n v="60"/>
    <x v="0"/>
    <x v="8"/>
    <x v="16"/>
    <n v="97.73"/>
    <x v="2"/>
    <x v="0"/>
    <n v="4"/>
    <n v="19"/>
    <n v="7"/>
    <n v="120.65432098765432"/>
    <n v="22.924320987654312"/>
    <x v="0"/>
    <m/>
  </r>
  <r>
    <n v="2778"/>
    <n v="23"/>
    <x v="1"/>
    <x v="3"/>
    <x v="15"/>
    <n v="92.52"/>
    <x v="0"/>
    <x v="0"/>
    <n v="3.3"/>
    <n v="8"/>
    <n v="4"/>
    <n v="100.56521739130434"/>
    <n v="8.0452173913043481"/>
    <x v="3"/>
    <m/>
  </r>
  <r>
    <n v="2779"/>
    <n v="43"/>
    <x v="1"/>
    <x v="2"/>
    <x v="12"/>
    <n v="217.59"/>
    <x v="3"/>
    <x v="0"/>
    <n v="4.0999999999999996"/>
    <n v="10"/>
    <n v="5"/>
    <n v="241.76666666666665"/>
    <n v="24.176666666666648"/>
    <x v="1"/>
    <m/>
  </r>
  <r>
    <n v="2780"/>
    <n v="27"/>
    <x v="1"/>
    <x v="7"/>
    <x v="11"/>
    <n v="144.94999999999999"/>
    <x v="3"/>
    <x v="0"/>
    <n v="4.5999999999999996"/>
    <n v="13"/>
    <n v="4"/>
    <n v="166.60919540229884"/>
    <n v="21.659195402298849"/>
    <x v="5"/>
    <m/>
  </r>
  <r>
    <n v="2781"/>
    <n v="37"/>
    <x v="0"/>
    <x v="8"/>
    <x v="16"/>
    <n v="95.24"/>
    <x v="2"/>
    <x v="1"/>
    <n v="4.0999999999999996"/>
    <n v="17"/>
    <n v="6"/>
    <n v="114.74698795180723"/>
    <n v="19.506987951807233"/>
    <x v="1"/>
    <m/>
  </r>
  <r>
    <n v="2782"/>
    <n v="20"/>
    <x v="0"/>
    <x v="3"/>
    <x v="3"/>
    <n v="291.95"/>
    <x v="3"/>
    <x v="0"/>
    <n v="2.8"/>
    <n v="20"/>
    <n v="5"/>
    <n v="364.93749999999994"/>
    <n v="72.987499999999955"/>
    <x v="3"/>
    <m/>
  </r>
  <r>
    <n v="2783"/>
    <n v="44"/>
    <x v="1"/>
    <x v="1"/>
    <x v="9"/>
    <n v="154.18"/>
    <x v="3"/>
    <x v="0"/>
    <n v="4.5"/>
    <n v="16"/>
    <n v="8"/>
    <n v="183.54761904761907"/>
    <n v="29.367619047619058"/>
    <x v="1"/>
    <m/>
  </r>
  <r>
    <n v="2784"/>
    <n v="20"/>
    <x v="0"/>
    <x v="6"/>
    <x v="23"/>
    <n v="51.67"/>
    <x v="1"/>
    <x v="1"/>
    <n v="3.5"/>
    <n v="12"/>
    <n v="6"/>
    <n v="58.715909090909093"/>
    <n v="7.0459090909090918"/>
    <x v="3"/>
    <m/>
  </r>
  <r>
    <n v="2785"/>
    <n v="43"/>
    <x v="0"/>
    <x v="6"/>
    <x v="27"/>
    <n v="137.75"/>
    <x v="1"/>
    <x v="0"/>
    <n v="4.0999999999999996"/>
    <n v="20"/>
    <n v="5"/>
    <n v="172.1875"/>
    <n v="34.4375"/>
    <x v="1"/>
    <m/>
  </r>
  <r>
    <n v="2786"/>
    <n v="46"/>
    <x v="0"/>
    <x v="7"/>
    <x v="13"/>
    <n v="106.59"/>
    <x v="2"/>
    <x v="0"/>
    <n v="4.9000000000000004"/>
    <n v="26"/>
    <n v="8"/>
    <n v="144.04054054054055"/>
    <n v="37.450540540540544"/>
    <x v="4"/>
    <m/>
  </r>
  <r>
    <n v="2787"/>
    <n v="30"/>
    <x v="0"/>
    <x v="0"/>
    <x v="28"/>
    <n v="119.64"/>
    <x v="1"/>
    <x v="0"/>
    <n v="3.8"/>
    <n v="13"/>
    <n v="4"/>
    <n v="137.51724137931035"/>
    <n v="17.877241379310348"/>
    <x v="5"/>
    <m/>
  </r>
  <r>
    <n v="2788"/>
    <n v="22"/>
    <x v="0"/>
    <x v="6"/>
    <x v="23"/>
    <n v="90.97"/>
    <x v="1"/>
    <x v="0"/>
    <n v="4"/>
    <n v="14"/>
    <n v="2"/>
    <n v="105.77906976744185"/>
    <n v="14.809069767441855"/>
    <x v="3"/>
    <m/>
  </r>
  <r>
    <n v="2789"/>
    <n v="57"/>
    <x v="0"/>
    <x v="3"/>
    <x v="3"/>
    <n v="106.31"/>
    <x v="1"/>
    <x v="0"/>
    <n v="2.4"/>
    <n v="15"/>
    <n v="5"/>
    <n v="125.07058823529412"/>
    <n v="18.760588235294122"/>
    <x v="0"/>
    <m/>
  </r>
  <r>
    <n v="2790"/>
    <n v="50"/>
    <x v="1"/>
    <x v="7"/>
    <x v="11"/>
    <n v="116.45"/>
    <x v="3"/>
    <x v="0"/>
    <n v="3.7"/>
    <n v="18"/>
    <n v="9"/>
    <n v="142.01219512195121"/>
    <n v="25.562195121951206"/>
    <x v="4"/>
    <m/>
  </r>
  <r>
    <n v="2791"/>
    <n v="61"/>
    <x v="1"/>
    <x v="7"/>
    <x v="11"/>
    <n v="166.25"/>
    <x v="2"/>
    <x v="0"/>
    <n v="4.3"/>
    <n v="8"/>
    <n v="4"/>
    <n v="180.70652173913044"/>
    <n v="14.456521739130437"/>
    <x v="0"/>
    <m/>
  </r>
  <r>
    <n v="2792"/>
    <n v="38"/>
    <x v="1"/>
    <x v="7"/>
    <x v="8"/>
    <n v="204.4"/>
    <x v="1"/>
    <x v="0"/>
    <n v="4.7"/>
    <n v="6"/>
    <n v="3"/>
    <n v="217.44680851063831"/>
    <n v="13.0468085106383"/>
    <x v="1"/>
    <m/>
  </r>
  <r>
    <n v="2793"/>
    <n v="37"/>
    <x v="1"/>
    <x v="2"/>
    <x v="12"/>
    <n v="239.14"/>
    <x v="2"/>
    <x v="0"/>
    <n v="2.2000000000000002"/>
    <n v="15"/>
    <n v="5"/>
    <n v="281.34117647058821"/>
    <n v="42.201176470588223"/>
    <x v="1"/>
    <m/>
  </r>
  <r>
    <n v="2794"/>
    <n v="37"/>
    <x v="1"/>
    <x v="7"/>
    <x v="11"/>
    <n v="174.28"/>
    <x v="1"/>
    <x v="0"/>
    <n v="3.2"/>
    <n v="15"/>
    <n v="5"/>
    <n v="205.03529411764706"/>
    <n v="30.755294117647054"/>
    <x v="1"/>
    <m/>
  </r>
  <r>
    <n v="2795"/>
    <n v="30"/>
    <x v="1"/>
    <x v="7"/>
    <x v="8"/>
    <n v="54.8"/>
    <x v="3"/>
    <x v="1"/>
    <n v="3.6"/>
    <n v="22"/>
    <n v="6"/>
    <n v="70.256410256410248"/>
    <n v="15.456410256410251"/>
    <x v="5"/>
    <m/>
  </r>
  <r>
    <n v="2796"/>
    <n v="32"/>
    <x v="0"/>
    <x v="2"/>
    <x v="12"/>
    <n v="65.040000000000006"/>
    <x v="3"/>
    <x v="1"/>
    <n v="4.9000000000000004"/>
    <n v="15"/>
    <n v="5"/>
    <n v="76.517647058823542"/>
    <n v="11.477647058823536"/>
    <x v="5"/>
    <m/>
  </r>
  <r>
    <n v="2797"/>
    <n v="29"/>
    <x v="1"/>
    <x v="2"/>
    <x v="10"/>
    <n v="121.15"/>
    <x v="1"/>
    <x v="0"/>
    <n v="3.4"/>
    <n v="4"/>
    <n v="2"/>
    <n v="126.19791666666667"/>
    <n v="5.0479166666666657"/>
    <x v="5"/>
    <m/>
  </r>
  <r>
    <n v="2798"/>
    <n v="37"/>
    <x v="0"/>
    <x v="6"/>
    <x v="6"/>
    <n v="111.74"/>
    <x v="1"/>
    <x v="0"/>
    <n v="4.5999999999999996"/>
    <n v="11"/>
    <n v="3"/>
    <n v="125.55056179775281"/>
    <n v="13.810561797752811"/>
    <x v="1"/>
    <m/>
  </r>
  <r>
    <n v="2799"/>
    <n v="38"/>
    <x v="0"/>
    <x v="6"/>
    <x v="23"/>
    <n v="142.9"/>
    <x v="0"/>
    <x v="0"/>
    <n v="3.8"/>
    <n v="7"/>
    <n v="1"/>
    <n v="153.65591397849465"/>
    <n v="10.755913978494647"/>
    <x v="1"/>
    <m/>
  </r>
  <r>
    <n v="2800"/>
    <n v="61"/>
    <x v="1"/>
    <x v="2"/>
    <x v="12"/>
    <n v="85.18"/>
    <x v="2"/>
    <x v="1"/>
    <n v="2.7"/>
    <n v="4"/>
    <n v="2"/>
    <n v="88.729166666666671"/>
    <n v="3.5491666666666646"/>
    <x v="0"/>
    <m/>
  </r>
  <r>
    <n v="2801"/>
    <n v="25"/>
    <x v="0"/>
    <x v="0"/>
    <x v="28"/>
    <n v="137.33000000000001"/>
    <x v="3"/>
    <x v="0"/>
    <n v="4.7"/>
    <n v="20"/>
    <n v="10"/>
    <n v="171.66249999999999"/>
    <n v="34.332499999999982"/>
    <x v="5"/>
    <m/>
  </r>
  <r>
    <n v="2802"/>
    <n v="60"/>
    <x v="1"/>
    <x v="7"/>
    <x v="11"/>
    <n v="82.73"/>
    <x v="1"/>
    <x v="1"/>
    <n v="3.6"/>
    <n v="8"/>
    <n v="4"/>
    <n v="89.923913043478265"/>
    <n v="7.1939130434782612"/>
    <x v="0"/>
    <m/>
  </r>
  <r>
    <n v="2803"/>
    <n v="25"/>
    <x v="1"/>
    <x v="1"/>
    <x v="20"/>
    <n v="186.21"/>
    <x v="0"/>
    <x v="0"/>
    <n v="3.8"/>
    <n v="9"/>
    <n v="2"/>
    <n v="204.62637362637363"/>
    <n v="18.416373626373627"/>
    <x v="5"/>
    <m/>
  </r>
  <r>
    <n v="2804"/>
    <n v="23"/>
    <x v="0"/>
    <x v="7"/>
    <x v="8"/>
    <n v="211.98"/>
    <x v="0"/>
    <x v="0"/>
    <n v="3.8"/>
    <n v="15"/>
    <n v="5"/>
    <n v="249.38823529411764"/>
    <n v="37.408235294117645"/>
    <x v="3"/>
    <m/>
  </r>
  <r>
    <n v="2805"/>
    <n v="48"/>
    <x v="0"/>
    <x v="6"/>
    <x v="6"/>
    <n v="36.46"/>
    <x v="2"/>
    <x v="0"/>
    <n v="4.5999999999999996"/>
    <n v="18"/>
    <n v="4"/>
    <n v="44.463414634146339"/>
    <n v="8.0034146341463384"/>
    <x v="4"/>
    <m/>
  </r>
  <r>
    <n v="2806"/>
    <n v="41"/>
    <x v="0"/>
    <x v="6"/>
    <x v="23"/>
    <n v="120.18"/>
    <x v="1"/>
    <x v="0"/>
    <n v="4"/>
    <n v="14"/>
    <n v="7"/>
    <n v="139.74418604651163"/>
    <n v="19.564186046511622"/>
    <x v="1"/>
    <m/>
  </r>
  <r>
    <n v="2807"/>
    <n v="44"/>
    <x v="1"/>
    <x v="1"/>
    <x v="14"/>
    <n v="133.57"/>
    <x v="1"/>
    <x v="0"/>
    <n v="4.0999999999999996"/>
    <n v="24"/>
    <n v="7"/>
    <n v="175.75"/>
    <n v="42.180000000000007"/>
    <x v="1"/>
    <m/>
  </r>
  <r>
    <n v="2808"/>
    <n v="22"/>
    <x v="1"/>
    <x v="7"/>
    <x v="11"/>
    <n v="156.66"/>
    <x v="2"/>
    <x v="0"/>
    <n v="4"/>
    <n v="13"/>
    <n v="4"/>
    <n v="180.06896551724137"/>
    <n v="23.40896551724137"/>
    <x v="3"/>
    <m/>
  </r>
  <r>
    <n v="2809"/>
    <n v="28"/>
    <x v="0"/>
    <x v="0"/>
    <x v="0"/>
    <n v="28.16"/>
    <x v="2"/>
    <x v="1"/>
    <n v="4.4000000000000004"/>
    <n v="22"/>
    <n v="6"/>
    <n v="36.102564102564102"/>
    <n v="7.9425641025641021"/>
    <x v="5"/>
    <m/>
  </r>
  <r>
    <n v="2810"/>
    <n v="27"/>
    <x v="1"/>
    <x v="1"/>
    <x v="1"/>
    <n v="143.88999999999999"/>
    <x v="3"/>
    <x v="0"/>
    <n v="3.9"/>
    <n v="19"/>
    <n v="7"/>
    <n v="177.64197530864195"/>
    <n v="33.75197530864196"/>
    <x v="5"/>
    <m/>
  </r>
  <r>
    <n v="2811"/>
    <n v="55"/>
    <x v="1"/>
    <x v="7"/>
    <x v="11"/>
    <n v="70.59"/>
    <x v="0"/>
    <x v="0"/>
    <n v="4.4000000000000004"/>
    <n v="16"/>
    <n v="3"/>
    <n v="84.035714285714292"/>
    <n v="13.445714285714288"/>
    <x v="0"/>
    <m/>
  </r>
  <r>
    <n v="2812"/>
    <n v="52"/>
    <x v="0"/>
    <x v="2"/>
    <x v="2"/>
    <n v="172.51"/>
    <x v="1"/>
    <x v="0"/>
    <n v="3.3"/>
    <n v="12"/>
    <n v="6"/>
    <n v="196.03409090909091"/>
    <n v="23.524090909090916"/>
    <x v="4"/>
    <m/>
  </r>
  <r>
    <n v="2813"/>
    <n v="49"/>
    <x v="0"/>
    <x v="6"/>
    <x v="23"/>
    <n v="67.349999999999994"/>
    <x v="2"/>
    <x v="1"/>
    <n v="4.0999999999999996"/>
    <n v="4"/>
    <n v="2"/>
    <n v="70.15625"/>
    <n v="2.8062500000000057"/>
    <x v="4"/>
    <m/>
  </r>
  <r>
    <n v="2814"/>
    <n v="40"/>
    <x v="1"/>
    <x v="4"/>
    <x v="4"/>
    <n v="21.13"/>
    <x v="3"/>
    <x v="1"/>
    <n v="3"/>
    <n v="6"/>
    <n v="3"/>
    <n v="22.478723404255319"/>
    <n v="1.3487234042553204"/>
    <x v="1"/>
    <m/>
  </r>
  <r>
    <n v="2815"/>
    <n v="39"/>
    <x v="0"/>
    <x v="6"/>
    <x v="6"/>
    <n v="63.42"/>
    <x v="0"/>
    <x v="0"/>
    <n v="3.7"/>
    <n v="13"/>
    <n v="4"/>
    <n v="72.896551724137936"/>
    <n v="9.4765517241379342"/>
    <x v="1"/>
    <m/>
  </r>
  <r>
    <n v="2816"/>
    <n v="32"/>
    <x v="0"/>
    <x v="8"/>
    <x v="18"/>
    <n v="39.659999999999997"/>
    <x v="2"/>
    <x v="0"/>
    <n v="3.5"/>
    <n v="15"/>
    <n v="5"/>
    <n v="46.658823529411762"/>
    <n v="6.9988235294117658"/>
    <x v="5"/>
    <m/>
  </r>
  <r>
    <n v="2817"/>
    <n v="63"/>
    <x v="0"/>
    <x v="8"/>
    <x v="16"/>
    <n v="81.34"/>
    <x v="3"/>
    <x v="0"/>
    <n v="5"/>
    <n v="24"/>
    <n v="7"/>
    <n v="107.02631578947368"/>
    <n v="25.686315789473682"/>
    <x v="0"/>
    <m/>
  </r>
  <r>
    <n v="2818"/>
    <n v="43"/>
    <x v="1"/>
    <x v="4"/>
    <x v="26"/>
    <n v="41.52"/>
    <x v="1"/>
    <x v="0"/>
    <n v="4"/>
    <n v="16"/>
    <n v="3"/>
    <n v="49.428571428571431"/>
    <n v="7.9085714285714275"/>
    <x v="1"/>
    <m/>
  </r>
  <r>
    <n v="2819"/>
    <n v="22"/>
    <x v="1"/>
    <x v="1"/>
    <x v="1"/>
    <n v="148.99"/>
    <x v="0"/>
    <x v="0"/>
    <n v="3.8"/>
    <n v="0"/>
    <n v="0"/>
    <n v="148.99"/>
    <n v="0"/>
    <x v="3"/>
    <m/>
  </r>
  <r>
    <n v="2820"/>
    <n v="39"/>
    <x v="1"/>
    <x v="2"/>
    <x v="10"/>
    <n v="72.52"/>
    <x v="0"/>
    <x v="0"/>
    <n v="4.0999999999999996"/>
    <n v="32"/>
    <n v="11"/>
    <n v="106.64705882352942"/>
    <n v="34.127058823529424"/>
    <x v="1"/>
    <m/>
  </r>
  <r>
    <n v="2821"/>
    <n v="50"/>
    <x v="1"/>
    <x v="2"/>
    <x v="10"/>
    <n v="51.45"/>
    <x v="3"/>
    <x v="0"/>
    <n v="4.8"/>
    <n v="21"/>
    <n v="8"/>
    <n v="65.12658227848101"/>
    <n v="13.676582278481007"/>
    <x v="4"/>
    <m/>
  </r>
  <r>
    <n v="2822"/>
    <n v="62"/>
    <x v="0"/>
    <x v="3"/>
    <x v="3"/>
    <n v="267.63"/>
    <x v="3"/>
    <x v="0"/>
    <n v="4"/>
    <n v="15"/>
    <n v="5"/>
    <n v="314.85882352941178"/>
    <n v="47.228823529411784"/>
    <x v="0"/>
    <m/>
  </r>
  <r>
    <n v="2823"/>
    <n v="34"/>
    <x v="1"/>
    <x v="1"/>
    <x v="9"/>
    <n v="173.49"/>
    <x v="3"/>
    <x v="0"/>
    <n v="3.6"/>
    <n v="16"/>
    <n v="8"/>
    <n v="206.53571428571431"/>
    <n v="33.045714285714297"/>
    <x v="5"/>
    <m/>
  </r>
  <r>
    <n v="2824"/>
    <n v="58"/>
    <x v="1"/>
    <x v="4"/>
    <x v="4"/>
    <n v="27.45"/>
    <x v="0"/>
    <x v="0"/>
    <n v="3.3"/>
    <n v="18"/>
    <n v="4"/>
    <n v="33.475609756097555"/>
    <n v="6.0256097560975554"/>
    <x v="0"/>
    <m/>
  </r>
  <r>
    <n v="2825"/>
    <n v="36"/>
    <x v="0"/>
    <x v="0"/>
    <x v="22"/>
    <n v="112.43"/>
    <x v="3"/>
    <x v="0"/>
    <n v="4.5"/>
    <n v="14"/>
    <n v="2"/>
    <n v="130.73255813953489"/>
    <n v="18.302558139534881"/>
    <x v="1"/>
    <m/>
  </r>
  <r>
    <n v="2826"/>
    <n v="30"/>
    <x v="1"/>
    <x v="2"/>
    <x v="2"/>
    <n v="78.09"/>
    <x v="2"/>
    <x v="0"/>
    <n v="4.7"/>
    <n v="15"/>
    <n v="5"/>
    <n v="91.870588235294122"/>
    <n v="13.780588235294118"/>
    <x v="5"/>
    <m/>
  </r>
  <r>
    <n v="2827"/>
    <n v="42"/>
    <x v="0"/>
    <x v="7"/>
    <x v="8"/>
    <n v="169.66"/>
    <x v="1"/>
    <x v="0"/>
    <n v="3.8"/>
    <n v="11"/>
    <n v="3"/>
    <n v="190.62921348314606"/>
    <n v="20.969213483146063"/>
    <x v="1"/>
    <m/>
  </r>
  <r>
    <n v="2828"/>
    <n v="50"/>
    <x v="1"/>
    <x v="1"/>
    <x v="20"/>
    <n v="163.03"/>
    <x v="1"/>
    <x v="0"/>
    <n v="4.5999999999999996"/>
    <n v="14"/>
    <n v="2"/>
    <n v="189.56976744186048"/>
    <n v="26.539767441860477"/>
    <x v="4"/>
    <m/>
  </r>
  <r>
    <n v="2829"/>
    <n v="63"/>
    <x v="0"/>
    <x v="2"/>
    <x v="2"/>
    <n v="194.67"/>
    <x v="2"/>
    <x v="0"/>
    <n v="3.8"/>
    <n v="15"/>
    <n v="5"/>
    <n v="229.02352941176468"/>
    <n v="34.353529411764697"/>
    <x v="0"/>
    <m/>
  </r>
  <r>
    <n v="2830"/>
    <n v="50"/>
    <x v="0"/>
    <x v="2"/>
    <x v="2"/>
    <n v="82.53"/>
    <x v="1"/>
    <x v="0"/>
    <n v="3.7"/>
    <n v="16"/>
    <n v="3"/>
    <n v="98.25"/>
    <n v="15.719999999999999"/>
    <x v="4"/>
    <m/>
  </r>
  <r>
    <n v="2831"/>
    <n v="49"/>
    <x v="0"/>
    <x v="8"/>
    <x v="17"/>
    <n v="146.27000000000001"/>
    <x v="2"/>
    <x v="0"/>
    <n v="2.9"/>
    <n v="10"/>
    <n v="5"/>
    <n v="162.52222222222224"/>
    <n v="16.25222222222223"/>
    <x v="4"/>
    <m/>
  </r>
  <r>
    <n v="2832"/>
    <n v="27"/>
    <x v="0"/>
    <x v="2"/>
    <x v="12"/>
    <n v="175.05"/>
    <x v="1"/>
    <x v="0"/>
    <n v="2.7"/>
    <n v="18"/>
    <n v="9"/>
    <n v="213.47560975609755"/>
    <n v="38.425609756097543"/>
    <x v="5"/>
    <m/>
  </r>
  <r>
    <n v="2833"/>
    <n v="21"/>
    <x v="0"/>
    <x v="8"/>
    <x v="18"/>
    <n v="170.15"/>
    <x v="1"/>
    <x v="0"/>
    <n v="3.3"/>
    <n v="14"/>
    <n v="7"/>
    <n v="197.84883720930233"/>
    <n v="27.698837209302326"/>
    <x v="3"/>
    <m/>
  </r>
  <r>
    <n v="2834"/>
    <n v="42"/>
    <x v="0"/>
    <x v="3"/>
    <x v="15"/>
    <n v="91.56"/>
    <x v="3"/>
    <x v="1"/>
    <n v="5"/>
    <n v="15"/>
    <n v="5"/>
    <n v="107.71764705882353"/>
    <n v="16.157647058823528"/>
    <x v="1"/>
    <m/>
  </r>
  <r>
    <n v="2835"/>
    <n v="54"/>
    <x v="1"/>
    <x v="2"/>
    <x v="10"/>
    <n v="188.44"/>
    <x v="1"/>
    <x v="0"/>
    <n v="4.8"/>
    <n v="24"/>
    <n v="7"/>
    <n v="247.94736842105263"/>
    <n v="59.507368421052632"/>
    <x v="4"/>
    <m/>
  </r>
  <r>
    <n v="2836"/>
    <n v="47"/>
    <x v="1"/>
    <x v="5"/>
    <x v="21"/>
    <n v="585.1"/>
    <x v="0"/>
    <x v="0"/>
    <n v="3.6"/>
    <n v="14"/>
    <n v="2"/>
    <n v="680.34883720930236"/>
    <n v="95.248837209302337"/>
    <x v="4"/>
    <m/>
  </r>
  <r>
    <n v="2837"/>
    <n v="62"/>
    <x v="1"/>
    <x v="4"/>
    <x v="19"/>
    <n v="72.41"/>
    <x v="3"/>
    <x v="1"/>
    <n v="2.8"/>
    <n v="14"/>
    <n v="7"/>
    <n v="84.197674418604649"/>
    <n v="11.787674418604652"/>
    <x v="0"/>
    <m/>
  </r>
  <r>
    <n v="2838"/>
    <n v="55"/>
    <x v="0"/>
    <x v="8"/>
    <x v="17"/>
    <n v="148.16"/>
    <x v="0"/>
    <x v="0"/>
    <n v="3.8"/>
    <n v="14"/>
    <n v="7"/>
    <n v="172.27906976744185"/>
    <n v="24.119069767441857"/>
    <x v="0"/>
    <m/>
  </r>
  <r>
    <n v="2839"/>
    <n v="65"/>
    <x v="1"/>
    <x v="1"/>
    <x v="9"/>
    <n v="30.58"/>
    <x v="2"/>
    <x v="1"/>
    <n v="2.5"/>
    <n v="11"/>
    <n v="3"/>
    <n v="34.359550561797754"/>
    <n v="3.7795505617977554"/>
    <x v="2"/>
    <m/>
  </r>
  <r>
    <n v="2840"/>
    <n v="23"/>
    <x v="0"/>
    <x v="0"/>
    <x v="22"/>
    <n v="48.53"/>
    <x v="2"/>
    <x v="1"/>
    <n v="3.1"/>
    <n v="10"/>
    <n v="5"/>
    <n v="53.922222222222224"/>
    <n v="5.3922222222222231"/>
    <x v="3"/>
    <m/>
  </r>
  <r>
    <n v="2841"/>
    <n v="49"/>
    <x v="0"/>
    <x v="8"/>
    <x v="16"/>
    <n v="72.069999999999993"/>
    <x v="1"/>
    <x v="1"/>
    <n v="2.7"/>
    <n v="6"/>
    <n v="3"/>
    <n v="76.670212765957444"/>
    <n v="4.6002127659574512"/>
    <x v="4"/>
    <m/>
  </r>
  <r>
    <n v="2842"/>
    <n v="64"/>
    <x v="0"/>
    <x v="7"/>
    <x v="8"/>
    <n v="173.87"/>
    <x v="2"/>
    <x v="0"/>
    <n v="3.1"/>
    <n v="15"/>
    <n v="5"/>
    <n v="204.5529411764706"/>
    <n v="30.682941176470592"/>
    <x v="0"/>
    <m/>
  </r>
  <r>
    <n v="2843"/>
    <n v="20"/>
    <x v="0"/>
    <x v="8"/>
    <x v="17"/>
    <n v="167.76"/>
    <x v="1"/>
    <x v="0"/>
    <n v="4.2"/>
    <n v="20"/>
    <n v="5"/>
    <n v="209.7"/>
    <n v="41.94"/>
    <x v="3"/>
    <m/>
  </r>
  <r>
    <n v="2844"/>
    <n v="28"/>
    <x v="1"/>
    <x v="5"/>
    <x v="7"/>
    <n v="581.89"/>
    <x v="3"/>
    <x v="0"/>
    <n v="3"/>
    <n v="10"/>
    <n v="5"/>
    <n v="646.54444444444437"/>
    <n v="64.65444444444438"/>
    <x v="5"/>
    <m/>
  </r>
  <r>
    <n v="2845"/>
    <n v="66"/>
    <x v="0"/>
    <x v="7"/>
    <x v="11"/>
    <n v="100.1"/>
    <x v="0"/>
    <x v="0"/>
    <n v="3.6"/>
    <n v="11"/>
    <n v="3"/>
    <n v="112.47191011235954"/>
    <n v="12.371910112359544"/>
    <x v="2"/>
    <m/>
  </r>
  <r>
    <n v="2846"/>
    <n v="57"/>
    <x v="0"/>
    <x v="6"/>
    <x v="23"/>
    <n v="28.82"/>
    <x v="2"/>
    <x v="1"/>
    <n v="3.3"/>
    <n v="16"/>
    <n v="3"/>
    <n v="34.30952380952381"/>
    <n v="5.4895238095238099"/>
    <x v="0"/>
    <m/>
  </r>
  <r>
    <n v="2847"/>
    <n v="48"/>
    <x v="1"/>
    <x v="1"/>
    <x v="9"/>
    <n v="150.38"/>
    <x v="2"/>
    <x v="0"/>
    <n v="3.7"/>
    <n v="24"/>
    <n v="7"/>
    <n v="197.86842105263156"/>
    <n v="47.488421052631566"/>
    <x v="4"/>
    <m/>
  </r>
  <r>
    <n v="2848"/>
    <n v="39"/>
    <x v="0"/>
    <x v="8"/>
    <x v="14"/>
    <n v="193.29"/>
    <x v="1"/>
    <x v="0"/>
    <n v="2.9"/>
    <n v="15"/>
    <n v="5"/>
    <n v="227.4"/>
    <n v="34.110000000000014"/>
    <x v="1"/>
    <m/>
  </r>
  <r>
    <n v="2849"/>
    <n v="58"/>
    <x v="1"/>
    <x v="7"/>
    <x v="13"/>
    <n v="80.52"/>
    <x v="3"/>
    <x v="1"/>
    <n v="3.7"/>
    <n v="15"/>
    <n v="5"/>
    <n v="94.729411764705887"/>
    <n v="14.209411764705891"/>
    <x v="0"/>
    <m/>
  </r>
  <r>
    <n v="2850"/>
    <n v="64"/>
    <x v="0"/>
    <x v="4"/>
    <x v="29"/>
    <n v="19.96"/>
    <x v="0"/>
    <x v="1"/>
    <n v="3"/>
    <n v="6"/>
    <n v="3"/>
    <n v="21.234042553191493"/>
    <n v="1.2740425531914923"/>
    <x v="0"/>
    <m/>
  </r>
  <r>
    <n v="2851"/>
    <n v="38"/>
    <x v="0"/>
    <x v="6"/>
    <x v="27"/>
    <n v="81.760000000000005"/>
    <x v="3"/>
    <x v="1"/>
    <n v="4.0999999999999996"/>
    <n v="8"/>
    <n v="4"/>
    <n v="88.869565217391312"/>
    <n v="7.1095652173913066"/>
    <x v="1"/>
    <m/>
  </r>
  <r>
    <n v="2852"/>
    <n v="47"/>
    <x v="1"/>
    <x v="4"/>
    <x v="19"/>
    <n v="19.760000000000002"/>
    <x v="3"/>
    <x v="1"/>
    <n v="3.8"/>
    <n v="9"/>
    <n v="2"/>
    <n v="21.714285714285715"/>
    <n v="1.9542857142857137"/>
    <x v="4"/>
    <m/>
  </r>
  <r>
    <n v="2853"/>
    <n v="49"/>
    <x v="0"/>
    <x v="8"/>
    <x v="18"/>
    <n v="73.31"/>
    <x v="1"/>
    <x v="1"/>
    <n v="3.5"/>
    <n v="20"/>
    <n v="5"/>
    <n v="91.637500000000003"/>
    <n v="18.327500000000001"/>
    <x v="4"/>
    <m/>
  </r>
  <r>
    <n v="2854"/>
    <n v="30"/>
    <x v="1"/>
    <x v="2"/>
    <x v="10"/>
    <n v="95.37"/>
    <x v="3"/>
    <x v="1"/>
    <n v="4.2"/>
    <n v="17"/>
    <n v="6"/>
    <n v="114.90361445783134"/>
    <n v="19.533614457831334"/>
    <x v="5"/>
    <m/>
  </r>
  <r>
    <n v="2855"/>
    <n v="24"/>
    <x v="0"/>
    <x v="0"/>
    <x v="0"/>
    <n v="105.91"/>
    <x v="0"/>
    <x v="0"/>
    <n v="3.9"/>
    <n v="19"/>
    <n v="7"/>
    <n v="130.75308641975306"/>
    <n v="24.843086419753064"/>
    <x v="3"/>
    <m/>
  </r>
  <r>
    <n v="2856"/>
    <n v="68"/>
    <x v="1"/>
    <x v="1"/>
    <x v="1"/>
    <n v="82.8"/>
    <x v="2"/>
    <x v="0"/>
    <n v="3.6"/>
    <n v="8"/>
    <n v="4"/>
    <n v="90"/>
    <n v="7.2000000000000028"/>
    <x v="2"/>
    <m/>
  </r>
  <r>
    <n v="2857"/>
    <n v="68"/>
    <x v="1"/>
    <x v="3"/>
    <x v="3"/>
    <n v="260.13"/>
    <x v="3"/>
    <x v="0"/>
    <n v="4"/>
    <n v="24"/>
    <n v="7"/>
    <n v="342.2763157894737"/>
    <n v="82.146315789473704"/>
    <x v="2"/>
    <m/>
  </r>
  <r>
    <n v="2858"/>
    <n v="55"/>
    <x v="0"/>
    <x v="7"/>
    <x v="13"/>
    <n v="196.79"/>
    <x v="3"/>
    <x v="0"/>
    <n v="3.7"/>
    <n v="10"/>
    <n v="5"/>
    <n v="218.65555555555554"/>
    <n v="21.865555555555545"/>
    <x v="0"/>
    <m/>
  </r>
  <r>
    <n v="2859"/>
    <n v="47"/>
    <x v="0"/>
    <x v="6"/>
    <x v="6"/>
    <n v="137.02000000000001"/>
    <x v="3"/>
    <x v="0"/>
    <n v="3.7"/>
    <n v="14"/>
    <n v="7"/>
    <n v="159.32558139534885"/>
    <n v="22.305581395348838"/>
    <x v="4"/>
    <m/>
  </r>
  <r>
    <n v="2860"/>
    <n v="31"/>
    <x v="1"/>
    <x v="4"/>
    <x v="19"/>
    <n v="61.33"/>
    <x v="1"/>
    <x v="0"/>
    <n v="3.6"/>
    <n v="16"/>
    <n v="3"/>
    <n v="73.011904761904759"/>
    <n v="11.681904761904761"/>
    <x v="5"/>
    <m/>
  </r>
  <r>
    <n v="2861"/>
    <n v="38"/>
    <x v="1"/>
    <x v="2"/>
    <x v="2"/>
    <n v="152.38999999999999"/>
    <x v="2"/>
    <x v="0"/>
    <n v="5"/>
    <n v="18"/>
    <n v="9"/>
    <n v="185.84146341463412"/>
    <n v="33.451463414634134"/>
    <x v="1"/>
    <m/>
  </r>
  <r>
    <n v="2862"/>
    <n v="50"/>
    <x v="0"/>
    <x v="8"/>
    <x v="18"/>
    <n v="35.770000000000003"/>
    <x v="0"/>
    <x v="1"/>
    <n v="3.8"/>
    <n v="10"/>
    <n v="5"/>
    <n v="39.744444444444447"/>
    <n v="3.974444444444444"/>
    <x v="4"/>
    <m/>
  </r>
  <r>
    <n v="2863"/>
    <n v="33"/>
    <x v="0"/>
    <x v="4"/>
    <x v="29"/>
    <n v="46.73"/>
    <x v="3"/>
    <x v="0"/>
    <n v="3.5"/>
    <n v="11"/>
    <n v="3"/>
    <n v="52.505617977528082"/>
    <n v="5.7756179775280856"/>
    <x v="5"/>
    <m/>
  </r>
  <r>
    <n v="2864"/>
    <n v="35"/>
    <x v="1"/>
    <x v="1"/>
    <x v="1"/>
    <n v="129.83000000000001"/>
    <x v="1"/>
    <x v="0"/>
    <n v="4"/>
    <n v="21"/>
    <n v="8"/>
    <n v="164.34177215189874"/>
    <n v="34.511772151898725"/>
    <x v="1"/>
    <m/>
  </r>
  <r>
    <n v="2865"/>
    <n v="47"/>
    <x v="1"/>
    <x v="2"/>
    <x v="10"/>
    <n v="223.95"/>
    <x v="2"/>
    <x v="0"/>
    <n v="4.8"/>
    <n v="24"/>
    <n v="7"/>
    <n v="294.6710526315789"/>
    <n v="70.721052631578914"/>
    <x v="4"/>
    <m/>
  </r>
  <r>
    <n v="2866"/>
    <n v="28"/>
    <x v="0"/>
    <x v="6"/>
    <x v="27"/>
    <n v="30.28"/>
    <x v="1"/>
    <x v="1"/>
    <n v="5"/>
    <n v="17"/>
    <n v="6"/>
    <n v="36.481927710843379"/>
    <n v="6.2019277108433783"/>
    <x v="5"/>
    <m/>
  </r>
  <r>
    <n v="2867"/>
    <n v="55"/>
    <x v="1"/>
    <x v="2"/>
    <x v="12"/>
    <n v="228.55"/>
    <x v="3"/>
    <x v="0"/>
    <n v="4.9000000000000004"/>
    <n v="28"/>
    <n v="9"/>
    <n v="317.4305555555556"/>
    <n v="88.880555555555588"/>
    <x v="0"/>
    <m/>
  </r>
  <r>
    <n v="2868"/>
    <n v="57"/>
    <x v="1"/>
    <x v="2"/>
    <x v="12"/>
    <n v="195.53"/>
    <x v="2"/>
    <x v="0"/>
    <n v="3.4"/>
    <n v="10"/>
    <n v="5"/>
    <n v="217.25555555555556"/>
    <n v="21.725555555555559"/>
    <x v="0"/>
    <m/>
  </r>
  <r>
    <n v="2869"/>
    <n v="59"/>
    <x v="1"/>
    <x v="7"/>
    <x v="8"/>
    <n v="131.44"/>
    <x v="0"/>
    <x v="0"/>
    <n v="3.2"/>
    <n v="15"/>
    <n v="5"/>
    <n v="154.63529411764705"/>
    <n v="23.195294117647052"/>
    <x v="0"/>
    <m/>
  </r>
  <r>
    <n v="2870"/>
    <n v="27"/>
    <x v="1"/>
    <x v="2"/>
    <x v="10"/>
    <n v="118.81"/>
    <x v="0"/>
    <x v="0"/>
    <n v="2.2000000000000002"/>
    <n v="8"/>
    <n v="4"/>
    <n v="129.14130434782609"/>
    <n v="10.331304347826091"/>
    <x v="5"/>
    <m/>
  </r>
  <r>
    <n v="2871"/>
    <n v="62"/>
    <x v="0"/>
    <x v="8"/>
    <x v="17"/>
    <n v="117.38"/>
    <x v="2"/>
    <x v="0"/>
    <n v="4.5"/>
    <n v="10"/>
    <n v="5"/>
    <n v="130.42222222222222"/>
    <n v="13.042222222222222"/>
    <x v="0"/>
    <m/>
  </r>
  <r>
    <n v="2872"/>
    <n v="58"/>
    <x v="0"/>
    <x v="7"/>
    <x v="8"/>
    <n v="143.71"/>
    <x v="2"/>
    <x v="0"/>
    <n v="2.8"/>
    <n v="14"/>
    <n v="2"/>
    <n v="167.1046511627907"/>
    <n v="23.394651162790694"/>
    <x v="0"/>
    <m/>
  </r>
  <r>
    <n v="2873"/>
    <n v="21"/>
    <x v="1"/>
    <x v="2"/>
    <x v="2"/>
    <n v="85.22"/>
    <x v="1"/>
    <x v="1"/>
    <n v="4.5999999999999996"/>
    <n v="28"/>
    <n v="9"/>
    <n v="118.36111111111111"/>
    <n v="33.141111111111115"/>
    <x v="3"/>
    <m/>
  </r>
  <r>
    <n v="2874"/>
    <n v="48"/>
    <x v="0"/>
    <x v="8"/>
    <x v="18"/>
    <n v="135.59"/>
    <x v="1"/>
    <x v="0"/>
    <n v="4.2"/>
    <n v="21"/>
    <n v="8"/>
    <n v="171.63291139240505"/>
    <n v="36.042911392405045"/>
    <x v="4"/>
    <m/>
  </r>
  <r>
    <n v="2875"/>
    <n v="33"/>
    <x v="0"/>
    <x v="2"/>
    <x v="12"/>
    <n v="249.24"/>
    <x v="2"/>
    <x v="0"/>
    <n v="4.3"/>
    <n v="6"/>
    <n v="3"/>
    <n v="265.14893617021278"/>
    <n v="15.908936170212769"/>
    <x v="5"/>
    <m/>
  </r>
  <r>
    <n v="2876"/>
    <n v="41"/>
    <x v="1"/>
    <x v="1"/>
    <x v="9"/>
    <n v="127.61"/>
    <x v="3"/>
    <x v="0"/>
    <n v="4"/>
    <n v="14"/>
    <n v="2"/>
    <n v="148.38372093023256"/>
    <n v="20.773720930232557"/>
    <x v="1"/>
    <m/>
  </r>
  <r>
    <n v="2877"/>
    <n v="68"/>
    <x v="1"/>
    <x v="5"/>
    <x v="5"/>
    <n v="2121.4"/>
    <x v="1"/>
    <x v="0"/>
    <n v="3.6"/>
    <n v="4"/>
    <n v="2"/>
    <n v="2209.791666666667"/>
    <n v="88.391666666666879"/>
    <x v="2"/>
    <m/>
  </r>
  <r>
    <n v="2878"/>
    <n v="64"/>
    <x v="1"/>
    <x v="1"/>
    <x v="14"/>
    <n v="129.65"/>
    <x v="3"/>
    <x v="0"/>
    <n v="3.5"/>
    <n v="16"/>
    <n v="3"/>
    <n v="154.3452380952381"/>
    <n v="24.695238095238096"/>
    <x v="0"/>
    <m/>
  </r>
  <r>
    <n v="2879"/>
    <n v="54"/>
    <x v="1"/>
    <x v="7"/>
    <x v="8"/>
    <n v="67.94"/>
    <x v="0"/>
    <x v="1"/>
    <n v="3.7"/>
    <n v="18"/>
    <n v="9"/>
    <n v="82.853658536585357"/>
    <n v="14.913658536585359"/>
    <x v="4"/>
    <m/>
  </r>
  <r>
    <n v="2880"/>
    <n v="55"/>
    <x v="1"/>
    <x v="2"/>
    <x v="2"/>
    <n v="236.33"/>
    <x v="3"/>
    <x v="0"/>
    <n v="2.6"/>
    <n v="13"/>
    <n v="4"/>
    <n v="271.64367816091954"/>
    <n v="35.313678160919522"/>
    <x v="0"/>
    <m/>
  </r>
  <r>
    <n v="2881"/>
    <n v="49"/>
    <x v="1"/>
    <x v="5"/>
    <x v="25"/>
    <n v="2447.8000000000002"/>
    <x v="0"/>
    <x v="0"/>
    <n v="2.8"/>
    <n v="13"/>
    <n v="4"/>
    <n v="2813.5632183908046"/>
    <n v="365.76321839080447"/>
    <x v="4"/>
    <m/>
  </r>
  <r>
    <n v="2882"/>
    <n v="26"/>
    <x v="1"/>
    <x v="5"/>
    <x v="5"/>
    <n v="1922.9"/>
    <x v="0"/>
    <x v="0"/>
    <n v="2.9"/>
    <n v="8"/>
    <n v="4"/>
    <n v="2090.108695652174"/>
    <n v="167.2086956521739"/>
    <x v="5"/>
    <m/>
  </r>
  <r>
    <n v="2883"/>
    <n v="54"/>
    <x v="1"/>
    <x v="5"/>
    <x v="7"/>
    <n v="1252.53"/>
    <x v="3"/>
    <x v="0"/>
    <n v="3.9"/>
    <n v="2"/>
    <n v="1"/>
    <n v="1278.091836734694"/>
    <n v="25.561836734693998"/>
    <x v="4"/>
    <m/>
  </r>
  <r>
    <n v="2884"/>
    <n v="40"/>
    <x v="0"/>
    <x v="8"/>
    <x v="18"/>
    <n v="144.26"/>
    <x v="3"/>
    <x v="0"/>
    <n v="3.9"/>
    <n v="10"/>
    <n v="5"/>
    <n v="160.28888888888886"/>
    <n v="16.028888888888872"/>
    <x v="1"/>
    <m/>
  </r>
  <r>
    <n v="2885"/>
    <n v="42"/>
    <x v="1"/>
    <x v="7"/>
    <x v="13"/>
    <n v="227.07"/>
    <x v="0"/>
    <x v="0"/>
    <n v="2.8"/>
    <n v="13"/>
    <n v="4"/>
    <n v="261"/>
    <n v="33.930000000000007"/>
    <x v="1"/>
    <m/>
  </r>
  <r>
    <n v="2886"/>
    <n v="20"/>
    <x v="0"/>
    <x v="0"/>
    <x v="22"/>
    <n v="104.38"/>
    <x v="3"/>
    <x v="0"/>
    <n v="5"/>
    <n v="21"/>
    <n v="8"/>
    <n v="132.12658227848101"/>
    <n v="27.746582278481014"/>
    <x v="3"/>
    <m/>
  </r>
  <r>
    <n v="2887"/>
    <n v="51"/>
    <x v="1"/>
    <x v="1"/>
    <x v="1"/>
    <n v="168.21"/>
    <x v="1"/>
    <x v="0"/>
    <n v="3.3"/>
    <n v="13"/>
    <n v="4"/>
    <n v="193.34482758620692"/>
    <n v="25.13482758620691"/>
    <x v="4"/>
    <m/>
  </r>
  <r>
    <n v="2888"/>
    <n v="37"/>
    <x v="0"/>
    <x v="6"/>
    <x v="6"/>
    <n v="95.35"/>
    <x v="0"/>
    <x v="0"/>
    <n v="4.4000000000000004"/>
    <n v="12"/>
    <n v="6"/>
    <n v="108.35227272727272"/>
    <n v="13.002272727272725"/>
    <x v="1"/>
    <m/>
  </r>
  <r>
    <n v="2889"/>
    <n v="45"/>
    <x v="0"/>
    <x v="8"/>
    <x v="17"/>
    <n v="30.38"/>
    <x v="1"/>
    <x v="1"/>
    <n v="4.2"/>
    <n v="30"/>
    <n v="10"/>
    <n v="43.4"/>
    <n v="13.02"/>
    <x v="4"/>
    <m/>
  </r>
  <r>
    <n v="2890"/>
    <n v="57"/>
    <x v="1"/>
    <x v="2"/>
    <x v="10"/>
    <n v="197.01"/>
    <x v="0"/>
    <x v="0"/>
    <n v="3.8"/>
    <n v="11"/>
    <n v="3"/>
    <n v="221.35955056179773"/>
    <n v="24.349550561797741"/>
    <x v="0"/>
    <m/>
  </r>
  <r>
    <n v="2891"/>
    <n v="33"/>
    <x v="0"/>
    <x v="0"/>
    <x v="22"/>
    <n v="136.04"/>
    <x v="1"/>
    <x v="0"/>
    <n v="3.6"/>
    <n v="12"/>
    <n v="1"/>
    <n v="154.59090909090909"/>
    <n v="18.550909090909101"/>
    <x v="5"/>
    <m/>
  </r>
  <r>
    <n v="2892"/>
    <n v="41"/>
    <x v="0"/>
    <x v="6"/>
    <x v="27"/>
    <n v="110.69"/>
    <x v="3"/>
    <x v="0"/>
    <n v="3.6"/>
    <n v="13"/>
    <n v="4"/>
    <n v="127.22988505747126"/>
    <n v="16.539885057471267"/>
    <x v="1"/>
    <m/>
  </r>
  <r>
    <n v="2893"/>
    <n v="21"/>
    <x v="0"/>
    <x v="0"/>
    <x v="22"/>
    <n v="49.93"/>
    <x v="0"/>
    <x v="1"/>
    <n v="4.3"/>
    <n v="14"/>
    <n v="2"/>
    <n v="58.058139534883722"/>
    <n v="8.1281395348837222"/>
    <x v="3"/>
    <m/>
  </r>
  <r>
    <n v="2894"/>
    <n v="49"/>
    <x v="0"/>
    <x v="0"/>
    <x v="0"/>
    <n v="143.66999999999999"/>
    <x v="2"/>
    <x v="0"/>
    <n v="3.2"/>
    <n v="6"/>
    <n v="3"/>
    <n v="152.84042553191489"/>
    <n v="9.1704255319149013"/>
    <x v="4"/>
    <m/>
  </r>
  <r>
    <n v="2895"/>
    <n v="65"/>
    <x v="1"/>
    <x v="3"/>
    <x v="3"/>
    <n v="107.46"/>
    <x v="3"/>
    <x v="0"/>
    <n v="3.7"/>
    <n v="10"/>
    <n v="5"/>
    <n v="119.39999999999999"/>
    <n v="11.939999999999998"/>
    <x v="2"/>
    <m/>
  </r>
  <r>
    <n v="2896"/>
    <n v="55"/>
    <x v="1"/>
    <x v="2"/>
    <x v="10"/>
    <n v="206.53"/>
    <x v="0"/>
    <x v="0"/>
    <n v="4.8"/>
    <n v="16"/>
    <n v="3"/>
    <n v="245.86904761904762"/>
    <n v="39.339047619047619"/>
    <x v="0"/>
    <m/>
  </r>
  <r>
    <n v="2897"/>
    <n v="59"/>
    <x v="1"/>
    <x v="5"/>
    <x v="7"/>
    <n v="1202.92"/>
    <x v="2"/>
    <x v="0"/>
    <n v="3.1"/>
    <n v="18"/>
    <n v="4"/>
    <n v="1466.9756097560976"/>
    <n v="264.05560975609751"/>
    <x v="0"/>
    <m/>
  </r>
  <r>
    <n v="2898"/>
    <n v="56"/>
    <x v="0"/>
    <x v="6"/>
    <x v="6"/>
    <n v="137.71"/>
    <x v="2"/>
    <x v="0"/>
    <n v="3.7"/>
    <n v="7"/>
    <n v="1"/>
    <n v="148.07526881720432"/>
    <n v="10.36526881720431"/>
    <x v="0"/>
    <m/>
  </r>
  <r>
    <n v="2899"/>
    <n v="40"/>
    <x v="0"/>
    <x v="7"/>
    <x v="8"/>
    <n v="208.5"/>
    <x v="3"/>
    <x v="0"/>
    <n v="4.3"/>
    <n v="30"/>
    <n v="10"/>
    <n v="297.85714285714289"/>
    <n v="89.35714285714289"/>
    <x v="1"/>
    <m/>
  </r>
  <r>
    <n v="2900"/>
    <n v="48"/>
    <x v="1"/>
    <x v="1"/>
    <x v="20"/>
    <n v="188.32"/>
    <x v="0"/>
    <x v="0"/>
    <n v="4.0999999999999996"/>
    <n v="24"/>
    <n v="12"/>
    <n v="247.78947368421052"/>
    <n v="59.469473684210527"/>
    <x v="4"/>
    <m/>
  </r>
  <r>
    <n v="2901"/>
    <n v="30"/>
    <x v="1"/>
    <x v="3"/>
    <x v="24"/>
    <n v="38.31"/>
    <x v="3"/>
    <x v="0"/>
    <n v="3.2"/>
    <n v="14"/>
    <n v="7"/>
    <n v="44.54651162790698"/>
    <n v="6.2365116279069781"/>
    <x v="5"/>
    <m/>
  </r>
  <r>
    <n v="2902"/>
    <n v="41"/>
    <x v="0"/>
    <x v="4"/>
    <x v="26"/>
    <n v="58.38"/>
    <x v="3"/>
    <x v="1"/>
    <n v="2.2999999999999998"/>
    <n v="10"/>
    <n v="5"/>
    <n v="64.866666666666674"/>
    <n v="6.4866666666666717"/>
    <x v="1"/>
    <m/>
  </r>
  <r>
    <n v="2903"/>
    <n v="58"/>
    <x v="1"/>
    <x v="5"/>
    <x v="25"/>
    <n v="824.07"/>
    <x v="1"/>
    <x v="0"/>
    <n v="3.8"/>
    <n v="10"/>
    <n v="5"/>
    <n v="915.63333333333333"/>
    <n v="91.563333333333276"/>
    <x v="0"/>
    <m/>
  </r>
  <r>
    <n v="2904"/>
    <n v="47"/>
    <x v="0"/>
    <x v="3"/>
    <x v="3"/>
    <n v="123.62"/>
    <x v="0"/>
    <x v="0"/>
    <n v="3"/>
    <n v="6"/>
    <n v="3"/>
    <n v="131.51063829787236"/>
    <n v="7.890638297872357"/>
    <x v="4"/>
    <m/>
  </r>
  <r>
    <n v="2905"/>
    <n v="61"/>
    <x v="1"/>
    <x v="5"/>
    <x v="25"/>
    <n v="1368.88"/>
    <x v="2"/>
    <x v="0"/>
    <n v="2.8"/>
    <n v="4"/>
    <n v="2"/>
    <n v="1425.9166666666667"/>
    <n v="57.036666666666633"/>
    <x v="0"/>
    <m/>
  </r>
  <r>
    <n v="2906"/>
    <n v="50"/>
    <x v="1"/>
    <x v="4"/>
    <x v="26"/>
    <n v="58.24"/>
    <x v="1"/>
    <x v="0"/>
    <n v="3.1"/>
    <n v="16"/>
    <n v="3"/>
    <n v="69.333333333333343"/>
    <n v="11.093333333333341"/>
    <x v="4"/>
    <m/>
  </r>
  <r>
    <n v="2907"/>
    <n v="69"/>
    <x v="1"/>
    <x v="2"/>
    <x v="12"/>
    <n v="168.81"/>
    <x v="1"/>
    <x v="0"/>
    <n v="3.2"/>
    <n v="36"/>
    <n v="13"/>
    <n v="263.765625"/>
    <n v="94.955624999999998"/>
    <x v="2"/>
    <m/>
  </r>
  <r>
    <n v="2908"/>
    <n v="48"/>
    <x v="0"/>
    <x v="8"/>
    <x v="14"/>
    <n v="146.69"/>
    <x v="2"/>
    <x v="0"/>
    <n v="3.5"/>
    <n v="20"/>
    <n v="5"/>
    <n v="183.36249999999998"/>
    <n v="36.672499999999985"/>
    <x v="4"/>
    <m/>
  </r>
  <r>
    <n v="2909"/>
    <n v="40"/>
    <x v="1"/>
    <x v="3"/>
    <x v="15"/>
    <n v="155.94999999999999"/>
    <x v="2"/>
    <x v="0"/>
    <n v="3.3"/>
    <n v="16"/>
    <n v="3"/>
    <n v="185.6547619047619"/>
    <n v="29.704761904761909"/>
    <x v="1"/>
    <m/>
  </r>
  <r>
    <n v="2910"/>
    <n v="29"/>
    <x v="0"/>
    <x v="3"/>
    <x v="15"/>
    <n v="243.83"/>
    <x v="1"/>
    <x v="0"/>
    <n v="4.5"/>
    <n v="12"/>
    <n v="6"/>
    <n v="277.07954545454544"/>
    <n v="33.249545454545427"/>
    <x v="5"/>
    <m/>
  </r>
  <r>
    <n v="2911"/>
    <n v="67"/>
    <x v="1"/>
    <x v="5"/>
    <x v="25"/>
    <n v="1908.28"/>
    <x v="1"/>
    <x v="0"/>
    <n v="4"/>
    <n v="24"/>
    <n v="7"/>
    <n v="2510.894736842105"/>
    <n v="602.614736842105"/>
    <x v="2"/>
    <m/>
  </r>
  <r>
    <n v="2912"/>
    <n v="70"/>
    <x v="1"/>
    <x v="7"/>
    <x v="11"/>
    <n v="73.739999999999995"/>
    <x v="3"/>
    <x v="0"/>
    <n v="3.4"/>
    <n v="20"/>
    <n v="5"/>
    <n v="92.174999999999983"/>
    <n v="18.434999999999988"/>
    <x v="2"/>
    <m/>
  </r>
  <r>
    <n v="2913"/>
    <n v="38"/>
    <x v="0"/>
    <x v="8"/>
    <x v="16"/>
    <n v="74.12"/>
    <x v="3"/>
    <x v="1"/>
    <n v="4.3"/>
    <n v="18"/>
    <n v="4"/>
    <n v="90.390243902439025"/>
    <n v="16.27024390243902"/>
    <x v="1"/>
    <m/>
  </r>
  <r>
    <n v="2914"/>
    <n v="23"/>
    <x v="0"/>
    <x v="8"/>
    <x v="17"/>
    <n v="44.28"/>
    <x v="3"/>
    <x v="1"/>
    <n v="4.9000000000000004"/>
    <n v="15"/>
    <n v="5"/>
    <n v="52.094117647058823"/>
    <n v="7.8141176470588221"/>
    <x v="3"/>
    <m/>
  </r>
  <r>
    <n v="2915"/>
    <n v="47"/>
    <x v="1"/>
    <x v="7"/>
    <x v="8"/>
    <n v="174.96"/>
    <x v="0"/>
    <x v="0"/>
    <n v="5"/>
    <n v="9"/>
    <n v="2"/>
    <n v="192.26373626373626"/>
    <n v="17.303736263736255"/>
    <x v="4"/>
    <m/>
  </r>
  <r>
    <n v="2916"/>
    <n v="42"/>
    <x v="0"/>
    <x v="0"/>
    <x v="22"/>
    <n v="137.86000000000001"/>
    <x v="3"/>
    <x v="0"/>
    <n v="5"/>
    <n v="12"/>
    <n v="1"/>
    <n v="156.65909090909093"/>
    <n v="18.799090909090921"/>
    <x v="1"/>
    <m/>
  </r>
  <r>
    <n v="2917"/>
    <n v="69"/>
    <x v="1"/>
    <x v="1"/>
    <x v="9"/>
    <n v="172.24"/>
    <x v="0"/>
    <x v="0"/>
    <n v="4.3"/>
    <n v="18"/>
    <n v="9"/>
    <n v="210.04878048780486"/>
    <n v="37.808780487804853"/>
    <x v="2"/>
    <m/>
  </r>
  <r>
    <n v="2918"/>
    <n v="59"/>
    <x v="0"/>
    <x v="0"/>
    <x v="28"/>
    <n v="99.13"/>
    <x v="2"/>
    <x v="0"/>
    <n v="3.5"/>
    <n v="18"/>
    <n v="4"/>
    <n v="120.89024390243901"/>
    <n v="21.760243902439015"/>
    <x v="0"/>
    <m/>
  </r>
  <r>
    <n v="2919"/>
    <n v="67"/>
    <x v="0"/>
    <x v="8"/>
    <x v="16"/>
    <n v="149.36000000000001"/>
    <x v="0"/>
    <x v="0"/>
    <n v="3.8"/>
    <n v="20"/>
    <n v="10"/>
    <n v="186.70000000000002"/>
    <n v="37.340000000000003"/>
    <x v="2"/>
    <m/>
  </r>
  <r>
    <n v="2920"/>
    <n v="47"/>
    <x v="0"/>
    <x v="7"/>
    <x v="8"/>
    <n v="58.36"/>
    <x v="0"/>
    <x v="1"/>
    <n v="3.1"/>
    <n v="16"/>
    <n v="3"/>
    <n v="69.476190476190482"/>
    <n v="11.116190476190482"/>
    <x v="4"/>
    <m/>
  </r>
  <r>
    <n v="2921"/>
    <n v="40"/>
    <x v="1"/>
    <x v="2"/>
    <x v="10"/>
    <n v="108.91"/>
    <x v="1"/>
    <x v="0"/>
    <n v="3.6"/>
    <n v="12"/>
    <n v="6"/>
    <n v="123.76136363636363"/>
    <n v="14.851363636363629"/>
    <x v="1"/>
    <m/>
  </r>
  <r>
    <n v="2922"/>
    <n v="42"/>
    <x v="1"/>
    <x v="2"/>
    <x v="12"/>
    <n v="74.2"/>
    <x v="1"/>
    <x v="0"/>
    <n v="2.7"/>
    <n v="8"/>
    <n v="4"/>
    <n v="80.652173913043484"/>
    <n v="6.452173913043481"/>
    <x v="1"/>
    <m/>
  </r>
  <r>
    <n v="2923"/>
    <n v="63"/>
    <x v="0"/>
    <x v="4"/>
    <x v="4"/>
    <n v="35.58"/>
    <x v="0"/>
    <x v="0"/>
    <n v="2.9"/>
    <n v="19"/>
    <n v="7"/>
    <n v="43.925925925925924"/>
    <n v="8.3459259259259255"/>
    <x v="0"/>
    <m/>
  </r>
  <r>
    <n v="2924"/>
    <n v="45"/>
    <x v="1"/>
    <x v="2"/>
    <x v="12"/>
    <n v="56.1"/>
    <x v="2"/>
    <x v="0"/>
    <n v="3.4"/>
    <n v="15"/>
    <n v="5"/>
    <n v="66"/>
    <n v="9.8999999999999986"/>
    <x v="4"/>
    <m/>
  </r>
  <r>
    <n v="2925"/>
    <n v="51"/>
    <x v="1"/>
    <x v="7"/>
    <x v="8"/>
    <n v="67.650000000000006"/>
    <x v="2"/>
    <x v="0"/>
    <n v="4.3"/>
    <n v="13"/>
    <n v="4"/>
    <n v="77.758620689655174"/>
    <n v="10.108620689655169"/>
    <x v="4"/>
    <m/>
  </r>
  <r>
    <n v="2926"/>
    <n v="66"/>
    <x v="1"/>
    <x v="5"/>
    <x v="5"/>
    <n v="2242.8000000000002"/>
    <x v="1"/>
    <x v="0"/>
    <n v="4.4000000000000004"/>
    <n v="12"/>
    <n v="1"/>
    <n v="2548.636363636364"/>
    <n v="305.83636363636379"/>
    <x v="2"/>
    <m/>
  </r>
  <r>
    <n v="2927"/>
    <n v="25"/>
    <x v="1"/>
    <x v="1"/>
    <x v="14"/>
    <n v="135.66999999999999"/>
    <x v="1"/>
    <x v="0"/>
    <n v="4.5"/>
    <n v="8"/>
    <n v="4"/>
    <n v="147.46739130434781"/>
    <n v="11.797391304347826"/>
    <x v="5"/>
    <m/>
  </r>
  <r>
    <n v="2928"/>
    <n v="55"/>
    <x v="1"/>
    <x v="2"/>
    <x v="2"/>
    <n v="96.63"/>
    <x v="2"/>
    <x v="0"/>
    <n v="3.9"/>
    <n v="6"/>
    <n v="3"/>
    <n v="102.79787234042553"/>
    <n v="6.1678723404255322"/>
    <x v="0"/>
    <m/>
  </r>
  <r>
    <n v="2929"/>
    <n v="41"/>
    <x v="0"/>
    <x v="6"/>
    <x v="6"/>
    <n v="34.42"/>
    <x v="1"/>
    <x v="1"/>
    <n v="4.3"/>
    <n v="26"/>
    <n v="8"/>
    <n v="46.513513513513516"/>
    <n v="12.093513513513514"/>
    <x v="1"/>
    <m/>
  </r>
  <r>
    <n v="2930"/>
    <n v="64"/>
    <x v="0"/>
    <x v="0"/>
    <x v="28"/>
    <n v="108.39"/>
    <x v="2"/>
    <x v="0"/>
    <n v="3.3"/>
    <n v="10"/>
    <n v="5"/>
    <n v="120.43333333333334"/>
    <n v="12.043333333333337"/>
    <x v="0"/>
    <m/>
  </r>
  <r>
    <n v="2931"/>
    <n v="67"/>
    <x v="1"/>
    <x v="7"/>
    <x v="11"/>
    <n v="96.2"/>
    <x v="1"/>
    <x v="0"/>
    <n v="3.1"/>
    <n v="5"/>
    <n v="0"/>
    <n v="101.26315789473685"/>
    <n v="5.0631578947368467"/>
    <x v="2"/>
    <m/>
  </r>
  <r>
    <n v="2932"/>
    <n v="23"/>
    <x v="0"/>
    <x v="6"/>
    <x v="27"/>
    <n v="50.94"/>
    <x v="0"/>
    <x v="1"/>
    <n v="1.9"/>
    <n v="14"/>
    <n v="2"/>
    <n v="59.232558139534881"/>
    <n v="8.2925581395348829"/>
    <x v="3"/>
    <m/>
  </r>
  <r>
    <n v="2933"/>
    <n v="49"/>
    <x v="1"/>
    <x v="7"/>
    <x v="13"/>
    <n v="122.8"/>
    <x v="1"/>
    <x v="0"/>
    <n v="2.8"/>
    <n v="21"/>
    <n v="8"/>
    <n v="155.44303797468353"/>
    <n v="32.643037974683537"/>
    <x v="4"/>
    <m/>
  </r>
  <r>
    <n v="2934"/>
    <n v="53"/>
    <x v="1"/>
    <x v="1"/>
    <x v="20"/>
    <n v="198.47"/>
    <x v="1"/>
    <x v="0"/>
    <n v="3.4"/>
    <n v="9"/>
    <n v="2"/>
    <n v="218.09890109890108"/>
    <n v="19.628901098901082"/>
    <x v="4"/>
    <m/>
  </r>
  <r>
    <n v="2935"/>
    <n v="58"/>
    <x v="1"/>
    <x v="5"/>
    <x v="25"/>
    <n v="1495.44"/>
    <x v="0"/>
    <x v="0"/>
    <n v="3.8"/>
    <n v="6"/>
    <n v="3"/>
    <n v="1590.8936170212767"/>
    <n v="95.453617021276614"/>
    <x v="0"/>
    <m/>
  </r>
  <r>
    <n v="2936"/>
    <n v="37"/>
    <x v="0"/>
    <x v="6"/>
    <x v="6"/>
    <n v="91.16"/>
    <x v="0"/>
    <x v="1"/>
    <n v="4.5"/>
    <n v="12"/>
    <n v="6"/>
    <n v="103.59090909090909"/>
    <n v="12.430909090909097"/>
    <x v="1"/>
    <m/>
  </r>
  <r>
    <n v="2937"/>
    <n v="64"/>
    <x v="1"/>
    <x v="3"/>
    <x v="24"/>
    <n v="145.24"/>
    <x v="1"/>
    <x v="0"/>
    <n v="3.4"/>
    <n v="19"/>
    <n v="7"/>
    <n v="179.30864197530863"/>
    <n v="34.068641975308623"/>
    <x v="0"/>
    <m/>
  </r>
  <r>
    <n v="2938"/>
    <n v="21"/>
    <x v="0"/>
    <x v="6"/>
    <x v="23"/>
    <n v="31.76"/>
    <x v="0"/>
    <x v="1"/>
    <n v="4.0999999999999996"/>
    <n v="19"/>
    <n v="7"/>
    <n v="39.209876543209873"/>
    <n v="7.4498765432098715"/>
    <x v="3"/>
    <m/>
  </r>
  <r>
    <n v="2939"/>
    <n v="50"/>
    <x v="1"/>
    <x v="5"/>
    <x v="5"/>
    <n v="1363.84"/>
    <x v="0"/>
    <x v="0"/>
    <n v="4.2"/>
    <n v="20"/>
    <n v="10"/>
    <n v="1704.7999999999997"/>
    <n v="340.95999999999981"/>
    <x v="4"/>
    <m/>
  </r>
  <r>
    <n v="2940"/>
    <n v="27"/>
    <x v="0"/>
    <x v="8"/>
    <x v="17"/>
    <n v="49.97"/>
    <x v="0"/>
    <x v="1"/>
    <n v="3.7"/>
    <n v="13"/>
    <n v="4"/>
    <n v="57.4367816091954"/>
    <n v="7.4667816091954009"/>
    <x v="5"/>
    <m/>
  </r>
  <r>
    <n v="2941"/>
    <n v="22"/>
    <x v="1"/>
    <x v="5"/>
    <x v="5"/>
    <n v="1428.39"/>
    <x v="3"/>
    <x v="0"/>
    <n v="3.6"/>
    <n v="24"/>
    <n v="7"/>
    <n v="1879.4605263157896"/>
    <n v="451.07052631578949"/>
    <x v="3"/>
    <m/>
  </r>
  <r>
    <n v="2942"/>
    <n v="63"/>
    <x v="1"/>
    <x v="3"/>
    <x v="3"/>
    <n v="208.41"/>
    <x v="0"/>
    <x v="0"/>
    <n v="4.2"/>
    <n v="30"/>
    <n v="10"/>
    <n v="297.72857142857146"/>
    <n v="89.31857142857146"/>
    <x v="0"/>
    <m/>
  </r>
  <r>
    <n v="2943"/>
    <n v="28"/>
    <x v="0"/>
    <x v="7"/>
    <x v="13"/>
    <n v="220.01"/>
    <x v="1"/>
    <x v="0"/>
    <n v="2.7"/>
    <n v="15"/>
    <n v="5"/>
    <n v="258.83529411764704"/>
    <n v="38.825294117647047"/>
    <x v="5"/>
    <m/>
  </r>
  <r>
    <n v="2944"/>
    <n v="48"/>
    <x v="1"/>
    <x v="5"/>
    <x v="5"/>
    <n v="1710.27"/>
    <x v="2"/>
    <x v="0"/>
    <n v="3.9"/>
    <n v="11"/>
    <n v="3"/>
    <n v="1921.6516853932583"/>
    <n v="211.38168539325829"/>
    <x v="4"/>
    <m/>
  </r>
  <r>
    <n v="2945"/>
    <n v="31"/>
    <x v="1"/>
    <x v="2"/>
    <x v="10"/>
    <n v="234.56"/>
    <x v="2"/>
    <x v="0"/>
    <n v="4.3"/>
    <n v="18"/>
    <n v="4"/>
    <n v="286.04878048780483"/>
    <n v="51.488780487804831"/>
    <x v="5"/>
    <m/>
  </r>
  <r>
    <n v="2946"/>
    <n v="29"/>
    <x v="0"/>
    <x v="7"/>
    <x v="8"/>
    <n v="146.87"/>
    <x v="0"/>
    <x v="0"/>
    <n v="3.4"/>
    <n v="6"/>
    <n v="3"/>
    <n v="156.24468085106383"/>
    <n v="9.3746808510638289"/>
    <x v="5"/>
    <m/>
  </r>
  <r>
    <n v="2947"/>
    <n v="62"/>
    <x v="0"/>
    <x v="0"/>
    <x v="0"/>
    <n v="20.66"/>
    <x v="1"/>
    <x v="0"/>
    <n v="4.7"/>
    <n v="10"/>
    <n v="5"/>
    <n v="22.955555555555556"/>
    <n v="2.2955555555555556"/>
    <x v="0"/>
    <m/>
  </r>
  <r>
    <n v="2948"/>
    <n v="37"/>
    <x v="0"/>
    <x v="6"/>
    <x v="6"/>
    <n v="97.9"/>
    <x v="0"/>
    <x v="0"/>
    <n v="4.2"/>
    <n v="14"/>
    <n v="7"/>
    <n v="113.83720930232559"/>
    <n v="15.937209302325584"/>
    <x v="1"/>
    <m/>
  </r>
  <r>
    <n v="2949"/>
    <n v="51"/>
    <x v="1"/>
    <x v="5"/>
    <x v="5"/>
    <n v="1172.28"/>
    <x v="2"/>
    <x v="0"/>
    <n v="4.0999999999999996"/>
    <n v="6"/>
    <n v="3"/>
    <n v="1247.1063829787236"/>
    <n v="74.826382978723586"/>
    <x v="4"/>
    <m/>
  </r>
  <r>
    <n v="2950"/>
    <n v="52"/>
    <x v="0"/>
    <x v="0"/>
    <x v="28"/>
    <n v="48.23"/>
    <x v="3"/>
    <x v="0"/>
    <n v="3.4"/>
    <n v="4"/>
    <n v="2"/>
    <n v="50.239583333333329"/>
    <n v="2.0095833333333317"/>
    <x v="4"/>
    <m/>
  </r>
  <r>
    <n v="2951"/>
    <n v="53"/>
    <x v="0"/>
    <x v="0"/>
    <x v="28"/>
    <n v="60.58"/>
    <x v="3"/>
    <x v="0"/>
    <n v="4.5999999999999996"/>
    <n v="11"/>
    <n v="3"/>
    <n v="68.067415730337075"/>
    <n v="7.4874157303370765"/>
    <x v="4"/>
    <m/>
  </r>
  <r>
    <n v="2952"/>
    <n v="67"/>
    <x v="0"/>
    <x v="8"/>
    <x v="18"/>
    <n v="153.51"/>
    <x v="2"/>
    <x v="0"/>
    <n v="4"/>
    <n v="8"/>
    <n v="4"/>
    <n v="166.85869565217391"/>
    <n v="13.348695652173916"/>
    <x v="2"/>
    <m/>
  </r>
  <r>
    <n v="2953"/>
    <n v="70"/>
    <x v="0"/>
    <x v="7"/>
    <x v="13"/>
    <n v="116.7"/>
    <x v="1"/>
    <x v="0"/>
    <n v="4.5999999999999996"/>
    <n v="18"/>
    <n v="4"/>
    <n v="142.3170731707317"/>
    <n v="25.6170731707317"/>
    <x v="2"/>
    <m/>
  </r>
  <r>
    <n v="2954"/>
    <n v="37"/>
    <x v="1"/>
    <x v="2"/>
    <x v="10"/>
    <n v="41.88"/>
    <x v="3"/>
    <x v="1"/>
    <n v="3.6"/>
    <n v="15"/>
    <n v="5"/>
    <n v="49.27058823529412"/>
    <n v="7.3905882352941177"/>
    <x v="1"/>
    <m/>
  </r>
  <r>
    <n v="2955"/>
    <n v="44"/>
    <x v="0"/>
    <x v="4"/>
    <x v="19"/>
    <n v="43.31"/>
    <x v="0"/>
    <x v="1"/>
    <n v="3.9"/>
    <n v="20"/>
    <n v="10"/>
    <n v="54.137500000000003"/>
    <n v="10.827500000000001"/>
    <x v="1"/>
    <m/>
  </r>
  <r>
    <n v="2956"/>
    <n v="57"/>
    <x v="0"/>
    <x v="8"/>
    <x v="18"/>
    <n v="186.86"/>
    <x v="0"/>
    <x v="0"/>
    <n v="2.9"/>
    <n v="9"/>
    <n v="2"/>
    <n v="205.34065934065936"/>
    <n v="18.480659340659344"/>
    <x v="0"/>
    <m/>
  </r>
  <r>
    <n v="2957"/>
    <n v="61"/>
    <x v="1"/>
    <x v="3"/>
    <x v="3"/>
    <n v="151.26"/>
    <x v="2"/>
    <x v="0"/>
    <n v="4.4000000000000004"/>
    <n v="11"/>
    <n v="3"/>
    <n v="169.95505617977526"/>
    <n v="18.695056179775264"/>
    <x v="0"/>
    <m/>
  </r>
  <r>
    <n v="2958"/>
    <n v="66"/>
    <x v="0"/>
    <x v="6"/>
    <x v="6"/>
    <n v="130.44999999999999"/>
    <x v="0"/>
    <x v="0"/>
    <n v="3.5"/>
    <n v="14"/>
    <n v="7"/>
    <n v="151.68604651162789"/>
    <n v="21.236046511627904"/>
    <x v="2"/>
    <m/>
  </r>
  <r>
    <n v="2959"/>
    <n v="28"/>
    <x v="1"/>
    <x v="1"/>
    <x v="20"/>
    <n v="172.56"/>
    <x v="2"/>
    <x v="0"/>
    <n v="4.2"/>
    <n v="20"/>
    <n v="5"/>
    <n v="215.7"/>
    <n v="43.139999999999986"/>
    <x v="5"/>
    <m/>
  </r>
  <r>
    <n v="2960"/>
    <n v="44"/>
    <x v="0"/>
    <x v="4"/>
    <x v="19"/>
    <n v="65.95"/>
    <x v="1"/>
    <x v="1"/>
    <n v="2.7"/>
    <n v="10"/>
    <n v="5"/>
    <n v="73.277777777777786"/>
    <n v="7.3277777777777828"/>
    <x v="1"/>
    <m/>
  </r>
  <r>
    <n v="2961"/>
    <n v="61"/>
    <x v="0"/>
    <x v="8"/>
    <x v="18"/>
    <n v="87.4"/>
    <x v="3"/>
    <x v="1"/>
    <n v="3"/>
    <n v="20"/>
    <n v="5"/>
    <n v="109.25"/>
    <n v="21.849999999999994"/>
    <x v="0"/>
    <m/>
  </r>
  <r>
    <n v="2962"/>
    <n v="38"/>
    <x v="1"/>
    <x v="1"/>
    <x v="1"/>
    <n v="186.66"/>
    <x v="3"/>
    <x v="0"/>
    <n v="4.5999999999999996"/>
    <n v="16"/>
    <n v="3"/>
    <n v="222.21428571428572"/>
    <n v="35.554285714285726"/>
    <x v="1"/>
    <m/>
  </r>
  <r>
    <n v="2963"/>
    <n v="40"/>
    <x v="0"/>
    <x v="0"/>
    <x v="0"/>
    <n v="41.27"/>
    <x v="2"/>
    <x v="0"/>
    <n v="3.4"/>
    <n v="4"/>
    <n v="2"/>
    <n v="42.989583333333336"/>
    <n v="1.7195833333333326"/>
    <x v="1"/>
    <m/>
  </r>
  <r>
    <n v="2964"/>
    <n v="36"/>
    <x v="0"/>
    <x v="6"/>
    <x v="6"/>
    <n v="131.26"/>
    <x v="2"/>
    <x v="0"/>
    <n v="2.9"/>
    <n v="16"/>
    <n v="3"/>
    <n v="156.26190476190476"/>
    <n v="25.001904761904768"/>
    <x v="1"/>
    <m/>
  </r>
  <r>
    <n v="2965"/>
    <n v="68"/>
    <x v="0"/>
    <x v="6"/>
    <x v="23"/>
    <n v="57.54"/>
    <x v="0"/>
    <x v="0"/>
    <n v="4"/>
    <n v="22"/>
    <n v="6"/>
    <n v="73.769230769230759"/>
    <n v="16.22923076923076"/>
    <x v="2"/>
    <m/>
  </r>
  <r>
    <n v="2966"/>
    <n v="59"/>
    <x v="1"/>
    <x v="2"/>
    <x v="12"/>
    <n v="51.46"/>
    <x v="3"/>
    <x v="0"/>
    <n v="4.4000000000000004"/>
    <n v="11"/>
    <n v="3"/>
    <n v="57.820224719101127"/>
    <n v="6.3602247191011259"/>
    <x v="0"/>
    <m/>
  </r>
  <r>
    <n v="2967"/>
    <n v="34"/>
    <x v="1"/>
    <x v="2"/>
    <x v="2"/>
    <n v="73.63"/>
    <x v="1"/>
    <x v="1"/>
    <n v="4.5"/>
    <n v="34"/>
    <n v="12"/>
    <n v="111.56060606060606"/>
    <n v="37.930606060606067"/>
    <x v="5"/>
    <m/>
  </r>
  <r>
    <n v="2968"/>
    <n v="40"/>
    <x v="0"/>
    <x v="7"/>
    <x v="11"/>
    <n v="169.28"/>
    <x v="1"/>
    <x v="0"/>
    <n v="4.7"/>
    <n v="11"/>
    <n v="3"/>
    <n v="190.20224719101122"/>
    <n v="20.922247191011223"/>
    <x v="1"/>
    <m/>
  </r>
  <r>
    <n v="2969"/>
    <n v="67"/>
    <x v="1"/>
    <x v="1"/>
    <x v="14"/>
    <n v="168.33"/>
    <x v="0"/>
    <x v="0"/>
    <n v="3.3"/>
    <n v="20"/>
    <n v="5"/>
    <n v="210.41249999999999"/>
    <n v="42.082499999999982"/>
    <x v="2"/>
    <m/>
  </r>
  <r>
    <n v="2970"/>
    <n v="63"/>
    <x v="0"/>
    <x v="0"/>
    <x v="0"/>
    <n v="45.25"/>
    <x v="3"/>
    <x v="1"/>
    <n v="4.4000000000000004"/>
    <n v="13"/>
    <n v="4"/>
    <n v="52.011494252873561"/>
    <n v="6.7614942528735611"/>
    <x v="0"/>
    <m/>
  </r>
  <r>
    <n v="2971"/>
    <n v="39"/>
    <x v="1"/>
    <x v="7"/>
    <x v="13"/>
    <n v="213.65"/>
    <x v="1"/>
    <x v="0"/>
    <n v="3.3"/>
    <n v="8"/>
    <n v="4"/>
    <n v="232.22826086956522"/>
    <n v="18.578260869565213"/>
    <x v="1"/>
    <m/>
  </r>
  <r>
    <n v="2972"/>
    <n v="55"/>
    <x v="0"/>
    <x v="0"/>
    <x v="22"/>
    <n v="33.590000000000003"/>
    <x v="3"/>
    <x v="0"/>
    <n v="3.1"/>
    <n v="20"/>
    <n v="5"/>
    <n v="41.987500000000004"/>
    <n v="8.3975000000000009"/>
    <x v="0"/>
    <m/>
  </r>
  <r>
    <n v="2973"/>
    <n v="27"/>
    <x v="1"/>
    <x v="1"/>
    <x v="20"/>
    <n v="163.62"/>
    <x v="2"/>
    <x v="0"/>
    <n v="4.0999999999999996"/>
    <n v="10"/>
    <n v="5"/>
    <n v="181.8"/>
    <n v="18.180000000000007"/>
    <x v="5"/>
    <m/>
  </r>
  <r>
    <n v="2974"/>
    <n v="49"/>
    <x v="0"/>
    <x v="6"/>
    <x v="23"/>
    <n v="56.06"/>
    <x v="2"/>
    <x v="0"/>
    <n v="2.8"/>
    <n v="18"/>
    <n v="4"/>
    <n v="68.365853658536579"/>
    <n v="12.305853658536577"/>
    <x v="4"/>
    <m/>
  </r>
  <r>
    <n v="2975"/>
    <n v="54"/>
    <x v="0"/>
    <x v="8"/>
    <x v="17"/>
    <n v="131.24"/>
    <x v="2"/>
    <x v="0"/>
    <n v="3.5"/>
    <n v="24"/>
    <n v="7"/>
    <n v="172.68421052631581"/>
    <n v="41.4442105263158"/>
    <x v="4"/>
    <m/>
  </r>
  <r>
    <n v="2976"/>
    <n v="64"/>
    <x v="1"/>
    <x v="2"/>
    <x v="10"/>
    <n v="118.46"/>
    <x v="0"/>
    <x v="0"/>
    <n v="2.9"/>
    <n v="13"/>
    <n v="4"/>
    <n v="136.16091954022988"/>
    <n v="17.70091954022989"/>
    <x v="0"/>
    <m/>
  </r>
  <r>
    <n v="2977"/>
    <n v="24"/>
    <x v="1"/>
    <x v="2"/>
    <x v="10"/>
    <n v="153.78"/>
    <x v="0"/>
    <x v="0"/>
    <n v="3.5"/>
    <n v="24"/>
    <n v="7"/>
    <n v="202.34210526315789"/>
    <n v="48.562105263157889"/>
    <x v="3"/>
    <m/>
  </r>
  <r>
    <n v="2978"/>
    <n v="58"/>
    <x v="1"/>
    <x v="5"/>
    <x v="25"/>
    <n v="2236.23"/>
    <x v="1"/>
    <x v="0"/>
    <n v="3.1"/>
    <n v="22"/>
    <n v="6"/>
    <n v="2866.9615384615386"/>
    <n v="630.73153846153855"/>
    <x v="0"/>
    <m/>
  </r>
  <r>
    <n v="2979"/>
    <n v="33"/>
    <x v="0"/>
    <x v="7"/>
    <x v="11"/>
    <n v="64.489999999999995"/>
    <x v="3"/>
    <x v="1"/>
    <n v="4.2"/>
    <n v="2"/>
    <n v="1"/>
    <n v="65.806122448979593"/>
    <n v="1.3161224489795984"/>
    <x v="5"/>
    <m/>
  </r>
  <r>
    <n v="2980"/>
    <n v="66"/>
    <x v="0"/>
    <x v="7"/>
    <x v="11"/>
    <n v="228.23"/>
    <x v="2"/>
    <x v="0"/>
    <n v="3.3"/>
    <n v="26"/>
    <n v="8"/>
    <n v="308.41891891891891"/>
    <n v="80.188918918918915"/>
    <x v="2"/>
    <m/>
  </r>
  <r>
    <n v="2981"/>
    <n v="50"/>
    <x v="0"/>
    <x v="0"/>
    <x v="0"/>
    <n v="30.91"/>
    <x v="3"/>
    <x v="0"/>
    <n v="3.9"/>
    <n v="26"/>
    <n v="8"/>
    <n v="41.770270270270274"/>
    <n v="10.860270270270274"/>
    <x v="4"/>
    <m/>
  </r>
  <r>
    <n v="2982"/>
    <n v="39"/>
    <x v="0"/>
    <x v="7"/>
    <x v="8"/>
    <n v="113.51"/>
    <x v="1"/>
    <x v="0"/>
    <n v="3.4"/>
    <n v="8"/>
    <n v="4"/>
    <n v="123.3804347826087"/>
    <n v="9.8704347826086973"/>
    <x v="1"/>
    <m/>
  </r>
  <r>
    <n v="2983"/>
    <n v="43"/>
    <x v="1"/>
    <x v="1"/>
    <x v="14"/>
    <n v="144.69999999999999"/>
    <x v="2"/>
    <x v="0"/>
    <n v="5"/>
    <n v="16"/>
    <n v="3"/>
    <n v="172.26190476190476"/>
    <n v="27.561904761904771"/>
    <x v="1"/>
    <m/>
  </r>
  <r>
    <n v="2984"/>
    <n v="64"/>
    <x v="1"/>
    <x v="7"/>
    <x v="13"/>
    <n v="52.88"/>
    <x v="2"/>
    <x v="0"/>
    <n v="3.1"/>
    <n v="6"/>
    <n v="3"/>
    <n v="56.255319148936174"/>
    <n v="3.3753191489361711"/>
    <x v="0"/>
    <m/>
  </r>
  <r>
    <n v="2985"/>
    <n v="47"/>
    <x v="0"/>
    <x v="7"/>
    <x v="13"/>
    <n v="68.52"/>
    <x v="0"/>
    <x v="1"/>
    <n v="3.4"/>
    <n v="21"/>
    <n v="8"/>
    <n v="86.73417721518986"/>
    <n v="18.214177215189864"/>
    <x v="4"/>
    <m/>
  </r>
  <r>
    <n v="2986"/>
    <n v="26"/>
    <x v="1"/>
    <x v="4"/>
    <x v="26"/>
    <n v="48.19"/>
    <x v="1"/>
    <x v="1"/>
    <n v="3.5"/>
    <n v="12"/>
    <n v="6"/>
    <n v="54.761363636363633"/>
    <n v="6.5713636363636354"/>
    <x v="5"/>
    <m/>
  </r>
  <r>
    <n v="2987"/>
    <n v="60"/>
    <x v="1"/>
    <x v="1"/>
    <x v="9"/>
    <n v="33.909999999999997"/>
    <x v="2"/>
    <x v="0"/>
    <n v="4.5999999999999996"/>
    <n v="26"/>
    <n v="8"/>
    <n v="45.824324324324323"/>
    <n v="11.914324324324326"/>
    <x v="0"/>
    <m/>
  </r>
  <r>
    <n v="2988"/>
    <n v="35"/>
    <x v="0"/>
    <x v="8"/>
    <x v="14"/>
    <n v="59.43"/>
    <x v="0"/>
    <x v="1"/>
    <n v="2.9"/>
    <n v="10"/>
    <n v="5"/>
    <n v="66.033333333333331"/>
    <n v="6.6033333333333317"/>
    <x v="1"/>
    <m/>
  </r>
  <r>
    <n v="2989"/>
    <n v="32"/>
    <x v="0"/>
    <x v="0"/>
    <x v="22"/>
    <n v="65.63"/>
    <x v="2"/>
    <x v="0"/>
    <n v="3.7"/>
    <n v="15"/>
    <n v="5"/>
    <n v="77.211764705882345"/>
    <n v="11.58176470588235"/>
    <x v="5"/>
    <m/>
  </r>
  <r>
    <n v="2990"/>
    <n v="33"/>
    <x v="0"/>
    <x v="8"/>
    <x v="18"/>
    <n v="57.6"/>
    <x v="2"/>
    <x v="0"/>
    <n v="3.6"/>
    <n v="6"/>
    <n v="3"/>
    <n v="61.276595744680854"/>
    <n v="3.6765957446808528"/>
    <x v="5"/>
    <m/>
  </r>
  <r>
    <n v="2991"/>
    <n v="36"/>
    <x v="0"/>
    <x v="0"/>
    <x v="0"/>
    <n v="128.58000000000001"/>
    <x v="0"/>
    <x v="0"/>
    <n v="3.6"/>
    <n v="8"/>
    <n v="4"/>
    <n v="139.7608695652174"/>
    <n v="11.180869565217392"/>
    <x v="1"/>
    <m/>
  </r>
  <r>
    <n v="2992"/>
    <n v="31"/>
    <x v="1"/>
    <x v="7"/>
    <x v="11"/>
    <n v="162.09"/>
    <x v="0"/>
    <x v="0"/>
    <n v="4.0999999999999996"/>
    <n v="12"/>
    <n v="6"/>
    <n v="184.19318181818181"/>
    <n v="22.10318181818181"/>
    <x v="5"/>
    <m/>
  </r>
  <r>
    <n v="2993"/>
    <n v="38"/>
    <x v="0"/>
    <x v="0"/>
    <x v="22"/>
    <n v="43.25"/>
    <x v="2"/>
    <x v="0"/>
    <n v="5"/>
    <n v="10"/>
    <n v="5"/>
    <n v="48.055555555555557"/>
    <n v="4.8055555555555571"/>
    <x v="1"/>
    <m/>
  </r>
  <r>
    <n v="2994"/>
    <n v="42"/>
    <x v="0"/>
    <x v="8"/>
    <x v="17"/>
    <n v="181.64"/>
    <x v="0"/>
    <x v="0"/>
    <n v="2.8"/>
    <n v="26"/>
    <n v="8"/>
    <n v="245.45945945945945"/>
    <n v="63.819459459459466"/>
    <x v="1"/>
    <m/>
  </r>
  <r>
    <n v="2995"/>
    <n v="48"/>
    <x v="1"/>
    <x v="5"/>
    <x v="25"/>
    <n v="1720.89"/>
    <x v="1"/>
    <x v="0"/>
    <n v="3.5"/>
    <n v="16"/>
    <n v="3"/>
    <n v="2048.6785714285716"/>
    <n v="327.78857142857146"/>
    <x v="4"/>
    <m/>
  </r>
  <r>
    <n v="2996"/>
    <n v="53"/>
    <x v="1"/>
    <x v="2"/>
    <x v="2"/>
    <n v="239.85"/>
    <x v="2"/>
    <x v="0"/>
    <n v="4.0999999999999996"/>
    <n v="17"/>
    <n v="6"/>
    <n v="288.97590361445782"/>
    <n v="49.125903614457826"/>
    <x v="4"/>
    <m/>
  </r>
  <r>
    <n v="2997"/>
    <n v="26"/>
    <x v="0"/>
    <x v="6"/>
    <x v="27"/>
    <n v="66.38"/>
    <x v="1"/>
    <x v="1"/>
    <n v="3.8"/>
    <n v="10"/>
    <n v="5"/>
    <n v="73.755555555555546"/>
    <n v="7.3755555555555503"/>
    <x v="5"/>
    <m/>
  </r>
  <r>
    <n v="2998"/>
    <n v="22"/>
    <x v="0"/>
    <x v="6"/>
    <x v="27"/>
    <n v="47.67"/>
    <x v="2"/>
    <x v="1"/>
    <n v="3"/>
    <n v="15"/>
    <n v="5"/>
    <n v="56.082352941176474"/>
    <n v="8.4123529411764721"/>
    <x v="3"/>
    <m/>
  </r>
  <r>
    <n v="2999"/>
    <n v="52"/>
    <x v="1"/>
    <x v="7"/>
    <x v="8"/>
    <n v="156.88"/>
    <x v="0"/>
    <x v="0"/>
    <n v="3.5"/>
    <n v="15"/>
    <n v="5"/>
    <n v="184.56470588235294"/>
    <n v="27.684705882352944"/>
    <x v="4"/>
    <m/>
  </r>
  <r>
    <n v="3000"/>
    <n v="37"/>
    <x v="0"/>
    <x v="7"/>
    <x v="13"/>
    <n v="176.28"/>
    <x v="1"/>
    <x v="0"/>
    <n v="4.7"/>
    <n v="20"/>
    <n v="5"/>
    <n v="220.35"/>
    <n v="44.069999999999993"/>
    <x v="1"/>
    <m/>
  </r>
  <r>
    <n v="3001"/>
    <n v="35"/>
    <x v="0"/>
    <x v="6"/>
    <x v="27"/>
    <n v="46.97"/>
    <x v="0"/>
    <x v="0"/>
    <n v="4.2"/>
    <n v="12"/>
    <n v="6"/>
    <n v="53.375"/>
    <n v="6.4050000000000011"/>
    <x v="1"/>
    <m/>
  </r>
  <r>
    <n v="3002"/>
    <n v="69"/>
    <x v="1"/>
    <x v="5"/>
    <x v="21"/>
    <n v="1404.38"/>
    <x v="2"/>
    <x v="0"/>
    <n v="2.5"/>
    <n v="13"/>
    <n v="4"/>
    <n v="1614.2298850574714"/>
    <n v="209.84988505747128"/>
    <x v="2"/>
    <m/>
  </r>
  <r>
    <n v="3003"/>
    <n v="59"/>
    <x v="0"/>
    <x v="7"/>
    <x v="8"/>
    <n v="112.23"/>
    <x v="1"/>
    <x v="0"/>
    <n v="3.6"/>
    <n v="10"/>
    <n v="5"/>
    <n v="124.7"/>
    <n v="12.469999999999999"/>
    <x v="0"/>
    <m/>
  </r>
  <r>
    <n v="3004"/>
    <n v="44"/>
    <x v="0"/>
    <x v="0"/>
    <x v="28"/>
    <n v="124.3"/>
    <x v="1"/>
    <x v="0"/>
    <n v="3.7"/>
    <n v="21"/>
    <n v="8"/>
    <n v="157.34177215189871"/>
    <n v="33.041772151898712"/>
    <x v="1"/>
    <m/>
  </r>
  <r>
    <n v="3005"/>
    <n v="37"/>
    <x v="1"/>
    <x v="2"/>
    <x v="10"/>
    <n v="145.11000000000001"/>
    <x v="1"/>
    <x v="0"/>
    <n v="2.4"/>
    <n v="20"/>
    <n v="5"/>
    <n v="181.38750000000002"/>
    <n v="36.277500000000003"/>
    <x v="1"/>
    <m/>
  </r>
  <r>
    <n v="3006"/>
    <n v="63"/>
    <x v="1"/>
    <x v="7"/>
    <x v="13"/>
    <n v="214.22"/>
    <x v="0"/>
    <x v="0"/>
    <n v="3.3"/>
    <n v="19"/>
    <n v="7"/>
    <n v="264.46913580246911"/>
    <n v="50.249135802469112"/>
    <x v="0"/>
    <m/>
  </r>
  <r>
    <n v="3007"/>
    <n v="42"/>
    <x v="0"/>
    <x v="6"/>
    <x v="23"/>
    <n v="24.73"/>
    <x v="1"/>
    <x v="0"/>
    <n v="3.6"/>
    <n v="15"/>
    <n v="5"/>
    <n v="29.094117647058823"/>
    <n v="4.3641176470588228"/>
    <x v="1"/>
    <m/>
  </r>
  <r>
    <n v="3008"/>
    <n v="38"/>
    <x v="1"/>
    <x v="2"/>
    <x v="10"/>
    <n v="158.99"/>
    <x v="2"/>
    <x v="0"/>
    <n v="3.4"/>
    <n v="13"/>
    <n v="4"/>
    <n v="182.74712643678163"/>
    <n v="23.757126436781618"/>
    <x v="1"/>
    <m/>
  </r>
  <r>
    <n v="3009"/>
    <n v="46"/>
    <x v="0"/>
    <x v="2"/>
    <x v="10"/>
    <n v="234.34"/>
    <x v="1"/>
    <x v="0"/>
    <n v="3.4"/>
    <n v="6"/>
    <n v="3"/>
    <n v="249.29787234042556"/>
    <n v="14.957872340425553"/>
    <x v="4"/>
    <m/>
  </r>
  <r>
    <n v="3010"/>
    <n v="42"/>
    <x v="0"/>
    <x v="8"/>
    <x v="14"/>
    <n v="31.48"/>
    <x v="2"/>
    <x v="1"/>
    <n v="3.1"/>
    <n v="10"/>
    <n v="5"/>
    <n v="34.977777777777774"/>
    <n v="3.4977777777777739"/>
    <x v="1"/>
    <m/>
  </r>
  <r>
    <n v="3011"/>
    <n v="23"/>
    <x v="0"/>
    <x v="8"/>
    <x v="14"/>
    <n v="134.30000000000001"/>
    <x v="0"/>
    <x v="0"/>
    <n v="3.9"/>
    <n v="22"/>
    <n v="6"/>
    <n v="172.17948717948718"/>
    <n v="37.879487179487171"/>
    <x v="3"/>
    <m/>
  </r>
  <r>
    <n v="3012"/>
    <n v="48"/>
    <x v="1"/>
    <x v="1"/>
    <x v="20"/>
    <n v="51.38"/>
    <x v="2"/>
    <x v="0"/>
    <n v="5"/>
    <n v="2"/>
    <n v="1"/>
    <n v="52.428571428571431"/>
    <n v="1.048571428571428"/>
    <x v="4"/>
    <m/>
  </r>
  <r>
    <n v="3013"/>
    <n v="51"/>
    <x v="1"/>
    <x v="5"/>
    <x v="21"/>
    <n v="2375.0300000000002"/>
    <x v="2"/>
    <x v="0"/>
    <n v="2.5"/>
    <n v="8"/>
    <n v="4"/>
    <n v="2581.554347826087"/>
    <n v="206.5243478260868"/>
    <x v="4"/>
    <m/>
  </r>
  <r>
    <n v="3014"/>
    <n v="53"/>
    <x v="1"/>
    <x v="2"/>
    <x v="10"/>
    <n v="52.21"/>
    <x v="0"/>
    <x v="0"/>
    <n v="3.6"/>
    <n v="6"/>
    <n v="3"/>
    <n v="55.542553191489368"/>
    <n v="3.3325531914893674"/>
    <x v="4"/>
    <m/>
  </r>
  <r>
    <n v="3015"/>
    <n v="38"/>
    <x v="0"/>
    <x v="7"/>
    <x v="8"/>
    <n v="241.96"/>
    <x v="3"/>
    <x v="0"/>
    <n v="2.6"/>
    <n v="18"/>
    <n v="4"/>
    <n v="295.07317073170731"/>
    <n v="53.113170731707299"/>
    <x v="1"/>
    <m/>
  </r>
  <r>
    <n v="3016"/>
    <n v="23"/>
    <x v="0"/>
    <x v="0"/>
    <x v="28"/>
    <n v="64.06"/>
    <x v="1"/>
    <x v="1"/>
    <n v="3.7"/>
    <n v="9"/>
    <n v="2"/>
    <n v="70.395604395604394"/>
    <n v="6.3356043956043919"/>
    <x v="3"/>
    <m/>
  </r>
  <r>
    <n v="3017"/>
    <n v="25"/>
    <x v="0"/>
    <x v="8"/>
    <x v="14"/>
    <n v="59.55"/>
    <x v="1"/>
    <x v="0"/>
    <n v="4.0999999999999996"/>
    <n v="22"/>
    <n v="6"/>
    <n v="76.34615384615384"/>
    <n v="16.796153846153842"/>
    <x v="5"/>
    <m/>
  </r>
  <r>
    <n v="3018"/>
    <n v="63"/>
    <x v="1"/>
    <x v="7"/>
    <x v="11"/>
    <n v="91.21"/>
    <x v="2"/>
    <x v="0"/>
    <n v="4.0999999999999996"/>
    <n v="32"/>
    <n v="11"/>
    <n v="134.13235294117646"/>
    <n v="42.92235294117647"/>
    <x v="0"/>
    <m/>
  </r>
  <r>
    <n v="3019"/>
    <n v="63"/>
    <x v="1"/>
    <x v="1"/>
    <x v="20"/>
    <n v="112.01"/>
    <x v="0"/>
    <x v="0"/>
    <n v="4"/>
    <n v="8"/>
    <n v="4"/>
    <n v="121.75"/>
    <n v="9.7399999999999949"/>
    <x v="0"/>
    <m/>
  </r>
  <r>
    <n v="3020"/>
    <n v="47"/>
    <x v="1"/>
    <x v="5"/>
    <x v="21"/>
    <n v="2830.66"/>
    <x v="3"/>
    <x v="0"/>
    <n v="3.5"/>
    <n v="16"/>
    <n v="3"/>
    <n v="3369.8333333333335"/>
    <n v="539.17333333333363"/>
    <x v="4"/>
    <m/>
  </r>
  <r>
    <n v="3021"/>
    <n v="67"/>
    <x v="1"/>
    <x v="5"/>
    <x v="5"/>
    <n v="804.82"/>
    <x v="2"/>
    <x v="0"/>
    <n v="3.8"/>
    <n v="9"/>
    <n v="2"/>
    <n v="884.41758241758248"/>
    <n v="79.59758241758243"/>
    <x v="2"/>
    <m/>
  </r>
  <r>
    <n v="3022"/>
    <n v="35"/>
    <x v="1"/>
    <x v="1"/>
    <x v="20"/>
    <n v="62.73"/>
    <x v="3"/>
    <x v="1"/>
    <n v="3.6"/>
    <n v="15"/>
    <n v="5"/>
    <n v="73.8"/>
    <n v="11.07"/>
    <x v="1"/>
    <m/>
  </r>
  <r>
    <n v="3023"/>
    <n v="43"/>
    <x v="0"/>
    <x v="6"/>
    <x v="23"/>
    <n v="20.09"/>
    <x v="2"/>
    <x v="1"/>
    <n v="2.7"/>
    <n v="20"/>
    <n v="5"/>
    <n v="25.112499999999997"/>
    <n v="5.0224999999999973"/>
    <x v="1"/>
    <m/>
  </r>
  <r>
    <n v="3024"/>
    <n v="60"/>
    <x v="0"/>
    <x v="7"/>
    <x v="11"/>
    <n v="52.98"/>
    <x v="1"/>
    <x v="0"/>
    <n v="4.2"/>
    <n v="4"/>
    <n v="2"/>
    <n v="55.1875"/>
    <n v="2.2075000000000031"/>
    <x v="0"/>
    <m/>
  </r>
  <r>
    <n v="3025"/>
    <n v="56"/>
    <x v="0"/>
    <x v="8"/>
    <x v="17"/>
    <n v="80.959999999999994"/>
    <x v="1"/>
    <x v="0"/>
    <n v="3.4"/>
    <n v="12"/>
    <n v="6"/>
    <n v="91.999999999999986"/>
    <n v="11.039999999999992"/>
    <x v="0"/>
    <m/>
  </r>
  <r>
    <n v="3026"/>
    <n v="46"/>
    <x v="1"/>
    <x v="1"/>
    <x v="20"/>
    <n v="173.68"/>
    <x v="1"/>
    <x v="0"/>
    <n v="5"/>
    <n v="17"/>
    <n v="6"/>
    <n v="209.2530120481928"/>
    <n v="35.573012048192794"/>
    <x v="4"/>
    <m/>
  </r>
  <r>
    <n v="3027"/>
    <n v="63"/>
    <x v="1"/>
    <x v="1"/>
    <x v="20"/>
    <n v="116.37"/>
    <x v="2"/>
    <x v="0"/>
    <n v="3.3"/>
    <n v="26"/>
    <n v="8"/>
    <n v="157.25675675675677"/>
    <n v="40.886756756756768"/>
    <x v="0"/>
    <m/>
  </r>
  <r>
    <n v="3028"/>
    <n v="44"/>
    <x v="0"/>
    <x v="8"/>
    <x v="16"/>
    <n v="139.86000000000001"/>
    <x v="3"/>
    <x v="0"/>
    <n v="3.5"/>
    <n v="11"/>
    <n v="3"/>
    <n v="157.14606741573036"/>
    <n v="17.286067415730344"/>
    <x v="1"/>
    <m/>
  </r>
  <r>
    <n v="3029"/>
    <n v="46"/>
    <x v="0"/>
    <x v="0"/>
    <x v="28"/>
    <n v="169.04"/>
    <x v="2"/>
    <x v="0"/>
    <n v="3"/>
    <n v="15"/>
    <n v="5"/>
    <n v="198.87058823529412"/>
    <n v="29.83058823529413"/>
    <x v="4"/>
    <m/>
  </r>
  <r>
    <n v="3030"/>
    <n v="44"/>
    <x v="1"/>
    <x v="5"/>
    <x v="7"/>
    <n v="2810.41"/>
    <x v="2"/>
    <x v="0"/>
    <n v="4.4000000000000004"/>
    <n v="8"/>
    <n v="4"/>
    <n v="3054.7934782608691"/>
    <n v="244.3834782608692"/>
    <x v="1"/>
    <m/>
  </r>
  <r>
    <n v="3031"/>
    <n v="46"/>
    <x v="0"/>
    <x v="8"/>
    <x v="16"/>
    <n v="152.01"/>
    <x v="3"/>
    <x v="0"/>
    <n v="2.6"/>
    <n v="11"/>
    <n v="3"/>
    <n v="170.79775280898875"/>
    <n v="18.787752808988756"/>
    <x v="4"/>
    <m/>
  </r>
  <r>
    <n v="3032"/>
    <n v="50"/>
    <x v="1"/>
    <x v="5"/>
    <x v="25"/>
    <n v="908.32"/>
    <x v="0"/>
    <x v="0"/>
    <n v="2.8"/>
    <n v="8"/>
    <n v="4"/>
    <n v="987.304347826087"/>
    <n v="78.984347826086946"/>
    <x v="4"/>
    <m/>
  </r>
  <r>
    <n v="3033"/>
    <n v="57"/>
    <x v="0"/>
    <x v="8"/>
    <x v="16"/>
    <n v="194"/>
    <x v="2"/>
    <x v="0"/>
    <n v="2.9"/>
    <n v="2"/>
    <n v="1"/>
    <n v="197.9591836734694"/>
    <n v="3.959183673469397"/>
    <x v="0"/>
    <m/>
  </r>
  <r>
    <n v="3034"/>
    <n v="28"/>
    <x v="1"/>
    <x v="7"/>
    <x v="8"/>
    <n v="239.55"/>
    <x v="1"/>
    <x v="0"/>
    <n v="4.5999999999999996"/>
    <n v="20"/>
    <n v="5"/>
    <n v="299.4375"/>
    <n v="59.887499999999989"/>
    <x v="5"/>
    <m/>
  </r>
  <r>
    <n v="3035"/>
    <n v="38"/>
    <x v="1"/>
    <x v="5"/>
    <x v="21"/>
    <n v="2591.6999999999998"/>
    <x v="0"/>
    <x v="0"/>
    <n v="3.3"/>
    <n v="26"/>
    <n v="8"/>
    <n v="3502.2972972972971"/>
    <n v="910.59729729729725"/>
    <x v="1"/>
    <m/>
  </r>
  <r>
    <n v="3036"/>
    <n v="57"/>
    <x v="0"/>
    <x v="8"/>
    <x v="17"/>
    <n v="165.49"/>
    <x v="3"/>
    <x v="0"/>
    <n v="4.7"/>
    <n v="13"/>
    <n v="4"/>
    <n v="190.2183908045977"/>
    <n v="24.728390804597694"/>
    <x v="0"/>
    <m/>
  </r>
  <r>
    <n v="3037"/>
    <n v="22"/>
    <x v="1"/>
    <x v="7"/>
    <x v="11"/>
    <n v="41.92"/>
    <x v="2"/>
    <x v="0"/>
    <n v="3.9"/>
    <n v="11"/>
    <n v="3"/>
    <n v="47.101123595505619"/>
    <n v="5.1811235955056176"/>
    <x v="3"/>
    <m/>
  </r>
  <r>
    <n v="3038"/>
    <n v="29"/>
    <x v="1"/>
    <x v="2"/>
    <x v="12"/>
    <n v="236.09"/>
    <x v="3"/>
    <x v="0"/>
    <n v="2.7"/>
    <n v="13"/>
    <n v="4"/>
    <n v="271.36781609195401"/>
    <n v="35.277816091954008"/>
    <x v="5"/>
    <m/>
  </r>
  <r>
    <n v="3039"/>
    <n v="26"/>
    <x v="1"/>
    <x v="5"/>
    <x v="21"/>
    <n v="1687.69"/>
    <x v="3"/>
    <x v="0"/>
    <n v="2.4"/>
    <n v="12"/>
    <n v="6"/>
    <n v="1917.8295454545455"/>
    <n v="230.13954545454544"/>
    <x v="5"/>
    <m/>
  </r>
  <r>
    <n v="3040"/>
    <n v="40"/>
    <x v="1"/>
    <x v="1"/>
    <x v="9"/>
    <n v="144.61000000000001"/>
    <x v="0"/>
    <x v="0"/>
    <n v="3.6"/>
    <n v="22"/>
    <n v="6"/>
    <n v="185.39743589743591"/>
    <n v="40.787435897435898"/>
    <x v="1"/>
    <m/>
  </r>
  <r>
    <n v="3041"/>
    <n v="59"/>
    <x v="1"/>
    <x v="4"/>
    <x v="29"/>
    <n v="60.41"/>
    <x v="0"/>
    <x v="1"/>
    <n v="3.7"/>
    <n v="13"/>
    <n v="4"/>
    <n v="69.436781609195393"/>
    <n v="9.0267816091953961"/>
    <x v="0"/>
    <m/>
  </r>
  <r>
    <n v="3042"/>
    <n v="42"/>
    <x v="0"/>
    <x v="7"/>
    <x v="13"/>
    <n v="176.41"/>
    <x v="1"/>
    <x v="0"/>
    <n v="4.2"/>
    <n v="16"/>
    <n v="3"/>
    <n v="210.01190476190476"/>
    <n v="33.601904761904763"/>
    <x v="1"/>
    <m/>
  </r>
  <r>
    <n v="3043"/>
    <n v="66"/>
    <x v="0"/>
    <x v="6"/>
    <x v="27"/>
    <n v="46.02"/>
    <x v="1"/>
    <x v="0"/>
    <n v="3.2"/>
    <n v="26"/>
    <n v="8"/>
    <n v="62.189189189189193"/>
    <n v="16.16918918918919"/>
    <x v="2"/>
    <m/>
  </r>
  <r>
    <n v="3044"/>
    <n v="50"/>
    <x v="1"/>
    <x v="5"/>
    <x v="21"/>
    <n v="1517.4"/>
    <x v="3"/>
    <x v="0"/>
    <n v="3.6"/>
    <n v="18"/>
    <n v="9"/>
    <n v="1850.4878048780488"/>
    <n v="333.0878048780487"/>
    <x v="4"/>
    <m/>
  </r>
  <r>
    <n v="3045"/>
    <n v="51"/>
    <x v="0"/>
    <x v="6"/>
    <x v="27"/>
    <n v="86.79"/>
    <x v="1"/>
    <x v="1"/>
    <n v="3.5"/>
    <n v="19"/>
    <n v="7"/>
    <n v="107.14814814814815"/>
    <n v="20.358148148148146"/>
    <x v="4"/>
    <m/>
  </r>
  <r>
    <n v="3046"/>
    <n v="40"/>
    <x v="0"/>
    <x v="8"/>
    <x v="18"/>
    <n v="41.97"/>
    <x v="3"/>
    <x v="0"/>
    <n v="3.5"/>
    <n v="10"/>
    <n v="5"/>
    <n v="46.633333333333333"/>
    <n v="4.663333333333334"/>
    <x v="1"/>
    <m/>
  </r>
  <r>
    <n v="3047"/>
    <n v="35"/>
    <x v="0"/>
    <x v="6"/>
    <x v="27"/>
    <n v="149.18"/>
    <x v="1"/>
    <x v="0"/>
    <n v="4.7"/>
    <n v="28"/>
    <n v="9"/>
    <n v="207.19444444444446"/>
    <n v="58.01444444444445"/>
    <x v="1"/>
    <m/>
  </r>
  <r>
    <n v="3048"/>
    <n v="30"/>
    <x v="0"/>
    <x v="8"/>
    <x v="17"/>
    <n v="142.34"/>
    <x v="2"/>
    <x v="0"/>
    <n v="2.9"/>
    <n v="19"/>
    <n v="7"/>
    <n v="175.72839506172838"/>
    <n v="33.388395061728374"/>
    <x v="5"/>
    <m/>
  </r>
  <r>
    <n v="3049"/>
    <n v="68"/>
    <x v="1"/>
    <x v="2"/>
    <x v="12"/>
    <n v="149.12"/>
    <x v="0"/>
    <x v="0"/>
    <n v="4.7"/>
    <n v="30"/>
    <n v="10"/>
    <n v="213.02857142857144"/>
    <n v="63.908571428571435"/>
    <x v="2"/>
    <m/>
  </r>
  <r>
    <n v="3050"/>
    <n v="34"/>
    <x v="0"/>
    <x v="7"/>
    <x v="8"/>
    <n v="222.74"/>
    <x v="2"/>
    <x v="0"/>
    <n v="4"/>
    <n v="18"/>
    <n v="4"/>
    <n v="271.63414634146341"/>
    <n v="48.894146341463397"/>
    <x v="5"/>
    <m/>
  </r>
  <r>
    <n v="3051"/>
    <n v="37"/>
    <x v="0"/>
    <x v="0"/>
    <x v="28"/>
    <n v="23.58"/>
    <x v="2"/>
    <x v="0"/>
    <n v="3.2"/>
    <n v="18"/>
    <n v="4"/>
    <n v="28.756097560975604"/>
    <n v="5.1760975609756059"/>
    <x v="1"/>
    <m/>
  </r>
  <r>
    <n v="3052"/>
    <n v="48"/>
    <x v="1"/>
    <x v="5"/>
    <x v="21"/>
    <n v="1298.54"/>
    <x v="2"/>
    <x v="0"/>
    <n v="3.5"/>
    <n v="10"/>
    <n v="0"/>
    <n v="1442.8222222222221"/>
    <n v="144.28222222222212"/>
    <x v="4"/>
    <m/>
  </r>
  <r>
    <n v="3053"/>
    <n v="57"/>
    <x v="0"/>
    <x v="0"/>
    <x v="22"/>
    <n v="147.6"/>
    <x v="3"/>
    <x v="0"/>
    <n v="4"/>
    <n v="24"/>
    <n v="7"/>
    <n v="194.21052631578945"/>
    <n v="46.610526315789457"/>
    <x v="0"/>
    <m/>
  </r>
  <r>
    <n v="3054"/>
    <n v="46"/>
    <x v="1"/>
    <x v="5"/>
    <x v="5"/>
    <n v="1161.0899999999999"/>
    <x v="0"/>
    <x v="0"/>
    <n v="4.8"/>
    <n v="10"/>
    <n v="5"/>
    <n v="1290.0999999999999"/>
    <n v="129.01"/>
    <x v="4"/>
    <m/>
  </r>
  <r>
    <n v="3055"/>
    <n v="51"/>
    <x v="0"/>
    <x v="7"/>
    <x v="13"/>
    <n v="203.75"/>
    <x v="0"/>
    <x v="0"/>
    <n v="3.4"/>
    <n v="11"/>
    <n v="3"/>
    <n v="228.93258426966293"/>
    <n v="25.182584269662925"/>
    <x v="4"/>
    <m/>
  </r>
  <r>
    <n v="3056"/>
    <n v="57"/>
    <x v="0"/>
    <x v="3"/>
    <x v="15"/>
    <n v="145.76"/>
    <x v="3"/>
    <x v="0"/>
    <n v="3.2"/>
    <n v="14"/>
    <n v="7"/>
    <n v="169.48837209302326"/>
    <n v="23.728372093023268"/>
    <x v="0"/>
    <m/>
  </r>
  <r>
    <n v="3057"/>
    <n v="70"/>
    <x v="0"/>
    <x v="7"/>
    <x v="8"/>
    <n v="221.59"/>
    <x v="1"/>
    <x v="0"/>
    <n v="3.8"/>
    <n v="13"/>
    <n v="4"/>
    <n v="254.70114942528735"/>
    <n v="33.111149425287351"/>
    <x v="2"/>
    <m/>
  </r>
  <r>
    <n v="3058"/>
    <n v="22"/>
    <x v="0"/>
    <x v="8"/>
    <x v="14"/>
    <n v="142.09"/>
    <x v="3"/>
    <x v="0"/>
    <n v="3.7"/>
    <n v="14"/>
    <n v="2"/>
    <n v="165.22093023255815"/>
    <n v="23.130930232558143"/>
    <x v="3"/>
    <m/>
  </r>
  <r>
    <n v="3059"/>
    <n v="46"/>
    <x v="1"/>
    <x v="1"/>
    <x v="14"/>
    <n v="149.84"/>
    <x v="2"/>
    <x v="0"/>
    <n v="3.9"/>
    <n v="8"/>
    <n v="4"/>
    <n v="162.86956521739131"/>
    <n v="13.029565217391308"/>
    <x v="4"/>
    <m/>
  </r>
  <r>
    <n v="3060"/>
    <n v="33"/>
    <x v="0"/>
    <x v="6"/>
    <x v="6"/>
    <n v="47.94"/>
    <x v="0"/>
    <x v="1"/>
    <n v="3.8"/>
    <n v="12"/>
    <n v="6"/>
    <n v="54.477272727272727"/>
    <n v="6.5372727272727289"/>
    <x v="5"/>
    <m/>
  </r>
  <r>
    <n v="3061"/>
    <n v="28"/>
    <x v="1"/>
    <x v="4"/>
    <x v="26"/>
    <n v="11.62"/>
    <x v="0"/>
    <x v="0"/>
    <n v="3.7"/>
    <n v="9"/>
    <n v="2"/>
    <n v="12.769230769230768"/>
    <n v="1.1492307692307691"/>
    <x v="5"/>
    <m/>
  </r>
  <r>
    <n v="3062"/>
    <n v="39"/>
    <x v="0"/>
    <x v="8"/>
    <x v="18"/>
    <n v="119.77"/>
    <x v="2"/>
    <x v="0"/>
    <n v="4"/>
    <n v="24"/>
    <n v="7"/>
    <n v="157.59210526315789"/>
    <n v="37.822105263157894"/>
    <x v="1"/>
    <m/>
  </r>
  <r>
    <n v="3063"/>
    <n v="60"/>
    <x v="1"/>
    <x v="1"/>
    <x v="9"/>
    <n v="188.39"/>
    <x v="3"/>
    <x v="0"/>
    <n v="3.4"/>
    <n v="23"/>
    <n v="9"/>
    <n v="244.66233766233765"/>
    <n v="56.272337662337662"/>
    <x v="0"/>
    <m/>
  </r>
  <r>
    <n v="3064"/>
    <n v="37"/>
    <x v="1"/>
    <x v="4"/>
    <x v="26"/>
    <n v="70.239999999999995"/>
    <x v="0"/>
    <x v="1"/>
    <n v="4.3"/>
    <n v="28"/>
    <n v="9"/>
    <n v="97.555555555555557"/>
    <n v="27.315555555555562"/>
    <x v="1"/>
    <m/>
  </r>
  <r>
    <n v="3065"/>
    <n v="40"/>
    <x v="0"/>
    <x v="8"/>
    <x v="17"/>
    <n v="167.11"/>
    <x v="2"/>
    <x v="0"/>
    <n v="3.9"/>
    <n v="20"/>
    <n v="5"/>
    <n v="208.88750000000002"/>
    <n v="41.777500000000003"/>
    <x v="1"/>
    <m/>
  </r>
  <r>
    <n v="3066"/>
    <n v="56"/>
    <x v="1"/>
    <x v="1"/>
    <x v="14"/>
    <n v="108.75"/>
    <x v="0"/>
    <x v="0"/>
    <n v="4.4000000000000004"/>
    <n v="22"/>
    <n v="6"/>
    <n v="139.42307692307691"/>
    <n v="30.673076923076906"/>
    <x v="0"/>
    <m/>
  </r>
  <r>
    <n v="3067"/>
    <n v="42"/>
    <x v="1"/>
    <x v="7"/>
    <x v="8"/>
    <n v="234.89"/>
    <x v="2"/>
    <x v="0"/>
    <n v="4.0999999999999996"/>
    <n v="4"/>
    <n v="2"/>
    <n v="244.67708333333331"/>
    <n v="9.787083333333328"/>
    <x v="1"/>
    <m/>
  </r>
  <r>
    <n v="3068"/>
    <n v="35"/>
    <x v="0"/>
    <x v="7"/>
    <x v="13"/>
    <n v="203.24"/>
    <x v="1"/>
    <x v="0"/>
    <n v="3.8"/>
    <n v="20"/>
    <n v="5"/>
    <n v="254.05"/>
    <n v="50.81"/>
    <x v="1"/>
    <m/>
  </r>
  <r>
    <n v="3069"/>
    <n v="31"/>
    <x v="1"/>
    <x v="7"/>
    <x v="8"/>
    <n v="118.39"/>
    <x v="2"/>
    <x v="0"/>
    <n v="4.4000000000000004"/>
    <n v="15"/>
    <n v="5"/>
    <n v="139.28235294117647"/>
    <n v="20.892352941176469"/>
    <x v="5"/>
    <m/>
  </r>
  <r>
    <n v="3070"/>
    <n v="66"/>
    <x v="0"/>
    <x v="6"/>
    <x v="6"/>
    <n v="105.89"/>
    <x v="1"/>
    <x v="0"/>
    <n v="3.5"/>
    <n v="26"/>
    <n v="8"/>
    <n v="143.09459459459461"/>
    <n v="37.20459459459461"/>
    <x v="2"/>
    <m/>
  </r>
  <r>
    <n v="3071"/>
    <n v="59"/>
    <x v="1"/>
    <x v="5"/>
    <x v="5"/>
    <n v="2313.37"/>
    <x v="3"/>
    <x v="0"/>
    <n v="3"/>
    <n v="18"/>
    <n v="4"/>
    <n v="2821.1829268292681"/>
    <n v="507.81292682926824"/>
    <x v="0"/>
    <m/>
  </r>
  <r>
    <n v="3072"/>
    <n v="34"/>
    <x v="0"/>
    <x v="3"/>
    <x v="3"/>
    <n v="158.41999999999999"/>
    <x v="2"/>
    <x v="0"/>
    <n v="4.7"/>
    <n v="17"/>
    <n v="6"/>
    <n v="190.86746987951807"/>
    <n v="32.447469879518081"/>
    <x v="5"/>
    <m/>
  </r>
  <r>
    <n v="3073"/>
    <n v="33"/>
    <x v="1"/>
    <x v="2"/>
    <x v="10"/>
    <n v="59.3"/>
    <x v="1"/>
    <x v="0"/>
    <n v="3"/>
    <n v="18"/>
    <n v="4"/>
    <n v="72.317073170731703"/>
    <n v="13.017073170731706"/>
    <x v="5"/>
    <m/>
  </r>
  <r>
    <n v="3074"/>
    <n v="40"/>
    <x v="1"/>
    <x v="1"/>
    <x v="1"/>
    <n v="191.84"/>
    <x v="3"/>
    <x v="0"/>
    <n v="3.5"/>
    <n v="21"/>
    <n v="8"/>
    <n v="242.83544303797467"/>
    <n v="50.995443037974667"/>
    <x v="1"/>
    <m/>
  </r>
  <r>
    <n v="3075"/>
    <n v="38"/>
    <x v="0"/>
    <x v="3"/>
    <x v="24"/>
    <n v="164.04"/>
    <x v="3"/>
    <x v="0"/>
    <n v="3.9"/>
    <n v="12"/>
    <n v="6"/>
    <n v="186.40909090909091"/>
    <n v="22.369090909090914"/>
    <x v="1"/>
    <m/>
  </r>
  <r>
    <n v="3076"/>
    <n v="65"/>
    <x v="1"/>
    <x v="7"/>
    <x v="13"/>
    <n v="84.56"/>
    <x v="3"/>
    <x v="0"/>
    <n v="3.3"/>
    <n v="15"/>
    <n v="5"/>
    <n v="99.482352941176472"/>
    <n v="14.92235294117647"/>
    <x v="2"/>
    <m/>
  </r>
  <r>
    <n v="3077"/>
    <n v="37"/>
    <x v="0"/>
    <x v="8"/>
    <x v="16"/>
    <n v="54.47"/>
    <x v="0"/>
    <x v="1"/>
    <n v="3.9"/>
    <n v="15"/>
    <n v="5"/>
    <n v="64.082352941176467"/>
    <n v="9.6123529411764679"/>
    <x v="1"/>
    <m/>
  </r>
  <r>
    <n v="3078"/>
    <n v="37"/>
    <x v="0"/>
    <x v="6"/>
    <x v="23"/>
    <n v="52.5"/>
    <x v="2"/>
    <x v="0"/>
    <n v="4.3"/>
    <n v="21"/>
    <n v="8"/>
    <n v="66.455696202531641"/>
    <n v="13.955696202531641"/>
    <x v="1"/>
    <m/>
  </r>
  <r>
    <n v="3079"/>
    <n v="46"/>
    <x v="1"/>
    <x v="5"/>
    <x v="21"/>
    <n v="1239.45"/>
    <x v="1"/>
    <x v="0"/>
    <n v="4.0999999999999996"/>
    <n v="13"/>
    <n v="4"/>
    <n v="1424.6551724137933"/>
    <n v="185.20517241379321"/>
    <x v="4"/>
    <m/>
  </r>
  <r>
    <n v="3080"/>
    <n v="30"/>
    <x v="0"/>
    <x v="8"/>
    <x v="16"/>
    <n v="99.88"/>
    <x v="2"/>
    <x v="0"/>
    <n v="3.3"/>
    <n v="14"/>
    <n v="2"/>
    <n v="116.13953488372093"/>
    <n v="16.259534883720931"/>
    <x v="5"/>
    <m/>
  </r>
  <r>
    <n v="3081"/>
    <n v="42"/>
    <x v="0"/>
    <x v="7"/>
    <x v="11"/>
    <n v="73.33"/>
    <x v="3"/>
    <x v="1"/>
    <n v="4.5999999999999996"/>
    <n v="22"/>
    <n v="6"/>
    <n v="94.012820512820511"/>
    <n v="20.682820512820513"/>
    <x v="1"/>
    <m/>
  </r>
  <r>
    <n v="3082"/>
    <n v="25"/>
    <x v="1"/>
    <x v="5"/>
    <x v="5"/>
    <n v="727.7"/>
    <x v="1"/>
    <x v="0"/>
    <n v="3.6"/>
    <n v="18"/>
    <n v="4"/>
    <n v="887.43902439024384"/>
    <n v="159.7390243902438"/>
    <x v="5"/>
    <m/>
  </r>
  <r>
    <n v="3083"/>
    <n v="48"/>
    <x v="0"/>
    <x v="0"/>
    <x v="22"/>
    <n v="59.04"/>
    <x v="2"/>
    <x v="0"/>
    <n v="4.0999999999999996"/>
    <n v="18"/>
    <n v="9"/>
    <n v="72"/>
    <n v="12.96"/>
    <x v="4"/>
    <m/>
  </r>
  <r>
    <n v="3084"/>
    <n v="39"/>
    <x v="0"/>
    <x v="2"/>
    <x v="10"/>
    <n v="178.47"/>
    <x v="3"/>
    <x v="0"/>
    <n v="3.2"/>
    <n v="10"/>
    <n v="5"/>
    <n v="198.29999999999998"/>
    <n v="19.829999999999984"/>
    <x v="1"/>
    <m/>
  </r>
  <r>
    <n v="3085"/>
    <n v="51"/>
    <x v="0"/>
    <x v="0"/>
    <x v="22"/>
    <n v="150.63999999999999"/>
    <x v="1"/>
    <x v="0"/>
    <n v="3.6"/>
    <n v="17"/>
    <n v="6"/>
    <n v="181.49397590361446"/>
    <n v="30.853975903614469"/>
    <x v="4"/>
    <m/>
  </r>
  <r>
    <n v="3086"/>
    <n v="54"/>
    <x v="1"/>
    <x v="7"/>
    <x v="8"/>
    <n v="93.5"/>
    <x v="2"/>
    <x v="1"/>
    <n v="3"/>
    <n v="17"/>
    <n v="6"/>
    <n v="112.65060240963857"/>
    <n v="19.150602409638566"/>
    <x v="4"/>
    <m/>
  </r>
  <r>
    <n v="3087"/>
    <n v="52"/>
    <x v="1"/>
    <x v="1"/>
    <x v="9"/>
    <n v="37.229999999999997"/>
    <x v="2"/>
    <x v="0"/>
    <n v="3.9"/>
    <n v="9"/>
    <n v="2"/>
    <n v="40.912087912087905"/>
    <n v="3.6820879120879084"/>
    <x v="4"/>
    <m/>
  </r>
  <r>
    <n v="3088"/>
    <n v="52"/>
    <x v="0"/>
    <x v="7"/>
    <x v="11"/>
    <n v="203.27"/>
    <x v="3"/>
    <x v="0"/>
    <n v="4.5999999999999996"/>
    <n v="4"/>
    <n v="2"/>
    <n v="211.73958333333334"/>
    <n v="8.4695833333333326"/>
    <x v="4"/>
    <m/>
  </r>
  <r>
    <n v="3089"/>
    <n v="26"/>
    <x v="1"/>
    <x v="2"/>
    <x v="2"/>
    <n v="178.08"/>
    <x v="2"/>
    <x v="0"/>
    <n v="3.9"/>
    <n v="4"/>
    <n v="2"/>
    <n v="185.50000000000003"/>
    <n v="7.4200000000000159"/>
    <x v="5"/>
    <m/>
  </r>
  <r>
    <n v="3090"/>
    <n v="66"/>
    <x v="0"/>
    <x v="0"/>
    <x v="28"/>
    <n v="110.97"/>
    <x v="2"/>
    <x v="0"/>
    <n v="3.7"/>
    <n v="13"/>
    <n v="4"/>
    <n v="127.55172413793103"/>
    <n v="16.581724137931033"/>
    <x v="2"/>
    <m/>
  </r>
  <r>
    <n v="3091"/>
    <n v="67"/>
    <x v="1"/>
    <x v="5"/>
    <x v="5"/>
    <n v="2107.08"/>
    <x v="3"/>
    <x v="0"/>
    <n v="4.5"/>
    <n v="10"/>
    <n v="5"/>
    <n v="2341.1999999999998"/>
    <n v="234.11999999999989"/>
    <x v="2"/>
    <m/>
  </r>
  <r>
    <n v="3092"/>
    <n v="30"/>
    <x v="0"/>
    <x v="0"/>
    <x v="0"/>
    <n v="143.83000000000001"/>
    <x v="1"/>
    <x v="0"/>
    <n v="3.8"/>
    <n v="19"/>
    <n v="7"/>
    <n v="177.5679012345679"/>
    <n v="33.737901234567886"/>
    <x v="5"/>
    <m/>
  </r>
  <r>
    <n v="3093"/>
    <n v="37"/>
    <x v="1"/>
    <x v="2"/>
    <x v="12"/>
    <n v="140.4"/>
    <x v="1"/>
    <x v="0"/>
    <n v="3.8"/>
    <n v="15"/>
    <n v="5"/>
    <n v="165.1764705882353"/>
    <n v="24.776470588235298"/>
    <x v="1"/>
    <m/>
  </r>
  <r>
    <n v="3094"/>
    <n v="64"/>
    <x v="0"/>
    <x v="6"/>
    <x v="23"/>
    <n v="145.84"/>
    <x v="2"/>
    <x v="0"/>
    <n v="4"/>
    <n v="4"/>
    <n v="2"/>
    <n v="151.91666666666669"/>
    <n v="6.0766666666666822"/>
    <x v="0"/>
    <m/>
  </r>
  <r>
    <n v="3095"/>
    <n v="43"/>
    <x v="1"/>
    <x v="3"/>
    <x v="3"/>
    <n v="50.1"/>
    <x v="1"/>
    <x v="1"/>
    <n v="4.5"/>
    <n v="22"/>
    <n v="6"/>
    <n v="64.230769230769226"/>
    <n v="14.130769230769225"/>
    <x v="1"/>
    <m/>
  </r>
  <r>
    <n v="3096"/>
    <n v="56"/>
    <x v="1"/>
    <x v="5"/>
    <x v="21"/>
    <n v="1390.67"/>
    <x v="1"/>
    <x v="0"/>
    <n v="4.4000000000000004"/>
    <n v="20"/>
    <n v="5"/>
    <n v="1738.3375000000001"/>
    <n v="347.66750000000002"/>
    <x v="0"/>
    <m/>
  </r>
  <r>
    <n v="3097"/>
    <n v="42"/>
    <x v="0"/>
    <x v="2"/>
    <x v="12"/>
    <n v="54.94"/>
    <x v="3"/>
    <x v="1"/>
    <n v="4"/>
    <n v="8"/>
    <n v="4"/>
    <n v="59.717391304347821"/>
    <n v="4.7773913043478231"/>
    <x v="1"/>
    <m/>
  </r>
  <r>
    <n v="3098"/>
    <n v="61"/>
    <x v="1"/>
    <x v="7"/>
    <x v="11"/>
    <n v="214.2"/>
    <x v="1"/>
    <x v="0"/>
    <n v="4.9000000000000004"/>
    <n v="20"/>
    <n v="5"/>
    <n v="267.74999999999994"/>
    <n v="53.549999999999955"/>
    <x v="0"/>
    <m/>
  </r>
  <r>
    <n v="3099"/>
    <n v="66"/>
    <x v="1"/>
    <x v="1"/>
    <x v="20"/>
    <n v="115.35"/>
    <x v="2"/>
    <x v="0"/>
    <n v="4.4000000000000004"/>
    <n v="8"/>
    <n v="4"/>
    <n v="125.38043478260869"/>
    <n v="10.030434782608694"/>
    <x v="2"/>
    <m/>
  </r>
  <r>
    <n v="3100"/>
    <n v="43"/>
    <x v="1"/>
    <x v="2"/>
    <x v="12"/>
    <n v="38.090000000000003"/>
    <x v="0"/>
    <x v="1"/>
    <n v="4.2"/>
    <n v="20"/>
    <n v="5"/>
    <n v="47.612500000000004"/>
    <n v="9.5225000000000009"/>
    <x v="1"/>
    <m/>
  </r>
  <r>
    <n v="3101"/>
    <n v="22"/>
    <x v="1"/>
    <x v="5"/>
    <x v="21"/>
    <n v="1683.66"/>
    <x v="0"/>
    <x v="0"/>
    <n v="4.5"/>
    <n v="20"/>
    <n v="5"/>
    <n v="2104.5749999999998"/>
    <n v="420.91499999999974"/>
    <x v="3"/>
    <m/>
  </r>
  <r>
    <n v="3102"/>
    <n v="21"/>
    <x v="1"/>
    <x v="5"/>
    <x v="21"/>
    <n v="1599.75"/>
    <x v="3"/>
    <x v="0"/>
    <n v="4.2"/>
    <n v="20"/>
    <n v="5"/>
    <n v="1999.6875"/>
    <n v="399.9375"/>
    <x v="3"/>
    <m/>
  </r>
  <r>
    <n v="3103"/>
    <n v="70"/>
    <x v="0"/>
    <x v="0"/>
    <x v="28"/>
    <n v="55.1"/>
    <x v="0"/>
    <x v="1"/>
    <n v="3.7"/>
    <n v="18"/>
    <n v="4"/>
    <n v="67.195121951219505"/>
    <n v="12.095121951219504"/>
    <x v="2"/>
    <m/>
  </r>
  <r>
    <n v="3104"/>
    <n v="20"/>
    <x v="0"/>
    <x v="3"/>
    <x v="3"/>
    <n v="246.01"/>
    <x v="1"/>
    <x v="0"/>
    <n v="4.4000000000000004"/>
    <n v="24"/>
    <n v="7"/>
    <n v="323.6973684210526"/>
    <n v="77.687368421052611"/>
    <x v="3"/>
    <m/>
  </r>
  <r>
    <n v="3105"/>
    <n v="24"/>
    <x v="0"/>
    <x v="2"/>
    <x v="12"/>
    <n v="235.97"/>
    <x v="1"/>
    <x v="0"/>
    <n v="3.8"/>
    <n v="14"/>
    <n v="2"/>
    <n v="274.38372093023258"/>
    <n v="38.413720930232586"/>
    <x v="3"/>
    <m/>
  </r>
  <r>
    <n v="3106"/>
    <n v="53"/>
    <x v="1"/>
    <x v="2"/>
    <x v="10"/>
    <n v="249.3"/>
    <x v="2"/>
    <x v="0"/>
    <n v="3.9"/>
    <n v="18"/>
    <n v="4"/>
    <n v="304.02439024390242"/>
    <n v="54.724390243902405"/>
    <x v="4"/>
    <m/>
  </r>
  <r>
    <n v="3107"/>
    <n v="44"/>
    <x v="1"/>
    <x v="1"/>
    <x v="20"/>
    <n v="105.92"/>
    <x v="0"/>
    <x v="0"/>
    <n v="3.9"/>
    <n v="25"/>
    <n v="10"/>
    <n v="141.22666666666666"/>
    <n v="35.306666666666658"/>
    <x v="1"/>
    <m/>
  </r>
  <r>
    <n v="3108"/>
    <n v="54"/>
    <x v="0"/>
    <x v="7"/>
    <x v="8"/>
    <n v="104.74"/>
    <x v="3"/>
    <x v="0"/>
    <n v="3.2"/>
    <n v="16"/>
    <n v="8"/>
    <n v="124.69047619047619"/>
    <n v="19.950476190476195"/>
    <x v="4"/>
    <m/>
  </r>
  <r>
    <n v="3109"/>
    <n v="62"/>
    <x v="0"/>
    <x v="4"/>
    <x v="29"/>
    <n v="41.33"/>
    <x v="3"/>
    <x v="1"/>
    <n v="2.1"/>
    <n v="10"/>
    <n v="5"/>
    <n v="45.922222222222217"/>
    <n v="4.5922222222222189"/>
    <x v="0"/>
    <m/>
  </r>
  <r>
    <n v="3110"/>
    <n v="40"/>
    <x v="0"/>
    <x v="8"/>
    <x v="17"/>
    <n v="164.97"/>
    <x v="1"/>
    <x v="0"/>
    <n v="4.3"/>
    <n v="22"/>
    <n v="6"/>
    <n v="211.5"/>
    <n v="46.53"/>
    <x v="1"/>
    <m/>
  </r>
  <r>
    <n v="3111"/>
    <n v="52"/>
    <x v="1"/>
    <x v="5"/>
    <x v="25"/>
    <n v="1788.15"/>
    <x v="2"/>
    <x v="0"/>
    <n v="4.5999999999999996"/>
    <n v="8"/>
    <n v="4"/>
    <n v="1943.641304347826"/>
    <n v="155.49130434782592"/>
    <x v="4"/>
    <m/>
  </r>
  <r>
    <n v="3112"/>
    <n v="52"/>
    <x v="1"/>
    <x v="7"/>
    <x v="13"/>
    <n v="157.54"/>
    <x v="1"/>
    <x v="0"/>
    <n v="3.5"/>
    <n v="11"/>
    <n v="3"/>
    <n v="177.01123595505618"/>
    <n v="19.471235955056187"/>
    <x v="4"/>
    <m/>
  </r>
  <r>
    <n v="3113"/>
    <n v="44"/>
    <x v="0"/>
    <x v="7"/>
    <x v="11"/>
    <n v="222.1"/>
    <x v="1"/>
    <x v="0"/>
    <n v="2.6"/>
    <n v="10"/>
    <n v="5"/>
    <n v="246.77777777777777"/>
    <n v="24.677777777777777"/>
    <x v="1"/>
    <m/>
  </r>
  <r>
    <n v="3114"/>
    <n v="56"/>
    <x v="0"/>
    <x v="7"/>
    <x v="13"/>
    <n v="149.21"/>
    <x v="2"/>
    <x v="0"/>
    <n v="4.0999999999999996"/>
    <n v="17"/>
    <n v="6"/>
    <n v="179.77108433734941"/>
    <n v="30.561084337349399"/>
    <x v="0"/>
    <m/>
  </r>
  <r>
    <n v="3115"/>
    <n v="52"/>
    <x v="0"/>
    <x v="8"/>
    <x v="16"/>
    <n v="153.09"/>
    <x v="2"/>
    <x v="0"/>
    <n v="3.8"/>
    <n v="8"/>
    <n v="4"/>
    <n v="166.40217391304347"/>
    <n v="13.312173913043466"/>
    <x v="4"/>
    <m/>
  </r>
  <r>
    <n v="3116"/>
    <n v="55"/>
    <x v="0"/>
    <x v="4"/>
    <x v="29"/>
    <n v="68.41"/>
    <x v="1"/>
    <x v="1"/>
    <n v="4.5999999999999996"/>
    <n v="14"/>
    <n v="2"/>
    <n v="79.54651162790698"/>
    <n v="11.136511627906984"/>
    <x v="0"/>
    <m/>
  </r>
  <r>
    <n v="3117"/>
    <n v="55"/>
    <x v="0"/>
    <x v="0"/>
    <x v="28"/>
    <n v="160.25"/>
    <x v="3"/>
    <x v="0"/>
    <n v="3.5"/>
    <n v="6"/>
    <n v="3"/>
    <n v="170.47872340425533"/>
    <n v="10.228723404255334"/>
    <x v="0"/>
    <m/>
  </r>
  <r>
    <n v="3118"/>
    <n v="70"/>
    <x v="0"/>
    <x v="0"/>
    <x v="0"/>
    <n v="63.39"/>
    <x v="0"/>
    <x v="1"/>
    <n v="3.3"/>
    <n v="14"/>
    <n v="2"/>
    <n v="73.70930232558139"/>
    <n v="10.31930232558139"/>
    <x v="2"/>
    <m/>
  </r>
  <r>
    <n v="3119"/>
    <n v="69"/>
    <x v="1"/>
    <x v="2"/>
    <x v="12"/>
    <n v="95.03"/>
    <x v="2"/>
    <x v="0"/>
    <n v="2.8"/>
    <n v="16"/>
    <n v="3"/>
    <n v="113.13095238095238"/>
    <n v="18.100952380952378"/>
    <x v="2"/>
    <m/>
  </r>
  <r>
    <n v="3120"/>
    <n v="38"/>
    <x v="0"/>
    <x v="0"/>
    <x v="22"/>
    <n v="171.81"/>
    <x v="3"/>
    <x v="0"/>
    <n v="4.5999999999999996"/>
    <n v="26"/>
    <n v="8"/>
    <n v="232.17567567567568"/>
    <n v="60.365675675675675"/>
    <x v="1"/>
    <m/>
  </r>
  <r>
    <n v="3121"/>
    <n v="53"/>
    <x v="0"/>
    <x v="8"/>
    <x v="16"/>
    <n v="195"/>
    <x v="2"/>
    <x v="0"/>
    <n v="3.6"/>
    <n v="14"/>
    <n v="7"/>
    <n v="226.74418604651163"/>
    <n v="31.744186046511629"/>
    <x v="4"/>
    <m/>
  </r>
  <r>
    <n v="3122"/>
    <n v="51"/>
    <x v="1"/>
    <x v="5"/>
    <x v="25"/>
    <n v="2502.92"/>
    <x v="0"/>
    <x v="0"/>
    <n v="1.9"/>
    <n v="28"/>
    <n v="9"/>
    <n v="3476.2777777777778"/>
    <n v="973.35777777777776"/>
    <x v="4"/>
    <m/>
  </r>
  <r>
    <n v="3123"/>
    <n v="29"/>
    <x v="0"/>
    <x v="7"/>
    <x v="8"/>
    <n v="133.44"/>
    <x v="2"/>
    <x v="0"/>
    <n v="5"/>
    <n v="20"/>
    <n v="5"/>
    <n v="166.79999999999998"/>
    <n v="33.359999999999985"/>
    <x v="5"/>
    <m/>
  </r>
  <r>
    <n v="3124"/>
    <n v="20"/>
    <x v="0"/>
    <x v="0"/>
    <x v="22"/>
    <n v="142.21"/>
    <x v="3"/>
    <x v="0"/>
    <n v="3.8"/>
    <n v="13"/>
    <n v="4"/>
    <n v="163.45977011494253"/>
    <n v="21.249770114942521"/>
    <x v="3"/>
    <m/>
  </r>
  <r>
    <n v="3125"/>
    <n v="28"/>
    <x v="1"/>
    <x v="2"/>
    <x v="2"/>
    <n v="107.86"/>
    <x v="2"/>
    <x v="0"/>
    <n v="2.8"/>
    <n v="15"/>
    <n v="5"/>
    <n v="126.89411764705882"/>
    <n v="19.034117647058821"/>
    <x v="5"/>
    <m/>
  </r>
  <r>
    <n v="3126"/>
    <n v="57"/>
    <x v="1"/>
    <x v="1"/>
    <x v="9"/>
    <n v="142.37"/>
    <x v="3"/>
    <x v="0"/>
    <n v="4.3"/>
    <n v="11"/>
    <n v="3"/>
    <n v="159.96629213483146"/>
    <n v="17.596292134831458"/>
    <x v="0"/>
    <m/>
  </r>
  <r>
    <n v="3127"/>
    <n v="56"/>
    <x v="1"/>
    <x v="2"/>
    <x v="10"/>
    <n v="198.31"/>
    <x v="3"/>
    <x v="0"/>
    <n v="4.3"/>
    <n v="25"/>
    <n v="10"/>
    <n v="264.41333333333336"/>
    <n v="66.103333333333353"/>
    <x v="0"/>
    <m/>
  </r>
  <r>
    <n v="3128"/>
    <n v="27"/>
    <x v="0"/>
    <x v="6"/>
    <x v="6"/>
    <n v="34.44"/>
    <x v="2"/>
    <x v="0"/>
    <n v="3.4"/>
    <n v="4"/>
    <n v="2"/>
    <n v="35.875"/>
    <n v="1.4350000000000023"/>
    <x v="5"/>
    <m/>
  </r>
  <r>
    <n v="3129"/>
    <n v="61"/>
    <x v="0"/>
    <x v="4"/>
    <x v="4"/>
    <n v="22.87"/>
    <x v="3"/>
    <x v="1"/>
    <n v="3.6"/>
    <n v="13"/>
    <n v="4"/>
    <n v="26.287356321839081"/>
    <n v="3.4173563218390797"/>
    <x v="0"/>
    <m/>
  </r>
  <r>
    <n v="3130"/>
    <n v="44"/>
    <x v="1"/>
    <x v="7"/>
    <x v="8"/>
    <n v="143.16999999999999"/>
    <x v="3"/>
    <x v="0"/>
    <n v="5"/>
    <n v="15"/>
    <n v="5"/>
    <n v="168.43529411764706"/>
    <n v="25.265294117647073"/>
    <x v="1"/>
    <m/>
  </r>
  <r>
    <n v="3131"/>
    <n v="67"/>
    <x v="1"/>
    <x v="5"/>
    <x v="25"/>
    <n v="2411.19"/>
    <x v="2"/>
    <x v="0"/>
    <n v="3.1"/>
    <n v="9"/>
    <n v="2"/>
    <n v="2649.6593406593406"/>
    <n v="238.46934065934056"/>
    <x v="2"/>
    <m/>
  </r>
  <r>
    <n v="3132"/>
    <n v="26"/>
    <x v="1"/>
    <x v="7"/>
    <x v="8"/>
    <n v="130.13999999999999"/>
    <x v="1"/>
    <x v="0"/>
    <n v="4"/>
    <n v="29"/>
    <n v="12"/>
    <n v="183.29577464788733"/>
    <n v="53.155774647887341"/>
    <x v="5"/>
    <m/>
  </r>
  <r>
    <n v="3133"/>
    <n v="69"/>
    <x v="0"/>
    <x v="6"/>
    <x v="6"/>
    <n v="52.81"/>
    <x v="3"/>
    <x v="0"/>
    <n v="4.3"/>
    <n v="19"/>
    <n v="7"/>
    <n v="65.197530864197532"/>
    <n v="12.387530864197529"/>
    <x v="2"/>
    <m/>
  </r>
  <r>
    <n v="3134"/>
    <n v="62"/>
    <x v="1"/>
    <x v="7"/>
    <x v="13"/>
    <n v="232.72"/>
    <x v="1"/>
    <x v="0"/>
    <n v="3.7"/>
    <n v="13"/>
    <n v="4"/>
    <n v="267.4942528735632"/>
    <n v="34.774252873563199"/>
    <x v="0"/>
    <m/>
  </r>
  <r>
    <n v="3135"/>
    <n v="47"/>
    <x v="0"/>
    <x v="6"/>
    <x v="23"/>
    <n v="38.049999999999997"/>
    <x v="3"/>
    <x v="1"/>
    <n v="3.4"/>
    <n v="23"/>
    <n v="9"/>
    <n v="49.415584415584412"/>
    <n v="11.365584415584415"/>
    <x v="4"/>
    <m/>
  </r>
  <r>
    <n v="3136"/>
    <n v="62"/>
    <x v="1"/>
    <x v="3"/>
    <x v="24"/>
    <n v="203.78"/>
    <x v="3"/>
    <x v="0"/>
    <n v="3.4"/>
    <n v="18"/>
    <n v="4"/>
    <n v="248.51219512195121"/>
    <n v="44.732195121951207"/>
    <x v="0"/>
    <m/>
  </r>
  <r>
    <n v="3137"/>
    <n v="49"/>
    <x v="1"/>
    <x v="3"/>
    <x v="3"/>
    <n v="73.31"/>
    <x v="1"/>
    <x v="1"/>
    <n v="4.5"/>
    <n v="22"/>
    <n v="6"/>
    <n v="93.987179487179489"/>
    <n v="20.677179487179487"/>
    <x v="4"/>
    <m/>
  </r>
  <r>
    <n v="3138"/>
    <n v="52"/>
    <x v="1"/>
    <x v="7"/>
    <x v="11"/>
    <n v="68.930000000000007"/>
    <x v="2"/>
    <x v="1"/>
    <n v="2.2999999999999998"/>
    <n v="24"/>
    <n v="7"/>
    <n v="90.697368421052644"/>
    <n v="21.767368421052637"/>
    <x v="4"/>
    <m/>
  </r>
  <r>
    <n v="3139"/>
    <n v="67"/>
    <x v="1"/>
    <x v="7"/>
    <x v="11"/>
    <n v="55.02"/>
    <x v="0"/>
    <x v="1"/>
    <n v="3.4"/>
    <n v="23"/>
    <n v="9"/>
    <n v="71.454545454545453"/>
    <n v="16.43454545454545"/>
    <x v="2"/>
    <m/>
  </r>
  <r>
    <n v="3140"/>
    <n v="34"/>
    <x v="0"/>
    <x v="2"/>
    <x v="10"/>
    <n v="199.1"/>
    <x v="0"/>
    <x v="0"/>
    <n v="4.3"/>
    <n v="11"/>
    <n v="3"/>
    <n v="223.70786516853931"/>
    <n v="24.60786516853932"/>
    <x v="5"/>
    <m/>
  </r>
  <r>
    <n v="3141"/>
    <n v="43"/>
    <x v="1"/>
    <x v="5"/>
    <x v="7"/>
    <n v="1988.61"/>
    <x v="1"/>
    <x v="0"/>
    <n v="3.8"/>
    <n v="17"/>
    <n v="6"/>
    <n v="2395.9156626506024"/>
    <n v="407.30566265060247"/>
    <x v="1"/>
    <m/>
  </r>
  <r>
    <n v="3142"/>
    <n v="60"/>
    <x v="0"/>
    <x v="8"/>
    <x v="17"/>
    <n v="118.52"/>
    <x v="2"/>
    <x v="0"/>
    <n v="3.4"/>
    <n v="16"/>
    <n v="3"/>
    <n v="141.0952380952381"/>
    <n v="22.575238095238106"/>
    <x v="0"/>
    <m/>
  </r>
  <r>
    <n v="3143"/>
    <n v="45"/>
    <x v="0"/>
    <x v="7"/>
    <x v="11"/>
    <n v="80.17"/>
    <x v="3"/>
    <x v="1"/>
    <n v="3.7"/>
    <n v="22"/>
    <n v="6"/>
    <n v="102.78205128205128"/>
    <n v="22.612051282051283"/>
    <x v="4"/>
    <m/>
  </r>
  <r>
    <n v="3144"/>
    <n v="53"/>
    <x v="1"/>
    <x v="5"/>
    <x v="21"/>
    <n v="2987.4"/>
    <x v="3"/>
    <x v="0"/>
    <n v="3.4"/>
    <n v="16"/>
    <n v="3"/>
    <n v="3556.4285714285716"/>
    <n v="569.02857142857147"/>
    <x v="4"/>
    <m/>
  </r>
  <r>
    <n v="3145"/>
    <n v="58"/>
    <x v="0"/>
    <x v="0"/>
    <x v="0"/>
    <n v="101.38"/>
    <x v="0"/>
    <x v="0"/>
    <n v="3.3"/>
    <n v="18"/>
    <n v="4"/>
    <n v="123.63414634146341"/>
    <n v="22.254146341463411"/>
    <x v="0"/>
    <m/>
  </r>
  <r>
    <n v="3146"/>
    <n v="62"/>
    <x v="0"/>
    <x v="7"/>
    <x v="11"/>
    <n v="120.82"/>
    <x v="2"/>
    <x v="0"/>
    <n v="5"/>
    <n v="22"/>
    <n v="6"/>
    <n v="154.89743589743588"/>
    <n v="34.07743589743589"/>
    <x v="0"/>
    <m/>
  </r>
  <r>
    <n v="3147"/>
    <n v="45"/>
    <x v="1"/>
    <x v="2"/>
    <x v="10"/>
    <n v="152.08000000000001"/>
    <x v="0"/>
    <x v="0"/>
    <n v="3.6"/>
    <n v="8"/>
    <n v="4"/>
    <n v="165.30434782608697"/>
    <n v="13.224347826086955"/>
    <x v="4"/>
    <m/>
  </r>
  <r>
    <n v="3148"/>
    <n v="28"/>
    <x v="0"/>
    <x v="0"/>
    <x v="28"/>
    <n v="28.4"/>
    <x v="2"/>
    <x v="0"/>
    <n v="3.5"/>
    <n v="14"/>
    <n v="2"/>
    <n v="33.02325581395349"/>
    <n v="4.6232558139534916"/>
    <x v="5"/>
    <m/>
  </r>
  <r>
    <n v="3149"/>
    <n v="59"/>
    <x v="0"/>
    <x v="2"/>
    <x v="10"/>
    <n v="27.33"/>
    <x v="1"/>
    <x v="0"/>
    <n v="4.5"/>
    <n v="19"/>
    <n v="7"/>
    <n v="33.740740740740733"/>
    <n v="6.4107407407407351"/>
    <x v="0"/>
    <m/>
  </r>
  <r>
    <n v="3150"/>
    <n v="70"/>
    <x v="0"/>
    <x v="2"/>
    <x v="10"/>
    <n v="62.01"/>
    <x v="0"/>
    <x v="0"/>
    <n v="3.2"/>
    <n v="11"/>
    <n v="3"/>
    <n v="69.674157303370777"/>
    <n v="7.6641573033707786"/>
    <x v="2"/>
    <m/>
  </r>
  <r>
    <n v="3151"/>
    <n v="32"/>
    <x v="1"/>
    <x v="7"/>
    <x v="11"/>
    <n v="244.65"/>
    <x v="0"/>
    <x v="0"/>
    <n v="3.2"/>
    <n v="20"/>
    <n v="5"/>
    <n v="305.8125"/>
    <n v="61.162499999999994"/>
    <x v="5"/>
    <m/>
  </r>
  <r>
    <n v="3152"/>
    <n v="30"/>
    <x v="1"/>
    <x v="5"/>
    <x v="21"/>
    <n v="1948.26"/>
    <x v="3"/>
    <x v="0"/>
    <n v="4.2"/>
    <n v="22"/>
    <n v="6"/>
    <n v="2497.7692307692305"/>
    <n v="549.5092307692305"/>
    <x v="5"/>
    <m/>
  </r>
  <r>
    <n v="3153"/>
    <n v="41"/>
    <x v="1"/>
    <x v="2"/>
    <x v="12"/>
    <n v="125.2"/>
    <x v="2"/>
    <x v="0"/>
    <n v="3.7"/>
    <n v="8"/>
    <n v="4"/>
    <n v="136.08695652173913"/>
    <n v="10.886956521739123"/>
    <x v="1"/>
    <m/>
  </r>
  <r>
    <n v="3154"/>
    <n v="28"/>
    <x v="1"/>
    <x v="2"/>
    <x v="12"/>
    <n v="181.02"/>
    <x v="0"/>
    <x v="0"/>
    <n v="4.3"/>
    <n v="6"/>
    <n v="3"/>
    <n v="192.57446808510642"/>
    <n v="11.554468085106407"/>
    <x v="5"/>
    <m/>
  </r>
  <r>
    <n v="3155"/>
    <n v="34"/>
    <x v="0"/>
    <x v="2"/>
    <x v="2"/>
    <n v="44.83"/>
    <x v="1"/>
    <x v="1"/>
    <n v="3.5"/>
    <n v="12"/>
    <n v="6"/>
    <n v="50.943181818181813"/>
    <n v="6.1131818181818147"/>
    <x v="5"/>
    <m/>
  </r>
  <r>
    <n v="3156"/>
    <n v="60"/>
    <x v="0"/>
    <x v="6"/>
    <x v="6"/>
    <n v="142.97"/>
    <x v="3"/>
    <x v="0"/>
    <n v="5"/>
    <n v="34"/>
    <n v="12"/>
    <n v="216.62121212121215"/>
    <n v="73.651212121212154"/>
    <x v="0"/>
    <m/>
  </r>
  <r>
    <n v="3157"/>
    <n v="25"/>
    <x v="0"/>
    <x v="0"/>
    <x v="0"/>
    <n v="147.25"/>
    <x v="3"/>
    <x v="0"/>
    <n v="3.3"/>
    <n v="6"/>
    <n v="3"/>
    <n v="156.64893617021278"/>
    <n v="9.3989361702127781"/>
    <x v="5"/>
    <m/>
  </r>
  <r>
    <n v="3158"/>
    <n v="23"/>
    <x v="1"/>
    <x v="5"/>
    <x v="7"/>
    <n v="2464.0300000000002"/>
    <x v="3"/>
    <x v="0"/>
    <n v="3"/>
    <n v="9"/>
    <n v="2"/>
    <n v="2707.7252747252746"/>
    <n v="243.69527472527443"/>
    <x v="3"/>
    <m/>
  </r>
  <r>
    <n v="3159"/>
    <n v="42"/>
    <x v="0"/>
    <x v="8"/>
    <x v="17"/>
    <n v="40.69"/>
    <x v="0"/>
    <x v="0"/>
    <n v="3.5"/>
    <n v="18"/>
    <n v="4"/>
    <n v="49.621951219512191"/>
    <n v="8.9319512195121931"/>
    <x v="1"/>
    <m/>
  </r>
  <r>
    <n v="3160"/>
    <n v="70"/>
    <x v="1"/>
    <x v="5"/>
    <x v="25"/>
    <n v="2039.35"/>
    <x v="1"/>
    <x v="0"/>
    <n v="4.7"/>
    <n v="16"/>
    <n v="3"/>
    <n v="2427.7976190476188"/>
    <n v="388.4476190476189"/>
    <x v="2"/>
    <m/>
  </r>
  <r>
    <n v="3161"/>
    <n v="43"/>
    <x v="0"/>
    <x v="0"/>
    <x v="0"/>
    <n v="140.85"/>
    <x v="3"/>
    <x v="0"/>
    <n v="3.9"/>
    <n v="8"/>
    <n v="4"/>
    <n v="153.0978260869565"/>
    <n v="12.247826086956508"/>
    <x v="1"/>
    <m/>
  </r>
  <r>
    <n v="3162"/>
    <n v="59"/>
    <x v="1"/>
    <x v="1"/>
    <x v="14"/>
    <n v="126.38"/>
    <x v="2"/>
    <x v="0"/>
    <n v="4"/>
    <n v="4"/>
    <n v="2"/>
    <n v="131.64583333333334"/>
    <n v="5.2658333333333474"/>
    <x v="0"/>
    <m/>
  </r>
  <r>
    <n v="3163"/>
    <n v="46"/>
    <x v="1"/>
    <x v="7"/>
    <x v="11"/>
    <n v="136.72999999999999"/>
    <x v="1"/>
    <x v="0"/>
    <n v="4.5999999999999996"/>
    <n v="17"/>
    <n v="6"/>
    <n v="164.73493975903614"/>
    <n v="28.004939759036148"/>
    <x v="4"/>
    <m/>
  </r>
  <r>
    <n v="3164"/>
    <n v="26"/>
    <x v="0"/>
    <x v="6"/>
    <x v="23"/>
    <n v="32.35"/>
    <x v="1"/>
    <x v="0"/>
    <n v="4.4000000000000004"/>
    <n v="25"/>
    <n v="10"/>
    <n v="43.133333333333333"/>
    <n v="10.783333333333331"/>
    <x v="5"/>
    <m/>
  </r>
  <r>
    <n v="3165"/>
    <n v="51"/>
    <x v="0"/>
    <x v="8"/>
    <x v="17"/>
    <n v="104"/>
    <x v="0"/>
    <x v="0"/>
    <n v="4.2"/>
    <n v="14"/>
    <n v="2"/>
    <n v="120.93023255813954"/>
    <n v="16.930232558139537"/>
    <x v="4"/>
    <m/>
  </r>
  <r>
    <n v="3166"/>
    <n v="28"/>
    <x v="0"/>
    <x v="6"/>
    <x v="23"/>
    <n v="128.02000000000001"/>
    <x v="2"/>
    <x v="0"/>
    <n v="3.6"/>
    <n v="15"/>
    <n v="5"/>
    <n v="150.61176470588236"/>
    <n v="22.591764705882355"/>
    <x v="5"/>
    <m/>
  </r>
  <r>
    <n v="3167"/>
    <n v="31"/>
    <x v="0"/>
    <x v="7"/>
    <x v="8"/>
    <n v="59.9"/>
    <x v="3"/>
    <x v="1"/>
    <n v="3.4"/>
    <n v="22"/>
    <n v="6"/>
    <n v="76.794871794871796"/>
    <n v="16.894871794871797"/>
    <x v="5"/>
    <m/>
  </r>
  <r>
    <n v="3168"/>
    <n v="57"/>
    <x v="1"/>
    <x v="5"/>
    <x v="7"/>
    <n v="2940.66"/>
    <x v="0"/>
    <x v="0"/>
    <n v="3.1"/>
    <n v="10"/>
    <n v="5"/>
    <n v="3267.3999999999996"/>
    <n v="326.73999999999978"/>
    <x v="0"/>
    <m/>
  </r>
  <r>
    <n v="3169"/>
    <n v="60"/>
    <x v="1"/>
    <x v="2"/>
    <x v="12"/>
    <n v="99.99"/>
    <x v="0"/>
    <x v="1"/>
    <n v="2.5"/>
    <n v="18"/>
    <n v="4"/>
    <n v="121.93902439024389"/>
    <n v="21.949024390243892"/>
    <x v="0"/>
    <m/>
  </r>
  <r>
    <n v="3170"/>
    <n v="43"/>
    <x v="0"/>
    <x v="0"/>
    <x v="28"/>
    <n v="35.090000000000003"/>
    <x v="1"/>
    <x v="0"/>
    <n v="4.5"/>
    <n v="20"/>
    <n v="5"/>
    <n v="43.862500000000004"/>
    <n v="8.7725000000000009"/>
    <x v="1"/>
    <m/>
  </r>
  <r>
    <n v="3171"/>
    <n v="32"/>
    <x v="1"/>
    <x v="1"/>
    <x v="14"/>
    <n v="174.21"/>
    <x v="3"/>
    <x v="0"/>
    <n v="3.2"/>
    <n v="8"/>
    <n v="4"/>
    <n v="189.35869565217391"/>
    <n v="15.148695652173899"/>
    <x v="5"/>
    <m/>
  </r>
  <r>
    <n v="3172"/>
    <n v="52"/>
    <x v="1"/>
    <x v="5"/>
    <x v="21"/>
    <n v="1090.05"/>
    <x v="2"/>
    <x v="0"/>
    <n v="3.6"/>
    <n v="13"/>
    <n v="4"/>
    <n v="1252.9310344827586"/>
    <n v="162.88103448275865"/>
    <x v="4"/>
    <m/>
  </r>
  <r>
    <n v="3173"/>
    <n v="69"/>
    <x v="1"/>
    <x v="2"/>
    <x v="10"/>
    <n v="36.799999999999997"/>
    <x v="3"/>
    <x v="0"/>
    <n v="3.7"/>
    <n v="30"/>
    <n v="10"/>
    <n v="52.571428571428569"/>
    <n v="15.771428571428572"/>
    <x v="2"/>
    <m/>
  </r>
  <r>
    <n v="3174"/>
    <n v="64"/>
    <x v="1"/>
    <x v="2"/>
    <x v="12"/>
    <n v="242.59"/>
    <x v="2"/>
    <x v="0"/>
    <n v="4.3"/>
    <n v="9"/>
    <n v="2"/>
    <n v="266.58241758241758"/>
    <n v="23.992417582417573"/>
    <x v="0"/>
    <m/>
  </r>
  <r>
    <n v="3175"/>
    <n v="68"/>
    <x v="1"/>
    <x v="5"/>
    <x v="7"/>
    <n v="1208.17"/>
    <x v="1"/>
    <x v="0"/>
    <n v="3.6"/>
    <n v="12"/>
    <n v="6"/>
    <n v="1372.9204545454547"/>
    <n v="164.75045454545466"/>
    <x v="2"/>
    <m/>
  </r>
  <r>
    <n v="3176"/>
    <n v="24"/>
    <x v="0"/>
    <x v="7"/>
    <x v="11"/>
    <n v="144.41999999999999"/>
    <x v="3"/>
    <x v="0"/>
    <n v="4.4000000000000004"/>
    <n v="4"/>
    <n v="2"/>
    <n v="150.4375"/>
    <n v="6.0175000000000125"/>
    <x v="3"/>
    <m/>
  </r>
  <r>
    <n v="3177"/>
    <n v="57"/>
    <x v="1"/>
    <x v="1"/>
    <x v="1"/>
    <n v="74.47"/>
    <x v="0"/>
    <x v="1"/>
    <n v="3.2"/>
    <n v="16"/>
    <n v="3"/>
    <n v="88.654761904761912"/>
    <n v="14.184761904761913"/>
    <x v="0"/>
    <m/>
  </r>
  <r>
    <n v="3178"/>
    <n v="22"/>
    <x v="0"/>
    <x v="7"/>
    <x v="8"/>
    <n v="248.95"/>
    <x v="1"/>
    <x v="0"/>
    <n v="2.7"/>
    <n v="10"/>
    <n v="5"/>
    <n v="276.61111111111109"/>
    <n v="27.661111111111097"/>
    <x v="3"/>
    <m/>
  </r>
  <r>
    <n v="3179"/>
    <n v="49"/>
    <x v="1"/>
    <x v="2"/>
    <x v="10"/>
    <n v="84.57"/>
    <x v="2"/>
    <x v="0"/>
    <n v="3.3"/>
    <n v="18"/>
    <n v="4"/>
    <n v="103.13414634146339"/>
    <n v="18.564146341463399"/>
    <x v="4"/>
    <m/>
  </r>
  <r>
    <n v="3180"/>
    <n v="65"/>
    <x v="0"/>
    <x v="7"/>
    <x v="8"/>
    <n v="182.69"/>
    <x v="2"/>
    <x v="0"/>
    <n v="4.2"/>
    <n v="8"/>
    <n v="4"/>
    <n v="198.57608695652172"/>
    <n v="15.886086956521723"/>
    <x v="2"/>
    <m/>
  </r>
  <r>
    <n v="3181"/>
    <n v="63"/>
    <x v="0"/>
    <x v="7"/>
    <x v="11"/>
    <n v="95.84"/>
    <x v="2"/>
    <x v="0"/>
    <n v="2.5"/>
    <n v="11"/>
    <n v="3"/>
    <n v="107.68539325842697"/>
    <n v="11.845393258426967"/>
    <x v="0"/>
    <m/>
  </r>
  <r>
    <n v="3182"/>
    <n v="37"/>
    <x v="1"/>
    <x v="1"/>
    <x v="1"/>
    <n v="174.37"/>
    <x v="3"/>
    <x v="0"/>
    <n v="4.3"/>
    <n v="8"/>
    <n v="4"/>
    <n v="189.53260869565216"/>
    <n v="15.162608695652153"/>
    <x v="1"/>
    <m/>
  </r>
  <r>
    <n v="3183"/>
    <n v="35"/>
    <x v="1"/>
    <x v="2"/>
    <x v="2"/>
    <n v="203.49"/>
    <x v="1"/>
    <x v="0"/>
    <n v="2.8"/>
    <n v="6"/>
    <n v="3"/>
    <n v="216.47872340425533"/>
    <n v="12.988723404255325"/>
    <x v="1"/>
    <m/>
  </r>
  <r>
    <n v="3184"/>
    <n v="22"/>
    <x v="1"/>
    <x v="7"/>
    <x v="8"/>
    <n v="125.93"/>
    <x v="3"/>
    <x v="0"/>
    <n v="4.8"/>
    <n v="10"/>
    <n v="5"/>
    <n v="139.92222222222222"/>
    <n v="13.99222222222221"/>
    <x v="3"/>
    <m/>
  </r>
  <r>
    <n v="3185"/>
    <n v="40"/>
    <x v="0"/>
    <x v="0"/>
    <x v="0"/>
    <n v="59.58"/>
    <x v="3"/>
    <x v="1"/>
    <n v="3.1"/>
    <n v="10"/>
    <n v="5"/>
    <n v="66.2"/>
    <n v="6.6200000000000045"/>
    <x v="1"/>
    <m/>
  </r>
  <r>
    <n v="3186"/>
    <n v="40"/>
    <x v="1"/>
    <x v="2"/>
    <x v="10"/>
    <n v="82.63"/>
    <x v="1"/>
    <x v="0"/>
    <n v="2.7"/>
    <n v="13"/>
    <n v="4"/>
    <n v="94.977011494252864"/>
    <n v="12.347011494252868"/>
    <x v="1"/>
    <m/>
  </r>
  <r>
    <n v="3187"/>
    <n v="68"/>
    <x v="0"/>
    <x v="3"/>
    <x v="15"/>
    <n v="178.28"/>
    <x v="1"/>
    <x v="0"/>
    <n v="3.2"/>
    <n v="15"/>
    <n v="5"/>
    <n v="209.74117647058824"/>
    <n v="31.461176470588242"/>
    <x v="2"/>
    <m/>
  </r>
  <r>
    <n v="3188"/>
    <n v="46"/>
    <x v="1"/>
    <x v="2"/>
    <x v="2"/>
    <n v="205.44"/>
    <x v="2"/>
    <x v="0"/>
    <n v="3.2"/>
    <n v="16"/>
    <n v="8"/>
    <n v="244.57142857142858"/>
    <n v="39.131428571428586"/>
    <x v="4"/>
    <m/>
  </r>
  <r>
    <n v="3189"/>
    <n v="35"/>
    <x v="1"/>
    <x v="1"/>
    <x v="1"/>
    <n v="165.66"/>
    <x v="1"/>
    <x v="0"/>
    <n v="2.9"/>
    <n v="12"/>
    <n v="6"/>
    <n v="188.25"/>
    <n v="22.590000000000003"/>
    <x v="1"/>
    <m/>
  </r>
  <r>
    <n v="3190"/>
    <n v="28"/>
    <x v="1"/>
    <x v="4"/>
    <x v="4"/>
    <n v="30.88"/>
    <x v="3"/>
    <x v="1"/>
    <n v="4.0999999999999996"/>
    <n v="8"/>
    <n v="4"/>
    <n v="33.565217391304344"/>
    <n v="2.6852173913043451"/>
    <x v="5"/>
    <m/>
  </r>
  <r>
    <n v="3191"/>
    <n v="66"/>
    <x v="1"/>
    <x v="1"/>
    <x v="20"/>
    <n v="38.61"/>
    <x v="3"/>
    <x v="1"/>
    <n v="2.9"/>
    <n v="15"/>
    <n v="5"/>
    <n v="45.423529411764704"/>
    <n v="6.8135294117647049"/>
    <x v="2"/>
    <m/>
  </r>
  <r>
    <n v="3192"/>
    <n v="41"/>
    <x v="0"/>
    <x v="0"/>
    <x v="0"/>
    <n v="45.01"/>
    <x v="1"/>
    <x v="1"/>
    <n v="4.7"/>
    <n v="22"/>
    <n v="6"/>
    <n v="57.705128205128197"/>
    <n v="12.695128205128199"/>
    <x v="1"/>
    <m/>
  </r>
  <r>
    <n v="3193"/>
    <n v="57"/>
    <x v="1"/>
    <x v="2"/>
    <x v="12"/>
    <n v="175.22"/>
    <x v="0"/>
    <x v="0"/>
    <n v="3.6"/>
    <n v="22"/>
    <n v="6"/>
    <n v="224.64102564102564"/>
    <n v="49.421025641025636"/>
    <x v="0"/>
    <m/>
  </r>
  <r>
    <n v="3194"/>
    <n v="22"/>
    <x v="1"/>
    <x v="7"/>
    <x v="11"/>
    <n v="243.43"/>
    <x v="2"/>
    <x v="0"/>
    <n v="4"/>
    <n v="12"/>
    <n v="6"/>
    <n v="276.625"/>
    <n v="33.194999999999993"/>
    <x v="3"/>
    <m/>
  </r>
  <r>
    <n v="3195"/>
    <n v="62"/>
    <x v="0"/>
    <x v="8"/>
    <x v="18"/>
    <n v="117.16"/>
    <x v="3"/>
    <x v="0"/>
    <n v="3.9"/>
    <n v="23"/>
    <n v="9"/>
    <n v="152.15584415584414"/>
    <n v="34.995844155844139"/>
    <x v="0"/>
    <m/>
  </r>
  <r>
    <n v="3196"/>
    <n v="56"/>
    <x v="0"/>
    <x v="6"/>
    <x v="27"/>
    <n v="58.22"/>
    <x v="2"/>
    <x v="1"/>
    <n v="2.8"/>
    <n v="20"/>
    <n v="5"/>
    <n v="72.774999999999991"/>
    <n v="14.554999999999993"/>
    <x v="0"/>
    <m/>
  </r>
  <r>
    <n v="3197"/>
    <n v="21"/>
    <x v="1"/>
    <x v="7"/>
    <x v="13"/>
    <n v="155.55000000000001"/>
    <x v="0"/>
    <x v="0"/>
    <n v="5"/>
    <n v="30"/>
    <n v="10"/>
    <n v="222.21428571428575"/>
    <n v="66.664285714285739"/>
    <x v="3"/>
    <m/>
  </r>
  <r>
    <n v="3198"/>
    <n v="44"/>
    <x v="1"/>
    <x v="1"/>
    <x v="9"/>
    <n v="121.79"/>
    <x v="2"/>
    <x v="0"/>
    <n v="4.8"/>
    <n v="16"/>
    <n v="3"/>
    <n v="144.98809523809524"/>
    <n v="23.198095238095235"/>
    <x v="1"/>
    <m/>
  </r>
  <r>
    <n v="3199"/>
    <n v="24"/>
    <x v="1"/>
    <x v="1"/>
    <x v="20"/>
    <n v="77.77"/>
    <x v="3"/>
    <x v="1"/>
    <n v="3"/>
    <n v="25"/>
    <n v="10"/>
    <n v="103.69333333333333"/>
    <n v="25.923333333333332"/>
    <x v="3"/>
    <m/>
  </r>
  <r>
    <n v="3200"/>
    <n v="34"/>
    <x v="1"/>
    <x v="2"/>
    <x v="10"/>
    <n v="91.22"/>
    <x v="1"/>
    <x v="1"/>
    <n v="3.2"/>
    <n v="14"/>
    <n v="2"/>
    <n v="106.06976744186046"/>
    <n v="14.849767441860465"/>
    <x v="5"/>
    <m/>
  </r>
  <r>
    <n v="3201"/>
    <n v="68"/>
    <x v="0"/>
    <x v="7"/>
    <x v="11"/>
    <n v="49.34"/>
    <x v="3"/>
    <x v="1"/>
    <n v="3.8"/>
    <n v="22"/>
    <n v="6"/>
    <n v="63.256410256410255"/>
    <n v="13.916410256410252"/>
    <x v="2"/>
    <m/>
  </r>
  <r>
    <n v="3202"/>
    <n v="59"/>
    <x v="1"/>
    <x v="5"/>
    <x v="7"/>
    <n v="1412.35"/>
    <x v="1"/>
    <x v="0"/>
    <n v="2.8"/>
    <n v="11"/>
    <n v="3"/>
    <n v="1586.9101123595503"/>
    <n v="174.56011235955043"/>
    <x v="0"/>
    <m/>
  </r>
  <r>
    <n v="3203"/>
    <n v="70"/>
    <x v="0"/>
    <x v="2"/>
    <x v="12"/>
    <n v="191.53"/>
    <x v="0"/>
    <x v="0"/>
    <n v="3"/>
    <n v="9"/>
    <n v="2"/>
    <n v="210.47252747252747"/>
    <n v="18.942527472527473"/>
    <x v="2"/>
    <m/>
  </r>
  <r>
    <n v="3204"/>
    <n v="70"/>
    <x v="0"/>
    <x v="6"/>
    <x v="6"/>
    <n v="132.43"/>
    <x v="3"/>
    <x v="0"/>
    <n v="4.3"/>
    <n v="16"/>
    <n v="3"/>
    <n v="157.65476190476193"/>
    <n v="25.22476190476192"/>
    <x v="2"/>
    <m/>
  </r>
  <r>
    <n v="3205"/>
    <n v="48"/>
    <x v="0"/>
    <x v="6"/>
    <x v="27"/>
    <n v="69.75"/>
    <x v="2"/>
    <x v="0"/>
    <n v="3.7"/>
    <n v="2"/>
    <n v="1"/>
    <n v="71.173469387755105"/>
    <n v="1.4234693877551052"/>
    <x v="4"/>
    <m/>
  </r>
  <r>
    <n v="3206"/>
    <n v="35"/>
    <x v="1"/>
    <x v="7"/>
    <x v="8"/>
    <n v="85.09"/>
    <x v="1"/>
    <x v="0"/>
    <n v="2.8"/>
    <n v="20"/>
    <n v="5"/>
    <n v="106.3625"/>
    <n v="21.272499999999994"/>
    <x v="1"/>
    <m/>
  </r>
  <r>
    <n v="3207"/>
    <n v="61"/>
    <x v="1"/>
    <x v="1"/>
    <x v="1"/>
    <n v="46.79"/>
    <x v="2"/>
    <x v="1"/>
    <n v="3.8"/>
    <n v="13"/>
    <n v="4"/>
    <n v="53.781609195402297"/>
    <n v="6.9916091954022974"/>
    <x v="0"/>
    <m/>
  </r>
  <r>
    <n v="3208"/>
    <n v="55"/>
    <x v="1"/>
    <x v="2"/>
    <x v="2"/>
    <n v="164.44"/>
    <x v="0"/>
    <x v="0"/>
    <n v="3.7"/>
    <n v="12"/>
    <n v="6"/>
    <n v="186.86363636363637"/>
    <n v="22.423636363636376"/>
    <x v="0"/>
    <m/>
  </r>
  <r>
    <n v="3209"/>
    <n v="50"/>
    <x v="1"/>
    <x v="1"/>
    <x v="20"/>
    <n v="73.98"/>
    <x v="1"/>
    <x v="0"/>
    <n v="5"/>
    <n v="23"/>
    <n v="9"/>
    <n v="96.077922077922082"/>
    <n v="22.097922077922078"/>
    <x v="4"/>
    <m/>
  </r>
  <r>
    <n v="3210"/>
    <n v="23"/>
    <x v="0"/>
    <x v="6"/>
    <x v="23"/>
    <n v="145.91"/>
    <x v="3"/>
    <x v="0"/>
    <n v="3.3"/>
    <n v="18"/>
    <n v="4"/>
    <n v="177.93902439024387"/>
    <n v="32.029024390243876"/>
    <x v="3"/>
    <m/>
  </r>
  <r>
    <n v="3211"/>
    <n v="26"/>
    <x v="1"/>
    <x v="7"/>
    <x v="11"/>
    <n v="189.03"/>
    <x v="3"/>
    <x v="0"/>
    <n v="4.2"/>
    <n v="10"/>
    <n v="5"/>
    <n v="210.03333333333333"/>
    <n v="21.00333333333333"/>
    <x v="5"/>
    <m/>
  </r>
  <r>
    <n v="3212"/>
    <n v="41"/>
    <x v="0"/>
    <x v="6"/>
    <x v="23"/>
    <n v="105.87"/>
    <x v="3"/>
    <x v="0"/>
    <n v="4.9000000000000004"/>
    <n v="13"/>
    <n v="4"/>
    <n v="121.68965517241379"/>
    <n v="15.819655172413789"/>
    <x v="1"/>
    <m/>
  </r>
  <r>
    <n v="3213"/>
    <n v="45"/>
    <x v="1"/>
    <x v="3"/>
    <x v="3"/>
    <n v="170.97"/>
    <x v="2"/>
    <x v="0"/>
    <n v="4.4000000000000004"/>
    <n v="12"/>
    <n v="6"/>
    <n v="194.28409090909091"/>
    <n v="23.314090909090908"/>
    <x v="4"/>
    <m/>
  </r>
  <r>
    <n v="3214"/>
    <n v="27"/>
    <x v="0"/>
    <x v="7"/>
    <x v="13"/>
    <n v="77.2"/>
    <x v="2"/>
    <x v="1"/>
    <n v="4.2"/>
    <n v="15"/>
    <n v="5"/>
    <n v="90.82352941176471"/>
    <n v="13.623529411764707"/>
    <x v="5"/>
    <m/>
  </r>
  <r>
    <n v="3215"/>
    <n v="21"/>
    <x v="0"/>
    <x v="6"/>
    <x v="27"/>
    <n v="147"/>
    <x v="2"/>
    <x v="0"/>
    <n v="3.4"/>
    <n v="8"/>
    <n v="4"/>
    <n v="159.78260869565216"/>
    <n v="12.782608695652158"/>
    <x v="3"/>
    <m/>
  </r>
  <r>
    <n v="3216"/>
    <n v="46"/>
    <x v="0"/>
    <x v="8"/>
    <x v="16"/>
    <n v="30.57"/>
    <x v="2"/>
    <x v="0"/>
    <n v="4.2"/>
    <n v="6"/>
    <n v="3"/>
    <n v="32.521276595744681"/>
    <n v="1.9512765957446803"/>
    <x v="4"/>
    <m/>
  </r>
  <r>
    <n v="3217"/>
    <n v="23"/>
    <x v="1"/>
    <x v="7"/>
    <x v="13"/>
    <n v="232.37"/>
    <x v="0"/>
    <x v="0"/>
    <n v="4.2"/>
    <n v="23"/>
    <n v="9"/>
    <n v="301.77922077922079"/>
    <n v="69.409220779220789"/>
    <x v="3"/>
    <m/>
  </r>
  <r>
    <n v="3218"/>
    <n v="59"/>
    <x v="1"/>
    <x v="2"/>
    <x v="10"/>
    <n v="234.52"/>
    <x v="2"/>
    <x v="0"/>
    <n v="4.0999999999999996"/>
    <n v="22"/>
    <n v="6"/>
    <n v="300.66666666666669"/>
    <n v="66.146666666666675"/>
    <x v="0"/>
    <m/>
  </r>
  <r>
    <n v="3219"/>
    <n v="52"/>
    <x v="0"/>
    <x v="6"/>
    <x v="6"/>
    <n v="130.99"/>
    <x v="2"/>
    <x v="0"/>
    <n v="5"/>
    <n v="24"/>
    <n v="7"/>
    <n v="172.35526315789474"/>
    <n v="41.365263157894731"/>
    <x v="4"/>
    <m/>
  </r>
  <r>
    <n v="3220"/>
    <n v="36"/>
    <x v="1"/>
    <x v="2"/>
    <x v="2"/>
    <n v="51.47"/>
    <x v="2"/>
    <x v="0"/>
    <n v="2.4"/>
    <n v="6"/>
    <n v="3"/>
    <n v="54.755319148936174"/>
    <n v="3.2853191489361748"/>
    <x v="1"/>
    <m/>
  </r>
  <r>
    <n v="3221"/>
    <n v="40"/>
    <x v="0"/>
    <x v="0"/>
    <x v="22"/>
    <n v="160.63"/>
    <x v="3"/>
    <x v="0"/>
    <n v="2.8"/>
    <n v="14"/>
    <n v="7"/>
    <n v="186.77906976744185"/>
    <n v="26.149069767441858"/>
    <x v="1"/>
    <m/>
  </r>
  <r>
    <n v="3222"/>
    <n v="50"/>
    <x v="1"/>
    <x v="3"/>
    <x v="24"/>
    <n v="122.41"/>
    <x v="1"/>
    <x v="0"/>
    <n v="3.9"/>
    <n v="16"/>
    <n v="8"/>
    <n v="145.72619047619048"/>
    <n v="23.316190476190485"/>
    <x v="4"/>
    <m/>
  </r>
  <r>
    <n v="3223"/>
    <n v="39"/>
    <x v="1"/>
    <x v="3"/>
    <x v="15"/>
    <n v="113.22"/>
    <x v="1"/>
    <x v="0"/>
    <n v="3.1"/>
    <n v="30"/>
    <n v="10"/>
    <n v="161.74285714285716"/>
    <n v="48.522857142857163"/>
    <x v="1"/>
    <m/>
  </r>
  <r>
    <n v="3224"/>
    <n v="65"/>
    <x v="0"/>
    <x v="6"/>
    <x v="23"/>
    <n v="84.88"/>
    <x v="2"/>
    <x v="1"/>
    <n v="2.7"/>
    <n v="18"/>
    <n v="4"/>
    <n v="103.51219512195121"/>
    <n v="18.632195121951213"/>
    <x v="2"/>
    <m/>
  </r>
  <r>
    <n v="3225"/>
    <n v="52"/>
    <x v="0"/>
    <x v="6"/>
    <x v="27"/>
    <n v="22.73"/>
    <x v="1"/>
    <x v="0"/>
    <n v="3.4"/>
    <n v="6"/>
    <n v="3"/>
    <n v="24.180851063829788"/>
    <n v="1.4508510638297878"/>
    <x v="4"/>
    <m/>
  </r>
  <r>
    <n v="3226"/>
    <n v="54"/>
    <x v="0"/>
    <x v="7"/>
    <x v="13"/>
    <n v="226.11"/>
    <x v="3"/>
    <x v="0"/>
    <n v="4.5"/>
    <n v="17"/>
    <n v="6"/>
    <n v="272.42168674698797"/>
    <n v="46.311686746987959"/>
    <x v="4"/>
    <m/>
  </r>
  <r>
    <n v="3227"/>
    <n v="64"/>
    <x v="0"/>
    <x v="2"/>
    <x v="10"/>
    <n v="208.59"/>
    <x v="1"/>
    <x v="0"/>
    <n v="2.8"/>
    <n v="8"/>
    <n v="4"/>
    <n v="226.72826086956522"/>
    <n v="18.138260869565215"/>
    <x v="0"/>
    <m/>
  </r>
  <r>
    <n v="3228"/>
    <n v="53"/>
    <x v="1"/>
    <x v="2"/>
    <x v="2"/>
    <n v="120.33"/>
    <x v="1"/>
    <x v="0"/>
    <n v="3.7"/>
    <n v="6"/>
    <n v="3"/>
    <n v="128.01063829787233"/>
    <n v="7.6806382978723349"/>
    <x v="4"/>
    <m/>
  </r>
  <r>
    <n v="3229"/>
    <n v="29"/>
    <x v="1"/>
    <x v="4"/>
    <x v="19"/>
    <n v="41.86"/>
    <x v="1"/>
    <x v="1"/>
    <n v="4"/>
    <n v="18"/>
    <n v="4"/>
    <n v="51.048780487804876"/>
    <n v="9.1887804878048769"/>
    <x v="5"/>
    <m/>
  </r>
  <r>
    <n v="3230"/>
    <n v="50"/>
    <x v="1"/>
    <x v="2"/>
    <x v="12"/>
    <n v="31.06"/>
    <x v="2"/>
    <x v="0"/>
    <n v="3"/>
    <n v="12"/>
    <n v="6"/>
    <n v="35.295454545454547"/>
    <n v="4.235454545454548"/>
    <x v="4"/>
    <m/>
  </r>
  <r>
    <n v="3231"/>
    <n v="51"/>
    <x v="1"/>
    <x v="7"/>
    <x v="11"/>
    <n v="46.87"/>
    <x v="3"/>
    <x v="1"/>
    <n v="3.5"/>
    <n v="15"/>
    <n v="5"/>
    <n v="55.141176470588235"/>
    <n v="8.2711764705882374"/>
    <x v="4"/>
    <m/>
  </r>
  <r>
    <n v="3232"/>
    <n v="70"/>
    <x v="0"/>
    <x v="0"/>
    <x v="28"/>
    <n v="124.66"/>
    <x v="1"/>
    <x v="0"/>
    <n v="4.5999999999999996"/>
    <n v="19"/>
    <n v="7"/>
    <n v="153.90123456790121"/>
    <n v="29.241234567901216"/>
    <x v="2"/>
    <m/>
  </r>
  <r>
    <n v="3233"/>
    <n v="32"/>
    <x v="0"/>
    <x v="3"/>
    <x v="15"/>
    <n v="101.07"/>
    <x v="2"/>
    <x v="0"/>
    <n v="3.6"/>
    <n v="6"/>
    <n v="3"/>
    <n v="107.52127659574468"/>
    <n v="6.4512765957446874"/>
    <x v="5"/>
    <m/>
  </r>
  <r>
    <n v="3234"/>
    <n v="69"/>
    <x v="1"/>
    <x v="2"/>
    <x v="2"/>
    <n v="169.69"/>
    <x v="0"/>
    <x v="0"/>
    <n v="3.8"/>
    <n v="4"/>
    <n v="2"/>
    <n v="176.76041666666666"/>
    <n v="7.0704166666666595"/>
    <x v="2"/>
    <m/>
  </r>
  <r>
    <n v="3235"/>
    <n v="38"/>
    <x v="0"/>
    <x v="0"/>
    <x v="0"/>
    <n v="123.74"/>
    <x v="0"/>
    <x v="0"/>
    <n v="3.8"/>
    <n v="14"/>
    <n v="7"/>
    <n v="143.88372093023256"/>
    <n v="20.143720930232561"/>
    <x v="1"/>
    <m/>
  </r>
  <r>
    <n v="3236"/>
    <n v="45"/>
    <x v="1"/>
    <x v="7"/>
    <x v="13"/>
    <n v="118.39"/>
    <x v="2"/>
    <x v="0"/>
    <n v="5"/>
    <n v="18"/>
    <n v="4"/>
    <n v="144.3780487804878"/>
    <n v="25.988048780487802"/>
    <x v="4"/>
    <m/>
  </r>
  <r>
    <n v="3237"/>
    <n v="47"/>
    <x v="0"/>
    <x v="0"/>
    <x v="0"/>
    <n v="167.42"/>
    <x v="0"/>
    <x v="0"/>
    <n v="4.0999999999999996"/>
    <n v="13"/>
    <n v="4"/>
    <n v="192.43678160919538"/>
    <n v="25.016781609195391"/>
    <x v="4"/>
    <m/>
  </r>
  <r>
    <n v="3238"/>
    <n v="65"/>
    <x v="1"/>
    <x v="3"/>
    <x v="3"/>
    <n v="113.63"/>
    <x v="0"/>
    <x v="0"/>
    <n v="3.2"/>
    <n v="8"/>
    <n v="4"/>
    <n v="123.51086956521738"/>
    <n v="9.880869565217381"/>
    <x v="2"/>
    <m/>
  </r>
  <r>
    <n v="3239"/>
    <n v="62"/>
    <x v="0"/>
    <x v="0"/>
    <x v="0"/>
    <n v="61.6"/>
    <x v="0"/>
    <x v="0"/>
    <n v="3.9"/>
    <n v="10"/>
    <n v="5"/>
    <n v="68.444444444444443"/>
    <n v="6.8444444444444414"/>
    <x v="0"/>
    <m/>
  </r>
  <r>
    <n v="3240"/>
    <n v="41"/>
    <x v="0"/>
    <x v="6"/>
    <x v="23"/>
    <n v="29.6"/>
    <x v="0"/>
    <x v="0"/>
    <n v="3.5"/>
    <n v="8"/>
    <n v="4"/>
    <n v="32.173913043478258"/>
    <n v="2.5739130434782567"/>
    <x v="1"/>
    <m/>
  </r>
  <r>
    <n v="3241"/>
    <n v="60"/>
    <x v="0"/>
    <x v="6"/>
    <x v="23"/>
    <n v="29.4"/>
    <x v="0"/>
    <x v="1"/>
    <n v="4.2"/>
    <n v="11"/>
    <n v="3"/>
    <n v="33.033707865168537"/>
    <n v="3.6337078651685388"/>
    <x v="0"/>
    <m/>
  </r>
  <r>
    <n v="3242"/>
    <n v="36"/>
    <x v="0"/>
    <x v="2"/>
    <x v="10"/>
    <n v="172.71"/>
    <x v="3"/>
    <x v="0"/>
    <n v="4.4000000000000004"/>
    <n v="12"/>
    <n v="6"/>
    <n v="196.26136363636365"/>
    <n v="23.551363636363646"/>
    <x v="1"/>
    <m/>
  </r>
  <r>
    <n v="3243"/>
    <n v="47"/>
    <x v="1"/>
    <x v="7"/>
    <x v="11"/>
    <n v="142.61000000000001"/>
    <x v="2"/>
    <x v="0"/>
    <n v="3.8"/>
    <n v="20"/>
    <n v="5"/>
    <n v="178.26250000000002"/>
    <n v="35.652500000000003"/>
    <x v="4"/>
    <m/>
  </r>
  <r>
    <n v="3244"/>
    <n v="66"/>
    <x v="0"/>
    <x v="7"/>
    <x v="11"/>
    <n v="214.77"/>
    <x v="1"/>
    <x v="0"/>
    <n v="2.9"/>
    <n v="11"/>
    <n v="3"/>
    <n v="241.31460674157304"/>
    <n v="26.544606741573034"/>
    <x v="2"/>
    <m/>
  </r>
  <r>
    <n v="3245"/>
    <n v="50"/>
    <x v="1"/>
    <x v="1"/>
    <x v="9"/>
    <n v="178.6"/>
    <x v="1"/>
    <x v="0"/>
    <n v="3.6"/>
    <n v="11"/>
    <n v="3"/>
    <n v="200.67415730337078"/>
    <n v="22.074157303370782"/>
    <x v="4"/>
    <m/>
  </r>
  <r>
    <n v="3246"/>
    <n v="55"/>
    <x v="0"/>
    <x v="3"/>
    <x v="24"/>
    <n v="41.18"/>
    <x v="1"/>
    <x v="0"/>
    <n v="4.8"/>
    <n v="18"/>
    <n v="9"/>
    <n v="50.219512195121951"/>
    <n v="9.0395121951219508"/>
    <x v="0"/>
    <m/>
  </r>
  <r>
    <n v="3247"/>
    <n v="54"/>
    <x v="0"/>
    <x v="6"/>
    <x v="27"/>
    <n v="117.16"/>
    <x v="2"/>
    <x v="0"/>
    <n v="4.3"/>
    <n v="28"/>
    <n v="9"/>
    <n v="162.72222222222223"/>
    <n v="45.562222222222232"/>
    <x v="4"/>
    <m/>
  </r>
  <r>
    <n v="3248"/>
    <n v="21"/>
    <x v="1"/>
    <x v="2"/>
    <x v="12"/>
    <n v="65.959999999999994"/>
    <x v="3"/>
    <x v="0"/>
    <n v="5"/>
    <n v="22"/>
    <n v="6"/>
    <n v="84.564102564102555"/>
    <n v="18.604102564102561"/>
    <x v="3"/>
    <m/>
  </r>
  <r>
    <n v="3249"/>
    <n v="41"/>
    <x v="0"/>
    <x v="6"/>
    <x v="6"/>
    <n v="48.64"/>
    <x v="3"/>
    <x v="0"/>
    <n v="2.7"/>
    <n v="8"/>
    <n v="4"/>
    <n v="52.869565217391305"/>
    <n v="4.2295652173913041"/>
    <x v="1"/>
    <m/>
  </r>
  <r>
    <n v="3250"/>
    <n v="58"/>
    <x v="1"/>
    <x v="2"/>
    <x v="12"/>
    <n v="246.31"/>
    <x v="2"/>
    <x v="0"/>
    <n v="3.9"/>
    <n v="20"/>
    <n v="5"/>
    <n v="307.88749999999999"/>
    <n v="61.577499999999986"/>
    <x v="0"/>
    <m/>
  </r>
  <r>
    <n v="3251"/>
    <n v="56"/>
    <x v="1"/>
    <x v="5"/>
    <x v="5"/>
    <n v="648.62"/>
    <x v="3"/>
    <x v="0"/>
    <n v="3.3"/>
    <n v="12"/>
    <n v="6"/>
    <n v="737.06818181818187"/>
    <n v="88.448181818181865"/>
    <x v="0"/>
    <m/>
  </r>
  <r>
    <n v="3252"/>
    <n v="51"/>
    <x v="0"/>
    <x v="4"/>
    <x v="4"/>
    <n v="67.67"/>
    <x v="0"/>
    <x v="1"/>
    <n v="3.9"/>
    <n v="18"/>
    <n v="4"/>
    <n v="82.524390243902431"/>
    <n v="14.854390243902429"/>
    <x v="4"/>
    <m/>
  </r>
  <r>
    <n v="3253"/>
    <n v="38"/>
    <x v="1"/>
    <x v="1"/>
    <x v="9"/>
    <n v="154.49"/>
    <x v="0"/>
    <x v="0"/>
    <n v="3.2"/>
    <n v="11"/>
    <n v="3"/>
    <n v="173.58426966292134"/>
    <n v="19.094269662921334"/>
    <x v="1"/>
    <m/>
  </r>
  <r>
    <n v="3254"/>
    <n v="29"/>
    <x v="1"/>
    <x v="2"/>
    <x v="10"/>
    <n v="51.12"/>
    <x v="1"/>
    <x v="0"/>
    <n v="4.9000000000000004"/>
    <n v="30"/>
    <n v="10"/>
    <n v="73.028571428571425"/>
    <n v="21.908571428571427"/>
    <x v="5"/>
    <m/>
  </r>
  <r>
    <n v="3255"/>
    <n v="70"/>
    <x v="0"/>
    <x v="0"/>
    <x v="28"/>
    <n v="115.94"/>
    <x v="1"/>
    <x v="0"/>
    <n v="4.4000000000000004"/>
    <n v="6"/>
    <n v="3"/>
    <n v="123.3404255319149"/>
    <n v="7.4004255319149053"/>
    <x v="2"/>
    <m/>
  </r>
  <r>
    <n v="3256"/>
    <n v="49"/>
    <x v="0"/>
    <x v="6"/>
    <x v="6"/>
    <n v="132.49"/>
    <x v="2"/>
    <x v="0"/>
    <n v="2.2999999999999998"/>
    <n v="15"/>
    <n v="5"/>
    <n v="155.87058823529412"/>
    <n v="23.380588235294113"/>
    <x v="4"/>
    <m/>
  </r>
  <r>
    <n v="3257"/>
    <n v="69"/>
    <x v="1"/>
    <x v="7"/>
    <x v="11"/>
    <n v="194.63"/>
    <x v="2"/>
    <x v="0"/>
    <n v="4.7"/>
    <n v="9"/>
    <n v="2"/>
    <n v="213.87912087912088"/>
    <n v="19.249120879120881"/>
    <x v="2"/>
    <m/>
  </r>
  <r>
    <n v="3258"/>
    <n v="34"/>
    <x v="1"/>
    <x v="7"/>
    <x v="8"/>
    <n v="113.73"/>
    <x v="0"/>
    <x v="0"/>
    <n v="3.6"/>
    <n v="21"/>
    <n v="8"/>
    <n v="143.96202531645571"/>
    <n v="30.232025316455704"/>
    <x v="5"/>
    <m/>
  </r>
  <r>
    <n v="3259"/>
    <n v="58"/>
    <x v="0"/>
    <x v="2"/>
    <x v="10"/>
    <n v="84.1"/>
    <x v="1"/>
    <x v="0"/>
    <n v="3.8"/>
    <n v="16"/>
    <n v="3"/>
    <n v="100.11904761904762"/>
    <n v="16.019047619047626"/>
    <x v="0"/>
    <m/>
  </r>
  <r>
    <n v="3260"/>
    <n v="60"/>
    <x v="1"/>
    <x v="5"/>
    <x v="7"/>
    <n v="2936.08"/>
    <x v="3"/>
    <x v="0"/>
    <n v="5"/>
    <n v="20"/>
    <n v="5"/>
    <n v="3670.1"/>
    <n v="734.02"/>
    <x v="0"/>
    <m/>
  </r>
  <r>
    <n v="3261"/>
    <n v="51"/>
    <x v="1"/>
    <x v="5"/>
    <x v="7"/>
    <n v="1369.63"/>
    <x v="3"/>
    <x v="0"/>
    <n v="3"/>
    <n v="10"/>
    <n v="5"/>
    <n v="1521.8111111111111"/>
    <n v="152.18111111111102"/>
    <x v="4"/>
    <m/>
  </r>
  <r>
    <n v="3262"/>
    <n v="68"/>
    <x v="0"/>
    <x v="6"/>
    <x v="23"/>
    <n v="23.21"/>
    <x v="0"/>
    <x v="0"/>
    <n v="5"/>
    <n v="11"/>
    <n v="3"/>
    <n v="26.078651685393258"/>
    <n v="2.8686516853932567"/>
    <x v="2"/>
    <m/>
  </r>
  <r>
    <n v="3263"/>
    <n v="40"/>
    <x v="1"/>
    <x v="2"/>
    <x v="10"/>
    <n v="231.3"/>
    <x v="2"/>
    <x v="0"/>
    <n v="4"/>
    <n v="8"/>
    <n v="4"/>
    <n v="251.41304347826087"/>
    <n v="20.113043478260863"/>
    <x v="1"/>
    <m/>
  </r>
  <r>
    <n v="3264"/>
    <n v="31"/>
    <x v="1"/>
    <x v="2"/>
    <x v="2"/>
    <n v="212.05"/>
    <x v="0"/>
    <x v="0"/>
    <n v="3.5"/>
    <n v="15"/>
    <n v="5"/>
    <n v="249.47058823529414"/>
    <n v="37.420588235294133"/>
    <x v="5"/>
    <m/>
  </r>
  <r>
    <n v="3265"/>
    <n v="20"/>
    <x v="0"/>
    <x v="8"/>
    <x v="17"/>
    <n v="78.09"/>
    <x v="2"/>
    <x v="1"/>
    <n v="4.0999999999999996"/>
    <n v="8"/>
    <n v="4"/>
    <n v="84.880434782608702"/>
    <n v="6.790434782608699"/>
    <x v="3"/>
    <m/>
  </r>
  <r>
    <n v="3266"/>
    <n v="35"/>
    <x v="1"/>
    <x v="2"/>
    <x v="10"/>
    <n v="189.56"/>
    <x v="0"/>
    <x v="0"/>
    <n v="4.5"/>
    <n v="11"/>
    <n v="3"/>
    <n v="212.98876404494382"/>
    <n v="23.428764044943819"/>
    <x v="1"/>
    <m/>
  </r>
  <r>
    <n v="3267"/>
    <n v="39"/>
    <x v="0"/>
    <x v="7"/>
    <x v="8"/>
    <n v="143.79"/>
    <x v="3"/>
    <x v="0"/>
    <n v="4.9000000000000004"/>
    <n v="16"/>
    <n v="3"/>
    <n v="171.17857142857142"/>
    <n v="27.388571428571424"/>
    <x v="1"/>
    <m/>
  </r>
  <r>
    <n v="3268"/>
    <n v="56"/>
    <x v="1"/>
    <x v="4"/>
    <x v="4"/>
    <n v="43.68"/>
    <x v="3"/>
    <x v="1"/>
    <n v="3.9"/>
    <n v="27"/>
    <n v="11"/>
    <n v="59.835616438356162"/>
    <n v="16.155616438356162"/>
    <x v="0"/>
    <m/>
  </r>
  <r>
    <n v="3269"/>
    <n v="58"/>
    <x v="0"/>
    <x v="6"/>
    <x v="27"/>
    <n v="68.569999999999993"/>
    <x v="0"/>
    <x v="0"/>
    <n v="4.3"/>
    <n v="18"/>
    <n v="4"/>
    <n v="83.621951219512184"/>
    <n v="15.051951219512191"/>
    <x v="0"/>
    <m/>
  </r>
  <r>
    <n v="3270"/>
    <n v="68"/>
    <x v="0"/>
    <x v="7"/>
    <x v="11"/>
    <n v="69.56"/>
    <x v="2"/>
    <x v="1"/>
    <n v="4.9000000000000004"/>
    <n v="21"/>
    <n v="8"/>
    <n v="88.050632911392398"/>
    <n v="18.490632911392396"/>
    <x v="2"/>
    <m/>
  </r>
  <r>
    <n v="3271"/>
    <n v="22"/>
    <x v="0"/>
    <x v="3"/>
    <x v="15"/>
    <n v="242.3"/>
    <x v="0"/>
    <x v="0"/>
    <n v="4.5"/>
    <n v="22"/>
    <n v="6"/>
    <n v="310.64102564102564"/>
    <n v="68.341025641025624"/>
    <x v="3"/>
    <m/>
  </r>
  <r>
    <n v="3272"/>
    <n v="20"/>
    <x v="0"/>
    <x v="6"/>
    <x v="6"/>
    <n v="140.19999999999999"/>
    <x v="1"/>
    <x v="0"/>
    <n v="4.0999999999999996"/>
    <n v="19"/>
    <n v="7"/>
    <n v="173.0864197530864"/>
    <n v="32.886419753086415"/>
    <x v="3"/>
    <m/>
  </r>
  <r>
    <n v="3273"/>
    <n v="64"/>
    <x v="1"/>
    <x v="3"/>
    <x v="3"/>
    <n v="79.900000000000006"/>
    <x v="1"/>
    <x v="0"/>
    <n v="3.3"/>
    <n v="26"/>
    <n v="8"/>
    <n v="107.97297297297298"/>
    <n v="28.072972972972977"/>
    <x v="0"/>
    <m/>
  </r>
  <r>
    <n v="3274"/>
    <n v="33"/>
    <x v="1"/>
    <x v="7"/>
    <x v="11"/>
    <n v="248.65"/>
    <x v="0"/>
    <x v="0"/>
    <n v="3.8"/>
    <n v="15"/>
    <n v="5"/>
    <n v="292.52941176470591"/>
    <n v="43.879411764705907"/>
    <x v="5"/>
    <m/>
  </r>
  <r>
    <n v="3275"/>
    <n v="45"/>
    <x v="1"/>
    <x v="7"/>
    <x v="13"/>
    <n v="227.4"/>
    <x v="2"/>
    <x v="0"/>
    <n v="3.8"/>
    <n v="15"/>
    <n v="5"/>
    <n v="267.52941176470591"/>
    <n v="40.129411764705907"/>
    <x v="4"/>
    <m/>
  </r>
  <r>
    <n v="3276"/>
    <n v="24"/>
    <x v="1"/>
    <x v="2"/>
    <x v="12"/>
    <n v="153.18"/>
    <x v="1"/>
    <x v="0"/>
    <n v="3.2"/>
    <n v="15"/>
    <n v="5"/>
    <n v="180.21176470588236"/>
    <n v="27.031764705882352"/>
    <x v="3"/>
    <m/>
  </r>
  <r>
    <n v="3277"/>
    <n v="24"/>
    <x v="1"/>
    <x v="1"/>
    <x v="9"/>
    <n v="101.1"/>
    <x v="1"/>
    <x v="0"/>
    <n v="2.9"/>
    <n v="10"/>
    <n v="5"/>
    <n v="112.33333333333333"/>
    <n v="11.233333333333334"/>
    <x v="3"/>
    <m/>
  </r>
  <r>
    <n v="3278"/>
    <n v="70"/>
    <x v="1"/>
    <x v="1"/>
    <x v="20"/>
    <n v="128.5"/>
    <x v="3"/>
    <x v="0"/>
    <n v="4.4000000000000004"/>
    <n v="17"/>
    <n v="6"/>
    <n v="154.81927710843374"/>
    <n v="26.319277108433738"/>
    <x v="2"/>
    <m/>
  </r>
  <r>
    <n v="3279"/>
    <n v="49"/>
    <x v="0"/>
    <x v="2"/>
    <x v="10"/>
    <n v="93.21"/>
    <x v="3"/>
    <x v="1"/>
    <n v="4"/>
    <n v="8"/>
    <n v="4"/>
    <n v="101.31521739130433"/>
    <n v="8.1052173913043362"/>
    <x v="4"/>
    <m/>
  </r>
  <r>
    <n v="3280"/>
    <n v="69"/>
    <x v="1"/>
    <x v="1"/>
    <x v="9"/>
    <n v="120.7"/>
    <x v="2"/>
    <x v="0"/>
    <n v="3.9"/>
    <n v="10"/>
    <n v="5"/>
    <n v="134.11111111111111"/>
    <n v="13.411111111111111"/>
    <x v="2"/>
    <m/>
  </r>
  <r>
    <n v="3281"/>
    <n v="36"/>
    <x v="1"/>
    <x v="1"/>
    <x v="1"/>
    <n v="76.16"/>
    <x v="3"/>
    <x v="1"/>
    <n v="4.3"/>
    <n v="10"/>
    <n v="5"/>
    <n v="84.62222222222222"/>
    <n v="8.4622222222222234"/>
    <x v="1"/>
    <m/>
  </r>
  <r>
    <n v="3282"/>
    <n v="25"/>
    <x v="1"/>
    <x v="2"/>
    <x v="10"/>
    <n v="226.66"/>
    <x v="2"/>
    <x v="0"/>
    <n v="3.8"/>
    <n v="24"/>
    <n v="7"/>
    <n v="298.23684210526312"/>
    <n v="71.576842105263125"/>
    <x v="5"/>
    <m/>
  </r>
  <r>
    <n v="3283"/>
    <n v="63"/>
    <x v="1"/>
    <x v="2"/>
    <x v="10"/>
    <n v="130.19999999999999"/>
    <x v="2"/>
    <x v="0"/>
    <n v="2.6"/>
    <n v="4"/>
    <n v="2"/>
    <n v="135.625"/>
    <n v="5.4250000000000114"/>
    <x v="0"/>
    <m/>
  </r>
  <r>
    <n v="3284"/>
    <n v="57"/>
    <x v="1"/>
    <x v="7"/>
    <x v="11"/>
    <n v="52.67"/>
    <x v="2"/>
    <x v="0"/>
    <n v="4.3"/>
    <n v="16"/>
    <n v="3"/>
    <n v="62.702380952380956"/>
    <n v="10.032380952380954"/>
    <x v="0"/>
    <m/>
  </r>
  <r>
    <n v="3285"/>
    <n v="21"/>
    <x v="0"/>
    <x v="8"/>
    <x v="14"/>
    <n v="151.32"/>
    <x v="3"/>
    <x v="0"/>
    <n v="3"/>
    <n v="24"/>
    <n v="7"/>
    <n v="199.10526315789471"/>
    <n v="47.785263157894718"/>
    <x v="3"/>
    <m/>
  </r>
  <r>
    <n v="3286"/>
    <n v="57"/>
    <x v="1"/>
    <x v="7"/>
    <x v="13"/>
    <n v="49.11"/>
    <x v="0"/>
    <x v="1"/>
    <n v="3.3"/>
    <n v="18"/>
    <n v="4"/>
    <n v="59.890243902439018"/>
    <n v="10.780243902439018"/>
    <x v="0"/>
    <m/>
  </r>
  <r>
    <n v="3287"/>
    <n v="50"/>
    <x v="0"/>
    <x v="6"/>
    <x v="27"/>
    <n v="71.64"/>
    <x v="2"/>
    <x v="1"/>
    <n v="4.5"/>
    <n v="20"/>
    <n v="5"/>
    <n v="89.55"/>
    <n v="17.909999999999997"/>
    <x v="4"/>
    <m/>
  </r>
  <r>
    <n v="3288"/>
    <n v="30"/>
    <x v="1"/>
    <x v="3"/>
    <x v="15"/>
    <n v="165.95"/>
    <x v="0"/>
    <x v="0"/>
    <n v="4.5"/>
    <n v="18"/>
    <n v="4"/>
    <n v="202.37804878048777"/>
    <n v="36.428048780487785"/>
    <x v="5"/>
    <m/>
  </r>
  <r>
    <n v="3289"/>
    <n v="62"/>
    <x v="1"/>
    <x v="2"/>
    <x v="2"/>
    <n v="248.99"/>
    <x v="0"/>
    <x v="0"/>
    <n v="2.8"/>
    <n v="13"/>
    <n v="4"/>
    <n v="286.19540229885058"/>
    <n v="37.205402298850572"/>
    <x v="0"/>
    <m/>
  </r>
  <r>
    <n v="3290"/>
    <n v="35"/>
    <x v="1"/>
    <x v="5"/>
    <x v="21"/>
    <n v="2952.94"/>
    <x v="1"/>
    <x v="0"/>
    <n v="3"/>
    <n v="11"/>
    <n v="3"/>
    <n v="3317.9101123595506"/>
    <n v="364.97011235955051"/>
    <x v="1"/>
    <m/>
  </r>
  <r>
    <n v="3291"/>
    <n v="20"/>
    <x v="1"/>
    <x v="2"/>
    <x v="2"/>
    <n v="226.69"/>
    <x v="3"/>
    <x v="0"/>
    <n v="4"/>
    <n v="17"/>
    <n v="6"/>
    <n v="273.12048192771084"/>
    <n v="46.430481927710844"/>
    <x v="3"/>
    <m/>
  </r>
  <r>
    <n v="3292"/>
    <n v="41"/>
    <x v="1"/>
    <x v="1"/>
    <x v="9"/>
    <n v="136.81"/>
    <x v="0"/>
    <x v="0"/>
    <n v="4"/>
    <n v="9"/>
    <n v="2"/>
    <n v="150.34065934065933"/>
    <n v="13.530659340659327"/>
    <x v="1"/>
    <m/>
  </r>
  <r>
    <n v="3293"/>
    <n v="60"/>
    <x v="0"/>
    <x v="7"/>
    <x v="8"/>
    <n v="191.66"/>
    <x v="1"/>
    <x v="0"/>
    <n v="5"/>
    <n v="9"/>
    <n v="2"/>
    <n v="210.61538461538461"/>
    <n v="18.955384615384617"/>
    <x v="0"/>
    <m/>
  </r>
  <r>
    <n v="3294"/>
    <n v="34"/>
    <x v="0"/>
    <x v="8"/>
    <x v="18"/>
    <n v="82.77"/>
    <x v="2"/>
    <x v="1"/>
    <n v="3.5"/>
    <n v="32"/>
    <n v="11"/>
    <n v="121.72058823529412"/>
    <n v="38.95058823529412"/>
    <x v="5"/>
    <m/>
  </r>
  <r>
    <n v="3295"/>
    <n v="52"/>
    <x v="0"/>
    <x v="7"/>
    <x v="11"/>
    <n v="50.19"/>
    <x v="3"/>
    <x v="0"/>
    <n v="4.2"/>
    <n v="17"/>
    <n v="6"/>
    <n v="60.46987951807229"/>
    <n v="10.279879518072292"/>
    <x v="4"/>
    <m/>
  </r>
  <r>
    <n v="3296"/>
    <n v="43"/>
    <x v="0"/>
    <x v="0"/>
    <x v="22"/>
    <n v="170.71"/>
    <x v="2"/>
    <x v="0"/>
    <n v="3"/>
    <n v="15"/>
    <n v="5"/>
    <n v="200.83529411764707"/>
    <n v="30.125294117647059"/>
    <x v="1"/>
    <m/>
  </r>
  <r>
    <n v="3297"/>
    <n v="22"/>
    <x v="1"/>
    <x v="1"/>
    <x v="20"/>
    <n v="57.55"/>
    <x v="3"/>
    <x v="1"/>
    <n v="3.4"/>
    <n v="10"/>
    <n v="5"/>
    <n v="63.944444444444443"/>
    <n v="6.3944444444444457"/>
    <x v="3"/>
    <m/>
  </r>
  <r>
    <n v="3298"/>
    <n v="25"/>
    <x v="1"/>
    <x v="5"/>
    <x v="7"/>
    <n v="1659.69"/>
    <x v="0"/>
    <x v="0"/>
    <n v="4.0999999999999996"/>
    <n v="11"/>
    <n v="3"/>
    <n v="1864.8202247191011"/>
    <n v="205.13022471910108"/>
    <x v="5"/>
    <m/>
  </r>
  <r>
    <n v="3299"/>
    <n v="50"/>
    <x v="1"/>
    <x v="2"/>
    <x v="2"/>
    <n v="99.86"/>
    <x v="1"/>
    <x v="0"/>
    <n v="3.2"/>
    <n v="22"/>
    <n v="6"/>
    <n v="128.02564102564102"/>
    <n v="28.165641025641023"/>
    <x v="4"/>
    <m/>
  </r>
  <r>
    <n v="3300"/>
    <n v="61"/>
    <x v="0"/>
    <x v="7"/>
    <x v="8"/>
    <n v="101.31"/>
    <x v="3"/>
    <x v="0"/>
    <n v="3.6"/>
    <n v="16"/>
    <n v="3"/>
    <n v="120.60714285714286"/>
    <n v="19.297142857142859"/>
    <x v="0"/>
    <m/>
  </r>
  <r>
    <n v="3301"/>
    <n v="37"/>
    <x v="1"/>
    <x v="5"/>
    <x v="21"/>
    <n v="1894.44"/>
    <x v="2"/>
    <x v="0"/>
    <n v="4.3"/>
    <n v="12"/>
    <n v="6"/>
    <n v="2152.7727272727275"/>
    <n v="258.33272727272742"/>
    <x v="1"/>
    <m/>
  </r>
  <r>
    <n v="3302"/>
    <n v="44"/>
    <x v="0"/>
    <x v="7"/>
    <x v="13"/>
    <n v="110.78"/>
    <x v="1"/>
    <x v="0"/>
    <n v="3.3"/>
    <n v="20"/>
    <n v="5"/>
    <n v="138.47499999999999"/>
    <n v="27.694999999999993"/>
    <x v="1"/>
    <m/>
  </r>
  <r>
    <n v="3303"/>
    <n v="45"/>
    <x v="0"/>
    <x v="6"/>
    <x v="23"/>
    <n v="40.99"/>
    <x v="1"/>
    <x v="0"/>
    <n v="3.8"/>
    <n v="14"/>
    <n v="2"/>
    <n v="47.662790697674424"/>
    <n v="6.6727906976744222"/>
    <x v="4"/>
    <m/>
  </r>
  <r>
    <n v="3304"/>
    <n v="66"/>
    <x v="0"/>
    <x v="8"/>
    <x v="18"/>
    <n v="45.9"/>
    <x v="3"/>
    <x v="1"/>
    <n v="3.5"/>
    <n v="16"/>
    <n v="8"/>
    <n v="54.642857142857146"/>
    <n v="8.7428571428571473"/>
    <x v="2"/>
    <m/>
  </r>
  <r>
    <n v="3305"/>
    <n v="61"/>
    <x v="0"/>
    <x v="0"/>
    <x v="28"/>
    <n v="48.25"/>
    <x v="2"/>
    <x v="0"/>
    <n v="3.6"/>
    <n v="10"/>
    <n v="5"/>
    <n v="53.611111111111107"/>
    <n v="5.3611111111111072"/>
    <x v="0"/>
    <m/>
  </r>
  <r>
    <n v="3306"/>
    <n v="49"/>
    <x v="1"/>
    <x v="5"/>
    <x v="5"/>
    <n v="2743.44"/>
    <x v="3"/>
    <x v="0"/>
    <n v="4.7"/>
    <n v="20"/>
    <n v="5"/>
    <n v="3429.2999999999997"/>
    <n v="685.85999999999967"/>
    <x v="4"/>
    <m/>
  </r>
  <r>
    <n v="3307"/>
    <n v="21"/>
    <x v="0"/>
    <x v="8"/>
    <x v="17"/>
    <n v="103.61"/>
    <x v="0"/>
    <x v="0"/>
    <n v="3.8"/>
    <n v="10"/>
    <n v="5"/>
    <n v="115.12222222222222"/>
    <n v="11.512222222222221"/>
    <x v="3"/>
    <m/>
  </r>
  <r>
    <n v="3308"/>
    <n v="28"/>
    <x v="1"/>
    <x v="5"/>
    <x v="5"/>
    <n v="2722.53"/>
    <x v="1"/>
    <x v="0"/>
    <n v="3.9"/>
    <n v="17"/>
    <n v="6"/>
    <n v="3280.1566265060246"/>
    <n v="557.62662650602442"/>
    <x v="5"/>
    <m/>
  </r>
  <r>
    <n v="3309"/>
    <n v="41"/>
    <x v="1"/>
    <x v="5"/>
    <x v="7"/>
    <n v="956.14"/>
    <x v="0"/>
    <x v="0"/>
    <n v="3.5"/>
    <n v="21"/>
    <n v="8"/>
    <n v="1210.3037974683543"/>
    <n v="254.16379746835435"/>
    <x v="1"/>
    <m/>
  </r>
  <r>
    <n v="3310"/>
    <n v="59"/>
    <x v="1"/>
    <x v="1"/>
    <x v="20"/>
    <n v="179.08"/>
    <x v="2"/>
    <x v="0"/>
    <n v="3.9"/>
    <n v="11"/>
    <n v="3"/>
    <n v="201.21348314606743"/>
    <n v="22.13348314606742"/>
    <x v="0"/>
    <m/>
  </r>
  <r>
    <n v="3311"/>
    <n v="70"/>
    <x v="1"/>
    <x v="7"/>
    <x v="13"/>
    <n v="237.9"/>
    <x v="2"/>
    <x v="0"/>
    <n v="3.3"/>
    <n v="13"/>
    <n v="4"/>
    <n v="273.44827586206895"/>
    <n v="35.548275862068948"/>
    <x v="2"/>
    <m/>
  </r>
  <r>
    <n v="3312"/>
    <n v="21"/>
    <x v="0"/>
    <x v="7"/>
    <x v="8"/>
    <n v="112.2"/>
    <x v="2"/>
    <x v="0"/>
    <n v="3"/>
    <n v="15"/>
    <n v="5"/>
    <n v="132"/>
    <n v="19.799999999999997"/>
    <x v="3"/>
    <m/>
  </r>
  <r>
    <n v="3313"/>
    <n v="53"/>
    <x v="0"/>
    <x v="8"/>
    <x v="18"/>
    <n v="100.01"/>
    <x v="3"/>
    <x v="0"/>
    <n v="3.4"/>
    <n v="21"/>
    <n v="8"/>
    <n v="126.59493670886076"/>
    <n v="26.584936708860752"/>
    <x v="4"/>
    <m/>
  </r>
  <r>
    <n v="3314"/>
    <n v="46"/>
    <x v="1"/>
    <x v="7"/>
    <x v="8"/>
    <n v="70.16"/>
    <x v="0"/>
    <x v="0"/>
    <n v="4"/>
    <n v="22"/>
    <n v="6"/>
    <n v="89.948717948717942"/>
    <n v="19.788717948717945"/>
    <x v="4"/>
    <m/>
  </r>
  <r>
    <n v="3315"/>
    <n v="61"/>
    <x v="0"/>
    <x v="8"/>
    <x v="16"/>
    <n v="128.44"/>
    <x v="1"/>
    <x v="0"/>
    <n v="4.5999999999999996"/>
    <n v="18"/>
    <n v="4"/>
    <n v="156.63414634146341"/>
    <n v="28.194146341463409"/>
    <x v="0"/>
    <m/>
  </r>
  <r>
    <n v="3316"/>
    <n v="43"/>
    <x v="1"/>
    <x v="1"/>
    <x v="9"/>
    <n v="84.29"/>
    <x v="1"/>
    <x v="1"/>
    <n v="3"/>
    <n v="8"/>
    <n v="4"/>
    <n v="91.619565217391312"/>
    <n v="7.3295652173913055"/>
    <x v="1"/>
    <m/>
  </r>
  <r>
    <n v="3317"/>
    <n v="39"/>
    <x v="0"/>
    <x v="7"/>
    <x v="13"/>
    <n v="139.91"/>
    <x v="2"/>
    <x v="0"/>
    <n v="3.8"/>
    <n v="12"/>
    <n v="6"/>
    <n v="158.98863636363635"/>
    <n v="19.078636363636349"/>
    <x v="1"/>
    <m/>
  </r>
  <r>
    <n v="3318"/>
    <n v="25"/>
    <x v="0"/>
    <x v="7"/>
    <x v="11"/>
    <n v="66.52"/>
    <x v="0"/>
    <x v="1"/>
    <n v="3.8"/>
    <n v="8"/>
    <n v="4"/>
    <n v="72.304347826086953"/>
    <n v="5.7843478260869574"/>
    <x v="5"/>
    <m/>
  </r>
  <r>
    <n v="3319"/>
    <n v="69"/>
    <x v="0"/>
    <x v="6"/>
    <x v="6"/>
    <n v="49.37"/>
    <x v="0"/>
    <x v="1"/>
    <n v="4.3"/>
    <n v="2"/>
    <n v="1"/>
    <n v="50.377551020408163"/>
    <n v="1.0075510204081652"/>
    <x v="2"/>
    <m/>
  </r>
  <r>
    <n v="3320"/>
    <n v="52"/>
    <x v="0"/>
    <x v="6"/>
    <x v="27"/>
    <n v="33.78"/>
    <x v="1"/>
    <x v="1"/>
    <n v="2.4"/>
    <n v="15"/>
    <n v="5"/>
    <n v="39.741176470588236"/>
    <n v="5.9611764705882351"/>
    <x v="4"/>
    <m/>
  </r>
  <r>
    <n v="3321"/>
    <n v="40"/>
    <x v="1"/>
    <x v="1"/>
    <x v="20"/>
    <n v="70.77"/>
    <x v="0"/>
    <x v="0"/>
    <n v="4.5"/>
    <n v="16"/>
    <n v="3"/>
    <n v="84.25"/>
    <n v="13.480000000000004"/>
    <x v="1"/>
    <m/>
  </r>
  <r>
    <n v="3322"/>
    <n v="29"/>
    <x v="0"/>
    <x v="8"/>
    <x v="14"/>
    <n v="65.09"/>
    <x v="1"/>
    <x v="1"/>
    <n v="4.5999999999999996"/>
    <n v="4"/>
    <n v="2"/>
    <n v="67.802083333333343"/>
    <n v="2.7120833333333394"/>
    <x v="5"/>
    <m/>
  </r>
  <r>
    <n v="3323"/>
    <n v="65"/>
    <x v="1"/>
    <x v="2"/>
    <x v="10"/>
    <n v="245.06"/>
    <x v="1"/>
    <x v="0"/>
    <n v="3.1"/>
    <n v="10"/>
    <n v="5"/>
    <n v="272.28888888888889"/>
    <n v="27.228888888888889"/>
    <x v="2"/>
    <m/>
  </r>
  <r>
    <n v="3324"/>
    <n v="61"/>
    <x v="0"/>
    <x v="0"/>
    <x v="0"/>
    <n v="68.040000000000006"/>
    <x v="0"/>
    <x v="1"/>
    <n v="4.9000000000000004"/>
    <n v="18"/>
    <n v="9"/>
    <n v="82.975609756097569"/>
    <n v="14.935609756097563"/>
    <x v="0"/>
    <m/>
  </r>
  <r>
    <n v="3325"/>
    <n v="66"/>
    <x v="0"/>
    <x v="0"/>
    <x v="0"/>
    <n v="41.18"/>
    <x v="2"/>
    <x v="1"/>
    <n v="2.8"/>
    <n v="2"/>
    <n v="1"/>
    <n v="42.020408163265309"/>
    <n v="0.84040816326530887"/>
    <x v="2"/>
    <m/>
  </r>
  <r>
    <n v="3326"/>
    <n v="63"/>
    <x v="1"/>
    <x v="2"/>
    <x v="2"/>
    <n v="154.11000000000001"/>
    <x v="0"/>
    <x v="0"/>
    <n v="3.3"/>
    <n v="13"/>
    <n v="4"/>
    <n v="177.13793103448276"/>
    <n v="23.027931034482748"/>
    <x v="0"/>
    <m/>
  </r>
  <r>
    <n v="3327"/>
    <n v="24"/>
    <x v="0"/>
    <x v="7"/>
    <x v="13"/>
    <n v="174.93"/>
    <x v="3"/>
    <x v="0"/>
    <n v="3.9"/>
    <n v="17"/>
    <n v="6"/>
    <n v="210.75903614457835"/>
    <n v="35.829036144578339"/>
    <x v="3"/>
    <m/>
  </r>
  <r>
    <n v="3328"/>
    <n v="38"/>
    <x v="1"/>
    <x v="1"/>
    <x v="20"/>
    <n v="192.91"/>
    <x v="1"/>
    <x v="0"/>
    <n v="3.6"/>
    <n v="16"/>
    <n v="8"/>
    <n v="229.6547619047619"/>
    <n v="36.744761904761901"/>
    <x v="1"/>
    <m/>
  </r>
  <r>
    <n v="3329"/>
    <n v="21"/>
    <x v="0"/>
    <x v="7"/>
    <x v="8"/>
    <n v="42.33"/>
    <x v="3"/>
    <x v="1"/>
    <n v="2.9"/>
    <n v="9"/>
    <n v="2"/>
    <n v="46.516483516483511"/>
    <n v="4.1864835164835128"/>
    <x v="3"/>
    <m/>
  </r>
  <r>
    <n v="3330"/>
    <n v="41"/>
    <x v="0"/>
    <x v="3"/>
    <x v="3"/>
    <n v="260.49"/>
    <x v="3"/>
    <x v="0"/>
    <n v="4"/>
    <n v="22"/>
    <n v="6"/>
    <n v="333.96153846153845"/>
    <n v="73.471538461538444"/>
    <x v="1"/>
    <m/>
  </r>
  <r>
    <n v="3331"/>
    <n v="42"/>
    <x v="1"/>
    <x v="1"/>
    <x v="14"/>
    <n v="48.33"/>
    <x v="3"/>
    <x v="1"/>
    <n v="5"/>
    <n v="10"/>
    <n v="5"/>
    <n v="53.699999999999996"/>
    <n v="5.3699999999999974"/>
    <x v="1"/>
    <m/>
  </r>
  <r>
    <n v="3332"/>
    <n v="56"/>
    <x v="0"/>
    <x v="6"/>
    <x v="23"/>
    <n v="100.08"/>
    <x v="3"/>
    <x v="0"/>
    <n v="3.5"/>
    <n v="8"/>
    <n v="4"/>
    <n v="108.78260869565217"/>
    <n v="8.7026086956521738"/>
    <x v="0"/>
    <m/>
  </r>
  <r>
    <n v="3333"/>
    <n v="25"/>
    <x v="1"/>
    <x v="7"/>
    <x v="8"/>
    <n v="98.36"/>
    <x v="0"/>
    <x v="0"/>
    <n v="4.3"/>
    <n v="9"/>
    <n v="2"/>
    <n v="108.08791208791209"/>
    <n v="9.7279120879120882"/>
    <x v="5"/>
    <m/>
  </r>
  <r>
    <n v="3334"/>
    <n v="34"/>
    <x v="1"/>
    <x v="5"/>
    <x v="5"/>
    <n v="2073.3000000000002"/>
    <x v="0"/>
    <x v="0"/>
    <n v="4.2"/>
    <n v="8"/>
    <n v="4"/>
    <n v="2253.586956521739"/>
    <n v="180.28695652173883"/>
    <x v="5"/>
    <m/>
  </r>
  <r>
    <n v="3335"/>
    <n v="47"/>
    <x v="0"/>
    <x v="8"/>
    <x v="17"/>
    <n v="98.36"/>
    <x v="3"/>
    <x v="1"/>
    <n v="3.7"/>
    <n v="18"/>
    <n v="4"/>
    <n v="119.95121951219511"/>
    <n v="21.59121951219511"/>
    <x v="4"/>
    <m/>
  </r>
  <r>
    <n v="3336"/>
    <n v="35"/>
    <x v="1"/>
    <x v="2"/>
    <x v="2"/>
    <n v="32.78"/>
    <x v="1"/>
    <x v="1"/>
    <n v="4.5"/>
    <n v="10"/>
    <n v="5"/>
    <n v="36.422222222222224"/>
    <n v="3.6422222222222231"/>
    <x v="1"/>
    <m/>
  </r>
  <r>
    <n v="3337"/>
    <n v="26"/>
    <x v="1"/>
    <x v="2"/>
    <x v="12"/>
    <n v="168"/>
    <x v="1"/>
    <x v="0"/>
    <n v="2.9"/>
    <n v="14"/>
    <n v="7"/>
    <n v="195.34883720930233"/>
    <n v="27.348837209302332"/>
    <x v="5"/>
    <m/>
  </r>
  <r>
    <n v="3338"/>
    <n v="63"/>
    <x v="1"/>
    <x v="5"/>
    <x v="25"/>
    <n v="2939.08"/>
    <x v="3"/>
    <x v="0"/>
    <n v="3.3"/>
    <n v="18"/>
    <n v="4"/>
    <n v="3584.2439024390242"/>
    <n v="645.16390243902424"/>
    <x v="0"/>
    <m/>
  </r>
  <r>
    <n v="3339"/>
    <n v="59"/>
    <x v="0"/>
    <x v="0"/>
    <x v="22"/>
    <n v="37.43"/>
    <x v="2"/>
    <x v="1"/>
    <n v="2.4"/>
    <n v="18"/>
    <n v="4"/>
    <n v="45.646341463414629"/>
    <n v="8.2163414634146292"/>
    <x v="0"/>
    <m/>
  </r>
  <r>
    <n v="3340"/>
    <n v="57"/>
    <x v="1"/>
    <x v="7"/>
    <x v="13"/>
    <n v="219.41"/>
    <x v="3"/>
    <x v="0"/>
    <n v="4.3"/>
    <n v="18"/>
    <n v="4"/>
    <n v="267.57317073170731"/>
    <n v="48.163170731707311"/>
    <x v="0"/>
    <m/>
  </r>
  <r>
    <n v="3341"/>
    <n v="24"/>
    <x v="0"/>
    <x v="7"/>
    <x v="11"/>
    <n v="79.680000000000007"/>
    <x v="1"/>
    <x v="0"/>
    <n v="3.6"/>
    <n v="10"/>
    <n v="5"/>
    <n v="88.533333333333346"/>
    <n v="8.8533333333333388"/>
    <x v="3"/>
    <m/>
  </r>
  <r>
    <n v="3342"/>
    <n v="44"/>
    <x v="0"/>
    <x v="6"/>
    <x v="6"/>
    <n v="83.41"/>
    <x v="1"/>
    <x v="1"/>
    <n v="3.2"/>
    <n v="14"/>
    <n v="7"/>
    <n v="96.988372093023258"/>
    <n v="13.578372093023262"/>
    <x v="1"/>
    <m/>
  </r>
  <r>
    <n v="3343"/>
    <n v="35"/>
    <x v="1"/>
    <x v="4"/>
    <x v="29"/>
    <n v="19.63"/>
    <x v="3"/>
    <x v="0"/>
    <n v="4.8"/>
    <n v="12"/>
    <n v="6"/>
    <n v="22.30681818181818"/>
    <n v="2.6768181818181809"/>
    <x v="1"/>
    <m/>
  </r>
  <r>
    <n v="3344"/>
    <n v="55"/>
    <x v="1"/>
    <x v="1"/>
    <x v="1"/>
    <n v="112.09"/>
    <x v="0"/>
    <x v="0"/>
    <n v="3.6"/>
    <n v="8"/>
    <n v="4"/>
    <n v="121.83695652173913"/>
    <n v="9.7469565217391221"/>
    <x v="0"/>
    <m/>
  </r>
  <r>
    <n v="3345"/>
    <n v="31"/>
    <x v="0"/>
    <x v="3"/>
    <x v="3"/>
    <n v="218.84"/>
    <x v="3"/>
    <x v="0"/>
    <n v="4.0999999999999996"/>
    <n v="20"/>
    <n v="5"/>
    <n v="273.55"/>
    <n v="54.710000000000008"/>
    <x v="5"/>
    <m/>
  </r>
  <r>
    <n v="3346"/>
    <n v="62"/>
    <x v="0"/>
    <x v="6"/>
    <x v="6"/>
    <n v="136.35"/>
    <x v="2"/>
    <x v="0"/>
    <n v="2.7"/>
    <n v="12"/>
    <n v="6"/>
    <n v="154.94318181818181"/>
    <n v="18.593181818181819"/>
    <x v="0"/>
    <m/>
  </r>
  <r>
    <n v="3347"/>
    <n v="52"/>
    <x v="0"/>
    <x v="2"/>
    <x v="12"/>
    <n v="210.16"/>
    <x v="0"/>
    <x v="0"/>
    <n v="3"/>
    <n v="10"/>
    <n v="5"/>
    <n v="233.51111111111109"/>
    <n v="23.351111111111095"/>
    <x v="4"/>
    <m/>
  </r>
  <r>
    <n v="3348"/>
    <n v="53"/>
    <x v="1"/>
    <x v="1"/>
    <x v="1"/>
    <n v="90.13"/>
    <x v="1"/>
    <x v="0"/>
    <n v="3.5"/>
    <n v="18"/>
    <n v="4"/>
    <n v="109.91463414634146"/>
    <n v="19.78463414634146"/>
    <x v="4"/>
    <m/>
  </r>
  <r>
    <n v="3349"/>
    <n v="28"/>
    <x v="0"/>
    <x v="6"/>
    <x v="27"/>
    <n v="132.16999999999999"/>
    <x v="0"/>
    <x v="0"/>
    <n v="2.7"/>
    <n v="19"/>
    <n v="7"/>
    <n v="163.17283950617281"/>
    <n v="31.002839506172819"/>
    <x v="5"/>
    <m/>
  </r>
  <r>
    <n v="3350"/>
    <n v="20"/>
    <x v="1"/>
    <x v="7"/>
    <x v="8"/>
    <n v="162.4"/>
    <x v="2"/>
    <x v="0"/>
    <n v="3.5"/>
    <n v="8"/>
    <n v="4"/>
    <n v="176.52173913043478"/>
    <n v="14.121739130434776"/>
    <x v="3"/>
    <m/>
  </r>
  <r>
    <n v="3351"/>
    <n v="47"/>
    <x v="0"/>
    <x v="3"/>
    <x v="15"/>
    <n v="242.74"/>
    <x v="0"/>
    <x v="0"/>
    <n v="2.8"/>
    <n v="11"/>
    <n v="3"/>
    <n v="272.74157303370788"/>
    <n v="30.001573033707871"/>
    <x v="4"/>
    <m/>
  </r>
  <r>
    <n v="3352"/>
    <n v="40"/>
    <x v="1"/>
    <x v="1"/>
    <x v="9"/>
    <n v="113.99"/>
    <x v="1"/>
    <x v="0"/>
    <n v="3.2"/>
    <n v="6"/>
    <n v="3"/>
    <n v="121.26595744680851"/>
    <n v="7.2759574468085191"/>
    <x v="1"/>
    <m/>
  </r>
  <r>
    <n v="3353"/>
    <n v="24"/>
    <x v="0"/>
    <x v="0"/>
    <x v="22"/>
    <n v="45.95"/>
    <x v="3"/>
    <x v="1"/>
    <n v="3.9"/>
    <n v="12"/>
    <n v="1"/>
    <n v="52.215909090909093"/>
    <n v="6.2659090909090907"/>
    <x v="3"/>
    <m/>
  </r>
  <r>
    <n v="3354"/>
    <n v="24"/>
    <x v="0"/>
    <x v="0"/>
    <x v="0"/>
    <n v="144.09"/>
    <x v="1"/>
    <x v="0"/>
    <n v="5"/>
    <n v="28"/>
    <n v="9"/>
    <n v="200.125"/>
    <n v="56.034999999999997"/>
    <x v="3"/>
    <m/>
  </r>
  <r>
    <n v="3355"/>
    <n v="59"/>
    <x v="1"/>
    <x v="3"/>
    <x v="3"/>
    <n v="79.319999999999993"/>
    <x v="2"/>
    <x v="1"/>
    <n v="4.4000000000000004"/>
    <n v="22"/>
    <n v="6"/>
    <n v="101.69230769230768"/>
    <n v="22.372307692307686"/>
    <x v="0"/>
    <m/>
  </r>
  <r>
    <n v="3356"/>
    <n v="47"/>
    <x v="0"/>
    <x v="0"/>
    <x v="28"/>
    <n v="39.79"/>
    <x v="3"/>
    <x v="0"/>
    <n v="3.3"/>
    <n v="11"/>
    <n v="3"/>
    <n v="44.707865168539321"/>
    <n v="4.917865168539322"/>
    <x v="4"/>
    <m/>
  </r>
  <r>
    <n v="3357"/>
    <n v="68"/>
    <x v="1"/>
    <x v="7"/>
    <x v="8"/>
    <n v="205.44"/>
    <x v="1"/>
    <x v="0"/>
    <n v="2"/>
    <n v="18"/>
    <n v="4"/>
    <n v="250.53658536585363"/>
    <n v="45.096585365853628"/>
    <x v="2"/>
    <m/>
  </r>
  <r>
    <n v="3358"/>
    <n v="56"/>
    <x v="1"/>
    <x v="2"/>
    <x v="10"/>
    <n v="53.45"/>
    <x v="3"/>
    <x v="1"/>
    <n v="4.5999999999999996"/>
    <n v="10"/>
    <n v="0"/>
    <n v="59.388888888888893"/>
    <n v="5.93888888888889"/>
    <x v="0"/>
    <m/>
  </r>
  <r>
    <n v="3359"/>
    <n v="34"/>
    <x v="1"/>
    <x v="2"/>
    <x v="12"/>
    <n v="110.27"/>
    <x v="2"/>
    <x v="0"/>
    <n v="3.3"/>
    <n v="16"/>
    <n v="8"/>
    <n v="131.27380952380952"/>
    <n v="21.003809523809522"/>
    <x v="5"/>
    <m/>
  </r>
  <r>
    <n v="3360"/>
    <n v="31"/>
    <x v="1"/>
    <x v="7"/>
    <x v="13"/>
    <n v="234.04"/>
    <x v="0"/>
    <x v="0"/>
    <n v="4.5999999999999996"/>
    <n v="14"/>
    <n v="7"/>
    <n v="272.1395348837209"/>
    <n v="38.099534883720906"/>
    <x v="5"/>
    <m/>
  </r>
  <r>
    <n v="3361"/>
    <n v="22"/>
    <x v="0"/>
    <x v="0"/>
    <x v="28"/>
    <n v="116.71"/>
    <x v="2"/>
    <x v="0"/>
    <n v="3.8"/>
    <n v="10"/>
    <n v="5"/>
    <n v="129.67777777777778"/>
    <n v="12.967777777777783"/>
    <x v="3"/>
    <m/>
  </r>
  <r>
    <n v="3362"/>
    <n v="59"/>
    <x v="1"/>
    <x v="1"/>
    <x v="9"/>
    <n v="176.93"/>
    <x v="2"/>
    <x v="0"/>
    <n v="5"/>
    <n v="28"/>
    <n v="9"/>
    <n v="245.73611111111114"/>
    <n v="68.806111111111136"/>
    <x v="0"/>
    <m/>
  </r>
  <r>
    <n v="3363"/>
    <n v="20"/>
    <x v="1"/>
    <x v="7"/>
    <x v="13"/>
    <n v="51.56"/>
    <x v="1"/>
    <x v="0"/>
    <n v="3.5"/>
    <n v="20"/>
    <n v="5"/>
    <n v="64.45"/>
    <n v="12.89"/>
    <x v="3"/>
    <m/>
  </r>
  <r>
    <n v="3364"/>
    <n v="51"/>
    <x v="0"/>
    <x v="6"/>
    <x v="27"/>
    <n v="94.53"/>
    <x v="2"/>
    <x v="1"/>
    <n v="3.7"/>
    <n v="18"/>
    <n v="4"/>
    <n v="115.28048780487804"/>
    <n v="20.750487804878034"/>
    <x v="4"/>
    <m/>
  </r>
  <r>
    <n v="3365"/>
    <n v="22"/>
    <x v="0"/>
    <x v="2"/>
    <x v="2"/>
    <n v="52.91"/>
    <x v="0"/>
    <x v="1"/>
    <n v="4.3"/>
    <n v="26"/>
    <n v="8"/>
    <n v="71.5"/>
    <n v="18.590000000000003"/>
    <x v="3"/>
    <m/>
  </r>
  <r>
    <n v="3366"/>
    <n v="26"/>
    <x v="0"/>
    <x v="7"/>
    <x v="11"/>
    <n v="118.99"/>
    <x v="1"/>
    <x v="0"/>
    <n v="4.0999999999999996"/>
    <n v="13"/>
    <n v="4"/>
    <n v="136.77011494252872"/>
    <n v="17.780114942528726"/>
    <x v="5"/>
    <m/>
  </r>
  <r>
    <n v="3367"/>
    <n v="36"/>
    <x v="0"/>
    <x v="0"/>
    <x v="0"/>
    <n v="142.22"/>
    <x v="3"/>
    <x v="0"/>
    <n v="3.1"/>
    <n v="20"/>
    <n v="5"/>
    <n v="177.77499999999998"/>
    <n v="35.554999999999978"/>
    <x v="1"/>
    <m/>
  </r>
  <r>
    <n v="3368"/>
    <n v="38"/>
    <x v="0"/>
    <x v="3"/>
    <x v="15"/>
    <n v="279.22000000000003"/>
    <x v="3"/>
    <x v="0"/>
    <n v="4.3"/>
    <n v="5"/>
    <n v="0"/>
    <n v="293.91578947368424"/>
    <n v="14.695789473684215"/>
    <x v="1"/>
    <m/>
  </r>
  <r>
    <n v="3369"/>
    <n v="22"/>
    <x v="0"/>
    <x v="6"/>
    <x v="23"/>
    <n v="69.319999999999993"/>
    <x v="0"/>
    <x v="1"/>
    <n v="3.2"/>
    <n v="16"/>
    <n v="3"/>
    <n v="82.523809523809518"/>
    <n v="13.203809523809525"/>
    <x v="3"/>
    <m/>
  </r>
  <r>
    <n v="3370"/>
    <n v="48"/>
    <x v="1"/>
    <x v="2"/>
    <x v="10"/>
    <n v="185.35"/>
    <x v="1"/>
    <x v="0"/>
    <n v="1.7"/>
    <n v="16"/>
    <n v="3"/>
    <n v="220.6547619047619"/>
    <n v="35.304761904761904"/>
    <x v="4"/>
    <m/>
  </r>
  <r>
    <n v="3371"/>
    <n v="42"/>
    <x v="0"/>
    <x v="2"/>
    <x v="12"/>
    <n v="93.72"/>
    <x v="2"/>
    <x v="0"/>
    <n v="4.0999999999999996"/>
    <n v="18"/>
    <n v="4"/>
    <n v="114.29268292682926"/>
    <n v="20.572682926829259"/>
    <x v="1"/>
    <m/>
  </r>
  <r>
    <n v="3372"/>
    <n v="24"/>
    <x v="1"/>
    <x v="1"/>
    <x v="1"/>
    <n v="158.33000000000001"/>
    <x v="1"/>
    <x v="0"/>
    <n v="3.2"/>
    <n v="15"/>
    <n v="5"/>
    <n v="186.27058823529413"/>
    <n v="27.940588235294115"/>
    <x v="3"/>
    <m/>
  </r>
  <r>
    <n v="3373"/>
    <n v="24"/>
    <x v="1"/>
    <x v="7"/>
    <x v="11"/>
    <n v="73.819999999999993"/>
    <x v="0"/>
    <x v="1"/>
    <n v="3.7"/>
    <n v="22"/>
    <n v="6"/>
    <n v="94.641025641025635"/>
    <n v="20.821025641025642"/>
    <x v="3"/>
    <m/>
  </r>
  <r>
    <n v="3374"/>
    <n v="63"/>
    <x v="1"/>
    <x v="4"/>
    <x v="19"/>
    <n v="13.69"/>
    <x v="1"/>
    <x v="0"/>
    <n v="3.7"/>
    <n v="16"/>
    <n v="8"/>
    <n v="16.297619047619047"/>
    <n v="2.6076190476190479"/>
    <x v="0"/>
    <m/>
  </r>
  <r>
    <n v="3375"/>
    <n v="34"/>
    <x v="1"/>
    <x v="1"/>
    <x v="20"/>
    <n v="59.1"/>
    <x v="0"/>
    <x v="0"/>
    <n v="3.6"/>
    <n v="22"/>
    <n v="6"/>
    <n v="75.769230769230774"/>
    <n v="16.669230769230772"/>
    <x v="5"/>
    <m/>
  </r>
  <r>
    <n v="3376"/>
    <n v="57"/>
    <x v="0"/>
    <x v="3"/>
    <x v="15"/>
    <n v="148.53"/>
    <x v="2"/>
    <x v="0"/>
    <n v="3.8"/>
    <n v="16"/>
    <n v="3"/>
    <n v="176.82142857142858"/>
    <n v="28.291428571428582"/>
    <x v="0"/>
    <m/>
  </r>
  <r>
    <n v="3377"/>
    <n v="62"/>
    <x v="1"/>
    <x v="7"/>
    <x v="8"/>
    <n v="171"/>
    <x v="2"/>
    <x v="0"/>
    <n v="4"/>
    <n v="18"/>
    <n v="4"/>
    <n v="208.53658536585365"/>
    <n v="37.536585365853654"/>
    <x v="0"/>
    <m/>
  </r>
  <r>
    <n v="3378"/>
    <n v="49"/>
    <x v="1"/>
    <x v="4"/>
    <x v="29"/>
    <n v="56.43"/>
    <x v="2"/>
    <x v="1"/>
    <n v="3.2"/>
    <n v="16"/>
    <n v="3"/>
    <n v="67.178571428571431"/>
    <n v="10.748571428571431"/>
    <x v="4"/>
    <m/>
  </r>
  <r>
    <n v="3379"/>
    <n v="41"/>
    <x v="0"/>
    <x v="6"/>
    <x v="23"/>
    <n v="85.3"/>
    <x v="1"/>
    <x v="0"/>
    <n v="5"/>
    <n v="10"/>
    <n v="5"/>
    <n v="94.777777777777771"/>
    <n v="9.4777777777777743"/>
    <x v="1"/>
    <m/>
  </r>
  <r>
    <n v="3380"/>
    <n v="47"/>
    <x v="0"/>
    <x v="6"/>
    <x v="27"/>
    <n v="122.41"/>
    <x v="0"/>
    <x v="0"/>
    <n v="4.2"/>
    <n v="18"/>
    <n v="4"/>
    <n v="149.28048780487802"/>
    <n v="26.870487804878024"/>
    <x v="4"/>
    <m/>
  </r>
  <r>
    <n v="3381"/>
    <n v="49"/>
    <x v="0"/>
    <x v="7"/>
    <x v="13"/>
    <n v="99.87"/>
    <x v="0"/>
    <x v="0"/>
    <n v="3.6"/>
    <n v="19"/>
    <n v="7"/>
    <n v="123.29629629629629"/>
    <n v="23.426296296296286"/>
    <x v="4"/>
    <m/>
  </r>
  <r>
    <n v="3382"/>
    <n v="41"/>
    <x v="0"/>
    <x v="7"/>
    <x v="8"/>
    <n v="214.67"/>
    <x v="0"/>
    <x v="0"/>
    <n v="3.7"/>
    <n v="16"/>
    <n v="8"/>
    <n v="255.5595238095238"/>
    <n v="40.889523809523808"/>
    <x v="1"/>
    <m/>
  </r>
  <r>
    <n v="3383"/>
    <n v="56"/>
    <x v="0"/>
    <x v="6"/>
    <x v="27"/>
    <n v="48.85"/>
    <x v="0"/>
    <x v="0"/>
    <n v="4.7"/>
    <n v="16"/>
    <n v="3"/>
    <n v="58.154761904761905"/>
    <n v="9.3047619047619037"/>
    <x v="0"/>
    <m/>
  </r>
  <r>
    <n v="3384"/>
    <n v="21"/>
    <x v="0"/>
    <x v="3"/>
    <x v="24"/>
    <n v="184.48"/>
    <x v="2"/>
    <x v="0"/>
    <n v="4.5999999999999996"/>
    <n v="27"/>
    <n v="11"/>
    <n v="252.71232876712327"/>
    <n v="68.232328767123278"/>
    <x v="3"/>
    <m/>
  </r>
  <r>
    <n v="3385"/>
    <n v="24"/>
    <x v="1"/>
    <x v="2"/>
    <x v="12"/>
    <n v="137.49"/>
    <x v="3"/>
    <x v="0"/>
    <n v="3.3"/>
    <n v="11"/>
    <n v="3"/>
    <n v="154.48314606741573"/>
    <n v="16.993146067415722"/>
    <x v="3"/>
    <m/>
  </r>
  <r>
    <n v="3386"/>
    <n v="44"/>
    <x v="0"/>
    <x v="8"/>
    <x v="16"/>
    <n v="32.06"/>
    <x v="2"/>
    <x v="1"/>
    <n v="3.6"/>
    <n v="15"/>
    <n v="5"/>
    <n v="37.71764705882353"/>
    <n v="5.6576470588235281"/>
    <x v="1"/>
    <m/>
  </r>
  <r>
    <n v="3387"/>
    <n v="68"/>
    <x v="1"/>
    <x v="1"/>
    <x v="9"/>
    <n v="192.92"/>
    <x v="0"/>
    <x v="0"/>
    <n v="4.0999999999999996"/>
    <n v="13"/>
    <n v="4"/>
    <n v="221.7471264367816"/>
    <n v="28.827126436781612"/>
    <x v="2"/>
    <m/>
  </r>
  <r>
    <n v="3388"/>
    <n v="41"/>
    <x v="0"/>
    <x v="4"/>
    <x v="19"/>
    <n v="17.899999999999999"/>
    <x v="3"/>
    <x v="0"/>
    <n v="2.5"/>
    <n v="30"/>
    <n v="10"/>
    <n v="25.571428571428569"/>
    <n v="7.6714285714285708"/>
    <x v="1"/>
    <m/>
  </r>
  <r>
    <n v="3389"/>
    <n v="43"/>
    <x v="0"/>
    <x v="2"/>
    <x v="12"/>
    <n v="122.74"/>
    <x v="3"/>
    <x v="0"/>
    <n v="4.5"/>
    <n v="17"/>
    <n v="6"/>
    <n v="147.87951807228916"/>
    <n v="25.139518072289164"/>
    <x v="1"/>
    <m/>
  </r>
  <r>
    <n v="3390"/>
    <n v="21"/>
    <x v="0"/>
    <x v="7"/>
    <x v="11"/>
    <n v="84.31"/>
    <x v="0"/>
    <x v="0"/>
    <n v="3.3"/>
    <n v="4"/>
    <n v="2"/>
    <n v="87.822916666666671"/>
    <n v="3.5129166666666691"/>
    <x v="3"/>
    <m/>
  </r>
  <r>
    <n v="3391"/>
    <n v="63"/>
    <x v="0"/>
    <x v="8"/>
    <x v="18"/>
    <n v="179.53"/>
    <x v="0"/>
    <x v="0"/>
    <n v="4.5999999999999996"/>
    <n v="13"/>
    <n v="4"/>
    <n v="206.35632183908046"/>
    <n v="26.826321839080464"/>
    <x v="0"/>
    <m/>
  </r>
  <r>
    <n v="3392"/>
    <n v="63"/>
    <x v="0"/>
    <x v="8"/>
    <x v="14"/>
    <n v="102.83"/>
    <x v="0"/>
    <x v="0"/>
    <n v="2.2999999999999998"/>
    <n v="14"/>
    <n v="7"/>
    <n v="119.56976744186046"/>
    <n v="16.739767441860465"/>
    <x v="0"/>
    <m/>
  </r>
  <r>
    <n v="3393"/>
    <n v="46"/>
    <x v="1"/>
    <x v="5"/>
    <x v="5"/>
    <n v="1334.9"/>
    <x v="3"/>
    <x v="0"/>
    <n v="2.4"/>
    <n v="16"/>
    <n v="3"/>
    <n v="1589.1666666666667"/>
    <n v="254.26666666666665"/>
    <x v="4"/>
    <m/>
  </r>
  <r>
    <n v="3394"/>
    <n v="60"/>
    <x v="1"/>
    <x v="5"/>
    <x v="25"/>
    <n v="2995.9"/>
    <x v="1"/>
    <x v="0"/>
    <n v="4.5999999999999996"/>
    <n v="14"/>
    <n v="7"/>
    <n v="3483.604651162791"/>
    <n v="487.70465116279092"/>
    <x v="0"/>
    <m/>
  </r>
  <r>
    <n v="3395"/>
    <n v="26"/>
    <x v="0"/>
    <x v="7"/>
    <x v="11"/>
    <n v="112.8"/>
    <x v="0"/>
    <x v="0"/>
    <n v="3.7"/>
    <n v="26"/>
    <n v="8"/>
    <n v="152.43243243243242"/>
    <n v="39.632432432432424"/>
    <x v="5"/>
    <m/>
  </r>
  <r>
    <n v="3396"/>
    <n v="65"/>
    <x v="0"/>
    <x v="6"/>
    <x v="23"/>
    <n v="116.4"/>
    <x v="2"/>
    <x v="0"/>
    <n v="3.9"/>
    <n v="30"/>
    <n v="10"/>
    <n v="166.28571428571431"/>
    <n v="49.8857142857143"/>
    <x v="2"/>
    <m/>
  </r>
  <r>
    <n v="3397"/>
    <n v="69"/>
    <x v="0"/>
    <x v="0"/>
    <x v="22"/>
    <n v="106.97"/>
    <x v="2"/>
    <x v="0"/>
    <n v="4.0999999999999996"/>
    <n v="13"/>
    <n v="4"/>
    <n v="122.95402298850574"/>
    <n v="15.984022988505743"/>
    <x v="2"/>
    <m/>
  </r>
  <r>
    <n v="3398"/>
    <n v="48"/>
    <x v="1"/>
    <x v="7"/>
    <x v="13"/>
    <n v="106.53"/>
    <x v="1"/>
    <x v="0"/>
    <n v="4.7"/>
    <n v="22"/>
    <n v="6"/>
    <n v="136.57692307692307"/>
    <n v="30.046923076923065"/>
    <x v="4"/>
    <m/>
  </r>
  <r>
    <n v="3399"/>
    <n v="22"/>
    <x v="0"/>
    <x v="4"/>
    <x v="26"/>
    <n v="71.849999999999994"/>
    <x v="1"/>
    <x v="0"/>
    <n v="3.6"/>
    <n v="22"/>
    <n v="6"/>
    <n v="92.115384615384599"/>
    <n v="20.265384615384605"/>
    <x v="3"/>
    <m/>
  </r>
  <r>
    <n v="3400"/>
    <n v="23"/>
    <x v="1"/>
    <x v="2"/>
    <x v="12"/>
    <n v="79.17"/>
    <x v="3"/>
    <x v="0"/>
    <n v="3.9"/>
    <n v="13"/>
    <n v="4"/>
    <n v="91"/>
    <n v="11.829999999999998"/>
    <x v="3"/>
    <m/>
  </r>
  <r>
    <n v="3401"/>
    <n v="21"/>
    <x v="1"/>
    <x v="7"/>
    <x v="13"/>
    <n v="218.6"/>
    <x v="2"/>
    <x v="0"/>
    <n v="4.5"/>
    <n v="12"/>
    <n v="6"/>
    <n v="248.40909090909091"/>
    <n v="29.809090909090912"/>
    <x v="3"/>
    <m/>
  </r>
  <r>
    <n v="3402"/>
    <n v="54"/>
    <x v="1"/>
    <x v="1"/>
    <x v="20"/>
    <n v="130.78"/>
    <x v="0"/>
    <x v="0"/>
    <n v="4.9000000000000004"/>
    <n v="14"/>
    <n v="7"/>
    <n v="152.06976744186048"/>
    <n v="21.289767441860477"/>
    <x v="4"/>
    <m/>
  </r>
  <r>
    <n v="3403"/>
    <n v="23"/>
    <x v="1"/>
    <x v="7"/>
    <x v="11"/>
    <n v="76.209999999999994"/>
    <x v="1"/>
    <x v="0"/>
    <n v="4.8"/>
    <n v="11"/>
    <n v="3"/>
    <n v="85.62921348314606"/>
    <n v="9.4192134831460663"/>
    <x v="3"/>
    <m/>
  </r>
  <r>
    <n v="3404"/>
    <n v="36"/>
    <x v="1"/>
    <x v="2"/>
    <x v="10"/>
    <n v="134.77000000000001"/>
    <x v="3"/>
    <x v="0"/>
    <n v="4.8"/>
    <n v="12"/>
    <n v="6"/>
    <n v="153.14772727272728"/>
    <n v="18.37772727272727"/>
    <x v="1"/>
    <m/>
  </r>
  <r>
    <n v="3405"/>
    <n v="56"/>
    <x v="1"/>
    <x v="2"/>
    <x v="12"/>
    <n v="224.71"/>
    <x v="0"/>
    <x v="0"/>
    <n v="4.8"/>
    <n v="13"/>
    <n v="4"/>
    <n v="258.28735632183907"/>
    <n v="33.577356321839062"/>
    <x v="0"/>
    <m/>
  </r>
  <r>
    <n v="3406"/>
    <n v="65"/>
    <x v="0"/>
    <x v="6"/>
    <x v="27"/>
    <n v="29.46"/>
    <x v="0"/>
    <x v="0"/>
    <n v="3.6"/>
    <n v="13"/>
    <n v="4"/>
    <n v="33.862068965517246"/>
    <n v="4.4020689655172447"/>
    <x v="2"/>
    <m/>
  </r>
  <r>
    <n v="3407"/>
    <n v="64"/>
    <x v="1"/>
    <x v="1"/>
    <x v="1"/>
    <n v="57"/>
    <x v="3"/>
    <x v="1"/>
    <n v="3.6"/>
    <n v="15"/>
    <n v="5"/>
    <n v="67.058823529411768"/>
    <n v="10.058823529411768"/>
    <x v="0"/>
    <m/>
  </r>
  <r>
    <n v="3408"/>
    <n v="38"/>
    <x v="1"/>
    <x v="7"/>
    <x v="13"/>
    <n v="71.58"/>
    <x v="1"/>
    <x v="1"/>
    <n v="3.3"/>
    <n v="13"/>
    <n v="4"/>
    <n v="82.275862068965509"/>
    <n v="10.695862068965511"/>
    <x v="1"/>
    <m/>
  </r>
  <r>
    <n v="3409"/>
    <n v="34"/>
    <x v="0"/>
    <x v="2"/>
    <x v="12"/>
    <n v="213.67"/>
    <x v="0"/>
    <x v="0"/>
    <n v="3.7"/>
    <n v="22"/>
    <n v="6"/>
    <n v="273.9358974358974"/>
    <n v="60.265897435897415"/>
    <x v="5"/>
    <m/>
  </r>
  <r>
    <n v="3410"/>
    <n v="35"/>
    <x v="0"/>
    <x v="8"/>
    <x v="16"/>
    <n v="97.07"/>
    <x v="1"/>
    <x v="1"/>
    <n v="3.1"/>
    <n v="18"/>
    <n v="4"/>
    <n v="118.37804878048779"/>
    <n v="21.308048780487795"/>
    <x v="1"/>
    <m/>
  </r>
  <r>
    <n v="3411"/>
    <n v="67"/>
    <x v="0"/>
    <x v="0"/>
    <x v="22"/>
    <n v="154.84"/>
    <x v="2"/>
    <x v="0"/>
    <n v="3.9"/>
    <n v="18"/>
    <n v="4"/>
    <n v="188.82926829268291"/>
    <n v="33.989268292682908"/>
    <x v="2"/>
    <m/>
  </r>
  <r>
    <n v="3412"/>
    <n v="55"/>
    <x v="0"/>
    <x v="6"/>
    <x v="6"/>
    <n v="92.98"/>
    <x v="2"/>
    <x v="0"/>
    <n v="3.7"/>
    <n v="8"/>
    <n v="4"/>
    <n v="101.06521739130434"/>
    <n v="8.0852173913043401"/>
    <x v="0"/>
    <m/>
  </r>
  <r>
    <n v="3413"/>
    <n v="64"/>
    <x v="0"/>
    <x v="6"/>
    <x v="23"/>
    <n v="81.650000000000006"/>
    <x v="1"/>
    <x v="0"/>
    <n v="3.8"/>
    <n v="17"/>
    <n v="6"/>
    <n v="98.373493975903628"/>
    <n v="16.723493975903622"/>
    <x v="0"/>
    <m/>
  </r>
  <r>
    <n v="3414"/>
    <n v="39"/>
    <x v="0"/>
    <x v="7"/>
    <x v="13"/>
    <n v="249.4"/>
    <x v="3"/>
    <x v="0"/>
    <n v="3.9"/>
    <n v="21"/>
    <n v="8"/>
    <n v="315.69620253164555"/>
    <n v="66.296202531645548"/>
    <x v="1"/>
    <m/>
  </r>
  <r>
    <n v="3415"/>
    <n v="23"/>
    <x v="1"/>
    <x v="3"/>
    <x v="15"/>
    <n v="268.91000000000003"/>
    <x v="1"/>
    <x v="0"/>
    <n v="4.2"/>
    <n v="13"/>
    <n v="4"/>
    <n v="309.09195402298855"/>
    <n v="40.181954022988521"/>
    <x v="3"/>
    <m/>
  </r>
  <r>
    <n v="3416"/>
    <n v="66"/>
    <x v="1"/>
    <x v="2"/>
    <x v="2"/>
    <n v="81.459999999999994"/>
    <x v="2"/>
    <x v="1"/>
    <n v="3.9"/>
    <n v="20"/>
    <n v="5"/>
    <n v="101.82499999999999"/>
    <n v="20.364999999999995"/>
    <x v="2"/>
    <m/>
  </r>
  <r>
    <n v="3417"/>
    <n v="29"/>
    <x v="0"/>
    <x v="8"/>
    <x v="16"/>
    <n v="135.06"/>
    <x v="3"/>
    <x v="0"/>
    <n v="2.2000000000000002"/>
    <n v="19"/>
    <n v="7"/>
    <n v="166.74074074074073"/>
    <n v="31.680740740740731"/>
    <x v="5"/>
    <m/>
  </r>
  <r>
    <n v="3418"/>
    <n v="54"/>
    <x v="0"/>
    <x v="6"/>
    <x v="27"/>
    <n v="127.1"/>
    <x v="0"/>
    <x v="0"/>
    <n v="3.5"/>
    <n v="18"/>
    <n v="4"/>
    <n v="154.99999999999997"/>
    <n v="27.899999999999977"/>
    <x v="4"/>
    <m/>
  </r>
  <r>
    <n v="3419"/>
    <n v="48"/>
    <x v="1"/>
    <x v="7"/>
    <x v="13"/>
    <n v="121.62"/>
    <x v="1"/>
    <x v="0"/>
    <n v="4.4000000000000004"/>
    <n v="6"/>
    <n v="3"/>
    <n v="129.38297872340428"/>
    <n v="7.7629787234042738"/>
    <x v="4"/>
    <m/>
  </r>
  <r>
    <n v="3420"/>
    <n v="30"/>
    <x v="0"/>
    <x v="3"/>
    <x v="15"/>
    <n v="194.22"/>
    <x v="1"/>
    <x v="0"/>
    <n v="4.2"/>
    <n v="13"/>
    <n v="4"/>
    <n v="223.24137931034483"/>
    <n v="29.021379310344827"/>
    <x v="5"/>
    <m/>
  </r>
  <r>
    <n v="3421"/>
    <n v="48"/>
    <x v="0"/>
    <x v="7"/>
    <x v="11"/>
    <n v="225.8"/>
    <x v="3"/>
    <x v="0"/>
    <n v="3.2"/>
    <n v="6"/>
    <n v="3"/>
    <n v="240.21276595744683"/>
    <n v="14.412765957446823"/>
    <x v="4"/>
    <m/>
  </r>
  <r>
    <n v="3422"/>
    <n v="47"/>
    <x v="0"/>
    <x v="8"/>
    <x v="14"/>
    <n v="193.59"/>
    <x v="1"/>
    <x v="0"/>
    <n v="3.3"/>
    <n v="16"/>
    <n v="3"/>
    <n v="230.46428571428572"/>
    <n v="36.874285714285719"/>
    <x v="4"/>
    <m/>
  </r>
  <r>
    <n v="3423"/>
    <n v="48"/>
    <x v="1"/>
    <x v="5"/>
    <x v="21"/>
    <n v="2610.9899999999998"/>
    <x v="3"/>
    <x v="0"/>
    <n v="3.5"/>
    <n v="13"/>
    <n v="4"/>
    <n v="3001.1379310344823"/>
    <n v="390.14793103448255"/>
    <x v="4"/>
    <m/>
  </r>
  <r>
    <n v="3424"/>
    <n v="20"/>
    <x v="0"/>
    <x v="7"/>
    <x v="13"/>
    <n v="104.2"/>
    <x v="1"/>
    <x v="0"/>
    <n v="2.8"/>
    <n v="11"/>
    <n v="3"/>
    <n v="117.07865168539325"/>
    <n v="12.878651685393251"/>
    <x v="3"/>
    <m/>
  </r>
  <r>
    <n v="3425"/>
    <n v="37"/>
    <x v="1"/>
    <x v="7"/>
    <x v="8"/>
    <n v="159.51"/>
    <x v="2"/>
    <x v="0"/>
    <n v="3.8"/>
    <n v="11"/>
    <n v="3"/>
    <n v="179.22471910112358"/>
    <n v="19.714719101123592"/>
    <x v="1"/>
    <m/>
  </r>
  <r>
    <n v="3426"/>
    <n v="63"/>
    <x v="1"/>
    <x v="1"/>
    <x v="14"/>
    <n v="163.47999999999999"/>
    <x v="0"/>
    <x v="0"/>
    <n v="4"/>
    <n v="18"/>
    <n v="4"/>
    <n v="199.36585365853657"/>
    <n v="35.885853658536575"/>
    <x v="0"/>
    <m/>
  </r>
  <r>
    <n v="3427"/>
    <n v="49"/>
    <x v="0"/>
    <x v="3"/>
    <x v="24"/>
    <n v="106.24"/>
    <x v="2"/>
    <x v="0"/>
    <n v="3.5"/>
    <n v="16"/>
    <n v="3"/>
    <n v="126.47619047619048"/>
    <n v="20.236190476190487"/>
    <x v="4"/>
    <m/>
  </r>
  <r>
    <n v="3428"/>
    <n v="40"/>
    <x v="1"/>
    <x v="5"/>
    <x v="25"/>
    <n v="1340.12"/>
    <x v="1"/>
    <x v="0"/>
    <n v="4.0999999999999996"/>
    <n v="28"/>
    <n v="9"/>
    <n v="1861.2777777777776"/>
    <n v="521.15777777777771"/>
    <x v="1"/>
    <m/>
  </r>
  <r>
    <n v="3429"/>
    <n v="55"/>
    <x v="0"/>
    <x v="0"/>
    <x v="28"/>
    <n v="66.95"/>
    <x v="1"/>
    <x v="0"/>
    <n v="3.7"/>
    <n v="14"/>
    <n v="2"/>
    <n v="77.848837209302332"/>
    <n v="10.898837209302329"/>
    <x v="0"/>
    <m/>
  </r>
  <r>
    <n v="3430"/>
    <n v="50"/>
    <x v="0"/>
    <x v="8"/>
    <x v="18"/>
    <n v="114.36"/>
    <x v="0"/>
    <x v="0"/>
    <n v="3.3"/>
    <n v="10"/>
    <n v="5"/>
    <n v="127.06666666666666"/>
    <n v="12.706666666666663"/>
    <x v="4"/>
    <m/>
  </r>
  <r>
    <n v="3431"/>
    <n v="63"/>
    <x v="0"/>
    <x v="0"/>
    <x v="28"/>
    <n v="171.7"/>
    <x v="3"/>
    <x v="0"/>
    <n v="3.8"/>
    <n v="17"/>
    <n v="6"/>
    <n v="206.86746987951807"/>
    <n v="35.16746987951808"/>
    <x v="0"/>
    <m/>
  </r>
  <r>
    <n v="3432"/>
    <n v="36"/>
    <x v="1"/>
    <x v="7"/>
    <x v="13"/>
    <n v="74.53"/>
    <x v="1"/>
    <x v="1"/>
    <n v="4.3"/>
    <n v="11"/>
    <n v="3"/>
    <n v="83.741573033707866"/>
    <n v="9.2115730337078645"/>
    <x v="1"/>
    <m/>
  </r>
  <r>
    <n v="3433"/>
    <n v="34"/>
    <x v="0"/>
    <x v="8"/>
    <x v="18"/>
    <n v="47.24"/>
    <x v="1"/>
    <x v="1"/>
    <n v="3.1"/>
    <n v="18"/>
    <n v="4"/>
    <n v="57.609756097560975"/>
    <n v="10.369756097560973"/>
    <x v="5"/>
    <m/>
  </r>
  <r>
    <n v="3434"/>
    <n v="70"/>
    <x v="1"/>
    <x v="7"/>
    <x v="11"/>
    <n v="247.53"/>
    <x v="1"/>
    <x v="0"/>
    <n v="4.0999999999999996"/>
    <n v="12"/>
    <n v="6"/>
    <n v="281.28409090909093"/>
    <n v="33.754090909090934"/>
    <x v="2"/>
    <m/>
  </r>
  <r>
    <n v="3435"/>
    <n v="65"/>
    <x v="0"/>
    <x v="6"/>
    <x v="6"/>
    <n v="119.15"/>
    <x v="3"/>
    <x v="0"/>
    <n v="2.9"/>
    <n v="18"/>
    <n v="4"/>
    <n v="145.30487804878049"/>
    <n v="26.154878048780489"/>
    <x v="2"/>
    <m/>
  </r>
  <r>
    <n v="3436"/>
    <n v="38"/>
    <x v="1"/>
    <x v="5"/>
    <x v="5"/>
    <n v="2077.59"/>
    <x v="2"/>
    <x v="0"/>
    <n v="3.2"/>
    <n v="8"/>
    <n v="4"/>
    <n v="2258.25"/>
    <n v="180.65999999999985"/>
    <x v="1"/>
    <m/>
  </r>
  <r>
    <n v="3437"/>
    <n v="24"/>
    <x v="1"/>
    <x v="5"/>
    <x v="5"/>
    <n v="2160.6799999999998"/>
    <x v="2"/>
    <x v="0"/>
    <n v="2.7"/>
    <n v="6"/>
    <n v="3"/>
    <n v="2298.5957446808511"/>
    <n v="137.91574468085128"/>
    <x v="3"/>
    <m/>
  </r>
  <r>
    <n v="3438"/>
    <n v="45"/>
    <x v="1"/>
    <x v="7"/>
    <x v="11"/>
    <n v="179.48"/>
    <x v="0"/>
    <x v="0"/>
    <n v="3.9"/>
    <n v="13"/>
    <n v="4"/>
    <n v="206.29885057471265"/>
    <n v="26.818850574712656"/>
    <x v="4"/>
    <m/>
  </r>
  <r>
    <n v="3439"/>
    <n v="63"/>
    <x v="1"/>
    <x v="3"/>
    <x v="24"/>
    <n v="49.32"/>
    <x v="2"/>
    <x v="1"/>
    <n v="3.6"/>
    <n v="18"/>
    <n v="4"/>
    <n v="60.146341463414629"/>
    <n v="10.826341463414629"/>
    <x v="0"/>
    <m/>
  </r>
  <r>
    <n v="3440"/>
    <n v="55"/>
    <x v="1"/>
    <x v="5"/>
    <x v="25"/>
    <n v="844.6"/>
    <x v="2"/>
    <x v="0"/>
    <n v="4.7"/>
    <n v="4"/>
    <n v="2"/>
    <n v="879.79166666666674"/>
    <n v="35.19166666666672"/>
    <x v="0"/>
    <m/>
  </r>
  <r>
    <n v="3441"/>
    <n v="58"/>
    <x v="0"/>
    <x v="4"/>
    <x v="26"/>
    <n v="61.51"/>
    <x v="0"/>
    <x v="0"/>
    <n v="2.9"/>
    <n v="10"/>
    <n v="5"/>
    <n v="68.344444444444434"/>
    <n v="6.8344444444444363"/>
    <x v="0"/>
    <m/>
  </r>
  <r>
    <n v="3442"/>
    <n v="20"/>
    <x v="1"/>
    <x v="5"/>
    <x v="5"/>
    <n v="1267.3900000000001"/>
    <x v="3"/>
    <x v="0"/>
    <n v="3.5"/>
    <n v="6"/>
    <n v="3"/>
    <n v="1348.2872340425533"/>
    <n v="80.897234042553237"/>
    <x v="3"/>
    <m/>
  </r>
  <r>
    <n v="3443"/>
    <n v="51"/>
    <x v="0"/>
    <x v="0"/>
    <x v="0"/>
    <n v="89.15"/>
    <x v="3"/>
    <x v="1"/>
    <n v="3"/>
    <n v="14"/>
    <n v="7"/>
    <n v="103.66279069767442"/>
    <n v="14.512790697674419"/>
    <x v="4"/>
    <m/>
  </r>
  <r>
    <n v="3444"/>
    <n v="59"/>
    <x v="0"/>
    <x v="6"/>
    <x v="6"/>
    <n v="31.16"/>
    <x v="0"/>
    <x v="1"/>
    <n v="3.7"/>
    <n v="15"/>
    <n v="5"/>
    <n v="36.658823529411762"/>
    <n v="5.4988235294117622"/>
    <x v="0"/>
    <m/>
  </r>
  <r>
    <n v="3445"/>
    <n v="20"/>
    <x v="0"/>
    <x v="4"/>
    <x v="19"/>
    <n v="40.090000000000003"/>
    <x v="1"/>
    <x v="1"/>
    <n v="4.9000000000000004"/>
    <n v="20"/>
    <n v="5"/>
    <n v="50.112500000000004"/>
    <n v="10.022500000000001"/>
    <x v="3"/>
    <m/>
  </r>
  <r>
    <n v="3446"/>
    <n v="33"/>
    <x v="0"/>
    <x v="7"/>
    <x v="13"/>
    <n v="94.64"/>
    <x v="3"/>
    <x v="1"/>
    <n v="4.9000000000000004"/>
    <n v="20"/>
    <n v="5"/>
    <n v="118.3"/>
    <n v="23.659999999999997"/>
    <x v="5"/>
    <m/>
  </r>
  <r>
    <n v="3447"/>
    <n v="46"/>
    <x v="0"/>
    <x v="4"/>
    <x v="19"/>
    <n v="47.53"/>
    <x v="2"/>
    <x v="1"/>
    <n v="3.4"/>
    <n v="11"/>
    <n v="3"/>
    <n v="53.40449438202247"/>
    <n v="5.8744943820224691"/>
    <x v="4"/>
    <m/>
  </r>
  <r>
    <n v="3448"/>
    <n v="29"/>
    <x v="1"/>
    <x v="7"/>
    <x v="13"/>
    <n v="51.72"/>
    <x v="2"/>
    <x v="0"/>
    <n v="3.9"/>
    <n v="17"/>
    <n v="6"/>
    <n v="62.313253012048193"/>
    <n v="10.593253012048194"/>
    <x v="5"/>
    <m/>
  </r>
  <r>
    <n v="3449"/>
    <n v="59"/>
    <x v="0"/>
    <x v="4"/>
    <x v="29"/>
    <n v="63.38"/>
    <x v="0"/>
    <x v="0"/>
    <n v="3.1"/>
    <n v="26"/>
    <n v="8"/>
    <n v="85.64864864864866"/>
    <n v="22.268648648648657"/>
    <x v="0"/>
    <m/>
  </r>
  <r>
    <n v="3450"/>
    <n v="37"/>
    <x v="0"/>
    <x v="6"/>
    <x v="6"/>
    <n v="37.64"/>
    <x v="1"/>
    <x v="0"/>
    <n v="2.9"/>
    <n v="15"/>
    <n v="5"/>
    <n v="44.28235294117647"/>
    <n v="6.642352941176469"/>
    <x v="1"/>
    <m/>
  </r>
  <r>
    <n v="3451"/>
    <n v="43"/>
    <x v="0"/>
    <x v="7"/>
    <x v="11"/>
    <n v="183.45"/>
    <x v="0"/>
    <x v="0"/>
    <n v="4.4000000000000004"/>
    <n v="28"/>
    <n v="9"/>
    <n v="254.79166666666666"/>
    <n v="71.341666666666669"/>
    <x v="1"/>
    <m/>
  </r>
  <r>
    <n v="3452"/>
    <n v="38"/>
    <x v="0"/>
    <x v="2"/>
    <x v="12"/>
    <n v="103.8"/>
    <x v="3"/>
    <x v="0"/>
    <n v="3.4"/>
    <n v="21"/>
    <n v="8"/>
    <n v="131.39240506329114"/>
    <n v="27.592405063291139"/>
    <x v="1"/>
    <m/>
  </r>
  <r>
    <n v="3453"/>
    <n v="25"/>
    <x v="1"/>
    <x v="1"/>
    <x v="9"/>
    <n v="86.2"/>
    <x v="1"/>
    <x v="0"/>
    <n v="3.9"/>
    <n v="25"/>
    <n v="10"/>
    <n v="114.93333333333334"/>
    <n v="28.733333333333334"/>
    <x v="5"/>
    <m/>
  </r>
  <r>
    <n v="3454"/>
    <n v="25"/>
    <x v="1"/>
    <x v="2"/>
    <x v="10"/>
    <n v="134.38"/>
    <x v="2"/>
    <x v="0"/>
    <n v="3.8"/>
    <n v="9"/>
    <n v="2"/>
    <n v="147.67032967032966"/>
    <n v="13.290329670329669"/>
    <x v="5"/>
    <m/>
  </r>
  <r>
    <n v="3455"/>
    <n v="50"/>
    <x v="1"/>
    <x v="5"/>
    <x v="25"/>
    <n v="2994.62"/>
    <x v="0"/>
    <x v="0"/>
    <n v="3.6"/>
    <n v="25"/>
    <n v="10"/>
    <n v="3992.8266666666664"/>
    <n v="998.20666666666648"/>
    <x v="4"/>
    <m/>
  </r>
  <r>
    <n v="3456"/>
    <n v="23"/>
    <x v="0"/>
    <x v="8"/>
    <x v="14"/>
    <n v="130.04"/>
    <x v="1"/>
    <x v="0"/>
    <n v="3.8"/>
    <n v="20"/>
    <n v="5"/>
    <n v="162.54999999999998"/>
    <n v="32.509999999999991"/>
    <x v="3"/>
    <m/>
  </r>
  <r>
    <n v="3457"/>
    <n v="44"/>
    <x v="0"/>
    <x v="3"/>
    <x v="15"/>
    <n v="218.77"/>
    <x v="2"/>
    <x v="0"/>
    <n v="5"/>
    <n v="28"/>
    <n v="9"/>
    <n v="303.84722222222223"/>
    <n v="85.077222222222218"/>
    <x v="1"/>
    <m/>
  </r>
  <r>
    <n v="3458"/>
    <n v="33"/>
    <x v="0"/>
    <x v="8"/>
    <x v="16"/>
    <n v="110.92"/>
    <x v="2"/>
    <x v="0"/>
    <n v="3.7"/>
    <n v="10"/>
    <n v="5"/>
    <n v="123.24444444444444"/>
    <n v="12.324444444444438"/>
    <x v="5"/>
    <m/>
  </r>
  <r>
    <n v="3459"/>
    <n v="20"/>
    <x v="1"/>
    <x v="4"/>
    <x v="29"/>
    <n v="31.55"/>
    <x v="0"/>
    <x v="1"/>
    <n v="4.3"/>
    <n v="12"/>
    <n v="1"/>
    <n v="35.852272727272727"/>
    <n v="4.3022727272727259"/>
    <x v="3"/>
    <m/>
  </r>
  <r>
    <n v="3460"/>
    <n v="56"/>
    <x v="0"/>
    <x v="8"/>
    <x v="16"/>
    <n v="66.72"/>
    <x v="2"/>
    <x v="0"/>
    <n v="4.8"/>
    <n v="20"/>
    <n v="5"/>
    <n v="83.399999999999991"/>
    <n v="16.679999999999993"/>
    <x v="0"/>
    <m/>
  </r>
  <r>
    <n v="3461"/>
    <n v="70"/>
    <x v="1"/>
    <x v="7"/>
    <x v="11"/>
    <n v="216.39"/>
    <x v="3"/>
    <x v="0"/>
    <n v="4.5"/>
    <n v="14"/>
    <n v="2"/>
    <n v="251.61627906976744"/>
    <n v="35.226279069767457"/>
    <x v="2"/>
    <m/>
  </r>
  <r>
    <n v="3462"/>
    <n v="55"/>
    <x v="0"/>
    <x v="7"/>
    <x v="8"/>
    <n v="166.18"/>
    <x v="3"/>
    <x v="0"/>
    <n v="4.0999999999999996"/>
    <n v="6"/>
    <n v="3"/>
    <n v="176.78723404255322"/>
    <n v="10.607234042553216"/>
    <x v="0"/>
    <m/>
  </r>
  <r>
    <n v="3463"/>
    <n v="24"/>
    <x v="1"/>
    <x v="7"/>
    <x v="11"/>
    <n v="74.739999999999995"/>
    <x v="3"/>
    <x v="1"/>
    <n v="4.0999999999999996"/>
    <n v="14"/>
    <n v="7"/>
    <n v="86.906976744186039"/>
    <n v="12.166976744186044"/>
    <x v="3"/>
    <m/>
  </r>
  <r>
    <n v="3464"/>
    <n v="34"/>
    <x v="0"/>
    <x v="8"/>
    <x v="16"/>
    <n v="77.55"/>
    <x v="1"/>
    <x v="1"/>
    <n v="4.2"/>
    <n v="10"/>
    <n v="5"/>
    <n v="86.166666666666657"/>
    <n v="8.61666666666666"/>
    <x v="5"/>
    <m/>
  </r>
  <r>
    <n v="3465"/>
    <n v="45"/>
    <x v="0"/>
    <x v="7"/>
    <x v="13"/>
    <n v="66.040000000000006"/>
    <x v="1"/>
    <x v="0"/>
    <n v="3.7"/>
    <n v="11"/>
    <n v="3"/>
    <n v="74.202247191011239"/>
    <n v="8.1622471910112324"/>
    <x v="4"/>
    <m/>
  </r>
  <r>
    <n v="3466"/>
    <n v="49"/>
    <x v="1"/>
    <x v="7"/>
    <x v="8"/>
    <n v="101"/>
    <x v="0"/>
    <x v="0"/>
    <n v="4.5999999999999996"/>
    <n v="18"/>
    <n v="9"/>
    <n v="123.17073170731706"/>
    <n v="22.17073170731706"/>
    <x v="4"/>
    <m/>
  </r>
  <r>
    <n v="3467"/>
    <n v="68"/>
    <x v="0"/>
    <x v="6"/>
    <x v="6"/>
    <n v="110.3"/>
    <x v="1"/>
    <x v="0"/>
    <n v="2.8"/>
    <n v="14"/>
    <n v="7"/>
    <n v="128.25581395348837"/>
    <n v="17.955813953488374"/>
    <x v="2"/>
    <m/>
  </r>
  <r>
    <n v="3468"/>
    <n v="26"/>
    <x v="0"/>
    <x v="6"/>
    <x v="27"/>
    <n v="101.16"/>
    <x v="3"/>
    <x v="0"/>
    <n v="4.0999999999999996"/>
    <n v="16"/>
    <n v="3"/>
    <n v="120.42857142857143"/>
    <n v="19.268571428571434"/>
    <x v="5"/>
    <m/>
  </r>
  <r>
    <n v="3469"/>
    <n v="52"/>
    <x v="0"/>
    <x v="7"/>
    <x v="13"/>
    <n v="236.38"/>
    <x v="1"/>
    <x v="0"/>
    <n v="3.6"/>
    <n v="11"/>
    <n v="3"/>
    <n v="265.59550561797749"/>
    <n v="29.215505617977499"/>
    <x v="4"/>
    <m/>
  </r>
  <r>
    <n v="3470"/>
    <n v="66"/>
    <x v="1"/>
    <x v="1"/>
    <x v="9"/>
    <n v="164.23"/>
    <x v="3"/>
    <x v="0"/>
    <n v="4.0999999999999996"/>
    <n v="17"/>
    <n v="6"/>
    <n v="197.86746987951807"/>
    <n v="33.637469879518079"/>
    <x v="2"/>
    <m/>
  </r>
  <r>
    <n v="3471"/>
    <n v="53"/>
    <x v="1"/>
    <x v="2"/>
    <x v="12"/>
    <n v="205.45"/>
    <x v="3"/>
    <x v="0"/>
    <n v="4.2"/>
    <n v="12"/>
    <n v="6"/>
    <n v="233.46590909090907"/>
    <n v="28.015909090909076"/>
    <x v="4"/>
    <m/>
  </r>
  <r>
    <n v="3472"/>
    <n v="44"/>
    <x v="0"/>
    <x v="8"/>
    <x v="18"/>
    <n v="61.41"/>
    <x v="2"/>
    <x v="0"/>
    <n v="4.5999999999999996"/>
    <n v="22"/>
    <n v="6"/>
    <n v="78.730769230769226"/>
    <n v="17.32076923076923"/>
    <x v="1"/>
    <m/>
  </r>
  <r>
    <n v="3473"/>
    <n v="44"/>
    <x v="0"/>
    <x v="0"/>
    <x v="22"/>
    <n v="79.900000000000006"/>
    <x v="2"/>
    <x v="0"/>
    <n v="3.2"/>
    <n v="16"/>
    <n v="3"/>
    <n v="95.119047619047635"/>
    <n v="15.219047619047629"/>
    <x v="1"/>
    <m/>
  </r>
  <r>
    <n v="3474"/>
    <n v="37"/>
    <x v="1"/>
    <x v="2"/>
    <x v="12"/>
    <n v="228.81"/>
    <x v="2"/>
    <x v="0"/>
    <n v="3.9"/>
    <n v="22"/>
    <n v="6"/>
    <n v="293.34615384615381"/>
    <n v="64.536153846153809"/>
    <x v="1"/>
    <m/>
  </r>
  <r>
    <n v="3475"/>
    <n v="30"/>
    <x v="0"/>
    <x v="6"/>
    <x v="23"/>
    <n v="146.26"/>
    <x v="2"/>
    <x v="0"/>
    <n v="3.4"/>
    <n v="8"/>
    <n v="4"/>
    <n v="158.97826086956519"/>
    <n v="12.718260869565199"/>
    <x v="5"/>
    <m/>
  </r>
  <r>
    <n v="3476"/>
    <n v="58"/>
    <x v="0"/>
    <x v="6"/>
    <x v="6"/>
    <n v="58.29"/>
    <x v="3"/>
    <x v="1"/>
    <n v="1.9"/>
    <n v="8"/>
    <n v="4"/>
    <n v="63.358695652173907"/>
    <n v="5.0686956521739077"/>
    <x v="0"/>
    <m/>
  </r>
  <r>
    <n v="3477"/>
    <n v="42"/>
    <x v="1"/>
    <x v="3"/>
    <x v="3"/>
    <n v="61.68"/>
    <x v="2"/>
    <x v="0"/>
    <n v="5"/>
    <n v="17"/>
    <n v="6"/>
    <n v="74.313253012048193"/>
    <n v="12.633253012048193"/>
    <x v="1"/>
    <m/>
  </r>
  <r>
    <n v="3478"/>
    <n v="46"/>
    <x v="1"/>
    <x v="1"/>
    <x v="1"/>
    <n v="76.22"/>
    <x v="2"/>
    <x v="1"/>
    <n v="4.7"/>
    <n v="16"/>
    <n v="8"/>
    <n v="90.738095238095241"/>
    <n v="14.518095238095242"/>
    <x v="4"/>
    <m/>
  </r>
  <r>
    <n v="3479"/>
    <n v="23"/>
    <x v="0"/>
    <x v="8"/>
    <x v="16"/>
    <n v="93.3"/>
    <x v="0"/>
    <x v="0"/>
    <n v="3.6"/>
    <n v="14"/>
    <n v="2"/>
    <n v="108.48837209302326"/>
    <n v="15.188372093023261"/>
    <x v="3"/>
    <m/>
  </r>
  <r>
    <n v="3480"/>
    <n v="41"/>
    <x v="1"/>
    <x v="2"/>
    <x v="12"/>
    <n v="50.96"/>
    <x v="3"/>
    <x v="0"/>
    <n v="3.7"/>
    <n v="22"/>
    <n v="6"/>
    <n v="65.333333333333329"/>
    <n v="14.373333333333328"/>
    <x v="1"/>
    <m/>
  </r>
  <r>
    <n v="3481"/>
    <n v="29"/>
    <x v="1"/>
    <x v="1"/>
    <x v="9"/>
    <n v="88.61"/>
    <x v="2"/>
    <x v="1"/>
    <n v="2.7"/>
    <n v="15"/>
    <n v="5"/>
    <n v="104.24705882352941"/>
    <n v="15.637058823529415"/>
    <x v="5"/>
    <m/>
  </r>
  <r>
    <n v="3482"/>
    <n v="38"/>
    <x v="1"/>
    <x v="7"/>
    <x v="13"/>
    <n v="128.69"/>
    <x v="1"/>
    <x v="0"/>
    <n v="4.0999999999999996"/>
    <n v="12"/>
    <n v="6"/>
    <n v="146.23863636363637"/>
    <n v="17.548636363636376"/>
    <x v="1"/>
    <m/>
  </r>
  <r>
    <n v="3483"/>
    <n v="61"/>
    <x v="0"/>
    <x v="7"/>
    <x v="8"/>
    <n v="58.31"/>
    <x v="3"/>
    <x v="1"/>
    <n v="4.3"/>
    <n v="22"/>
    <n v="6"/>
    <n v="74.756410256410263"/>
    <n v="16.44641025641026"/>
    <x v="0"/>
    <m/>
  </r>
  <r>
    <n v="3484"/>
    <n v="33"/>
    <x v="0"/>
    <x v="3"/>
    <x v="24"/>
    <n v="144.94999999999999"/>
    <x v="2"/>
    <x v="0"/>
    <n v="3.6"/>
    <n v="12"/>
    <n v="1"/>
    <n v="164.71590909090907"/>
    <n v="19.765909090909076"/>
    <x v="5"/>
    <m/>
  </r>
  <r>
    <n v="3485"/>
    <n v="61"/>
    <x v="1"/>
    <x v="1"/>
    <x v="1"/>
    <n v="160.36000000000001"/>
    <x v="2"/>
    <x v="0"/>
    <n v="2.7"/>
    <n v="6"/>
    <n v="3"/>
    <n v="170.59574468085108"/>
    <n v="10.23574468085107"/>
    <x v="0"/>
    <m/>
  </r>
  <r>
    <n v="3486"/>
    <n v="42"/>
    <x v="0"/>
    <x v="7"/>
    <x v="8"/>
    <n v="225.91"/>
    <x v="2"/>
    <x v="0"/>
    <n v="3.7"/>
    <n v="10"/>
    <n v="5"/>
    <n v="251.01111111111109"/>
    <n v="25.101111111111095"/>
    <x v="1"/>
    <m/>
  </r>
  <r>
    <n v="3487"/>
    <n v="28"/>
    <x v="0"/>
    <x v="8"/>
    <x v="14"/>
    <n v="57.14"/>
    <x v="3"/>
    <x v="1"/>
    <n v="3.1"/>
    <n v="13"/>
    <n v="4"/>
    <n v="65.678160919540232"/>
    <n v="8.5381609195402319"/>
    <x v="5"/>
    <m/>
  </r>
  <r>
    <n v="3488"/>
    <n v="53"/>
    <x v="1"/>
    <x v="1"/>
    <x v="9"/>
    <n v="133.94"/>
    <x v="0"/>
    <x v="0"/>
    <n v="4.3"/>
    <n v="18"/>
    <n v="4"/>
    <n v="163.34146341463412"/>
    <n v="29.401463414634122"/>
    <x v="4"/>
    <m/>
  </r>
  <r>
    <n v="3489"/>
    <n v="64"/>
    <x v="0"/>
    <x v="6"/>
    <x v="6"/>
    <n v="57.54"/>
    <x v="3"/>
    <x v="0"/>
    <n v="5"/>
    <n v="18"/>
    <n v="4"/>
    <n v="70.17073170731706"/>
    <n v="12.630731707317061"/>
    <x v="0"/>
    <m/>
  </r>
  <r>
    <n v="3490"/>
    <n v="64"/>
    <x v="1"/>
    <x v="1"/>
    <x v="1"/>
    <n v="76.87"/>
    <x v="3"/>
    <x v="0"/>
    <n v="3.9"/>
    <n v="6"/>
    <n v="3"/>
    <n v="81.776595744680861"/>
    <n v="4.9065957446808568"/>
    <x v="0"/>
    <m/>
  </r>
  <r>
    <n v="3491"/>
    <n v="68"/>
    <x v="1"/>
    <x v="2"/>
    <x v="2"/>
    <n v="32.729999999999997"/>
    <x v="1"/>
    <x v="1"/>
    <n v="3.9"/>
    <n v="18"/>
    <n v="9"/>
    <n v="39.914634146341456"/>
    <n v="7.1846341463414589"/>
    <x v="2"/>
    <m/>
  </r>
  <r>
    <n v="3492"/>
    <n v="34"/>
    <x v="1"/>
    <x v="1"/>
    <x v="9"/>
    <n v="56.59"/>
    <x v="1"/>
    <x v="1"/>
    <n v="3.9"/>
    <n v="18"/>
    <n v="4"/>
    <n v="69.012195121951223"/>
    <n v="12.422195121951219"/>
    <x v="5"/>
    <m/>
  </r>
  <r>
    <n v="3493"/>
    <n v="57"/>
    <x v="0"/>
    <x v="8"/>
    <x v="14"/>
    <n v="113.82"/>
    <x v="0"/>
    <x v="0"/>
    <n v="3.1"/>
    <n v="8"/>
    <n v="4"/>
    <n v="123.71739130434781"/>
    <n v="9.8973913043478206"/>
    <x v="0"/>
    <m/>
  </r>
  <r>
    <n v="3494"/>
    <n v="50"/>
    <x v="0"/>
    <x v="8"/>
    <x v="14"/>
    <n v="34.270000000000003"/>
    <x v="3"/>
    <x v="0"/>
    <n v="4.2"/>
    <n v="21"/>
    <n v="8"/>
    <n v="43.379746835443036"/>
    <n v="9.1097468354430333"/>
    <x v="4"/>
    <m/>
  </r>
  <r>
    <n v="3495"/>
    <n v="45"/>
    <x v="1"/>
    <x v="5"/>
    <x v="21"/>
    <n v="1460.58"/>
    <x v="2"/>
    <x v="0"/>
    <n v="4.3"/>
    <n v="8"/>
    <n v="4"/>
    <n v="1587.586956521739"/>
    <n v="127.00695652173908"/>
    <x v="4"/>
    <m/>
  </r>
  <r>
    <n v="3496"/>
    <n v="23"/>
    <x v="1"/>
    <x v="2"/>
    <x v="10"/>
    <n v="207.34"/>
    <x v="3"/>
    <x v="0"/>
    <n v="4.4000000000000004"/>
    <n v="16"/>
    <n v="8"/>
    <n v="246.83333333333334"/>
    <n v="39.493333333333339"/>
    <x v="3"/>
    <m/>
  </r>
  <r>
    <n v="3497"/>
    <n v="33"/>
    <x v="0"/>
    <x v="8"/>
    <x v="14"/>
    <n v="79.55"/>
    <x v="1"/>
    <x v="0"/>
    <n v="4.4000000000000004"/>
    <n v="20"/>
    <n v="5"/>
    <n v="99.437499999999986"/>
    <n v="19.887499999999989"/>
    <x v="5"/>
    <m/>
  </r>
  <r>
    <n v="3498"/>
    <n v="38"/>
    <x v="1"/>
    <x v="7"/>
    <x v="11"/>
    <n v="171"/>
    <x v="0"/>
    <x v="0"/>
    <n v="2.7"/>
    <n v="12"/>
    <n v="6"/>
    <n v="194.31818181818181"/>
    <n v="23.318181818181813"/>
    <x v="1"/>
    <m/>
  </r>
  <r>
    <n v="3499"/>
    <n v="50"/>
    <x v="0"/>
    <x v="7"/>
    <x v="11"/>
    <n v="109.47"/>
    <x v="0"/>
    <x v="0"/>
    <n v="3.9"/>
    <n v="15"/>
    <n v="5"/>
    <n v="128.78823529411764"/>
    <n v="19.318235294117642"/>
    <x v="4"/>
    <m/>
  </r>
  <r>
    <n v="3500"/>
    <n v="33"/>
    <x v="1"/>
    <x v="5"/>
    <x v="5"/>
    <n v="2664.84"/>
    <x v="2"/>
    <x v="0"/>
    <n v="5"/>
    <n v="22"/>
    <n v="6"/>
    <n v="3416.4615384615386"/>
    <n v="751.62153846153842"/>
    <x v="5"/>
    <m/>
  </r>
  <r>
    <n v="3501"/>
    <n v="38"/>
    <x v="0"/>
    <x v="0"/>
    <x v="22"/>
    <n v="126.81"/>
    <x v="1"/>
    <x v="0"/>
    <n v="4.0999999999999996"/>
    <n v="15"/>
    <n v="5"/>
    <n v="149.18823529411765"/>
    <n v="22.378235294117644"/>
    <x v="1"/>
    <m/>
  </r>
  <r>
    <n v="3502"/>
    <n v="40"/>
    <x v="1"/>
    <x v="2"/>
    <x v="10"/>
    <n v="200.09"/>
    <x v="3"/>
    <x v="0"/>
    <n v="3.7"/>
    <n v="20"/>
    <n v="5"/>
    <n v="250.11249999999998"/>
    <n v="50.02249999999998"/>
    <x v="1"/>
    <m/>
  </r>
  <r>
    <n v="3503"/>
    <n v="37"/>
    <x v="0"/>
    <x v="7"/>
    <x v="13"/>
    <n v="163.18"/>
    <x v="0"/>
    <x v="0"/>
    <n v="4.4000000000000004"/>
    <n v="20"/>
    <n v="5"/>
    <n v="203.97499999999999"/>
    <n v="40.794999999999987"/>
    <x v="1"/>
    <m/>
  </r>
  <r>
    <n v="3504"/>
    <n v="50"/>
    <x v="1"/>
    <x v="2"/>
    <x v="2"/>
    <n v="112.61"/>
    <x v="2"/>
    <x v="0"/>
    <n v="4.5"/>
    <n v="17"/>
    <n v="6"/>
    <n v="135.67469879518072"/>
    <n v="23.064698795180718"/>
    <x v="4"/>
    <m/>
  </r>
  <r>
    <n v="3505"/>
    <n v="47"/>
    <x v="0"/>
    <x v="4"/>
    <x v="4"/>
    <n v="73.2"/>
    <x v="3"/>
    <x v="1"/>
    <n v="3.6"/>
    <n v="22"/>
    <n v="6"/>
    <n v="93.84615384615384"/>
    <n v="20.646153846153837"/>
    <x v="4"/>
    <m/>
  </r>
  <r>
    <n v="3506"/>
    <n v="49"/>
    <x v="0"/>
    <x v="0"/>
    <x v="22"/>
    <n v="41.27"/>
    <x v="0"/>
    <x v="0"/>
    <n v="2.1"/>
    <n v="4"/>
    <n v="2"/>
    <n v="42.989583333333336"/>
    <n v="1.7195833333333326"/>
    <x v="4"/>
    <m/>
  </r>
  <r>
    <n v="3507"/>
    <n v="70"/>
    <x v="1"/>
    <x v="5"/>
    <x v="7"/>
    <n v="2742.82"/>
    <x v="3"/>
    <x v="0"/>
    <n v="4"/>
    <n v="22"/>
    <n v="6"/>
    <n v="3516.4358974358975"/>
    <n v="773.6158974358973"/>
    <x v="2"/>
    <m/>
  </r>
  <r>
    <n v="3508"/>
    <n v="32"/>
    <x v="0"/>
    <x v="4"/>
    <x v="29"/>
    <n v="9.6999999999999993"/>
    <x v="1"/>
    <x v="0"/>
    <n v="4.4000000000000004"/>
    <n v="10"/>
    <n v="5"/>
    <n v="10.777777777777777"/>
    <n v="1.0777777777777775"/>
    <x v="5"/>
    <m/>
  </r>
  <r>
    <n v="3509"/>
    <n v="65"/>
    <x v="0"/>
    <x v="0"/>
    <x v="22"/>
    <n v="34.49"/>
    <x v="1"/>
    <x v="0"/>
    <n v="3.1"/>
    <n v="22"/>
    <n v="6"/>
    <n v="44.217948717948723"/>
    <n v="9.7279487179487205"/>
    <x v="2"/>
    <m/>
  </r>
  <r>
    <n v="3510"/>
    <n v="39"/>
    <x v="1"/>
    <x v="1"/>
    <x v="14"/>
    <n v="84.03"/>
    <x v="2"/>
    <x v="1"/>
    <n v="4"/>
    <n v="11"/>
    <n v="3"/>
    <n v="94.415730337078656"/>
    <n v="10.385730337078655"/>
    <x v="1"/>
    <m/>
  </r>
  <r>
    <n v="3511"/>
    <n v="58"/>
    <x v="1"/>
    <x v="1"/>
    <x v="1"/>
    <n v="147.16999999999999"/>
    <x v="2"/>
    <x v="0"/>
    <n v="4.5"/>
    <n v="6"/>
    <n v="3"/>
    <n v="156.56382978723403"/>
    <n v="9.3938297872340399"/>
    <x v="0"/>
    <m/>
  </r>
  <r>
    <n v="3512"/>
    <n v="44"/>
    <x v="0"/>
    <x v="4"/>
    <x v="26"/>
    <n v="29.29"/>
    <x v="3"/>
    <x v="1"/>
    <n v="4.8"/>
    <n v="9"/>
    <n v="2"/>
    <n v="32.186813186813183"/>
    <n v="2.8968131868131834"/>
    <x v="1"/>
    <m/>
  </r>
  <r>
    <n v="3513"/>
    <n v="38"/>
    <x v="1"/>
    <x v="3"/>
    <x v="15"/>
    <n v="180.38"/>
    <x v="0"/>
    <x v="0"/>
    <n v="2.9"/>
    <n v="14"/>
    <n v="7"/>
    <n v="209.74418604651163"/>
    <n v="29.364186046511634"/>
    <x v="1"/>
    <m/>
  </r>
  <r>
    <n v="3514"/>
    <n v="65"/>
    <x v="1"/>
    <x v="5"/>
    <x v="25"/>
    <n v="1279.3"/>
    <x v="0"/>
    <x v="0"/>
    <n v="4.4000000000000004"/>
    <n v="11"/>
    <n v="3"/>
    <n v="1437.4157303370787"/>
    <n v="158.11573033707873"/>
    <x v="2"/>
    <m/>
  </r>
  <r>
    <n v="3515"/>
    <n v="23"/>
    <x v="0"/>
    <x v="8"/>
    <x v="16"/>
    <n v="31.4"/>
    <x v="3"/>
    <x v="1"/>
    <n v="3"/>
    <n v="8"/>
    <n v="4"/>
    <n v="34.130434782608695"/>
    <n v="2.7304347826086968"/>
    <x v="3"/>
    <m/>
  </r>
  <r>
    <n v="3516"/>
    <n v="20"/>
    <x v="0"/>
    <x v="4"/>
    <x v="29"/>
    <n v="47.95"/>
    <x v="1"/>
    <x v="0"/>
    <n v="4.3"/>
    <n v="24"/>
    <n v="7"/>
    <n v="63.092105263157897"/>
    <n v="15.142105263157895"/>
    <x v="3"/>
    <m/>
  </r>
  <r>
    <n v="3517"/>
    <n v="36"/>
    <x v="0"/>
    <x v="8"/>
    <x v="17"/>
    <n v="98.93"/>
    <x v="1"/>
    <x v="0"/>
    <n v="4.4000000000000004"/>
    <n v="10"/>
    <n v="5"/>
    <n v="109.92222222222223"/>
    <n v="10.992222222222225"/>
    <x v="1"/>
    <m/>
  </r>
  <r>
    <n v="3518"/>
    <n v="46"/>
    <x v="0"/>
    <x v="8"/>
    <x v="17"/>
    <n v="84.09"/>
    <x v="3"/>
    <x v="0"/>
    <n v="3.4"/>
    <n v="4"/>
    <n v="2"/>
    <n v="87.59375"/>
    <n v="3.5037499999999966"/>
    <x v="4"/>
    <m/>
  </r>
  <r>
    <n v="3519"/>
    <n v="45"/>
    <x v="1"/>
    <x v="7"/>
    <x v="11"/>
    <n v="174.22"/>
    <x v="3"/>
    <x v="0"/>
    <n v="4"/>
    <n v="13"/>
    <n v="4"/>
    <n v="200.2528735632184"/>
    <n v="26.032873563218402"/>
    <x v="4"/>
    <m/>
  </r>
  <r>
    <n v="3520"/>
    <n v="62"/>
    <x v="1"/>
    <x v="2"/>
    <x v="10"/>
    <n v="50.18"/>
    <x v="1"/>
    <x v="0"/>
    <n v="3.4"/>
    <n v="24"/>
    <n v="7"/>
    <n v="66.026315789473685"/>
    <n v="15.846315789473685"/>
    <x v="0"/>
    <m/>
  </r>
  <r>
    <n v="3521"/>
    <n v="66"/>
    <x v="1"/>
    <x v="5"/>
    <x v="7"/>
    <n v="2988.75"/>
    <x v="1"/>
    <x v="0"/>
    <n v="4.0999999999999996"/>
    <n v="8"/>
    <n v="4"/>
    <n v="3248.641304347826"/>
    <n v="259.89130434782601"/>
    <x v="2"/>
    <m/>
  </r>
  <r>
    <n v="3522"/>
    <n v="25"/>
    <x v="1"/>
    <x v="7"/>
    <x v="11"/>
    <n v="91.39"/>
    <x v="2"/>
    <x v="1"/>
    <n v="4.5999999999999996"/>
    <n v="21"/>
    <n v="8"/>
    <n v="115.68354430379746"/>
    <n v="24.293544303797461"/>
    <x v="5"/>
    <m/>
  </r>
  <r>
    <n v="3523"/>
    <n v="63"/>
    <x v="1"/>
    <x v="7"/>
    <x v="8"/>
    <n v="148.77000000000001"/>
    <x v="2"/>
    <x v="0"/>
    <n v="3.7"/>
    <n v="4"/>
    <n v="2"/>
    <n v="154.96875000000003"/>
    <n v="6.1987500000000182"/>
    <x v="0"/>
    <m/>
  </r>
  <r>
    <n v="3524"/>
    <n v="68"/>
    <x v="0"/>
    <x v="2"/>
    <x v="12"/>
    <n v="208.26"/>
    <x v="0"/>
    <x v="0"/>
    <n v="3.3"/>
    <n v="6"/>
    <n v="3"/>
    <n v="221.55319148936169"/>
    <n v="13.293191489361703"/>
    <x v="2"/>
    <m/>
  </r>
  <r>
    <n v="3525"/>
    <n v="41"/>
    <x v="1"/>
    <x v="4"/>
    <x v="4"/>
    <n v="75.680000000000007"/>
    <x v="0"/>
    <x v="1"/>
    <n v="4.7"/>
    <n v="12"/>
    <n v="1"/>
    <n v="86.000000000000014"/>
    <n v="10.320000000000007"/>
    <x v="1"/>
    <m/>
  </r>
  <r>
    <n v="3526"/>
    <n v="42"/>
    <x v="0"/>
    <x v="8"/>
    <x v="17"/>
    <n v="195.75"/>
    <x v="3"/>
    <x v="0"/>
    <n v="2.7"/>
    <n v="15"/>
    <n v="5"/>
    <n v="230.29411764705884"/>
    <n v="34.54411764705884"/>
    <x v="1"/>
    <m/>
  </r>
  <r>
    <n v="3527"/>
    <n v="20"/>
    <x v="0"/>
    <x v="8"/>
    <x v="16"/>
    <n v="101.76"/>
    <x v="0"/>
    <x v="0"/>
    <n v="3.6"/>
    <n v="4"/>
    <n v="2"/>
    <n v="106.00000000000001"/>
    <n v="4.2400000000000091"/>
    <x v="3"/>
    <m/>
  </r>
  <r>
    <n v="3528"/>
    <n v="62"/>
    <x v="1"/>
    <x v="7"/>
    <x v="8"/>
    <n v="162.80000000000001"/>
    <x v="0"/>
    <x v="0"/>
    <n v="4.3"/>
    <n v="22"/>
    <n v="6"/>
    <n v="208.71794871794873"/>
    <n v="45.917948717948718"/>
    <x v="0"/>
    <m/>
  </r>
  <r>
    <n v="3529"/>
    <n v="67"/>
    <x v="0"/>
    <x v="8"/>
    <x v="18"/>
    <n v="184.18"/>
    <x v="0"/>
    <x v="0"/>
    <n v="3.2"/>
    <n v="14"/>
    <n v="2"/>
    <n v="214.16279069767444"/>
    <n v="29.982790697674432"/>
    <x v="2"/>
    <m/>
  </r>
  <r>
    <n v="3530"/>
    <n v="27"/>
    <x v="0"/>
    <x v="6"/>
    <x v="27"/>
    <n v="92.28"/>
    <x v="2"/>
    <x v="1"/>
    <n v="4.2"/>
    <n v="14"/>
    <n v="2"/>
    <n v="107.30232558139535"/>
    <n v="15.02232558139535"/>
    <x v="5"/>
    <m/>
  </r>
  <r>
    <n v="3531"/>
    <n v="27"/>
    <x v="1"/>
    <x v="3"/>
    <x v="15"/>
    <n v="90.91"/>
    <x v="1"/>
    <x v="0"/>
    <n v="3.6"/>
    <n v="10"/>
    <n v="5"/>
    <n v="101.01111111111111"/>
    <n v="10.101111111111109"/>
    <x v="5"/>
    <m/>
  </r>
  <r>
    <n v="3532"/>
    <n v="69"/>
    <x v="1"/>
    <x v="2"/>
    <x v="10"/>
    <n v="213.7"/>
    <x v="3"/>
    <x v="0"/>
    <n v="3.7"/>
    <n v="6"/>
    <n v="3"/>
    <n v="227.34042553191489"/>
    <n v="13.6404255319149"/>
    <x v="2"/>
    <m/>
  </r>
  <r>
    <n v="3533"/>
    <n v="40"/>
    <x v="1"/>
    <x v="5"/>
    <x v="21"/>
    <n v="2397"/>
    <x v="2"/>
    <x v="0"/>
    <n v="4"/>
    <n v="32"/>
    <n v="11"/>
    <n v="3525.0000000000005"/>
    <n v="1128.0000000000005"/>
    <x v="1"/>
    <m/>
  </r>
  <r>
    <n v="3534"/>
    <n v="64"/>
    <x v="0"/>
    <x v="0"/>
    <x v="0"/>
    <n v="174.66"/>
    <x v="0"/>
    <x v="0"/>
    <n v="5"/>
    <n v="24"/>
    <n v="7"/>
    <n v="229.81578947368419"/>
    <n v="55.155789473684194"/>
    <x v="0"/>
    <m/>
  </r>
  <r>
    <n v="3535"/>
    <n v="34"/>
    <x v="1"/>
    <x v="5"/>
    <x v="7"/>
    <n v="2047.74"/>
    <x v="0"/>
    <x v="0"/>
    <n v="4"/>
    <n v="22"/>
    <n v="6"/>
    <n v="2625.3076923076924"/>
    <n v="577.56769230769237"/>
    <x v="5"/>
    <m/>
  </r>
  <r>
    <n v="3536"/>
    <n v="67"/>
    <x v="0"/>
    <x v="8"/>
    <x v="16"/>
    <n v="148.32"/>
    <x v="1"/>
    <x v="0"/>
    <n v="4.5"/>
    <n v="20"/>
    <n v="5"/>
    <n v="185.39999999999998"/>
    <n v="37.079999999999984"/>
    <x v="2"/>
    <m/>
  </r>
  <r>
    <n v="3537"/>
    <n v="27"/>
    <x v="1"/>
    <x v="2"/>
    <x v="2"/>
    <n v="118.03"/>
    <x v="1"/>
    <x v="0"/>
    <n v="4"/>
    <n v="19"/>
    <n v="7"/>
    <n v="145.71604938271605"/>
    <n v="27.68604938271605"/>
    <x v="5"/>
    <m/>
  </r>
  <r>
    <n v="3538"/>
    <n v="33"/>
    <x v="0"/>
    <x v="6"/>
    <x v="27"/>
    <n v="55.18"/>
    <x v="2"/>
    <x v="0"/>
    <n v="3.4"/>
    <n v="13"/>
    <n v="4"/>
    <n v="63.425287356321839"/>
    <n v="8.245287356321839"/>
    <x v="5"/>
    <m/>
  </r>
  <r>
    <n v="3539"/>
    <n v="57"/>
    <x v="0"/>
    <x v="0"/>
    <x v="28"/>
    <n v="39.68"/>
    <x v="3"/>
    <x v="1"/>
    <n v="3.4"/>
    <n v="10"/>
    <n v="5"/>
    <n v="44.088888888888889"/>
    <n v="4.4088888888888889"/>
    <x v="0"/>
    <m/>
  </r>
  <r>
    <n v="3540"/>
    <n v="47"/>
    <x v="1"/>
    <x v="7"/>
    <x v="8"/>
    <n v="138.35"/>
    <x v="0"/>
    <x v="0"/>
    <n v="4.5999999999999996"/>
    <n v="15"/>
    <n v="5"/>
    <n v="162.76470588235293"/>
    <n v="24.414705882352933"/>
    <x v="4"/>
    <m/>
  </r>
  <r>
    <n v="3541"/>
    <n v="20"/>
    <x v="0"/>
    <x v="7"/>
    <x v="8"/>
    <n v="80.11"/>
    <x v="2"/>
    <x v="0"/>
    <n v="4.5999999999999996"/>
    <n v="10"/>
    <n v="5"/>
    <n v="89.011111111111106"/>
    <n v="8.9011111111111063"/>
    <x v="3"/>
    <m/>
  </r>
  <r>
    <n v="3542"/>
    <n v="58"/>
    <x v="0"/>
    <x v="0"/>
    <x v="0"/>
    <n v="97.52"/>
    <x v="1"/>
    <x v="1"/>
    <n v="2.8"/>
    <n v="10"/>
    <n v="5"/>
    <n v="108.35555555555555"/>
    <n v="10.835555555555558"/>
    <x v="0"/>
    <m/>
  </r>
  <r>
    <n v="3543"/>
    <n v="29"/>
    <x v="0"/>
    <x v="0"/>
    <x v="28"/>
    <n v="135.41999999999999"/>
    <x v="1"/>
    <x v="0"/>
    <n v="3.7"/>
    <n v="10"/>
    <n v="5"/>
    <n v="150.46666666666664"/>
    <n v="15.046666666666653"/>
    <x v="5"/>
    <m/>
  </r>
  <r>
    <n v="3544"/>
    <n v="68"/>
    <x v="1"/>
    <x v="1"/>
    <x v="1"/>
    <n v="95.18"/>
    <x v="0"/>
    <x v="0"/>
    <n v="4.4000000000000004"/>
    <n v="17"/>
    <n v="6"/>
    <n v="114.67469879518073"/>
    <n v="19.494698795180724"/>
    <x v="2"/>
    <m/>
  </r>
  <r>
    <n v="3545"/>
    <n v="50"/>
    <x v="0"/>
    <x v="6"/>
    <x v="27"/>
    <n v="121.73"/>
    <x v="2"/>
    <x v="0"/>
    <n v="4.0999999999999996"/>
    <n v="28"/>
    <n v="9"/>
    <n v="169.06944444444446"/>
    <n v="47.339444444444453"/>
    <x v="4"/>
    <m/>
  </r>
  <r>
    <n v="3546"/>
    <n v="21"/>
    <x v="0"/>
    <x v="8"/>
    <x v="18"/>
    <n v="155.07"/>
    <x v="3"/>
    <x v="0"/>
    <n v="3"/>
    <n v="13"/>
    <n v="4"/>
    <n v="178.24137931034483"/>
    <n v="23.171379310344832"/>
    <x v="3"/>
    <m/>
  </r>
  <r>
    <n v="3547"/>
    <n v="65"/>
    <x v="1"/>
    <x v="1"/>
    <x v="1"/>
    <n v="146.36000000000001"/>
    <x v="3"/>
    <x v="0"/>
    <n v="2.5"/>
    <n v="2"/>
    <n v="1"/>
    <n v="149.34693877551021"/>
    <n v="2.9869387755101968"/>
    <x v="2"/>
    <m/>
  </r>
  <r>
    <n v="3548"/>
    <n v="67"/>
    <x v="1"/>
    <x v="2"/>
    <x v="10"/>
    <n v="222.83"/>
    <x v="3"/>
    <x v="0"/>
    <n v="4.8"/>
    <n v="13"/>
    <n v="4"/>
    <n v="256.12643678160919"/>
    <n v="33.296436781609174"/>
    <x v="2"/>
    <m/>
  </r>
  <r>
    <n v="3549"/>
    <n v="28"/>
    <x v="0"/>
    <x v="7"/>
    <x v="11"/>
    <n v="237.96"/>
    <x v="0"/>
    <x v="0"/>
    <n v="4.7"/>
    <n v="9"/>
    <n v="2"/>
    <n v="261.49450549450552"/>
    <n v="23.53450549450551"/>
    <x v="5"/>
    <m/>
  </r>
  <r>
    <n v="3550"/>
    <n v="53"/>
    <x v="0"/>
    <x v="8"/>
    <x v="18"/>
    <n v="182.1"/>
    <x v="0"/>
    <x v="0"/>
    <n v="2.8"/>
    <n v="13"/>
    <n v="4"/>
    <n v="209.31034482758619"/>
    <n v="27.210344827586198"/>
    <x v="4"/>
    <m/>
  </r>
  <r>
    <n v="3551"/>
    <n v="53"/>
    <x v="1"/>
    <x v="5"/>
    <x v="25"/>
    <n v="2807.25"/>
    <x v="3"/>
    <x v="0"/>
    <n v="2.7"/>
    <n v="22"/>
    <n v="6"/>
    <n v="3599.0384615384614"/>
    <n v="791.78846153846143"/>
    <x v="4"/>
    <m/>
  </r>
  <r>
    <n v="3552"/>
    <n v="24"/>
    <x v="1"/>
    <x v="2"/>
    <x v="12"/>
    <n v="140.57"/>
    <x v="0"/>
    <x v="0"/>
    <n v="4.0999999999999996"/>
    <n v="10"/>
    <n v="5"/>
    <n v="156.18888888888887"/>
    <n v="15.618888888888875"/>
    <x v="3"/>
    <m/>
  </r>
  <r>
    <n v="3553"/>
    <n v="68"/>
    <x v="1"/>
    <x v="4"/>
    <x v="29"/>
    <n v="77.77"/>
    <x v="2"/>
    <x v="1"/>
    <n v="3.6"/>
    <n v="10"/>
    <n v="5"/>
    <n v="86.411111111111111"/>
    <n v="8.6411111111111154"/>
    <x v="2"/>
    <m/>
  </r>
  <r>
    <n v="3554"/>
    <n v="70"/>
    <x v="0"/>
    <x v="7"/>
    <x v="8"/>
    <n v="165.35"/>
    <x v="0"/>
    <x v="0"/>
    <n v="4.0999999999999996"/>
    <n v="6"/>
    <n v="3"/>
    <n v="175.90425531914894"/>
    <n v="10.55425531914895"/>
    <x v="2"/>
    <m/>
  </r>
  <r>
    <n v="3555"/>
    <n v="43"/>
    <x v="1"/>
    <x v="2"/>
    <x v="10"/>
    <n v="246.24"/>
    <x v="2"/>
    <x v="0"/>
    <n v="4.5"/>
    <n v="14"/>
    <n v="2"/>
    <n v="286.32558139534888"/>
    <n v="40.085581395348868"/>
    <x v="1"/>
    <m/>
  </r>
  <r>
    <n v="3556"/>
    <n v="26"/>
    <x v="0"/>
    <x v="6"/>
    <x v="23"/>
    <n v="121.85"/>
    <x v="3"/>
    <x v="0"/>
    <n v="4.0999999999999996"/>
    <n v="11"/>
    <n v="3"/>
    <n v="136.91011235955057"/>
    <n v="15.060112359550573"/>
    <x v="5"/>
    <m/>
  </r>
  <r>
    <n v="3557"/>
    <n v="21"/>
    <x v="1"/>
    <x v="2"/>
    <x v="12"/>
    <n v="244.91"/>
    <x v="2"/>
    <x v="0"/>
    <n v="2.9"/>
    <n v="6"/>
    <n v="3"/>
    <n v="260.54255319148939"/>
    <n v="15.632553191489393"/>
    <x v="3"/>
    <m/>
  </r>
  <r>
    <n v="3558"/>
    <n v="68"/>
    <x v="0"/>
    <x v="6"/>
    <x v="23"/>
    <n v="116.21"/>
    <x v="0"/>
    <x v="0"/>
    <n v="3.3"/>
    <n v="28"/>
    <n v="9"/>
    <n v="161.40277777777777"/>
    <n v="45.192777777777778"/>
    <x v="2"/>
    <m/>
  </r>
  <r>
    <n v="3559"/>
    <n v="65"/>
    <x v="1"/>
    <x v="4"/>
    <x v="26"/>
    <n v="31.66"/>
    <x v="0"/>
    <x v="1"/>
    <n v="2.4"/>
    <n v="14"/>
    <n v="7"/>
    <n v="36.813953488372093"/>
    <n v="5.1539534883720926"/>
    <x v="2"/>
    <m/>
  </r>
  <r>
    <n v="3560"/>
    <n v="42"/>
    <x v="1"/>
    <x v="2"/>
    <x v="12"/>
    <n v="150.72"/>
    <x v="3"/>
    <x v="0"/>
    <n v="4.3"/>
    <n v="17"/>
    <n v="6"/>
    <n v="181.59036144578315"/>
    <n v="30.870361445783146"/>
    <x v="1"/>
    <m/>
  </r>
  <r>
    <n v="3561"/>
    <n v="40"/>
    <x v="0"/>
    <x v="7"/>
    <x v="11"/>
    <n v="169.6"/>
    <x v="3"/>
    <x v="0"/>
    <n v="3"/>
    <n v="13"/>
    <n v="4"/>
    <n v="194.94252873563218"/>
    <n v="25.342528735632186"/>
    <x v="1"/>
    <m/>
  </r>
  <r>
    <n v="3562"/>
    <n v="47"/>
    <x v="0"/>
    <x v="2"/>
    <x v="2"/>
    <n v="58.39"/>
    <x v="0"/>
    <x v="1"/>
    <n v="4.4000000000000004"/>
    <n v="16"/>
    <n v="3"/>
    <n v="69.511904761904759"/>
    <n v="11.121904761904759"/>
    <x v="4"/>
    <m/>
  </r>
  <r>
    <n v="3563"/>
    <n v="53"/>
    <x v="0"/>
    <x v="6"/>
    <x v="27"/>
    <n v="68.14"/>
    <x v="0"/>
    <x v="1"/>
    <n v="3.3"/>
    <n v="10"/>
    <n v="5"/>
    <n v="75.711111111111109"/>
    <n v="7.571111111111108"/>
    <x v="4"/>
    <m/>
  </r>
  <r>
    <n v="3564"/>
    <n v="48"/>
    <x v="1"/>
    <x v="7"/>
    <x v="13"/>
    <n v="179.68"/>
    <x v="0"/>
    <x v="0"/>
    <n v="4.9000000000000004"/>
    <n v="28"/>
    <n v="9"/>
    <n v="249.55555555555557"/>
    <n v="69.875555555555565"/>
    <x v="4"/>
    <m/>
  </r>
  <r>
    <n v="3565"/>
    <n v="33"/>
    <x v="1"/>
    <x v="5"/>
    <x v="21"/>
    <n v="2844.72"/>
    <x v="3"/>
    <x v="0"/>
    <n v="3.9"/>
    <n v="8"/>
    <n v="4"/>
    <n v="3092.0869565217386"/>
    <n v="247.36695652173876"/>
    <x v="5"/>
    <m/>
  </r>
  <r>
    <n v="3566"/>
    <n v="42"/>
    <x v="0"/>
    <x v="7"/>
    <x v="13"/>
    <n v="125.92"/>
    <x v="3"/>
    <x v="0"/>
    <n v="2.8"/>
    <n v="10"/>
    <n v="5"/>
    <n v="139.9111111111111"/>
    <n v="13.991111111111096"/>
    <x v="1"/>
    <m/>
  </r>
  <r>
    <n v="3567"/>
    <n v="45"/>
    <x v="0"/>
    <x v="6"/>
    <x v="27"/>
    <n v="21.56"/>
    <x v="1"/>
    <x v="1"/>
    <n v="3.4"/>
    <n v="9"/>
    <n v="2"/>
    <n v="23.69230769230769"/>
    <n v="2.1323076923076911"/>
    <x v="4"/>
    <m/>
  </r>
  <r>
    <n v="3568"/>
    <n v="42"/>
    <x v="1"/>
    <x v="4"/>
    <x v="29"/>
    <n v="65.64"/>
    <x v="2"/>
    <x v="1"/>
    <n v="2.8"/>
    <n v="10"/>
    <n v="5"/>
    <n v="72.933333333333337"/>
    <n v="7.2933333333333366"/>
    <x v="1"/>
    <m/>
  </r>
  <r>
    <n v="3569"/>
    <n v="56"/>
    <x v="0"/>
    <x v="0"/>
    <x v="28"/>
    <n v="110.86"/>
    <x v="0"/>
    <x v="0"/>
    <n v="4"/>
    <n v="22"/>
    <n v="6"/>
    <n v="142.12820512820511"/>
    <n v="31.268205128205111"/>
    <x v="0"/>
    <m/>
  </r>
  <r>
    <n v="3570"/>
    <n v="37"/>
    <x v="0"/>
    <x v="0"/>
    <x v="0"/>
    <n v="35.340000000000003"/>
    <x v="0"/>
    <x v="1"/>
    <n v="3.5"/>
    <n v="13"/>
    <n v="4"/>
    <n v="40.62068965517242"/>
    <n v="5.2806896551724165"/>
    <x v="1"/>
    <m/>
  </r>
  <r>
    <n v="3571"/>
    <n v="34"/>
    <x v="0"/>
    <x v="7"/>
    <x v="11"/>
    <n v="41.87"/>
    <x v="1"/>
    <x v="0"/>
    <n v="4"/>
    <n v="8"/>
    <n v="4"/>
    <n v="45.510869565217384"/>
    <n v="3.6408695652173861"/>
    <x v="5"/>
    <m/>
  </r>
  <r>
    <n v="3572"/>
    <n v="61"/>
    <x v="1"/>
    <x v="2"/>
    <x v="2"/>
    <n v="43.84"/>
    <x v="3"/>
    <x v="1"/>
    <n v="3.3"/>
    <n v="20"/>
    <n v="5"/>
    <n v="54.800000000000004"/>
    <n v="10.96"/>
    <x v="0"/>
    <m/>
  </r>
  <r>
    <n v="3573"/>
    <n v="34"/>
    <x v="1"/>
    <x v="7"/>
    <x v="11"/>
    <n v="186.06"/>
    <x v="0"/>
    <x v="0"/>
    <n v="3.8"/>
    <n v="16"/>
    <n v="3"/>
    <n v="221.5"/>
    <n v="35.44"/>
    <x v="5"/>
    <m/>
  </r>
  <r>
    <n v="3574"/>
    <n v="42"/>
    <x v="1"/>
    <x v="1"/>
    <x v="20"/>
    <n v="183.14"/>
    <x v="2"/>
    <x v="0"/>
    <n v="3.1"/>
    <n v="12"/>
    <n v="6"/>
    <n v="208.11363636363635"/>
    <n v="24.973636363636359"/>
    <x v="1"/>
    <m/>
  </r>
  <r>
    <n v="3575"/>
    <n v="38"/>
    <x v="0"/>
    <x v="0"/>
    <x v="28"/>
    <n v="114.51"/>
    <x v="1"/>
    <x v="0"/>
    <n v="2.7"/>
    <n v="19"/>
    <n v="7"/>
    <n v="141.37037037037038"/>
    <n v="26.860370370370376"/>
    <x v="1"/>
    <m/>
  </r>
  <r>
    <n v="3576"/>
    <n v="58"/>
    <x v="0"/>
    <x v="7"/>
    <x v="8"/>
    <n v="201.39"/>
    <x v="1"/>
    <x v="0"/>
    <n v="3.7"/>
    <n v="14"/>
    <n v="7"/>
    <n v="234.17441860465115"/>
    <n v="32.784418604651165"/>
    <x v="0"/>
    <m/>
  </r>
  <r>
    <n v="3577"/>
    <n v="31"/>
    <x v="1"/>
    <x v="7"/>
    <x v="8"/>
    <n v="141.51"/>
    <x v="2"/>
    <x v="0"/>
    <n v="3.7"/>
    <n v="30"/>
    <n v="10"/>
    <n v="202.15714285714284"/>
    <n v="60.647142857142853"/>
    <x v="5"/>
    <m/>
  </r>
  <r>
    <n v="3578"/>
    <n v="22"/>
    <x v="1"/>
    <x v="1"/>
    <x v="1"/>
    <n v="61.09"/>
    <x v="0"/>
    <x v="0"/>
    <n v="3.2"/>
    <n v="8"/>
    <n v="4"/>
    <n v="66.402173913043484"/>
    <n v="5.3121739130434804"/>
    <x v="3"/>
    <m/>
  </r>
  <r>
    <n v="3579"/>
    <n v="54"/>
    <x v="0"/>
    <x v="8"/>
    <x v="17"/>
    <n v="80.7"/>
    <x v="3"/>
    <x v="1"/>
    <n v="3.7"/>
    <n v="21"/>
    <n v="8"/>
    <n v="102.15189873417721"/>
    <n v="21.451898734177206"/>
    <x v="4"/>
    <m/>
  </r>
  <r>
    <n v="3580"/>
    <n v="63"/>
    <x v="0"/>
    <x v="0"/>
    <x v="22"/>
    <n v="88.07"/>
    <x v="0"/>
    <x v="1"/>
    <n v="3.4"/>
    <n v="28"/>
    <n v="9"/>
    <n v="122.31944444444444"/>
    <n v="34.24944444444445"/>
    <x v="0"/>
    <m/>
  </r>
  <r>
    <n v="3581"/>
    <n v="47"/>
    <x v="1"/>
    <x v="5"/>
    <x v="25"/>
    <n v="1425.23"/>
    <x v="0"/>
    <x v="0"/>
    <n v="3.5"/>
    <n v="24"/>
    <n v="7"/>
    <n v="1875.3026315789473"/>
    <n v="450.07263157894727"/>
    <x v="4"/>
    <m/>
  </r>
  <r>
    <n v="3582"/>
    <n v="36"/>
    <x v="1"/>
    <x v="1"/>
    <x v="20"/>
    <n v="76.67"/>
    <x v="0"/>
    <x v="1"/>
    <n v="2.8"/>
    <n v="12"/>
    <n v="6"/>
    <n v="87.125"/>
    <n v="10.454999999999998"/>
    <x v="1"/>
    <m/>
  </r>
  <r>
    <n v="3583"/>
    <n v="47"/>
    <x v="0"/>
    <x v="4"/>
    <x v="19"/>
    <n v="46.13"/>
    <x v="0"/>
    <x v="0"/>
    <n v="3.4"/>
    <n v="14"/>
    <n v="7"/>
    <n v="53.639534883720934"/>
    <n v="7.5095348837209315"/>
    <x v="4"/>
    <m/>
  </r>
  <r>
    <n v="3584"/>
    <n v="54"/>
    <x v="1"/>
    <x v="1"/>
    <x v="14"/>
    <n v="42.34"/>
    <x v="0"/>
    <x v="0"/>
    <n v="4.2"/>
    <n v="22"/>
    <n v="6"/>
    <n v="54.282051282051285"/>
    <n v="11.942051282051281"/>
    <x v="4"/>
    <m/>
  </r>
  <r>
    <n v="3585"/>
    <n v="46"/>
    <x v="1"/>
    <x v="2"/>
    <x v="2"/>
    <n v="62.68"/>
    <x v="1"/>
    <x v="0"/>
    <n v="2.2999999999999998"/>
    <n v="13"/>
    <n v="4"/>
    <n v="72.045977011494259"/>
    <n v="9.3659770114942589"/>
    <x v="4"/>
    <m/>
  </r>
  <r>
    <n v="3586"/>
    <n v="38"/>
    <x v="1"/>
    <x v="5"/>
    <x v="7"/>
    <n v="2478.7399999999998"/>
    <x v="1"/>
    <x v="0"/>
    <n v="4.9000000000000004"/>
    <n v="32"/>
    <n v="11"/>
    <n v="3645.205882352941"/>
    <n v="1166.4658823529412"/>
    <x v="1"/>
    <m/>
  </r>
  <r>
    <n v="3587"/>
    <n v="25"/>
    <x v="0"/>
    <x v="0"/>
    <x v="28"/>
    <n v="84.07"/>
    <x v="1"/>
    <x v="1"/>
    <n v="3.7"/>
    <n v="20"/>
    <n v="5"/>
    <n v="105.08749999999999"/>
    <n v="21.017499999999998"/>
    <x v="5"/>
    <m/>
  </r>
  <r>
    <n v="3588"/>
    <n v="68"/>
    <x v="1"/>
    <x v="5"/>
    <x v="25"/>
    <n v="2454.39"/>
    <x v="0"/>
    <x v="0"/>
    <n v="4.0999999999999996"/>
    <n v="20"/>
    <n v="5"/>
    <n v="3067.9874999999997"/>
    <n v="613.59749999999985"/>
    <x v="2"/>
    <m/>
  </r>
  <r>
    <n v="3589"/>
    <n v="56"/>
    <x v="1"/>
    <x v="5"/>
    <x v="7"/>
    <n v="1041.3399999999999"/>
    <x v="0"/>
    <x v="0"/>
    <n v="3.4"/>
    <n v="15"/>
    <n v="5"/>
    <n v="1225.1058823529411"/>
    <n v="183.76588235294116"/>
    <x v="0"/>
    <m/>
  </r>
  <r>
    <n v="3590"/>
    <n v="56"/>
    <x v="1"/>
    <x v="2"/>
    <x v="12"/>
    <n v="235.44"/>
    <x v="3"/>
    <x v="0"/>
    <n v="2.4"/>
    <n v="15"/>
    <n v="5"/>
    <n v="276.98823529411766"/>
    <n v="41.54823529411766"/>
    <x v="0"/>
    <m/>
  </r>
  <r>
    <n v="3591"/>
    <n v="35"/>
    <x v="0"/>
    <x v="6"/>
    <x v="23"/>
    <n v="35.72"/>
    <x v="0"/>
    <x v="0"/>
    <n v="4.3"/>
    <n v="8"/>
    <n v="4"/>
    <n v="38.826086956521735"/>
    <n v="3.1060869565217359"/>
    <x v="1"/>
    <m/>
  </r>
  <r>
    <n v="3592"/>
    <n v="27"/>
    <x v="1"/>
    <x v="1"/>
    <x v="1"/>
    <n v="134.71"/>
    <x v="1"/>
    <x v="0"/>
    <n v="3.2"/>
    <n v="16"/>
    <n v="3"/>
    <n v="160.36904761904762"/>
    <n v="25.659047619047612"/>
    <x v="5"/>
    <m/>
  </r>
  <r>
    <n v="3593"/>
    <n v="33"/>
    <x v="0"/>
    <x v="7"/>
    <x v="11"/>
    <n v="148.91999999999999"/>
    <x v="2"/>
    <x v="0"/>
    <n v="4.0999999999999996"/>
    <n v="4"/>
    <n v="2"/>
    <n v="155.125"/>
    <n v="6.2050000000000125"/>
    <x v="5"/>
    <m/>
  </r>
  <r>
    <n v="3594"/>
    <n v="30"/>
    <x v="1"/>
    <x v="1"/>
    <x v="20"/>
    <n v="104.95"/>
    <x v="3"/>
    <x v="0"/>
    <n v="3.9"/>
    <n v="22"/>
    <n v="6"/>
    <n v="134.55128205128204"/>
    <n v="29.601282051282041"/>
    <x v="5"/>
    <m/>
  </r>
  <r>
    <n v="3595"/>
    <n v="49"/>
    <x v="0"/>
    <x v="0"/>
    <x v="0"/>
    <n v="103.47"/>
    <x v="3"/>
    <x v="0"/>
    <n v="3.5"/>
    <n v="26"/>
    <n v="8"/>
    <n v="139.82432432432432"/>
    <n v="36.354324324324324"/>
    <x v="4"/>
    <m/>
  </r>
  <r>
    <n v="3596"/>
    <n v="55"/>
    <x v="0"/>
    <x v="3"/>
    <x v="15"/>
    <n v="298.60000000000002"/>
    <x v="0"/>
    <x v="0"/>
    <n v="4.7"/>
    <n v="17"/>
    <n v="6"/>
    <n v="359.75903614457837"/>
    <n v="61.159036144578351"/>
    <x v="0"/>
    <m/>
  </r>
  <r>
    <n v="3597"/>
    <n v="51"/>
    <x v="1"/>
    <x v="2"/>
    <x v="10"/>
    <n v="39.06"/>
    <x v="1"/>
    <x v="0"/>
    <n v="3.7"/>
    <n v="20"/>
    <n v="5"/>
    <n v="48.825000000000003"/>
    <n v="9.7650000000000006"/>
    <x v="4"/>
    <m/>
  </r>
  <r>
    <n v="3598"/>
    <n v="40"/>
    <x v="1"/>
    <x v="1"/>
    <x v="1"/>
    <n v="133.24"/>
    <x v="3"/>
    <x v="0"/>
    <n v="3.8"/>
    <n v="17"/>
    <n v="6"/>
    <n v="160.53012048192772"/>
    <n v="27.290120481927715"/>
    <x v="1"/>
    <m/>
  </r>
  <r>
    <n v="3599"/>
    <n v="42"/>
    <x v="1"/>
    <x v="5"/>
    <x v="5"/>
    <n v="897.41"/>
    <x v="0"/>
    <x v="0"/>
    <n v="3.8"/>
    <n v="19"/>
    <n v="7"/>
    <n v="1107.9135802469134"/>
    <n v="210.50358024691343"/>
    <x v="1"/>
    <m/>
  </r>
  <r>
    <n v="3600"/>
    <n v="52"/>
    <x v="1"/>
    <x v="7"/>
    <x v="13"/>
    <n v="86.48"/>
    <x v="2"/>
    <x v="1"/>
    <n v="3.2"/>
    <n v="22"/>
    <n v="6"/>
    <n v="110.87179487179488"/>
    <n v="24.391794871794872"/>
    <x v="4"/>
    <m/>
  </r>
  <r>
    <n v="3601"/>
    <n v="56"/>
    <x v="0"/>
    <x v="7"/>
    <x v="11"/>
    <n v="125.07"/>
    <x v="0"/>
    <x v="0"/>
    <n v="2.8"/>
    <n v="18"/>
    <n v="4"/>
    <n v="152.52439024390242"/>
    <n v="27.454390243902424"/>
    <x v="0"/>
    <m/>
  </r>
  <r>
    <n v="3602"/>
    <n v="46"/>
    <x v="1"/>
    <x v="2"/>
    <x v="10"/>
    <n v="216.22"/>
    <x v="2"/>
    <x v="0"/>
    <n v="3.2"/>
    <n v="22"/>
    <n v="6"/>
    <n v="277.20512820512818"/>
    <n v="60.985128205128177"/>
    <x v="4"/>
    <m/>
  </r>
  <r>
    <n v="3603"/>
    <n v="55"/>
    <x v="0"/>
    <x v="6"/>
    <x v="23"/>
    <n v="29.52"/>
    <x v="1"/>
    <x v="1"/>
    <n v="3.8"/>
    <n v="4"/>
    <n v="2"/>
    <n v="30.75"/>
    <n v="1.2300000000000004"/>
    <x v="0"/>
    <m/>
  </r>
  <r>
    <n v="3604"/>
    <n v="39"/>
    <x v="0"/>
    <x v="8"/>
    <x v="17"/>
    <n v="174.95"/>
    <x v="0"/>
    <x v="0"/>
    <n v="2.9"/>
    <n v="13"/>
    <n v="4"/>
    <n v="201.09195402298849"/>
    <n v="26.1419540229885"/>
    <x v="1"/>
    <m/>
  </r>
  <r>
    <n v="3605"/>
    <n v="49"/>
    <x v="1"/>
    <x v="1"/>
    <x v="1"/>
    <n v="101.38"/>
    <x v="1"/>
    <x v="0"/>
    <n v="3.3"/>
    <n v="12"/>
    <n v="6"/>
    <n v="115.20454545454545"/>
    <n v="13.824545454545458"/>
    <x v="4"/>
    <m/>
  </r>
  <r>
    <n v="3606"/>
    <n v="53"/>
    <x v="1"/>
    <x v="2"/>
    <x v="12"/>
    <n v="61.95"/>
    <x v="2"/>
    <x v="0"/>
    <n v="5"/>
    <n v="28"/>
    <n v="9"/>
    <n v="86.041666666666671"/>
    <n v="24.091666666666669"/>
    <x v="4"/>
    <m/>
  </r>
  <r>
    <n v="3607"/>
    <n v="34"/>
    <x v="0"/>
    <x v="2"/>
    <x v="12"/>
    <n v="117.57"/>
    <x v="0"/>
    <x v="0"/>
    <n v="4.4000000000000004"/>
    <n v="16"/>
    <n v="3"/>
    <n v="139.96428571428572"/>
    <n v="22.394285714285729"/>
    <x v="5"/>
    <m/>
  </r>
  <r>
    <n v="3608"/>
    <n v="70"/>
    <x v="0"/>
    <x v="6"/>
    <x v="6"/>
    <n v="130.01"/>
    <x v="1"/>
    <x v="0"/>
    <n v="4.3"/>
    <n v="15"/>
    <n v="5"/>
    <n v="152.95294117647057"/>
    <n v="22.942941176470583"/>
    <x v="2"/>
    <m/>
  </r>
  <r>
    <n v="3609"/>
    <n v="69"/>
    <x v="1"/>
    <x v="2"/>
    <x v="10"/>
    <n v="225.9"/>
    <x v="2"/>
    <x v="0"/>
    <n v="3.8"/>
    <n v="22"/>
    <n v="6"/>
    <n v="289.61538461538458"/>
    <n v="63.715384615384579"/>
    <x v="2"/>
    <m/>
  </r>
  <r>
    <n v="3610"/>
    <n v="27"/>
    <x v="1"/>
    <x v="2"/>
    <x v="12"/>
    <n v="165.66"/>
    <x v="3"/>
    <x v="0"/>
    <n v="3.4"/>
    <n v="14"/>
    <n v="2"/>
    <n v="192.62790697674419"/>
    <n v="26.967906976744189"/>
    <x v="5"/>
    <m/>
  </r>
  <r>
    <n v="3611"/>
    <n v="30"/>
    <x v="1"/>
    <x v="7"/>
    <x v="13"/>
    <n v="197.71"/>
    <x v="1"/>
    <x v="0"/>
    <n v="3.3"/>
    <n v="17"/>
    <n v="6"/>
    <n v="238.20481927710844"/>
    <n v="40.494819277108434"/>
    <x v="5"/>
    <m/>
  </r>
  <r>
    <n v="3612"/>
    <n v="58"/>
    <x v="1"/>
    <x v="1"/>
    <x v="20"/>
    <n v="104.05"/>
    <x v="0"/>
    <x v="0"/>
    <n v="2.8"/>
    <n v="6"/>
    <n v="3"/>
    <n v="110.69148936170212"/>
    <n v="6.6414893617021278"/>
    <x v="0"/>
    <m/>
  </r>
  <r>
    <n v="3613"/>
    <n v="32"/>
    <x v="1"/>
    <x v="4"/>
    <x v="4"/>
    <n v="77.81"/>
    <x v="0"/>
    <x v="0"/>
    <n v="4.2"/>
    <n v="8"/>
    <n v="4"/>
    <n v="84.576086956521735"/>
    <n v="6.7660869565217325"/>
    <x v="5"/>
    <m/>
  </r>
  <r>
    <n v="3614"/>
    <n v="43"/>
    <x v="0"/>
    <x v="7"/>
    <x v="13"/>
    <n v="117.91"/>
    <x v="1"/>
    <x v="0"/>
    <n v="4"/>
    <n v="12"/>
    <n v="1"/>
    <n v="133.98863636363635"/>
    <n v="16.078636363636349"/>
    <x v="1"/>
    <m/>
  </r>
  <r>
    <n v="3615"/>
    <n v="26"/>
    <x v="1"/>
    <x v="4"/>
    <x v="26"/>
    <n v="70.44"/>
    <x v="2"/>
    <x v="0"/>
    <n v="2.5"/>
    <n v="19"/>
    <n v="7"/>
    <n v="86.962962962962948"/>
    <n v="16.52296296296295"/>
    <x v="5"/>
    <m/>
  </r>
  <r>
    <n v="3616"/>
    <n v="60"/>
    <x v="0"/>
    <x v="0"/>
    <x v="28"/>
    <n v="104.64"/>
    <x v="0"/>
    <x v="0"/>
    <n v="3.7"/>
    <n v="17"/>
    <n v="6"/>
    <n v="126.07228915662651"/>
    <n v="21.43228915662651"/>
    <x v="0"/>
    <m/>
  </r>
  <r>
    <n v="3617"/>
    <n v="64"/>
    <x v="0"/>
    <x v="6"/>
    <x v="23"/>
    <n v="71.510000000000005"/>
    <x v="2"/>
    <x v="1"/>
    <n v="2.9"/>
    <n v="28"/>
    <n v="9"/>
    <n v="99.319444444444457"/>
    <n v="27.809444444444452"/>
    <x v="0"/>
    <m/>
  </r>
  <r>
    <n v="3618"/>
    <n v="53"/>
    <x v="0"/>
    <x v="6"/>
    <x v="27"/>
    <n v="51.04"/>
    <x v="0"/>
    <x v="0"/>
    <n v="4.4000000000000004"/>
    <n v="19"/>
    <n v="7"/>
    <n v="63.012345679012341"/>
    <n v="11.972345679012342"/>
    <x v="4"/>
    <m/>
  </r>
  <r>
    <n v="3619"/>
    <n v="23"/>
    <x v="1"/>
    <x v="1"/>
    <x v="14"/>
    <n v="76.95"/>
    <x v="2"/>
    <x v="0"/>
    <n v="3.8"/>
    <n v="8"/>
    <n v="4"/>
    <n v="83.641304347826093"/>
    <n v="6.6913043478260903"/>
    <x v="3"/>
    <m/>
  </r>
  <r>
    <n v="3620"/>
    <n v="32"/>
    <x v="1"/>
    <x v="1"/>
    <x v="14"/>
    <n v="81.88"/>
    <x v="3"/>
    <x v="0"/>
    <n v="3.9"/>
    <n v="8"/>
    <n v="4"/>
    <n v="88.999999999999986"/>
    <n v="7.1199999999999903"/>
    <x v="5"/>
    <m/>
  </r>
  <r>
    <n v="3621"/>
    <n v="66"/>
    <x v="1"/>
    <x v="2"/>
    <x v="12"/>
    <n v="65.33"/>
    <x v="1"/>
    <x v="0"/>
    <n v="3.2"/>
    <n v="20"/>
    <n v="5"/>
    <n v="81.662499999999994"/>
    <n v="16.332499999999996"/>
    <x v="2"/>
    <m/>
  </r>
  <r>
    <n v="3622"/>
    <n v="47"/>
    <x v="0"/>
    <x v="8"/>
    <x v="17"/>
    <n v="52.4"/>
    <x v="2"/>
    <x v="1"/>
    <n v="3.7"/>
    <n v="24"/>
    <n v="7"/>
    <n v="68.94736842105263"/>
    <n v="16.547368421052632"/>
    <x v="4"/>
    <m/>
  </r>
  <r>
    <n v="3623"/>
    <n v="20"/>
    <x v="1"/>
    <x v="7"/>
    <x v="8"/>
    <n v="205.07"/>
    <x v="1"/>
    <x v="0"/>
    <n v="4.2"/>
    <n v="17"/>
    <n v="6"/>
    <n v="247.07228915662651"/>
    <n v="42.002289156626517"/>
    <x v="3"/>
    <m/>
  </r>
  <r>
    <n v="3624"/>
    <n v="50"/>
    <x v="0"/>
    <x v="6"/>
    <x v="27"/>
    <n v="29.83"/>
    <x v="2"/>
    <x v="0"/>
    <n v="2.4"/>
    <n v="18"/>
    <n v="4"/>
    <n v="36.378048780487802"/>
    <n v="6.5480487804878038"/>
    <x v="4"/>
    <m/>
  </r>
  <r>
    <n v="3625"/>
    <n v="68"/>
    <x v="0"/>
    <x v="2"/>
    <x v="2"/>
    <n v="151.76"/>
    <x v="0"/>
    <x v="0"/>
    <n v="4.0999999999999996"/>
    <n v="14"/>
    <n v="7"/>
    <n v="176.46511627906975"/>
    <n v="24.705116279069756"/>
    <x v="2"/>
    <m/>
  </r>
  <r>
    <n v="3626"/>
    <n v="47"/>
    <x v="1"/>
    <x v="4"/>
    <x v="29"/>
    <n v="56.84"/>
    <x v="3"/>
    <x v="0"/>
    <n v="3.7"/>
    <n v="10"/>
    <n v="5"/>
    <n v="63.155555555555559"/>
    <n v="6.3155555555555551"/>
    <x v="4"/>
    <m/>
  </r>
  <r>
    <n v="3627"/>
    <n v="66"/>
    <x v="0"/>
    <x v="7"/>
    <x v="11"/>
    <n v="228.84"/>
    <x v="1"/>
    <x v="0"/>
    <n v="4.0999999999999996"/>
    <n v="14"/>
    <n v="2"/>
    <n v="266.09302325581399"/>
    <n v="37.253023255813986"/>
    <x v="2"/>
    <m/>
  </r>
  <r>
    <n v="3628"/>
    <n v="53"/>
    <x v="0"/>
    <x v="7"/>
    <x v="13"/>
    <n v="130.81"/>
    <x v="3"/>
    <x v="0"/>
    <n v="3.8"/>
    <n v="16"/>
    <n v="8"/>
    <n v="155.72619047619048"/>
    <n v="24.916190476190479"/>
    <x v="4"/>
    <m/>
  </r>
  <r>
    <n v="3629"/>
    <n v="57"/>
    <x v="1"/>
    <x v="7"/>
    <x v="8"/>
    <n v="65.53"/>
    <x v="3"/>
    <x v="1"/>
    <n v="3.9"/>
    <n v="17"/>
    <n v="6"/>
    <n v="78.951807228915669"/>
    <n v="13.421807228915668"/>
    <x v="0"/>
    <m/>
  </r>
  <r>
    <n v="3630"/>
    <n v="60"/>
    <x v="0"/>
    <x v="0"/>
    <x v="22"/>
    <n v="86.31"/>
    <x v="1"/>
    <x v="0"/>
    <n v="4.4000000000000004"/>
    <n v="13"/>
    <n v="4"/>
    <n v="99.206896551724142"/>
    <n v="12.89689655172414"/>
    <x v="0"/>
    <m/>
  </r>
  <r>
    <n v="3631"/>
    <n v="31"/>
    <x v="1"/>
    <x v="2"/>
    <x v="10"/>
    <n v="204.19"/>
    <x v="2"/>
    <x v="0"/>
    <n v="3.4"/>
    <n v="18"/>
    <n v="4"/>
    <n v="249.01219512195121"/>
    <n v="44.822195121951211"/>
    <x v="5"/>
    <m/>
  </r>
  <r>
    <n v="3632"/>
    <n v="68"/>
    <x v="1"/>
    <x v="3"/>
    <x v="3"/>
    <n v="289.19"/>
    <x v="2"/>
    <x v="0"/>
    <n v="3.5"/>
    <n v="9"/>
    <n v="2"/>
    <n v="317.79120879120876"/>
    <n v="28.601208791208762"/>
    <x v="2"/>
    <m/>
  </r>
  <r>
    <n v="3633"/>
    <n v="54"/>
    <x v="1"/>
    <x v="2"/>
    <x v="2"/>
    <n v="158.37"/>
    <x v="3"/>
    <x v="0"/>
    <n v="2.2999999999999998"/>
    <n v="12"/>
    <n v="6"/>
    <n v="179.96590909090909"/>
    <n v="21.595909090909089"/>
    <x v="4"/>
    <m/>
  </r>
  <r>
    <n v="3634"/>
    <n v="47"/>
    <x v="0"/>
    <x v="8"/>
    <x v="18"/>
    <n v="71.25"/>
    <x v="3"/>
    <x v="1"/>
    <n v="3.8"/>
    <n v="26"/>
    <n v="8"/>
    <n v="96.28378378378379"/>
    <n v="25.03378378378379"/>
    <x v="4"/>
    <m/>
  </r>
  <r>
    <n v="3635"/>
    <n v="62"/>
    <x v="0"/>
    <x v="0"/>
    <x v="0"/>
    <n v="176.49"/>
    <x v="0"/>
    <x v="0"/>
    <n v="3.4"/>
    <n v="16"/>
    <n v="8"/>
    <n v="210.10714285714289"/>
    <n v="33.617142857142881"/>
    <x v="0"/>
    <m/>
  </r>
  <r>
    <n v="3636"/>
    <n v="33"/>
    <x v="0"/>
    <x v="7"/>
    <x v="11"/>
    <n v="60.85"/>
    <x v="0"/>
    <x v="1"/>
    <n v="3.3"/>
    <n v="12"/>
    <n v="6"/>
    <n v="69.14772727272728"/>
    <n v="8.2977272727272791"/>
    <x v="5"/>
    <m/>
  </r>
  <r>
    <n v="3637"/>
    <n v="40"/>
    <x v="1"/>
    <x v="7"/>
    <x v="8"/>
    <n v="235.85"/>
    <x v="0"/>
    <x v="0"/>
    <n v="4.0999999999999996"/>
    <n v="30"/>
    <n v="10"/>
    <n v="336.92857142857144"/>
    <n v="101.07857142857145"/>
    <x v="1"/>
    <m/>
  </r>
  <r>
    <n v="3638"/>
    <n v="66"/>
    <x v="1"/>
    <x v="5"/>
    <x v="7"/>
    <n v="1417.24"/>
    <x v="2"/>
    <x v="0"/>
    <n v="3.3"/>
    <n v="23"/>
    <n v="9"/>
    <n v="1840.5714285714284"/>
    <n v="423.33142857142843"/>
    <x v="2"/>
    <m/>
  </r>
  <r>
    <n v="3639"/>
    <n v="39"/>
    <x v="0"/>
    <x v="8"/>
    <x v="14"/>
    <n v="119.67"/>
    <x v="2"/>
    <x v="0"/>
    <n v="4.3"/>
    <n v="13"/>
    <n v="4"/>
    <n v="137.55172413793105"/>
    <n v="17.881724137931045"/>
    <x v="1"/>
    <m/>
  </r>
  <r>
    <n v="3640"/>
    <n v="63"/>
    <x v="0"/>
    <x v="8"/>
    <x v="18"/>
    <n v="77.59"/>
    <x v="3"/>
    <x v="0"/>
    <n v="4.5"/>
    <n v="18"/>
    <n v="4"/>
    <n v="94.621951219512198"/>
    <n v="17.031951219512194"/>
    <x v="0"/>
    <m/>
  </r>
  <r>
    <n v="3641"/>
    <n v="57"/>
    <x v="0"/>
    <x v="7"/>
    <x v="13"/>
    <n v="176.39"/>
    <x v="2"/>
    <x v="0"/>
    <n v="5"/>
    <n v="6"/>
    <n v="3"/>
    <n v="187.64893617021275"/>
    <n v="11.258936170212763"/>
    <x v="0"/>
    <m/>
  </r>
  <r>
    <n v="3642"/>
    <n v="50"/>
    <x v="1"/>
    <x v="5"/>
    <x v="25"/>
    <n v="2463.27"/>
    <x v="0"/>
    <x v="0"/>
    <n v="3.7"/>
    <n v="20"/>
    <n v="5"/>
    <n v="3079.0874999999996"/>
    <n v="615.81749999999965"/>
    <x v="4"/>
    <m/>
  </r>
  <r>
    <n v="3643"/>
    <n v="65"/>
    <x v="1"/>
    <x v="2"/>
    <x v="2"/>
    <n v="210.26"/>
    <x v="3"/>
    <x v="0"/>
    <n v="4.5"/>
    <n v="19"/>
    <n v="7"/>
    <n v="259.5802469135802"/>
    <n v="49.320246913580206"/>
    <x v="2"/>
    <m/>
  </r>
  <r>
    <n v="3644"/>
    <n v="43"/>
    <x v="1"/>
    <x v="7"/>
    <x v="13"/>
    <n v="43.08"/>
    <x v="0"/>
    <x v="1"/>
    <n v="3.3"/>
    <n v="24"/>
    <n v="7"/>
    <n v="56.684210526315788"/>
    <n v="13.604210526315789"/>
    <x v="1"/>
    <m/>
  </r>
  <r>
    <n v="3645"/>
    <n v="66"/>
    <x v="1"/>
    <x v="5"/>
    <x v="21"/>
    <n v="2061.67"/>
    <x v="2"/>
    <x v="0"/>
    <n v="3.8"/>
    <n v="11"/>
    <n v="3"/>
    <n v="2316.4831460674159"/>
    <n v="254.8131460674158"/>
    <x v="2"/>
    <m/>
  </r>
  <r>
    <n v="3646"/>
    <n v="54"/>
    <x v="0"/>
    <x v="6"/>
    <x v="27"/>
    <n v="116.1"/>
    <x v="0"/>
    <x v="0"/>
    <n v="3.3"/>
    <n v="11"/>
    <n v="3"/>
    <n v="130.44943820224719"/>
    <n v="14.3494382022472"/>
    <x v="4"/>
    <m/>
  </r>
  <r>
    <n v="3647"/>
    <n v="21"/>
    <x v="0"/>
    <x v="0"/>
    <x v="28"/>
    <n v="74.010000000000005"/>
    <x v="0"/>
    <x v="0"/>
    <n v="4.0999999999999996"/>
    <n v="22"/>
    <n v="6"/>
    <n v="94.884615384615387"/>
    <n v="20.874615384615382"/>
    <x v="3"/>
    <m/>
  </r>
  <r>
    <n v="3648"/>
    <n v="49"/>
    <x v="0"/>
    <x v="4"/>
    <x v="4"/>
    <n v="63.04"/>
    <x v="2"/>
    <x v="0"/>
    <n v="3.5"/>
    <n v="22"/>
    <n v="6"/>
    <n v="80.820512820512818"/>
    <n v="17.780512820512818"/>
    <x v="4"/>
    <m/>
  </r>
  <r>
    <n v="3649"/>
    <n v="41"/>
    <x v="1"/>
    <x v="1"/>
    <x v="14"/>
    <n v="52.63"/>
    <x v="2"/>
    <x v="1"/>
    <n v="4.4000000000000004"/>
    <n v="16"/>
    <n v="3"/>
    <n v="62.654761904761912"/>
    <n v="10.02476190476191"/>
    <x v="1"/>
    <m/>
  </r>
  <r>
    <n v="3650"/>
    <n v="51"/>
    <x v="1"/>
    <x v="1"/>
    <x v="1"/>
    <n v="159.5"/>
    <x v="1"/>
    <x v="0"/>
    <n v="4.3"/>
    <n v="22"/>
    <n v="6"/>
    <n v="204.48717948717947"/>
    <n v="44.987179487179475"/>
    <x v="4"/>
    <m/>
  </r>
  <r>
    <n v="3651"/>
    <n v="63"/>
    <x v="0"/>
    <x v="8"/>
    <x v="16"/>
    <n v="128.85"/>
    <x v="2"/>
    <x v="0"/>
    <n v="2.9"/>
    <n v="11"/>
    <n v="3"/>
    <n v="144.77528089887639"/>
    <n v="15.925280898876395"/>
    <x v="0"/>
    <m/>
  </r>
  <r>
    <n v="3652"/>
    <n v="29"/>
    <x v="1"/>
    <x v="2"/>
    <x v="12"/>
    <n v="206.04"/>
    <x v="3"/>
    <x v="0"/>
    <n v="3.5"/>
    <n v="20"/>
    <n v="5"/>
    <n v="257.54999999999995"/>
    <n v="51.509999999999962"/>
    <x v="5"/>
    <m/>
  </r>
  <r>
    <n v="3653"/>
    <n v="68"/>
    <x v="0"/>
    <x v="7"/>
    <x v="11"/>
    <n v="86.55"/>
    <x v="3"/>
    <x v="0"/>
    <n v="5"/>
    <n v="28"/>
    <n v="9"/>
    <n v="120.20833333333333"/>
    <n v="33.658333333333331"/>
    <x v="2"/>
    <m/>
  </r>
  <r>
    <n v="3654"/>
    <n v="63"/>
    <x v="1"/>
    <x v="2"/>
    <x v="10"/>
    <n v="138.76"/>
    <x v="1"/>
    <x v="0"/>
    <n v="3.5"/>
    <n v="17"/>
    <n v="6"/>
    <n v="167.18072289156626"/>
    <n v="28.420722891566271"/>
    <x v="0"/>
    <m/>
  </r>
  <r>
    <n v="3655"/>
    <n v="49"/>
    <x v="0"/>
    <x v="8"/>
    <x v="16"/>
    <n v="45.93"/>
    <x v="1"/>
    <x v="0"/>
    <n v="5"/>
    <n v="22"/>
    <n v="6"/>
    <n v="58.88461538461538"/>
    <n v="12.95461538461538"/>
    <x v="4"/>
    <m/>
  </r>
  <r>
    <n v="3656"/>
    <n v="56"/>
    <x v="0"/>
    <x v="8"/>
    <x v="14"/>
    <n v="80.56"/>
    <x v="0"/>
    <x v="0"/>
    <n v="3.5"/>
    <n v="14"/>
    <n v="7"/>
    <n v="93.674418604651166"/>
    <n v="13.114418604651163"/>
    <x v="0"/>
    <m/>
  </r>
  <r>
    <n v="3657"/>
    <n v="42"/>
    <x v="1"/>
    <x v="3"/>
    <x v="24"/>
    <n v="133.91"/>
    <x v="3"/>
    <x v="0"/>
    <n v="3.9"/>
    <n v="18"/>
    <n v="4"/>
    <n v="163.30487804878047"/>
    <n v="29.39487804878047"/>
    <x v="1"/>
    <m/>
  </r>
  <r>
    <n v="3658"/>
    <n v="34"/>
    <x v="1"/>
    <x v="5"/>
    <x v="21"/>
    <n v="739.02"/>
    <x v="0"/>
    <x v="0"/>
    <n v="4.3"/>
    <n v="30"/>
    <n v="10"/>
    <n v="1055.7428571428572"/>
    <n v="316.72285714285726"/>
    <x v="5"/>
    <m/>
  </r>
  <r>
    <n v="3659"/>
    <n v="49"/>
    <x v="1"/>
    <x v="2"/>
    <x v="2"/>
    <n v="245.64"/>
    <x v="2"/>
    <x v="0"/>
    <n v="4.0999999999999996"/>
    <n v="15"/>
    <n v="5"/>
    <n v="288.98823529411766"/>
    <n v="43.348235294117671"/>
    <x v="4"/>
    <m/>
  </r>
  <r>
    <n v="3660"/>
    <n v="38"/>
    <x v="1"/>
    <x v="1"/>
    <x v="14"/>
    <n v="75.67"/>
    <x v="2"/>
    <x v="1"/>
    <n v="3.8"/>
    <n v="15"/>
    <n v="5"/>
    <n v="89.023529411764713"/>
    <n v="13.353529411764711"/>
    <x v="1"/>
    <m/>
  </r>
  <r>
    <n v="3661"/>
    <n v="51"/>
    <x v="0"/>
    <x v="0"/>
    <x v="28"/>
    <n v="102.13"/>
    <x v="3"/>
    <x v="0"/>
    <n v="4.0999999999999996"/>
    <n v="12"/>
    <n v="6"/>
    <n v="116.05681818181817"/>
    <n v="13.926818181818177"/>
    <x v="4"/>
    <m/>
  </r>
  <r>
    <n v="3662"/>
    <n v="50"/>
    <x v="0"/>
    <x v="8"/>
    <x v="14"/>
    <n v="193.62"/>
    <x v="0"/>
    <x v="0"/>
    <n v="2.9"/>
    <n v="19"/>
    <n v="7"/>
    <n v="239.03703703703704"/>
    <n v="45.417037037037034"/>
    <x v="4"/>
    <m/>
  </r>
  <r>
    <n v="3663"/>
    <n v="27"/>
    <x v="1"/>
    <x v="1"/>
    <x v="20"/>
    <n v="154.24"/>
    <x v="3"/>
    <x v="0"/>
    <n v="4.2"/>
    <n v="22"/>
    <n v="6"/>
    <n v="197.74358974358975"/>
    <n v="43.503589743589743"/>
    <x v="5"/>
    <m/>
  </r>
  <r>
    <n v="3664"/>
    <n v="40"/>
    <x v="1"/>
    <x v="7"/>
    <x v="8"/>
    <n v="70.38"/>
    <x v="3"/>
    <x v="0"/>
    <n v="4.3"/>
    <n v="21"/>
    <n v="8"/>
    <n v="89.088607594936704"/>
    <n v="18.708607594936709"/>
    <x v="1"/>
    <m/>
  </r>
  <r>
    <n v="3665"/>
    <n v="43"/>
    <x v="0"/>
    <x v="4"/>
    <x v="26"/>
    <n v="42.5"/>
    <x v="3"/>
    <x v="1"/>
    <n v="2.4"/>
    <n v="9"/>
    <n v="2"/>
    <n v="46.703296703296701"/>
    <n v="4.2032967032967008"/>
    <x v="1"/>
    <m/>
  </r>
  <r>
    <n v="3666"/>
    <n v="57"/>
    <x v="0"/>
    <x v="7"/>
    <x v="13"/>
    <n v="185.73"/>
    <x v="1"/>
    <x v="0"/>
    <n v="5"/>
    <n v="17"/>
    <n v="6"/>
    <n v="223.77108433734941"/>
    <n v="38.041084337349417"/>
    <x v="0"/>
    <m/>
  </r>
  <r>
    <n v="3667"/>
    <n v="20"/>
    <x v="1"/>
    <x v="5"/>
    <x v="21"/>
    <n v="1838.94"/>
    <x v="2"/>
    <x v="0"/>
    <n v="3.8"/>
    <n v="10"/>
    <n v="5"/>
    <n v="2043.2666666666667"/>
    <n v="204.3266666666666"/>
    <x v="3"/>
    <m/>
  </r>
  <r>
    <n v="3668"/>
    <n v="25"/>
    <x v="1"/>
    <x v="2"/>
    <x v="10"/>
    <n v="224.19"/>
    <x v="0"/>
    <x v="0"/>
    <n v="3.3"/>
    <n v="18"/>
    <n v="4"/>
    <n v="273.40243902439022"/>
    <n v="49.212439024390221"/>
    <x v="5"/>
    <m/>
  </r>
  <r>
    <n v="3669"/>
    <n v="64"/>
    <x v="1"/>
    <x v="1"/>
    <x v="20"/>
    <n v="64.53"/>
    <x v="3"/>
    <x v="1"/>
    <n v="3.8"/>
    <n v="22"/>
    <n v="6"/>
    <n v="82.730769230769226"/>
    <n v="18.200769230769225"/>
    <x v="0"/>
    <m/>
  </r>
  <r>
    <n v="3670"/>
    <n v="43"/>
    <x v="1"/>
    <x v="5"/>
    <x v="25"/>
    <n v="907.49"/>
    <x v="2"/>
    <x v="0"/>
    <n v="4.3"/>
    <n v="8"/>
    <n v="4"/>
    <n v="986.4021739130435"/>
    <n v="78.912173913043489"/>
    <x v="1"/>
    <m/>
  </r>
  <r>
    <n v="3671"/>
    <n v="56"/>
    <x v="0"/>
    <x v="6"/>
    <x v="23"/>
    <n v="91.75"/>
    <x v="0"/>
    <x v="0"/>
    <n v="3.3"/>
    <n v="13"/>
    <n v="4"/>
    <n v="105.45977011494253"/>
    <n v="13.709770114942529"/>
    <x v="0"/>
    <m/>
  </r>
  <r>
    <n v="3672"/>
    <n v="67"/>
    <x v="1"/>
    <x v="1"/>
    <x v="20"/>
    <n v="51.17"/>
    <x v="3"/>
    <x v="1"/>
    <n v="4"/>
    <n v="14"/>
    <n v="2"/>
    <n v="59.5"/>
    <n v="8.3299999999999983"/>
    <x v="2"/>
    <m/>
  </r>
  <r>
    <n v="3673"/>
    <n v="60"/>
    <x v="0"/>
    <x v="0"/>
    <x v="0"/>
    <n v="58.89"/>
    <x v="3"/>
    <x v="0"/>
    <n v="4.9000000000000004"/>
    <n v="12"/>
    <n v="1"/>
    <n v="66.920454545454547"/>
    <n v="8.0304545454545462"/>
    <x v="0"/>
    <m/>
  </r>
  <r>
    <n v="3674"/>
    <n v="35"/>
    <x v="1"/>
    <x v="3"/>
    <x v="24"/>
    <n v="118.44"/>
    <x v="2"/>
    <x v="0"/>
    <n v="4.7"/>
    <n v="28"/>
    <n v="9"/>
    <n v="164.5"/>
    <n v="46.06"/>
    <x v="1"/>
    <m/>
  </r>
  <r>
    <n v="3675"/>
    <n v="35"/>
    <x v="0"/>
    <x v="0"/>
    <x v="0"/>
    <n v="130.35"/>
    <x v="1"/>
    <x v="0"/>
    <n v="3.8"/>
    <n v="24"/>
    <n v="7"/>
    <n v="171.51315789473682"/>
    <n v="41.163157894736827"/>
    <x v="1"/>
    <m/>
  </r>
  <r>
    <n v="3676"/>
    <n v="44"/>
    <x v="0"/>
    <x v="4"/>
    <x v="19"/>
    <n v="53.11"/>
    <x v="2"/>
    <x v="1"/>
    <n v="3.9"/>
    <n v="15"/>
    <n v="5"/>
    <n v="62.482352941176472"/>
    <n v="9.372352941176473"/>
    <x v="1"/>
    <m/>
  </r>
  <r>
    <n v="3677"/>
    <n v="47"/>
    <x v="0"/>
    <x v="0"/>
    <x v="0"/>
    <n v="72"/>
    <x v="1"/>
    <x v="1"/>
    <n v="4.2"/>
    <n v="16"/>
    <n v="8"/>
    <n v="85.714285714285722"/>
    <n v="13.714285714285722"/>
    <x v="4"/>
    <m/>
  </r>
  <r>
    <n v="3678"/>
    <n v="54"/>
    <x v="1"/>
    <x v="2"/>
    <x v="12"/>
    <n v="97.9"/>
    <x v="2"/>
    <x v="0"/>
    <n v="3.7"/>
    <n v="10"/>
    <n v="5"/>
    <n v="108.77777777777779"/>
    <n v="10.87777777777778"/>
    <x v="4"/>
    <m/>
  </r>
  <r>
    <n v="3679"/>
    <n v="70"/>
    <x v="0"/>
    <x v="8"/>
    <x v="17"/>
    <n v="131.93"/>
    <x v="0"/>
    <x v="0"/>
    <n v="3.3"/>
    <n v="16"/>
    <n v="3"/>
    <n v="157.05952380952382"/>
    <n v="25.129523809523818"/>
    <x v="2"/>
    <m/>
  </r>
  <r>
    <n v="3680"/>
    <n v="56"/>
    <x v="0"/>
    <x v="8"/>
    <x v="14"/>
    <n v="184.09"/>
    <x v="0"/>
    <x v="0"/>
    <n v="3.4"/>
    <n v="22"/>
    <n v="6"/>
    <n v="236.0128205128205"/>
    <n v="51.922820512820493"/>
    <x v="0"/>
    <m/>
  </r>
  <r>
    <n v="3681"/>
    <n v="20"/>
    <x v="0"/>
    <x v="6"/>
    <x v="6"/>
    <n v="58.16"/>
    <x v="1"/>
    <x v="1"/>
    <n v="4.5"/>
    <n v="11"/>
    <n v="3"/>
    <n v="65.348314606741567"/>
    <n v="7.1883146067415709"/>
    <x v="3"/>
    <m/>
  </r>
  <r>
    <n v="3682"/>
    <n v="25"/>
    <x v="0"/>
    <x v="0"/>
    <x v="22"/>
    <n v="20.67"/>
    <x v="3"/>
    <x v="0"/>
    <n v="5"/>
    <n v="8"/>
    <n v="4"/>
    <n v="22.467391304347828"/>
    <n v="1.7973913043478262"/>
    <x v="5"/>
    <m/>
  </r>
  <r>
    <n v="3683"/>
    <n v="57"/>
    <x v="0"/>
    <x v="6"/>
    <x v="6"/>
    <n v="93.07"/>
    <x v="1"/>
    <x v="0"/>
    <n v="3.4"/>
    <n v="14"/>
    <n v="2"/>
    <n v="108.22093023255813"/>
    <n v="15.150930232558139"/>
    <x v="0"/>
    <m/>
  </r>
  <r>
    <n v="3684"/>
    <n v="30"/>
    <x v="0"/>
    <x v="0"/>
    <x v="22"/>
    <n v="95.38"/>
    <x v="1"/>
    <x v="0"/>
    <n v="5"/>
    <n v="10"/>
    <n v="5"/>
    <n v="105.97777777777777"/>
    <n v="10.597777777777779"/>
    <x v="5"/>
    <m/>
  </r>
  <r>
    <n v="3685"/>
    <n v="20"/>
    <x v="1"/>
    <x v="2"/>
    <x v="2"/>
    <n v="167.54"/>
    <x v="2"/>
    <x v="0"/>
    <n v="3.8"/>
    <n v="20"/>
    <n v="5"/>
    <n v="209.42499999999998"/>
    <n v="41.884999999999991"/>
    <x v="3"/>
    <m/>
  </r>
  <r>
    <n v="3686"/>
    <n v="70"/>
    <x v="1"/>
    <x v="1"/>
    <x v="20"/>
    <n v="78.89"/>
    <x v="3"/>
    <x v="0"/>
    <n v="3.9"/>
    <n v="8"/>
    <n v="4"/>
    <n v="85.75"/>
    <n v="6.8599999999999994"/>
    <x v="2"/>
    <m/>
  </r>
  <r>
    <n v="3687"/>
    <n v="28"/>
    <x v="1"/>
    <x v="2"/>
    <x v="2"/>
    <n v="39.159999999999997"/>
    <x v="3"/>
    <x v="1"/>
    <n v="3.9"/>
    <n v="13"/>
    <n v="4"/>
    <n v="45.011494252873561"/>
    <n v="5.8514942528735645"/>
    <x v="5"/>
    <m/>
  </r>
  <r>
    <n v="3688"/>
    <n v="35"/>
    <x v="0"/>
    <x v="3"/>
    <x v="3"/>
    <n v="299.25"/>
    <x v="2"/>
    <x v="0"/>
    <n v="3.4"/>
    <n v="10"/>
    <n v="5"/>
    <n v="332.5"/>
    <n v="33.25"/>
    <x v="1"/>
    <m/>
  </r>
  <r>
    <n v="3689"/>
    <n v="29"/>
    <x v="0"/>
    <x v="4"/>
    <x v="4"/>
    <n v="70.760000000000005"/>
    <x v="0"/>
    <x v="0"/>
    <n v="3.8"/>
    <n v="13"/>
    <n v="4"/>
    <n v="81.333333333333343"/>
    <n v="10.573333333333338"/>
    <x v="5"/>
    <m/>
  </r>
  <r>
    <n v="3690"/>
    <n v="40"/>
    <x v="0"/>
    <x v="8"/>
    <x v="16"/>
    <n v="191.37"/>
    <x v="1"/>
    <x v="0"/>
    <n v="4.0999999999999996"/>
    <n v="16"/>
    <n v="3"/>
    <n v="227.82142857142858"/>
    <n v="36.451428571428579"/>
    <x v="1"/>
    <m/>
  </r>
  <r>
    <n v="3691"/>
    <n v="34"/>
    <x v="0"/>
    <x v="7"/>
    <x v="13"/>
    <n v="240.46"/>
    <x v="3"/>
    <x v="0"/>
    <n v="5"/>
    <n v="18"/>
    <n v="9"/>
    <n v="293.2439024390244"/>
    <n v="52.783902439024388"/>
    <x v="5"/>
    <m/>
  </r>
  <r>
    <n v="3692"/>
    <n v="57"/>
    <x v="0"/>
    <x v="6"/>
    <x v="23"/>
    <n v="134.16"/>
    <x v="3"/>
    <x v="0"/>
    <n v="4"/>
    <n v="12"/>
    <n v="6"/>
    <n v="152.45454545454544"/>
    <n v="18.294545454545442"/>
    <x v="0"/>
    <m/>
  </r>
  <r>
    <n v="3693"/>
    <n v="50"/>
    <x v="0"/>
    <x v="6"/>
    <x v="27"/>
    <n v="92.73"/>
    <x v="0"/>
    <x v="0"/>
    <n v="4.2"/>
    <n v="26"/>
    <n v="8"/>
    <n v="125.31081081081082"/>
    <n v="32.580810810810817"/>
    <x v="4"/>
    <m/>
  </r>
  <r>
    <n v="3694"/>
    <n v="60"/>
    <x v="0"/>
    <x v="8"/>
    <x v="17"/>
    <n v="169.58"/>
    <x v="0"/>
    <x v="0"/>
    <n v="4.8"/>
    <n v="23"/>
    <n v="9"/>
    <n v="220.23376623376623"/>
    <n v="50.65376623376622"/>
    <x v="0"/>
    <m/>
  </r>
  <r>
    <n v="3695"/>
    <n v="70"/>
    <x v="0"/>
    <x v="8"/>
    <x v="16"/>
    <n v="51.99"/>
    <x v="0"/>
    <x v="1"/>
    <n v="3.4"/>
    <n v="24"/>
    <n v="7"/>
    <n v="68.40789473684211"/>
    <n v="16.417894736842108"/>
    <x v="2"/>
    <m/>
  </r>
  <r>
    <n v="3696"/>
    <n v="35"/>
    <x v="0"/>
    <x v="7"/>
    <x v="11"/>
    <n v="220.75"/>
    <x v="3"/>
    <x v="0"/>
    <n v="3.7"/>
    <n v="14"/>
    <n v="7"/>
    <n v="256.68604651162792"/>
    <n v="35.936046511627922"/>
    <x v="1"/>
    <m/>
  </r>
  <r>
    <n v="3697"/>
    <n v="31"/>
    <x v="0"/>
    <x v="3"/>
    <x v="3"/>
    <n v="86.63"/>
    <x v="0"/>
    <x v="1"/>
    <n v="4.5"/>
    <n v="20"/>
    <n v="10"/>
    <n v="108.28749999999999"/>
    <n v="21.657499999999999"/>
    <x v="5"/>
    <m/>
  </r>
  <r>
    <n v="3698"/>
    <n v="37"/>
    <x v="1"/>
    <x v="4"/>
    <x v="19"/>
    <n v="43.63"/>
    <x v="0"/>
    <x v="0"/>
    <n v="4.5999999999999996"/>
    <n v="16"/>
    <n v="3"/>
    <n v="51.940476190476197"/>
    <n v="8.3104761904761943"/>
    <x v="1"/>
    <m/>
  </r>
  <r>
    <n v="3699"/>
    <n v="63"/>
    <x v="1"/>
    <x v="7"/>
    <x v="13"/>
    <n v="173.53"/>
    <x v="1"/>
    <x v="0"/>
    <n v="4.4000000000000004"/>
    <n v="16"/>
    <n v="3"/>
    <n v="206.58333333333334"/>
    <n v="33.053333333333342"/>
    <x v="0"/>
    <m/>
  </r>
  <r>
    <n v="3700"/>
    <n v="46"/>
    <x v="1"/>
    <x v="3"/>
    <x v="3"/>
    <n v="162.93"/>
    <x v="0"/>
    <x v="0"/>
    <n v="4.7"/>
    <n v="18"/>
    <n v="4"/>
    <n v="198.69512195121951"/>
    <n v="35.765121951219498"/>
    <x v="4"/>
    <m/>
  </r>
  <r>
    <n v="3701"/>
    <n v="35"/>
    <x v="0"/>
    <x v="6"/>
    <x v="27"/>
    <n v="75.510000000000005"/>
    <x v="1"/>
    <x v="0"/>
    <n v="4.0999999999999996"/>
    <n v="17"/>
    <n v="6"/>
    <n v="90.975903614457849"/>
    <n v="15.465903614457844"/>
    <x v="1"/>
    <m/>
  </r>
  <r>
    <n v="3702"/>
    <n v="42"/>
    <x v="0"/>
    <x v="7"/>
    <x v="13"/>
    <n v="148.02000000000001"/>
    <x v="2"/>
    <x v="0"/>
    <n v="2.7"/>
    <n v="12"/>
    <n v="6"/>
    <n v="168.20454545454547"/>
    <n v="20.184545454545457"/>
    <x v="1"/>
    <m/>
  </r>
  <r>
    <n v="3703"/>
    <n v="47"/>
    <x v="0"/>
    <x v="6"/>
    <x v="23"/>
    <n v="31.89"/>
    <x v="2"/>
    <x v="1"/>
    <n v="4.3"/>
    <n v="13"/>
    <n v="4"/>
    <n v="36.655172413793103"/>
    <n v="4.7651724137931026"/>
    <x v="4"/>
    <m/>
  </r>
  <r>
    <n v="3704"/>
    <n v="62"/>
    <x v="1"/>
    <x v="3"/>
    <x v="15"/>
    <n v="36.04"/>
    <x v="2"/>
    <x v="1"/>
    <n v="3.7"/>
    <n v="18"/>
    <n v="4"/>
    <n v="43.951219512195117"/>
    <n v="7.9112195121951174"/>
    <x v="0"/>
    <m/>
  </r>
  <r>
    <n v="3705"/>
    <n v="47"/>
    <x v="0"/>
    <x v="6"/>
    <x v="23"/>
    <n v="110.64"/>
    <x v="2"/>
    <x v="0"/>
    <n v="4.0999999999999996"/>
    <n v="10"/>
    <n v="5"/>
    <n v="122.93333333333334"/>
    <n v="12.293333333333337"/>
    <x v="4"/>
    <m/>
  </r>
  <r>
    <n v="3706"/>
    <n v="70"/>
    <x v="0"/>
    <x v="8"/>
    <x v="16"/>
    <n v="166.68"/>
    <x v="1"/>
    <x v="0"/>
    <n v="3.5"/>
    <n v="2"/>
    <n v="1"/>
    <n v="170.08163265306123"/>
    <n v="3.4016326530612275"/>
    <x v="2"/>
    <m/>
  </r>
  <r>
    <n v="3707"/>
    <n v="56"/>
    <x v="0"/>
    <x v="7"/>
    <x v="8"/>
    <n v="239.19"/>
    <x v="1"/>
    <x v="0"/>
    <n v="5"/>
    <n v="20"/>
    <n v="5"/>
    <n v="298.98749999999995"/>
    <n v="59.797499999999957"/>
    <x v="0"/>
    <m/>
  </r>
  <r>
    <n v="3708"/>
    <n v="38"/>
    <x v="1"/>
    <x v="1"/>
    <x v="1"/>
    <n v="51.09"/>
    <x v="3"/>
    <x v="1"/>
    <n v="4.5999999999999996"/>
    <n v="6"/>
    <n v="3"/>
    <n v="54.351063829787243"/>
    <n v="3.2610638297872399"/>
    <x v="1"/>
    <m/>
  </r>
  <r>
    <n v="3709"/>
    <n v="67"/>
    <x v="1"/>
    <x v="5"/>
    <x v="21"/>
    <n v="2033.97"/>
    <x v="0"/>
    <x v="0"/>
    <n v="4.3"/>
    <n v="20"/>
    <n v="5"/>
    <n v="2542.4625000000001"/>
    <n v="508.49250000000006"/>
    <x v="2"/>
    <m/>
  </r>
  <r>
    <n v="3710"/>
    <n v="32"/>
    <x v="0"/>
    <x v="6"/>
    <x v="6"/>
    <n v="25.5"/>
    <x v="1"/>
    <x v="0"/>
    <n v="4.3"/>
    <n v="21"/>
    <n v="8"/>
    <n v="32.278481012658226"/>
    <n v="6.7784810126582258"/>
    <x v="5"/>
    <m/>
  </r>
  <r>
    <n v="3711"/>
    <n v="41"/>
    <x v="0"/>
    <x v="7"/>
    <x v="11"/>
    <n v="194.63"/>
    <x v="0"/>
    <x v="0"/>
    <n v="3.6"/>
    <n v="15"/>
    <n v="5"/>
    <n v="228.97647058823529"/>
    <n v="34.346470588235292"/>
    <x v="1"/>
    <m/>
  </r>
  <r>
    <n v="3712"/>
    <n v="65"/>
    <x v="1"/>
    <x v="4"/>
    <x v="29"/>
    <n v="56.5"/>
    <x v="3"/>
    <x v="0"/>
    <n v="3.4"/>
    <n v="20"/>
    <n v="5"/>
    <n v="70.625"/>
    <n v="14.125"/>
    <x v="2"/>
    <m/>
  </r>
  <r>
    <n v="3713"/>
    <n v="46"/>
    <x v="0"/>
    <x v="0"/>
    <x v="28"/>
    <n v="118.52"/>
    <x v="1"/>
    <x v="0"/>
    <n v="5"/>
    <n v="26"/>
    <n v="8"/>
    <n v="160.16216216216216"/>
    <n v="41.642162162162165"/>
    <x v="4"/>
    <m/>
  </r>
  <r>
    <n v="3714"/>
    <n v="50"/>
    <x v="1"/>
    <x v="4"/>
    <x v="29"/>
    <n v="30.62"/>
    <x v="0"/>
    <x v="0"/>
    <n v="4.2"/>
    <n v="26"/>
    <n v="8"/>
    <n v="41.378378378378379"/>
    <n v="10.758378378378378"/>
    <x v="4"/>
    <m/>
  </r>
  <r>
    <n v="3715"/>
    <n v="21"/>
    <x v="0"/>
    <x v="7"/>
    <x v="11"/>
    <n v="225.81"/>
    <x v="2"/>
    <x v="0"/>
    <n v="3.2"/>
    <n v="17"/>
    <n v="6"/>
    <n v="272.06024096385545"/>
    <n v="46.250240963855447"/>
    <x v="3"/>
    <m/>
  </r>
  <r>
    <n v="3716"/>
    <n v="38"/>
    <x v="1"/>
    <x v="2"/>
    <x v="10"/>
    <n v="42.08"/>
    <x v="0"/>
    <x v="1"/>
    <n v="4.0999999999999996"/>
    <n v="6"/>
    <n v="3"/>
    <n v="44.765957446808514"/>
    <n v="2.6859574468085157"/>
    <x v="1"/>
    <m/>
  </r>
  <r>
    <n v="3717"/>
    <n v="22"/>
    <x v="1"/>
    <x v="2"/>
    <x v="12"/>
    <n v="78.2"/>
    <x v="1"/>
    <x v="1"/>
    <n v="4.0999999999999996"/>
    <n v="15"/>
    <n v="5"/>
    <n v="92"/>
    <n v="13.799999999999997"/>
    <x v="3"/>
    <m/>
  </r>
  <r>
    <n v="3718"/>
    <n v="51"/>
    <x v="1"/>
    <x v="2"/>
    <x v="10"/>
    <n v="238.8"/>
    <x v="2"/>
    <x v="0"/>
    <n v="3.2"/>
    <n v="10"/>
    <n v="5"/>
    <n v="265.33333333333331"/>
    <n v="26.533333333333303"/>
    <x v="4"/>
    <m/>
  </r>
  <r>
    <n v="3719"/>
    <n v="29"/>
    <x v="0"/>
    <x v="7"/>
    <x v="8"/>
    <n v="232.13"/>
    <x v="0"/>
    <x v="0"/>
    <n v="3.8"/>
    <n v="16"/>
    <n v="8"/>
    <n v="276.34523809523807"/>
    <n v="44.215238095238078"/>
    <x v="5"/>
    <m/>
  </r>
  <r>
    <n v="3720"/>
    <n v="43"/>
    <x v="1"/>
    <x v="1"/>
    <x v="1"/>
    <n v="63.05"/>
    <x v="2"/>
    <x v="0"/>
    <n v="3.6"/>
    <n v="9"/>
    <n v="2"/>
    <n v="69.285714285714278"/>
    <n v="6.2357142857142804"/>
    <x v="1"/>
    <m/>
  </r>
  <r>
    <n v="3721"/>
    <n v="58"/>
    <x v="1"/>
    <x v="2"/>
    <x v="2"/>
    <n v="103.55"/>
    <x v="0"/>
    <x v="0"/>
    <n v="3.3"/>
    <n v="11"/>
    <n v="3"/>
    <n v="116.34831460674157"/>
    <n v="12.79831460674157"/>
    <x v="0"/>
    <m/>
  </r>
  <r>
    <n v="3722"/>
    <n v="62"/>
    <x v="1"/>
    <x v="4"/>
    <x v="26"/>
    <n v="21.14"/>
    <x v="0"/>
    <x v="1"/>
    <n v="4.0999999999999996"/>
    <n v="11"/>
    <n v="3"/>
    <n v="23.752808988764045"/>
    <n v="2.6128089887640442"/>
    <x v="0"/>
    <m/>
  </r>
  <r>
    <n v="3723"/>
    <n v="69"/>
    <x v="0"/>
    <x v="0"/>
    <x v="22"/>
    <n v="175.97"/>
    <x v="2"/>
    <x v="0"/>
    <n v="3.4"/>
    <n v="8"/>
    <n v="4"/>
    <n v="191.27173913043478"/>
    <n v="15.301739130434783"/>
    <x v="2"/>
    <m/>
  </r>
  <r>
    <n v="3724"/>
    <n v="37"/>
    <x v="0"/>
    <x v="0"/>
    <x v="22"/>
    <n v="175.84"/>
    <x v="1"/>
    <x v="0"/>
    <n v="3.9"/>
    <n v="15"/>
    <n v="5"/>
    <n v="206.87058823529412"/>
    <n v="31.030588235294118"/>
    <x v="1"/>
    <m/>
  </r>
  <r>
    <n v="3725"/>
    <n v="44"/>
    <x v="1"/>
    <x v="7"/>
    <x v="11"/>
    <n v="199.68"/>
    <x v="3"/>
    <x v="0"/>
    <n v="4.5999999999999996"/>
    <n v="12"/>
    <n v="6"/>
    <n v="226.90909090909091"/>
    <n v="27.2290909090909"/>
    <x v="1"/>
    <m/>
  </r>
  <r>
    <n v="3726"/>
    <n v="56"/>
    <x v="0"/>
    <x v="0"/>
    <x v="28"/>
    <n v="121.61"/>
    <x v="2"/>
    <x v="0"/>
    <n v="3.8"/>
    <n v="8"/>
    <n v="4"/>
    <n v="132.18478260869566"/>
    <n v="10.574782608695656"/>
    <x v="0"/>
    <m/>
  </r>
  <r>
    <n v="3727"/>
    <n v="35"/>
    <x v="1"/>
    <x v="5"/>
    <x v="7"/>
    <n v="2019.58"/>
    <x v="0"/>
    <x v="0"/>
    <n v="3"/>
    <n v="17"/>
    <n v="6"/>
    <n v="2433.2289156626507"/>
    <n v="413.64891566265078"/>
    <x v="1"/>
    <m/>
  </r>
  <r>
    <n v="3728"/>
    <n v="35"/>
    <x v="0"/>
    <x v="6"/>
    <x v="27"/>
    <n v="53.04"/>
    <x v="1"/>
    <x v="0"/>
    <n v="3.5"/>
    <n v="20"/>
    <n v="5"/>
    <n v="66.3"/>
    <n v="13.259999999999998"/>
    <x v="1"/>
    <m/>
  </r>
  <r>
    <n v="3729"/>
    <n v="62"/>
    <x v="0"/>
    <x v="8"/>
    <x v="17"/>
    <n v="149.16"/>
    <x v="0"/>
    <x v="0"/>
    <n v="3.5"/>
    <n v="20"/>
    <n v="5"/>
    <n v="186.45"/>
    <n v="37.289999999999992"/>
    <x v="0"/>
    <m/>
  </r>
  <r>
    <n v="3730"/>
    <n v="48"/>
    <x v="0"/>
    <x v="7"/>
    <x v="11"/>
    <n v="165.93"/>
    <x v="0"/>
    <x v="0"/>
    <n v="3"/>
    <n v="16"/>
    <n v="3"/>
    <n v="197.53571428571431"/>
    <n v="31.605714285714299"/>
    <x v="4"/>
    <m/>
  </r>
  <r>
    <n v="3731"/>
    <n v="38"/>
    <x v="0"/>
    <x v="7"/>
    <x v="11"/>
    <n v="138.47"/>
    <x v="0"/>
    <x v="0"/>
    <n v="4.0999999999999996"/>
    <n v="20"/>
    <n v="5"/>
    <n v="173.08749999999998"/>
    <n v="34.617499999999978"/>
    <x v="1"/>
    <m/>
  </r>
  <r>
    <n v="3732"/>
    <n v="49"/>
    <x v="0"/>
    <x v="8"/>
    <x v="14"/>
    <n v="61.75"/>
    <x v="3"/>
    <x v="1"/>
    <n v="2.9"/>
    <n v="4"/>
    <n v="2"/>
    <n v="64.322916666666671"/>
    <n v="2.5729166666666714"/>
    <x v="4"/>
    <m/>
  </r>
  <r>
    <n v="3733"/>
    <n v="25"/>
    <x v="1"/>
    <x v="1"/>
    <x v="9"/>
    <n v="186.83"/>
    <x v="3"/>
    <x v="0"/>
    <n v="3.3"/>
    <n v="20"/>
    <n v="5"/>
    <n v="233.53749999999999"/>
    <n v="46.707499999999982"/>
    <x v="5"/>
    <m/>
  </r>
  <r>
    <n v="3734"/>
    <n v="32"/>
    <x v="0"/>
    <x v="3"/>
    <x v="15"/>
    <n v="161.13"/>
    <x v="0"/>
    <x v="0"/>
    <n v="4.5999999999999996"/>
    <n v="24"/>
    <n v="7"/>
    <n v="212.01315789473682"/>
    <n v="50.883157894736826"/>
    <x v="5"/>
    <m/>
  </r>
  <r>
    <n v="3735"/>
    <n v="24"/>
    <x v="0"/>
    <x v="4"/>
    <x v="4"/>
    <n v="34.75"/>
    <x v="2"/>
    <x v="1"/>
    <n v="3.1"/>
    <n v="20"/>
    <n v="5"/>
    <n v="43.4375"/>
    <n v="8.6875"/>
    <x v="3"/>
    <m/>
  </r>
  <r>
    <n v="3736"/>
    <n v="52"/>
    <x v="1"/>
    <x v="2"/>
    <x v="12"/>
    <n v="40.54"/>
    <x v="0"/>
    <x v="0"/>
    <n v="5"/>
    <n v="15"/>
    <n v="5"/>
    <n v="47.694117647058825"/>
    <n v="7.1541176470588255"/>
    <x v="4"/>
    <m/>
  </r>
  <r>
    <n v="3737"/>
    <n v="38"/>
    <x v="1"/>
    <x v="1"/>
    <x v="9"/>
    <n v="156.15"/>
    <x v="2"/>
    <x v="0"/>
    <n v="4.9000000000000004"/>
    <n v="18"/>
    <n v="4"/>
    <n v="190.42682926829266"/>
    <n v="34.276829268292659"/>
    <x v="1"/>
    <m/>
  </r>
  <r>
    <n v="3738"/>
    <n v="30"/>
    <x v="0"/>
    <x v="8"/>
    <x v="17"/>
    <n v="53.27"/>
    <x v="0"/>
    <x v="1"/>
    <n v="3.2"/>
    <n v="22"/>
    <n v="6"/>
    <n v="68.294871794871796"/>
    <n v="15.024871794871792"/>
    <x v="5"/>
    <m/>
  </r>
  <r>
    <n v="3739"/>
    <n v="70"/>
    <x v="0"/>
    <x v="8"/>
    <x v="16"/>
    <n v="90.81"/>
    <x v="1"/>
    <x v="1"/>
    <n v="4"/>
    <n v="8"/>
    <n v="4"/>
    <n v="98.706521739130437"/>
    <n v="7.896521739130435"/>
    <x v="2"/>
    <m/>
  </r>
  <r>
    <n v="3740"/>
    <n v="23"/>
    <x v="0"/>
    <x v="8"/>
    <x v="17"/>
    <n v="101.78"/>
    <x v="2"/>
    <x v="0"/>
    <n v="2.4"/>
    <n v="16"/>
    <n v="3"/>
    <n v="121.16666666666667"/>
    <n v="19.38666666666667"/>
    <x v="3"/>
    <m/>
  </r>
  <r>
    <n v="3741"/>
    <n v="52"/>
    <x v="1"/>
    <x v="7"/>
    <x v="8"/>
    <n v="83.51"/>
    <x v="0"/>
    <x v="0"/>
    <n v="3.5"/>
    <n v="15"/>
    <n v="5"/>
    <n v="98.247058823529414"/>
    <n v="14.737058823529409"/>
    <x v="4"/>
    <m/>
  </r>
  <r>
    <n v="3742"/>
    <n v="35"/>
    <x v="0"/>
    <x v="8"/>
    <x v="17"/>
    <n v="156.25"/>
    <x v="3"/>
    <x v="0"/>
    <n v="4.0999999999999996"/>
    <n v="15"/>
    <n v="5"/>
    <n v="183.82352941176472"/>
    <n v="27.573529411764724"/>
    <x v="1"/>
    <m/>
  </r>
  <r>
    <n v="3743"/>
    <n v="61"/>
    <x v="0"/>
    <x v="7"/>
    <x v="11"/>
    <n v="240.97"/>
    <x v="1"/>
    <x v="0"/>
    <n v="4"/>
    <n v="26"/>
    <n v="8"/>
    <n v="325.63513513513516"/>
    <n v="84.665135135135159"/>
    <x v="0"/>
    <m/>
  </r>
  <r>
    <n v="3744"/>
    <n v="25"/>
    <x v="0"/>
    <x v="7"/>
    <x v="13"/>
    <n v="161.52000000000001"/>
    <x v="3"/>
    <x v="0"/>
    <n v="4.2"/>
    <n v="10"/>
    <n v="5"/>
    <n v="179.46666666666667"/>
    <n v="17.946666666666658"/>
    <x v="5"/>
    <m/>
  </r>
  <r>
    <n v="3745"/>
    <n v="60"/>
    <x v="1"/>
    <x v="3"/>
    <x v="15"/>
    <n v="52.07"/>
    <x v="2"/>
    <x v="0"/>
    <n v="5"/>
    <n v="18"/>
    <n v="4"/>
    <n v="63.499999999999993"/>
    <n v="11.429999999999993"/>
    <x v="0"/>
    <m/>
  </r>
  <r>
    <n v="3746"/>
    <n v="21"/>
    <x v="0"/>
    <x v="6"/>
    <x v="27"/>
    <n v="41.3"/>
    <x v="0"/>
    <x v="1"/>
    <n v="3.8"/>
    <n v="8"/>
    <n v="4"/>
    <n v="44.891304347826079"/>
    <n v="3.5913043478260818"/>
    <x v="3"/>
    <m/>
  </r>
  <r>
    <n v="3747"/>
    <n v="59"/>
    <x v="0"/>
    <x v="0"/>
    <x v="22"/>
    <n v="77.78"/>
    <x v="3"/>
    <x v="1"/>
    <n v="4"/>
    <n v="13"/>
    <n v="4"/>
    <n v="89.402298850574709"/>
    <n v="11.622298850574708"/>
    <x v="0"/>
    <m/>
  </r>
  <r>
    <n v="3748"/>
    <n v="51"/>
    <x v="0"/>
    <x v="3"/>
    <x v="3"/>
    <n v="74.72"/>
    <x v="1"/>
    <x v="0"/>
    <n v="4"/>
    <n v="8"/>
    <n v="4"/>
    <n v="81.217391304347828"/>
    <n v="6.4973913043478291"/>
    <x v="4"/>
    <m/>
  </r>
  <r>
    <n v="3749"/>
    <n v="39"/>
    <x v="0"/>
    <x v="7"/>
    <x v="8"/>
    <n v="88.03"/>
    <x v="0"/>
    <x v="1"/>
    <n v="4"/>
    <n v="10"/>
    <n v="5"/>
    <n v="97.811111111111103"/>
    <n v="9.7811111111111018"/>
    <x v="1"/>
    <m/>
  </r>
  <r>
    <n v="3750"/>
    <n v="23"/>
    <x v="0"/>
    <x v="8"/>
    <x v="14"/>
    <n v="83.7"/>
    <x v="1"/>
    <x v="1"/>
    <n v="3.3"/>
    <n v="20"/>
    <n v="5"/>
    <n v="104.625"/>
    <n v="20.924999999999997"/>
    <x v="3"/>
    <m/>
  </r>
  <r>
    <n v="3751"/>
    <n v="43"/>
    <x v="0"/>
    <x v="8"/>
    <x v="18"/>
    <n v="87.63"/>
    <x v="0"/>
    <x v="1"/>
    <n v="4.5999999999999996"/>
    <n v="4"/>
    <n v="2"/>
    <n v="91.28125"/>
    <n v="3.6512500000000045"/>
    <x v="1"/>
    <m/>
  </r>
  <r>
    <n v="3752"/>
    <n v="53"/>
    <x v="0"/>
    <x v="6"/>
    <x v="6"/>
    <n v="78.650000000000006"/>
    <x v="0"/>
    <x v="0"/>
    <n v="3.6"/>
    <n v="12"/>
    <n v="6"/>
    <n v="89.375"/>
    <n v="10.724999999999994"/>
    <x v="4"/>
    <m/>
  </r>
  <r>
    <n v="3753"/>
    <n v="37"/>
    <x v="0"/>
    <x v="0"/>
    <x v="28"/>
    <n v="29.21"/>
    <x v="3"/>
    <x v="0"/>
    <n v="4.0999999999999996"/>
    <n v="11"/>
    <n v="3"/>
    <n v="32.820224719101127"/>
    <n v="3.6102247191011259"/>
    <x v="1"/>
    <m/>
  </r>
  <r>
    <n v="3754"/>
    <n v="54"/>
    <x v="0"/>
    <x v="2"/>
    <x v="12"/>
    <n v="107.34"/>
    <x v="3"/>
    <x v="0"/>
    <n v="3.5"/>
    <n v="19"/>
    <n v="7"/>
    <n v="132.5185185185185"/>
    <n v="25.178518518518501"/>
    <x v="4"/>
    <m/>
  </r>
  <r>
    <n v="3755"/>
    <n v="56"/>
    <x v="1"/>
    <x v="7"/>
    <x v="13"/>
    <n v="241.91"/>
    <x v="3"/>
    <x v="0"/>
    <n v="3.5"/>
    <n v="16"/>
    <n v="3"/>
    <n v="287.98809523809524"/>
    <n v="46.078095238095244"/>
    <x v="0"/>
    <m/>
  </r>
  <r>
    <n v="3756"/>
    <n v="31"/>
    <x v="0"/>
    <x v="6"/>
    <x v="27"/>
    <n v="105.94"/>
    <x v="3"/>
    <x v="0"/>
    <n v="3.3"/>
    <n v="16"/>
    <n v="3"/>
    <n v="126.11904761904762"/>
    <n v="20.179047619047623"/>
    <x v="5"/>
    <m/>
  </r>
  <r>
    <n v="3757"/>
    <n v="47"/>
    <x v="1"/>
    <x v="1"/>
    <x v="20"/>
    <n v="100.06"/>
    <x v="0"/>
    <x v="0"/>
    <n v="3.7"/>
    <n v="18"/>
    <n v="4"/>
    <n v="122.02439024390243"/>
    <n v="21.964390243902429"/>
    <x v="4"/>
    <m/>
  </r>
  <r>
    <n v="3758"/>
    <n v="41"/>
    <x v="0"/>
    <x v="2"/>
    <x v="12"/>
    <n v="53.69"/>
    <x v="1"/>
    <x v="1"/>
    <n v="3.7"/>
    <n v="21"/>
    <n v="8"/>
    <n v="67.962025316455694"/>
    <n v="14.272025316455696"/>
    <x v="1"/>
    <m/>
  </r>
  <r>
    <n v="3759"/>
    <n v="69"/>
    <x v="1"/>
    <x v="1"/>
    <x v="20"/>
    <n v="95.85"/>
    <x v="0"/>
    <x v="0"/>
    <n v="4.3"/>
    <n v="12"/>
    <n v="6"/>
    <n v="108.92045454545453"/>
    <n v="13.070454545454538"/>
    <x v="2"/>
    <m/>
  </r>
  <r>
    <n v="3760"/>
    <n v="25"/>
    <x v="0"/>
    <x v="0"/>
    <x v="0"/>
    <n v="177.89"/>
    <x v="1"/>
    <x v="0"/>
    <n v="3.7"/>
    <n v="16"/>
    <n v="8"/>
    <n v="211.77380952380952"/>
    <n v="33.883809523809532"/>
    <x v="5"/>
    <m/>
  </r>
  <r>
    <n v="3761"/>
    <n v="57"/>
    <x v="0"/>
    <x v="0"/>
    <x v="22"/>
    <n v="97"/>
    <x v="2"/>
    <x v="1"/>
    <n v="4.0999999999999996"/>
    <n v="24"/>
    <n v="7"/>
    <n v="127.63157894736842"/>
    <n v="30.631578947368425"/>
    <x v="0"/>
    <m/>
  </r>
  <r>
    <n v="3762"/>
    <n v="43"/>
    <x v="1"/>
    <x v="7"/>
    <x v="13"/>
    <n v="135.26"/>
    <x v="1"/>
    <x v="0"/>
    <n v="4.3"/>
    <n v="28"/>
    <n v="9"/>
    <n v="187.86111111111111"/>
    <n v="52.601111111111123"/>
    <x v="1"/>
    <m/>
  </r>
  <r>
    <n v="3763"/>
    <n v="55"/>
    <x v="1"/>
    <x v="2"/>
    <x v="12"/>
    <n v="153.94999999999999"/>
    <x v="1"/>
    <x v="0"/>
    <n v="3.4"/>
    <n v="13"/>
    <n v="4"/>
    <n v="176.95402298850573"/>
    <n v="23.004022988505739"/>
    <x v="0"/>
    <m/>
  </r>
  <r>
    <n v="3764"/>
    <n v="55"/>
    <x v="1"/>
    <x v="2"/>
    <x v="12"/>
    <n v="73.22"/>
    <x v="1"/>
    <x v="1"/>
    <n v="3"/>
    <n v="17"/>
    <n v="6"/>
    <n v="88.216867469879517"/>
    <n v="14.996867469879518"/>
    <x v="0"/>
    <m/>
  </r>
  <r>
    <n v="3765"/>
    <n v="59"/>
    <x v="0"/>
    <x v="8"/>
    <x v="16"/>
    <n v="78.739999999999995"/>
    <x v="0"/>
    <x v="0"/>
    <n v="3.9"/>
    <n v="17"/>
    <n v="6"/>
    <n v="94.867469879518069"/>
    <n v="16.127469879518074"/>
    <x v="0"/>
    <m/>
  </r>
  <r>
    <n v="3766"/>
    <n v="59"/>
    <x v="1"/>
    <x v="2"/>
    <x v="12"/>
    <n v="193.24"/>
    <x v="0"/>
    <x v="0"/>
    <n v="4.0999999999999996"/>
    <n v="8"/>
    <n v="4"/>
    <n v="210.04347826086956"/>
    <n v="16.803478260869554"/>
    <x v="0"/>
    <m/>
  </r>
  <r>
    <n v="3767"/>
    <n v="58"/>
    <x v="0"/>
    <x v="8"/>
    <x v="18"/>
    <n v="123.99"/>
    <x v="3"/>
    <x v="0"/>
    <n v="4.3"/>
    <n v="12"/>
    <n v="6"/>
    <n v="140.89772727272725"/>
    <n v="16.907727272727257"/>
    <x v="0"/>
    <m/>
  </r>
  <r>
    <n v="3768"/>
    <n v="31"/>
    <x v="0"/>
    <x v="0"/>
    <x v="0"/>
    <n v="127.18"/>
    <x v="3"/>
    <x v="0"/>
    <n v="3.3"/>
    <n v="10"/>
    <n v="5"/>
    <n v="141.3111111111111"/>
    <n v="14.131111111111096"/>
    <x v="5"/>
    <m/>
  </r>
  <r>
    <n v="3769"/>
    <n v="42"/>
    <x v="1"/>
    <x v="5"/>
    <x v="21"/>
    <n v="2662.7"/>
    <x v="3"/>
    <x v="0"/>
    <n v="3.6"/>
    <n v="19"/>
    <n v="7"/>
    <n v="3287.2839506172836"/>
    <n v="624.58395061728379"/>
    <x v="1"/>
    <m/>
  </r>
  <r>
    <n v="3770"/>
    <n v="68"/>
    <x v="1"/>
    <x v="7"/>
    <x v="8"/>
    <n v="207"/>
    <x v="3"/>
    <x v="0"/>
    <n v="5"/>
    <n v="26"/>
    <n v="8"/>
    <n v="279.72972972972974"/>
    <n v="72.72972972972974"/>
    <x v="2"/>
    <m/>
  </r>
  <r>
    <n v="3771"/>
    <n v="54"/>
    <x v="0"/>
    <x v="0"/>
    <x v="0"/>
    <n v="148.96"/>
    <x v="0"/>
    <x v="0"/>
    <n v="4"/>
    <n v="22"/>
    <n v="6"/>
    <n v="190.97435897435898"/>
    <n v="42.01435897435897"/>
    <x v="4"/>
    <m/>
  </r>
  <r>
    <n v="3772"/>
    <n v="33"/>
    <x v="1"/>
    <x v="1"/>
    <x v="20"/>
    <n v="91.42"/>
    <x v="0"/>
    <x v="1"/>
    <n v="4.5"/>
    <n v="14"/>
    <n v="2"/>
    <n v="106.30232558139535"/>
    <n v="14.882325581395349"/>
    <x v="5"/>
    <m/>
  </r>
  <r>
    <n v="3773"/>
    <n v="45"/>
    <x v="0"/>
    <x v="7"/>
    <x v="11"/>
    <n v="153.68"/>
    <x v="1"/>
    <x v="0"/>
    <n v="4"/>
    <n v="20"/>
    <n v="5"/>
    <n v="192.1"/>
    <n v="38.419999999999987"/>
    <x v="4"/>
    <m/>
  </r>
  <r>
    <n v="3774"/>
    <n v="68"/>
    <x v="1"/>
    <x v="2"/>
    <x v="12"/>
    <n v="110.62"/>
    <x v="0"/>
    <x v="0"/>
    <n v="3.9"/>
    <n v="15"/>
    <n v="5"/>
    <n v="130.14117647058825"/>
    <n v="19.521176470588244"/>
    <x v="2"/>
    <m/>
  </r>
  <r>
    <n v="3775"/>
    <n v="43"/>
    <x v="0"/>
    <x v="0"/>
    <x v="28"/>
    <n v="178.57"/>
    <x v="0"/>
    <x v="0"/>
    <n v="3.2"/>
    <n v="16"/>
    <n v="3"/>
    <n v="212.58333333333334"/>
    <n v="34.01333333333335"/>
    <x v="1"/>
    <m/>
  </r>
  <r>
    <n v="3776"/>
    <n v="23"/>
    <x v="1"/>
    <x v="1"/>
    <x v="20"/>
    <n v="84.91"/>
    <x v="2"/>
    <x v="0"/>
    <n v="2.6"/>
    <n v="18"/>
    <n v="9"/>
    <n v="103.54878048780486"/>
    <n v="18.638780487804866"/>
    <x v="3"/>
    <m/>
  </r>
  <r>
    <n v="3777"/>
    <n v="59"/>
    <x v="0"/>
    <x v="0"/>
    <x v="22"/>
    <n v="95.39"/>
    <x v="0"/>
    <x v="0"/>
    <n v="5"/>
    <n v="9"/>
    <n v="2"/>
    <n v="104.82417582417582"/>
    <n v="9.4341758241758242"/>
    <x v="0"/>
    <m/>
  </r>
  <r>
    <n v="3778"/>
    <n v="21"/>
    <x v="1"/>
    <x v="5"/>
    <x v="7"/>
    <n v="1512.5"/>
    <x v="1"/>
    <x v="0"/>
    <n v="4"/>
    <n v="15"/>
    <n v="5"/>
    <n v="1779.4117647058824"/>
    <n v="266.91176470588243"/>
    <x v="3"/>
    <m/>
  </r>
  <r>
    <n v="3779"/>
    <n v="35"/>
    <x v="0"/>
    <x v="7"/>
    <x v="11"/>
    <n v="68.790000000000006"/>
    <x v="1"/>
    <x v="1"/>
    <n v="5"/>
    <n v="20"/>
    <n v="5"/>
    <n v="85.987499999999997"/>
    <n v="17.197499999999991"/>
    <x v="1"/>
    <m/>
  </r>
  <r>
    <n v="3780"/>
    <n v="26"/>
    <x v="0"/>
    <x v="6"/>
    <x v="27"/>
    <n v="30.17"/>
    <x v="1"/>
    <x v="0"/>
    <n v="2.8"/>
    <n v="13"/>
    <n v="4"/>
    <n v="34.678160919540232"/>
    <n v="4.5081609195402308"/>
    <x v="5"/>
    <m/>
  </r>
  <r>
    <n v="3781"/>
    <n v="40"/>
    <x v="1"/>
    <x v="2"/>
    <x v="10"/>
    <n v="199.87"/>
    <x v="0"/>
    <x v="0"/>
    <n v="3.1"/>
    <n v="7"/>
    <n v="1"/>
    <n v="214.91397849462368"/>
    <n v="15.043978494623673"/>
    <x v="1"/>
    <m/>
  </r>
  <r>
    <n v="3782"/>
    <n v="24"/>
    <x v="0"/>
    <x v="6"/>
    <x v="27"/>
    <n v="47.98"/>
    <x v="3"/>
    <x v="0"/>
    <n v="4.5999999999999996"/>
    <n v="4"/>
    <n v="2"/>
    <n v="49.979166666666664"/>
    <n v="1.9991666666666674"/>
    <x v="3"/>
    <m/>
  </r>
  <r>
    <n v="3783"/>
    <n v="68"/>
    <x v="0"/>
    <x v="8"/>
    <x v="17"/>
    <n v="184.65"/>
    <x v="3"/>
    <x v="0"/>
    <n v="3.4"/>
    <n v="14"/>
    <n v="2"/>
    <n v="214.7093023255814"/>
    <n v="30.059302325581399"/>
    <x v="2"/>
    <m/>
  </r>
  <r>
    <n v="3784"/>
    <n v="39"/>
    <x v="0"/>
    <x v="2"/>
    <x v="2"/>
    <n v="101.5"/>
    <x v="3"/>
    <x v="0"/>
    <n v="4.5"/>
    <n v="20"/>
    <n v="5"/>
    <n v="126.875"/>
    <n v="25.375"/>
    <x v="1"/>
    <m/>
  </r>
  <r>
    <n v="3785"/>
    <n v="27"/>
    <x v="1"/>
    <x v="5"/>
    <x v="5"/>
    <n v="502.45"/>
    <x v="2"/>
    <x v="0"/>
    <n v="5"/>
    <n v="16"/>
    <n v="3"/>
    <n v="598.15476190476193"/>
    <n v="95.704761904761938"/>
    <x v="5"/>
    <m/>
  </r>
  <r>
    <n v="3786"/>
    <n v="29"/>
    <x v="0"/>
    <x v="6"/>
    <x v="27"/>
    <n v="137"/>
    <x v="0"/>
    <x v="0"/>
    <n v="4.7"/>
    <n v="22"/>
    <n v="6"/>
    <n v="175.64102564102564"/>
    <n v="38.641025641025635"/>
    <x v="5"/>
    <m/>
  </r>
  <r>
    <n v="3787"/>
    <n v="21"/>
    <x v="1"/>
    <x v="2"/>
    <x v="12"/>
    <n v="137.18"/>
    <x v="3"/>
    <x v="0"/>
    <n v="2.8"/>
    <n v="12"/>
    <n v="6"/>
    <n v="155.88636363636365"/>
    <n v="18.706363636363648"/>
    <x v="3"/>
    <m/>
  </r>
  <r>
    <n v="3788"/>
    <n v="52"/>
    <x v="0"/>
    <x v="2"/>
    <x v="2"/>
    <n v="129.61000000000001"/>
    <x v="0"/>
    <x v="0"/>
    <n v="3.8"/>
    <n v="11"/>
    <n v="3"/>
    <n v="145.62921348314609"/>
    <n v="16.019213483146075"/>
    <x v="4"/>
    <m/>
  </r>
  <r>
    <n v="3789"/>
    <n v="39"/>
    <x v="0"/>
    <x v="7"/>
    <x v="13"/>
    <n v="129.19"/>
    <x v="1"/>
    <x v="0"/>
    <n v="3.5"/>
    <n v="11"/>
    <n v="3"/>
    <n v="145.15730337078651"/>
    <n v="15.96730337078651"/>
    <x v="1"/>
    <m/>
  </r>
  <r>
    <n v="3790"/>
    <n v="65"/>
    <x v="1"/>
    <x v="2"/>
    <x v="2"/>
    <n v="154.65"/>
    <x v="2"/>
    <x v="0"/>
    <n v="3.1"/>
    <n v="18"/>
    <n v="4"/>
    <n v="188.59756097560975"/>
    <n v="33.947560975609747"/>
    <x v="2"/>
    <m/>
  </r>
  <r>
    <n v="3791"/>
    <n v="67"/>
    <x v="0"/>
    <x v="8"/>
    <x v="14"/>
    <n v="54.55"/>
    <x v="0"/>
    <x v="0"/>
    <n v="4.7"/>
    <n v="19"/>
    <n v="7"/>
    <n v="67.34567901234567"/>
    <n v="12.795679012345673"/>
    <x v="2"/>
    <m/>
  </r>
  <r>
    <n v="3792"/>
    <n v="21"/>
    <x v="1"/>
    <x v="2"/>
    <x v="10"/>
    <n v="77.209999999999994"/>
    <x v="1"/>
    <x v="0"/>
    <n v="4.3"/>
    <n v="19"/>
    <n v="7"/>
    <n v="95.320987654320973"/>
    <n v="18.110987654320979"/>
    <x v="3"/>
    <m/>
  </r>
  <r>
    <n v="3793"/>
    <n v="62"/>
    <x v="1"/>
    <x v="5"/>
    <x v="21"/>
    <n v="1865.21"/>
    <x v="2"/>
    <x v="0"/>
    <n v="3.9"/>
    <n v="14"/>
    <n v="2"/>
    <n v="2168.8488372093025"/>
    <n v="303.63883720930244"/>
    <x v="0"/>
    <m/>
  </r>
  <r>
    <n v="3794"/>
    <n v="52"/>
    <x v="0"/>
    <x v="6"/>
    <x v="27"/>
    <n v="97.56"/>
    <x v="3"/>
    <x v="0"/>
    <n v="3.6"/>
    <n v="15"/>
    <n v="5"/>
    <n v="114.7764705882353"/>
    <n v="17.216470588235296"/>
    <x v="4"/>
    <m/>
  </r>
  <r>
    <n v="3795"/>
    <n v="28"/>
    <x v="1"/>
    <x v="5"/>
    <x v="7"/>
    <n v="2248.23"/>
    <x v="1"/>
    <x v="0"/>
    <n v="3.6"/>
    <n v="23"/>
    <n v="9"/>
    <n v="2919.7792207792209"/>
    <n v="671.54922077922083"/>
    <x v="5"/>
    <m/>
  </r>
  <r>
    <n v="3796"/>
    <n v="59"/>
    <x v="0"/>
    <x v="4"/>
    <x v="26"/>
    <n v="26.78"/>
    <x v="2"/>
    <x v="0"/>
    <n v="5"/>
    <n v="19"/>
    <n v="7"/>
    <n v="33.061728395061728"/>
    <n v="6.2817283950617266"/>
    <x v="0"/>
    <m/>
  </r>
  <r>
    <n v="3797"/>
    <n v="67"/>
    <x v="0"/>
    <x v="6"/>
    <x v="6"/>
    <n v="99.35"/>
    <x v="0"/>
    <x v="1"/>
    <n v="4"/>
    <n v="15"/>
    <n v="5"/>
    <n v="116.88235294117646"/>
    <n v="17.53235294117647"/>
    <x v="2"/>
    <m/>
  </r>
  <r>
    <n v="3798"/>
    <n v="35"/>
    <x v="1"/>
    <x v="5"/>
    <x v="7"/>
    <n v="1797.25"/>
    <x v="2"/>
    <x v="0"/>
    <n v="4.5"/>
    <n v="8"/>
    <n v="4"/>
    <n v="1953.532608695652"/>
    <n v="156.28260869565202"/>
    <x v="1"/>
    <m/>
  </r>
  <r>
    <n v="3799"/>
    <n v="68"/>
    <x v="1"/>
    <x v="5"/>
    <x v="25"/>
    <n v="2202.2600000000002"/>
    <x v="1"/>
    <x v="0"/>
    <n v="3.9"/>
    <n v="15"/>
    <n v="5"/>
    <n v="2590.8941176470594"/>
    <n v="388.63411764705916"/>
    <x v="2"/>
    <m/>
  </r>
  <r>
    <n v="3800"/>
    <n v="43"/>
    <x v="0"/>
    <x v="0"/>
    <x v="28"/>
    <n v="109.12"/>
    <x v="2"/>
    <x v="0"/>
    <n v="3.6"/>
    <n v="16"/>
    <n v="3"/>
    <n v="129.90476190476193"/>
    <n v="20.784761904761922"/>
    <x v="1"/>
    <m/>
  </r>
  <r>
    <n v="3801"/>
    <n v="21"/>
    <x v="0"/>
    <x v="6"/>
    <x v="27"/>
    <n v="76.900000000000006"/>
    <x v="1"/>
    <x v="0"/>
    <n v="4.9000000000000004"/>
    <n v="17"/>
    <n v="6"/>
    <n v="92.650602409638566"/>
    <n v="15.75060240963856"/>
    <x v="3"/>
    <m/>
  </r>
  <r>
    <n v="3802"/>
    <n v="51"/>
    <x v="0"/>
    <x v="0"/>
    <x v="28"/>
    <n v="99.61"/>
    <x v="2"/>
    <x v="0"/>
    <n v="3.8"/>
    <n v="20"/>
    <n v="10"/>
    <n v="124.51249999999999"/>
    <n v="24.902499999999989"/>
    <x v="4"/>
    <m/>
  </r>
  <r>
    <n v="3803"/>
    <n v="64"/>
    <x v="0"/>
    <x v="6"/>
    <x v="6"/>
    <n v="81.88"/>
    <x v="0"/>
    <x v="1"/>
    <n v="4.5999999999999996"/>
    <n v="18"/>
    <n v="4"/>
    <n v="99.853658536585357"/>
    <n v="17.973658536585361"/>
    <x v="0"/>
    <m/>
  </r>
  <r>
    <n v="3804"/>
    <n v="38"/>
    <x v="0"/>
    <x v="2"/>
    <x v="10"/>
    <n v="211.85"/>
    <x v="3"/>
    <x v="0"/>
    <n v="4.5"/>
    <n v="2"/>
    <n v="1"/>
    <n v="216.17346938775509"/>
    <n v="4.3234693877550967"/>
    <x v="1"/>
    <m/>
  </r>
  <r>
    <n v="3805"/>
    <n v="60"/>
    <x v="0"/>
    <x v="6"/>
    <x v="23"/>
    <n v="72.84"/>
    <x v="1"/>
    <x v="0"/>
    <n v="4.5"/>
    <n v="13"/>
    <n v="4"/>
    <n v="83.724137931034491"/>
    <n v="10.884137931034488"/>
    <x v="0"/>
    <m/>
  </r>
  <r>
    <n v="3806"/>
    <n v="33"/>
    <x v="0"/>
    <x v="0"/>
    <x v="28"/>
    <n v="126.38"/>
    <x v="2"/>
    <x v="0"/>
    <n v="2.8"/>
    <n v="12"/>
    <n v="6"/>
    <n v="143.61363636363635"/>
    <n v="17.23363636363635"/>
    <x v="5"/>
    <m/>
  </r>
  <r>
    <n v="3807"/>
    <n v="25"/>
    <x v="0"/>
    <x v="2"/>
    <x v="12"/>
    <n v="91.07"/>
    <x v="3"/>
    <x v="0"/>
    <n v="4.0999999999999996"/>
    <n v="30"/>
    <n v="10"/>
    <n v="130.1"/>
    <n v="39.03"/>
    <x v="5"/>
    <m/>
  </r>
  <r>
    <n v="3808"/>
    <n v="42"/>
    <x v="1"/>
    <x v="1"/>
    <x v="20"/>
    <n v="104.3"/>
    <x v="3"/>
    <x v="0"/>
    <n v="4.7"/>
    <n v="11"/>
    <n v="3"/>
    <n v="117.19101123595505"/>
    <n v="12.891011235955048"/>
    <x v="1"/>
    <m/>
  </r>
  <r>
    <n v="3809"/>
    <n v="36"/>
    <x v="0"/>
    <x v="7"/>
    <x v="8"/>
    <n v="142.78"/>
    <x v="1"/>
    <x v="0"/>
    <n v="3.7"/>
    <n v="24"/>
    <n v="7"/>
    <n v="187.86842105263159"/>
    <n v="45.088421052631588"/>
    <x v="1"/>
    <m/>
  </r>
  <r>
    <n v="3810"/>
    <n v="64"/>
    <x v="0"/>
    <x v="8"/>
    <x v="16"/>
    <n v="152.88"/>
    <x v="0"/>
    <x v="0"/>
    <n v="4"/>
    <n v="12"/>
    <n v="6"/>
    <n v="173.72727272727272"/>
    <n v="20.847272727272724"/>
    <x v="0"/>
    <m/>
  </r>
  <r>
    <n v="3811"/>
    <n v="33"/>
    <x v="0"/>
    <x v="0"/>
    <x v="28"/>
    <n v="92.62"/>
    <x v="0"/>
    <x v="0"/>
    <n v="3.4"/>
    <n v="10"/>
    <n v="5"/>
    <n v="102.91111111111111"/>
    <n v="10.291111111111107"/>
    <x v="5"/>
    <m/>
  </r>
  <r>
    <n v="3812"/>
    <n v="24"/>
    <x v="0"/>
    <x v="6"/>
    <x v="23"/>
    <n v="35.21"/>
    <x v="3"/>
    <x v="0"/>
    <n v="3.5"/>
    <n v="7"/>
    <n v="1"/>
    <n v="37.860215053763447"/>
    <n v="2.6502150537634463"/>
    <x v="3"/>
    <m/>
  </r>
  <r>
    <n v="3813"/>
    <n v="55"/>
    <x v="0"/>
    <x v="6"/>
    <x v="23"/>
    <n v="63.85"/>
    <x v="2"/>
    <x v="0"/>
    <n v="4"/>
    <n v="17"/>
    <n v="6"/>
    <n v="76.927710843373504"/>
    <n v="13.077710843373502"/>
    <x v="0"/>
    <m/>
  </r>
  <r>
    <n v="3814"/>
    <n v="31"/>
    <x v="1"/>
    <x v="5"/>
    <x v="7"/>
    <n v="1015.78"/>
    <x v="0"/>
    <x v="0"/>
    <n v="3.7"/>
    <n v="12"/>
    <n v="6"/>
    <n v="1154.2954545454545"/>
    <n v="138.51545454545453"/>
    <x v="5"/>
    <m/>
  </r>
  <r>
    <n v="3815"/>
    <n v="49"/>
    <x v="1"/>
    <x v="1"/>
    <x v="14"/>
    <n v="60.79"/>
    <x v="0"/>
    <x v="0"/>
    <n v="3.9"/>
    <n v="4"/>
    <n v="2"/>
    <n v="63.322916666666671"/>
    <n v="2.5329166666666723"/>
    <x v="4"/>
    <m/>
  </r>
  <r>
    <n v="3816"/>
    <n v="61"/>
    <x v="0"/>
    <x v="8"/>
    <x v="18"/>
    <n v="189.41"/>
    <x v="2"/>
    <x v="0"/>
    <n v="3.2"/>
    <n v="6"/>
    <n v="3"/>
    <n v="201.5"/>
    <n v="12.090000000000003"/>
    <x v="0"/>
    <m/>
  </r>
  <r>
    <n v="3817"/>
    <n v="24"/>
    <x v="1"/>
    <x v="4"/>
    <x v="29"/>
    <n v="38.06"/>
    <x v="1"/>
    <x v="1"/>
    <n v="4.7"/>
    <n v="20"/>
    <n v="5"/>
    <n v="47.575000000000003"/>
    <n v="9.5150000000000006"/>
    <x v="3"/>
    <m/>
  </r>
  <r>
    <n v="3818"/>
    <n v="32"/>
    <x v="0"/>
    <x v="6"/>
    <x v="27"/>
    <n v="148.62"/>
    <x v="0"/>
    <x v="0"/>
    <n v="3.1"/>
    <n v="4"/>
    <n v="2"/>
    <n v="154.8125"/>
    <n v="6.1924999999999955"/>
    <x v="5"/>
    <m/>
  </r>
  <r>
    <n v="3819"/>
    <n v="39"/>
    <x v="1"/>
    <x v="4"/>
    <x v="19"/>
    <n v="70.510000000000005"/>
    <x v="3"/>
    <x v="0"/>
    <n v="4.0999999999999996"/>
    <n v="18"/>
    <n v="4"/>
    <n v="85.987804878048777"/>
    <n v="15.477804878048772"/>
    <x v="1"/>
    <m/>
  </r>
  <r>
    <n v="3820"/>
    <n v="47"/>
    <x v="1"/>
    <x v="1"/>
    <x v="9"/>
    <n v="86.22"/>
    <x v="0"/>
    <x v="1"/>
    <n v="5"/>
    <n v="28"/>
    <n v="9"/>
    <n v="119.75"/>
    <n v="33.53"/>
    <x v="4"/>
    <m/>
  </r>
  <r>
    <n v="3821"/>
    <n v="41"/>
    <x v="1"/>
    <x v="4"/>
    <x v="26"/>
    <n v="14.42"/>
    <x v="3"/>
    <x v="1"/>
    <n v="3.8"/>
    <n v="16"/>
    <n v="3"/>
    <n v="17.166666666666668"/>
    <n v="2.7466666666666679"/>
    <x v="1"/>
    <m/>
  </r>
  <r>
    <n v="3822"/>
    <n v="70"/>
    <x v="1"/>
    <x v="1"/>
    <x v="20"/>
    <n v="189.46"/>
    <x v="3"/>
    <x v="0"/>
    <n v="4.3"/>
    <n v="20"/>
    <n v="5"/>
    <n v="236.82499999999999"/>
    <n v="47.364999999999981"/>
    <x v="2"/>
    <m/>
  </r>
  <r>
    <n v="3823"/>
    <n v="56"/>
    <x v="0"/>
    <x v="6"/>
    <x v="6"/>
    <n v="68.849999999999994"/>
    <x v="0"/>
    <x v="1"/>
    <n v="5"/>
    <n v="10"/>
    <n v="5"/>
    <n v="76.499999999999986"/>
    <n v="7.6499999999999915"/>
    <x v="0"/>
    <m/>
  </r>
  <r>
    <n v="3824"/>
    <n v="30"/>
    <x v="1"/>
    <x v="5"/>
    <x v="5"/>
    <n v="1289.45"/>
    <x v="1"/>
    <x v="0"/>
    <n v="3.9"/>
    <n v="24"/>
    <n v="7"/>
    <n v="1696.6447368421052"/>
    <n v="407.19473684210516"/>
    <x v="5"/>
    <m/>
  </r>
  <r>
    <n v="3825"/>
    <n v="37"/>
    <x v="1"/>
    <x v="2"/>
    <x v="12"/>
    <n v="152.16"/>
    <x v="0"/>
    <x v="0"/>
    <n v="2.9"/>
    <n v="18"/>
    <n v="4"/>
    <n v="185.56097560975607"/>
    <n v="33.400975609756074"/>
    <x v="1"/>
    <m/>
  </r>
  <r>
    <n v="3826"/>
    <n v="37"/>
    <x v="0"/>
    <x v="0"/>
    <x v="0"/>
    <n v="108.77"/>
    <x v="3"/>
    <x v="0"/>
    <n v="4.2"/>
    <n v="12"/>
    <n v="6"/>
    <n v="123.60227272727272"/>
    <n v="14.832272727272724"/>
    <x v="1"/>
    <m/>
  </r>
  <r>
    <n v="3827"/>
    <n v="57"/>
    <x v="1"/>
    <x v="2"/>
    <x v="10"/>
    <n v="102.42"/>
    <x v="0"/>
    <x v="0"/>
    <n v="3.5"/>
    <n v="2"/>
    <n v="1"/>
    <n v="104.51020408163265"/>
    <n v="2.090204081632649"/>
    <x v="0"/>
    <m/>
  </r>
  <r>
    <n v="3828"/>
    <n v="35"/>
    <x v="0"/>
    <x v="0"/>
    <x v="28"/>
    <n v="89.77"/>
    <x v="1"/>
    <x v="0"/>
    <n v="3.6"/>
    <n v="6"/>
    <n v="3"/>
    <n v="95.5"/>
    <n v="5.730000000000004"/>
    <x v="1"/>
    <m/>
  </r>
  <r>
    <n v="3829"/>
    <n v="66"/>
    <x v="1"/>
    <x v="5"/>
    <x v="21"/>
    <n v="2342.16"/>
    <x v="3"/>
    <x v="0"/>
    <n v="3.7"/>
    <n v="23"/>
    <n v="9"/>
    <n v="3041.7662337662337"/>
    <n v="699.6062337662338"/>
    <x v="2"/>
    <m/>
  </r>
  <r>
    <n v="3830"/>
    <n v="54"/>
    <x v="0"/>
    <x v="6"/>
    <x v="23"/>
    <n v="101.65"/>
    <x v="3"/>
    <x v="0"/>
    <n v="3.9"/>
    <n v="12"/>
    <n v="6"/>
    <n v="115.51136363636364"/>
    <n v="13.861363636363635"/>
    <x v="4"/>
    <m/>
  </r>
  <r>
    <n v="3831"/>
    <n v="57"/>
    <x v="0"/>
    <x v="2"/>
    <x v="12"/>
    <n v="194.84"/>
    <x v="1"/>
    <x v="0"/>
    <n v="4.7"/>
    <n v="22"/>
    <n v="6"/>
    <n v="249.7948717948718"/>
    <n v="54.954871794871792"/>
    <x v="0"/>
    <m/>
  </r>
  <r>
    <n v="3832"/>
    <n v="27"/>
    <x v="1"/>
    <x v="5"/>
    <x v="7"/>
    <n v="1483.08"/>
    <x v="1"/>
    <x v="0"/>
    <n v="4.0999999999999996"/>
    <n v="16"/>
    <n v="3"/>
    <n v="1765.5714285714284"/>
    <n v="282.49142857142851"/>
    <x v="5"/>
    <m/>
  </r>
  <r>
    <n v="3833"/>
    <n v="66"/>
    <x v="0"/>
    <x v="4"/>
    <x v="29"/>
    <n v="16.63"/>
    <x v="1"/>
    <x v="1"/>
    <n v="3"/>
    <n v="15"/>
    <n v="5"/>
    <n v="19.564705882352939"/>
    <n v="2.9347058823529402"/>
    <x v="2"/>
    <m/>
  </r>
  <r>
    <n v="3834"/>
    <n v="45"/>
    <x v="1"/>
    <x v="2"/>
    <x v="2"/>
    <n v="191.91"/>
    <x v="2"/>
    <x v="0"/>
    <n v="3"/>
    <n v="8"/>
    <n v="4"/>
    <n v="208.5978260869565"/>
    <n v="16.687826086956505"/>
    <x v="4"/>
    <m/>
  </r>
  <r>
    <n v="3835"/>
    <n v="48"/>
    <x v="1"/>
    <x v="1"/>
    <x v="20"/>
    <n v="114.46"/>
    <x v="0"/>
    <x v="0"/>
    <n v="3.5"/>
    <n v="7"/>
    <n v="1"/>
    <n v="123.0752688172043"/>
    <n v="8.6152688172043099"/>
    <x v="4"/>
    <m/>
  </r>
  <r>
    <n v="3836"/>
    <n v="44"/>
    <x v="1"/>
    <x v="3"/>
    <x v="3"/>
    <n v="194.94"/>
    <x v="0"/>
    <x v="0"/>
    <n v="2.6"/>
    <n v="20"/>
    <n v="5"/>
    <n v="243.67499999999998"/>
    <n v="48.734999999999985"/>
    <x v="1"/>
    <m/>
  </r>
  <r>
    <n v="3837"/>
    <n v="42"/>
    <x v="0"/>
    <x v="8"/>
    <x v="18"/>
    <n v="161.16999999999999"/>
    <x v="1"/>
    <x v="0"/>
    <n v="3.2"/>
    <n v="10"/>
    <n v="5"/>
    <n v="179.07777777777775"/>
    <n v="17.907777777777767"/>
    <x v="1"/>
    <m/>
  </r>
  <r>
    <n v="3838"/>
    <n v="21"/>
    <x v="0"/>
    <x v="6"/>
    <x v="23"/>
    <n v="128.63"/>
    <x v="1"/>
    <x v="0"/>
    <n v="3.7"/>
    <n v="16"/>
    <n v="3"/>
    <n v="153.13095238095238"/>
    <n v="24.500952380952384"/>
    <x v="3"/>
    <m/>
  </r>
  <r>
    <n v="3839"/>
    <n v="42"/>
    <x v="1"/>
    <x v="5"/>
    <x v="5"/>
    <n v="1995.79"/>
    <x v="3"/>
    <x v="0"/>
    <n v="3"/>
    <n v="4"/>
    <n v="2"/>
    <n v="2078.9479166666665"/>
    <n v="83.157916666666551"/>
    <x v="1"/>
    <m/>
  </r>
  <r>
    <n v="3840"/>
    <n v="57"/>
    <x v="1"/>
    <x v="7"/>
    <x v="13"/>
    <n v="184.11"/>
    <x v="1"/>
    <x v="0"/>
    <n v="3.4"/>
    <n v="17"/>
    <n v="6"/>
    <n v="221.81927710843377"/>
    <n v="37.709277108433753"/>
    <x v="0"/>
    <m/>
  </r>
  <r>
    <n v="3841"/>
    <n v="31"/>
    <x v="0"/>
    <x v="8"/>
    <x v="17"/>
    <n v="42.28"/>
    <x v="0"/>
    <x v="0"/>
    <n v="4.2"/>
    <n v="8"/>
    <n v="4"/>
    <n v="45.956521739130437"/>
    <n v="3.6765217391304361"/>
    <x v="5"/>
    <m/>
  </r>
  <r>
    <n v="3842"/>
    <n v="34"/>
    <x v="0"/>
    <x v="4"/>
    <x v="19"/>
    <n v="32.97"/>
    <x v="1"/>
    <x v="1"/>
    <n v="2.2000000000000002"/>
    <n v="22"/>
    <n v="6"/>
    <n v="42.269230769230766"/>
    <n v="9.2992307692307676"/>
    <x v="5"/>
    <m/>
  </r>
  <r>
    <n v="3843"/>
    <n v="36"/>
    <x v="1"/>
    <x v="1"/>
    <x v="14"/>
    <n v="177.58"/>
    <x v="0"/>
    <x v="0"/>
    <n v="5"/>
    <n v="20"/>
    <n v="5"/>
    <n v="221.97499999999999"/>
    <n v="44.394999999999982"/>
    <x v="1"/>
    <m/>
  </r>
  <r>
    <n v="3844"/>
    <n v="52"/>
    <x v="1"/>
    <x v="4"/>
    <x v="19"/>
    <n v="28.33"/>
    <x v="3"/>
    <x v="0"/>
    <n v="2.6"/>
    <n v="10"/>
    <n v="5"/>
    <n v="31.477777777777774"/>
    <n v="3.147777777777776"/>
    <x v="4"/>
    <m/>
  </r>
  <r>
    <n v="3845"/>
    <n v="56"/>
    <x v="1"/>
    <x v="5"/>
    <x v="25"/>
    <n v="1509.77"/>
    <x v="1"/>
    <x v="0"/>
    <n v="4.0999999999999996"/>
    <n v="8"/>
    <n v="4"/>
    <n v="1641.0543478260868"/>
    <n v="131.28434782608679"/>
    <x v="0"/>
    <m/>
  </r>
  <r>
    <n v="3846"/>
    <n v="22"/>
    <x v="1"/>
    <x v="7"/>
    <x v="8"/>
    <n v="221.34"/>
    <x v="3"/>
    <x v="0"/>
    <n v="3"/>
    <n v="9"/>
    <n v="2"/>
    <n v="243.23076923076923"/>
    <n v="21.890769230769223"/>
    <x v="3"/>
    <m/>
  </r>
  <r>
    <n v="3847"/>
    <n v="25"/>
    <x v="1"/>
    <x v="7"/>
    <x v="8"/>
    <n v="129.19999999999999"/>
    <x v="2"/>
    <x v="0"/>
    <n v="3.8"/>
    <n v="11"/>
    <n v="3"/>
    <n v="145.16853932584269"/>
    <n v="15.968539325842698"/>
    <x v="5"/>
    <m/>
  </r>
  <r>
    <n v="3848"/>
    <n v="33"/>
    <x v="0"/>
    <x v="6"/>
    <x v="23"/>
    <n v="33.51"/>
    <x v="2"/>
    <x v="0"/>
    <n v="3.8"/>
    <n v="16"/>
    <n v="8"/>
    <n v="39.892857142857139"/>
    <n v="6.3828571428571408"/>
    <x v="5"/>
    <m/>
  </r>
  <r>
    <n v="3849"/>
    <n v="60"/>
    <x v="0"/>
    <x v="8"/>
    <x v="14"/>
    <n v="73.260000000000005"/>
    <x v="2"/>
    <x v="0"/>
    <n v="3"/>
    <n v="9"/>
    <n v="2"/>
    <n v="80.505494505494511"/>
    <n v="7.2454945054945057"/>
    <x v="0"/>
    <m/>
  </r>
  <r>
    <n v="3850"/>
    <n v="22"/>
    <x v="1"/>
    <x v="5"/>
    <x v="25"/>
    <n v="2440.87"/>
    <x v="3"/>
    <x v="0"/>
    <n v="3.7"/>
    <n v="22"/>
    <n v="6"/>
    <n v="3129.3205128205127"/>
    <n v="688.45051282051281"/>
    <x v="3"/>
    <m/>
  </r>
  <r>
    <n v="3851"/>
    <n v="35"/>
    <x v="0"/>
    <x v="3"/>
    <x v="24"/>
    <n v="164.39"/>
    <x v="3"/>
    <x v="0"/>
    <n v="3.9"/>
    <n v="15"/>
    <n v="5"/>
    <n v="193.39999999999998"/>
    <n v="29.009999999999991"/>
    <x v="1"/>
    <m/>
  </r>
  <r>
    <n v="3852"/>
    <n v="35"/>
    <x v="0"/>
    <x v="0"/>
    <x v="0"/>
    <n v="72.819999999999993"/>
    <x v="1"/>
    <x v="1"/>
    <n v="5"/>
    <n v="24"/>
    <n v="7"/>
    <n v="95.815789473684205"/>
    <n v="22.995789473684212"/>
    <x v="1"/>
    <m/>
  </r>
  <r>
    <n v="3853"/>
    <n v="22"/>
    <x v="0"/>
    <x v="7"/>
    <x v="11"/>
    <n v="195.2"/>
    <x v="3"/>
    <x v="0"/>
    <n v="3.6"/>
    <n v="17"/>
    <n v="6"/>
    <n v="235.18072289156626"/>
    <n v="39.980722891566273"/>
    <x v="3"/>
    <m/>
  </r>
  <r>
    <n v="3854"/>
    <n v="52"/>
    <x v="0"/>
    <x v="7"/>
    <x v="11"/>
    <n v="165.9"/>
    <x v="1"/>
    <x v="0"/>
    <n v="3.3"/>
    <n v="7"/>
    <n v="1"/>
    <n v="178.38709677419357"/>
    <n v="12.48709677419356"/>
    <x v="4"/>
    <m/>
  </r>
  <r>
    <n v="3855"/>
    <n v="57"/>
    <x v="1"/>
    <x v="2"/>
    <x v="10"/>
    <n v="53.33"/>
    <x v="0"/>
    <x v="0"/>
    <n v="3.7"/>
    <n v="15"/>
    <n v="5"/>
    <n v="62.741176470588236"/>
    <n v="9.4111764705882379"/>
    <x v="0"/>
    <m/>
  </r>
  <r>
    <n v="3856"/>
    <n v="43"/>
    <x v="1"/>
    <x v="2"/>
    <x v="10"/>
    <n v="186.13"/>
    <x v="3"/>
    <x v="0"/>
    <n v="2.7"/>
    <n v="8"/>
    <n v="4"/>
    <n v="202.31521739130434"/>
    <n v="16.185217391304349"/>
    <x v="1"/>
    <m/>
  </r>
  <r>
    <n v="3857"/>
    <n v="51"/>
    <x v="1"/>
    <x v="1"/>
    <x v="9"/>
    <n v="71.650000000000006"/>
    <x v="3"/>
    <x v="1"/>
    <n v="4.2"/>
    <n v="19"/>
    <n v="7"/>
    <n v="88.456790123456798"/>
    <n v="16.806790123456793"/>
    <x v="4"/>
    <m/>
  </r>
  <r>
    <n v="3858"/>
    <n v="55"/>
    <x v="1"/>
    <x v="2"/>
    <x v="10"/>
    <n v="128.66999999999999"/>
    <x v="1"/>
    <x v="0"/>
    <n v="4.0999999999999996"/>
    <n v="20"/>
    <n v="5"/>
    <n v="160.83749999999998"/>
    <n v="32.16749999999999"/>
    <x v="0"/>
    <m/>
  </r>
  <r>
    <n v="3859"/>
    <n v="68"/>
    <x v="0"/>
    <x v="6"/>
    <x v="23"/>
    <n v="72.5"/>
    <x v="0"/>
    <x v="1"/>
    <n v="3"/>
    <n v="28"/>
    <n v="9"/>
    <n v="100.69444444444444"/>
    <n v="28.194444444444443"/>
    <x v="2"/>
    <m/>
  </r>
  <r>
    <n v="3860"/>
    <n v="61"/>
    <x v="0"/>
    <x v="4"/>
    <x v="26"/>
    <n v="25.6"/>
    <x v="1"/>
    <x v="1"/>
    <n v="4"/>
    <n v="13"/>
    <n v="4"/>
    <n v="29.425287356321842"/>
    <n v="3.8252873563218408"/>
    <x v="0"/>
    <m/>
  </r>
  <r>
    <n v="3861"/>
    <n v="54"/>
    <x v="0"/>
    <x v="8"/>
    <x v="14"/>
    <n v="48.92"/>
    <x v="3"/>
    <x v="0"/>
    <n v="4.2"/>
    <n v="22"/>
    <n v="6"/>
    <n v="62.717948717948715"/>
    <n v="13.797948717948714"/>
    <x v="4"/>
    <m/>
  </r>
  <r>
    <n v="3862"/>
    <n v="65"/>
    <x v="0"/>
    <x v="0"/>
    <x v="0"/>
    <n v="82.14"/>
    <x v="3"/>
    <x v="1"/>
    <n v="3.3"/>
    <n v="17"/>
    <n v="6"/>
    <n v="98.963855421686759"/>
    <n v="16.823855421686758"/>
    <x v="2"/>
    <m/>
  </r>
  <r>
    <n v="3863"/>
    <n v="42"/>
    <x v="1"/>
    <x v="7"/>
    <x v="8"/>
    <n v="74.959999999999994"/>
    <x v="2"/>
    <x v="1"/>
    <n v="2.4"/>
    <n v="22"/>
    <n v="6"/>
    <n v="96.102564102564088"/>
    <n v="21.142564102564094"/>
    <x v="1"/>
    <m/>
  </r>
  <r>
    <n v="3864"/>
    <n v="53"/>
    <x v="0"/>
    <x v="4"/>
    <x v="19"/>
    <n v="36.549999999999997"/>
    <x v="1"/>
    <x v="0"/>
    <n v="3.8"/>
    <n v="15"/>
    <n v="5"/>
    <n v="43"/>
    <n v="6.4500000000000028"/>
    <x v="4"/>
    <m/>
  </r>
  <r>
    <n v="3865"/>
    <n v="25"/>
    <x v="1"/>
    <x v="2"/>
    <x v="2"/>
    <n v="162.61000000000001"/>
    <x v="2"/>
    <x v="0"/>
    <n v="4.7"/>
    <n v="16"/>
    <n v="3"/>
    <n v="193.58333333333334"/>
    <n v="30.973333333333329"/>
    <x v="5"/>
    <m/>
  </r>
  <r>
    <n v="3866"/>
    <n v="49"/>
    <x v="1"/>
    <x v="2"/>
    <x v="2"/>
    <n v="75.87"/>
    <x v="1"/>
    <x v="1"/>
    <n v="3"/>
    <n v="11"/>
    <n v="3"/>
    <n v="85.247191011235955"/>
    <n v="9.3771910112359507"/>
    <x v="4"/>
    <m/>
  </r>
  <r>
    <n v="3867"/>
    <n v="59"/>
    <x v="0"/>
    <x v="4"/>
    <x v="19"/>
    <n v="16.71"/>
    <x v="3"/>
    <x v="0"/>
    <n v="3.9"/>
    <n v="17"/>
    <n v="6"/>
    <n v="20.132530120481931"/>
    <n v="3.4225301204819303"/>
    <x v="0"/>
    <m/>
  </r>
  <r>
    <n v="3868"/>
    <n v="66"/>
    <x v="0"/>
    <x v="0"/>
    <x v="0"/>
    <n v="118.57"/>
    <x v="0"/>
    <x v="0"/>
    <n v="2.9"/>
    <n v="15"/>
    <n v="5"/>
    <n v="139.49411764705883"/>
    <n v="20.924117647058836"/>
    <x v="2"/>
    <m/>
  </r>
  <r>
    <n v="3869"/>
    <n v="26"/>
    <x v="0"/>
    <x v="8"/>
    <x v="14"/>
    <n v="71.72"/>
    <x v="1"/>
    <x v="0"/>
    <n v="3.5"/>
    <n v="21"/>
    <n v="8"/>
    <n v="90.784810126582272"/>
    <n v="19.064810126582273"/>
    <x v="5"/>
    <m/>
  </r>
  <r>
    <n v="3870"/>
    <n v="64"/>
    <x v="0"/>
    <x v="3"/>
    <x v="24"/>
    <n v="280.58999999999997"/>
    <x v="3"/>
    <x v="0"/>
    <n v="4.9000000000000004"/>
    <n v="17"/>
    <n v="6"/>
    <n v="338.06024096385539"/>
    <n v="57.470240963855417"/>
    <x v="0"/>
    <m/>
  </r>
  <r>
    <n v="3871"/>
    <n v="46"/>
    <x v="0"/>
    <x v="8"/>
    <x v="14"/>
    <n v="121.97"/>
    <x v="3"/>
    <x v="0"/>
    <n v="4.5999999999999996"/>
    <n v="26"/>
    <n v="8"/>
    <n v="164.82432432432432"/>
    <n v="42.854324324324324"/>
    <x v="4"/>
    <m/>
  </r>
  <r>
    <n v="3872"/>
    <n v="62"/>
    <x v="1"/>
    <x v="2"/>
    <x v="12"/>
    <n v="125.84"/>
    <x v="0"/>
    <x v="0"/>
    <n v="3.9"/>
    <n v="8"/>
    <n v="4"/>
    <n v="136.78260869565216"/>
    <n v="10.942608695652154"/>
    <x v="0"/>
    <m/>
  </r>
  <r>
    <n v="3873"/>
    <n v="43"/>
    <x v="1"/>
    <x v="2"/>
    <x v="12"/>
    <n v="199.76"/>
    <x v="3"/>
    <x v="0"/>
    <n v="2.4"/>
    <n v="24"/>
    <n v="7"/>
    <n v="262.84210526315786"/>
    <n v="63.082105263157871"/>
    <x v="1"/>
    <m/>
  </r>
  <r>
    <n v="3874"/>
    <n v="63"/>
    <x v="1"/>
    <x v="2"/>
    <x v="2"/>
    <n v="245.47"/>
    <x v="1"/>
    <x v="0"/>
    <n v="4.0999999999999996"/>
    <n v="12"/>
    <n v="6"/>
    <n v="278.94318181818181"/>
    <n v="33.473181818181814"/>
    <x v="0"/>
    <m/>
  </r>
  <r>
    <n v="3875"/>
    <n v="36"/>
    <x v="0"/>
    <x v="6"/>
    <x v="23"/>
    <n v="63.27"/>
    <x v="3"/>
    <x v="0"/>
    <n v="2.8"/>
    <n v="12"/>
    <n v="6"/>
    <n v="71.89772727272728"/>
    <n v="8.6277272727272774"/>
    <x v="1"/>
    <m/>
  </r>
  <r>
    <n v="3876"/>
    <n v="48"/>
    <x v="0"/>
    <x v="7"/>
    <x v="11"/>
    <n v="71.12"/>
    <x v="0"/>
    <x v="0"/>
    <n v="4.2"/>
    <n v="18"/>
    <n v="4"/>
    <n v="86.731707317073173"/>
    <n v="15.611707317073169"/>
    <x v="4"/>
    <m/>
  </r>
  <r>
    <n v="3877"/>
    <n v="52"/>
    <x v="0"/>
    <x v="3"/>
    <x v="15"/>
    <n v="71.95"/>
    <x v="3"/>
    <x v="1"/>
    <n v="3.6"/>
    <n v="21"/>
    <n v="8"/>
    <n v="91.075949367088612"/>
    <n v="19.125949367088609"/>
    <x v="4"/>
    <m/>
  </r>
  <r>
    <n v="3878"/>
    <n v="34"/>
    <x v="1"/>
    <x v="3"/>
    <x v="24"/>
    <n v="199.66"/>
    <x v="2"/>
    <x v="0"/>
    <n v="3.3"/>
    <n v="8"/>
    <n v="4"/>
    <n v="217.02173913043478"/>
    <n v="17.361739130434785"/>
    <x v="5"/>
    <m/>
  </r>
  <r>
    <n v="3879"/>
    <n v="46"/>
    <x v="0"/>
    <x v="0"/>
    <x v="0"/>
    <n v="52.31"/>
    <x v="2"/>
    <x v="1"/>
    <n v="5"/>
    <n v="22"/>
    <n v="6"/>
    <n v="67.064102564102569"/>
    <n v="14.754102564102567"/>
    <x v="4"/>
    <m/>
  </r>
  <r>
    <n v="3880"/>
    <n v="35"/>
    <x v="0"/>
    <x v="6"/>
    <x v="27"/>
    <n v="92"/>
    <x v="3"/>
    <x v="1"/>
    <n v="4.8"/>
    <n v="30"/>
    <n v="10"/>
    <n v="131.42857142857144"/>
    <n v="39.428571428571445"/>
    <x v="1"/>
    <m/>
  </r>
  <r>
    <n v="3881"/>
    <n v="39"/>
    <x v="0"/>
    <x v="0"/>
    <x v="28"/>
    <n v="41.86"/>
    <x v="1"/>
    <x v="0"/>
    <n v="2.8"/>
    <n v="18"/>
    <n v="4"/>
    <n v="51.048780487804876"/>
    <n v="9.1887804878048769"/>
    <x v="1"/>
    <m/>
  </r>
  <r>
    <n v="3882"/>
    <n v="67"/>
    <x v="0"/>
    <x v="7"/>
    <x v="13"/>
    <n v="134.68"/>
    <x v="3"/>
    <x v="0"/>
    <n v="4.0999999999999996"/>
    <n v="15"/>
    <n v="5"/>
    <n v="158.44705882352943"/>
    <n v="23.767058823529425"/>
    <x v="2"/>
    <m/>
  </r>
  <r>
    <n v="3883"/>
    <n v="52"/>
    <x v="1"/>
    <x v="2"/>
    <x v="2"/>
    <n v="91.41"/>
    <x v="0"/>
    <x v="1"/>
    <n v="2.9"/>
    <n v="6"/>
    <n v="3"/>
    <n v="97.244680851063833"/>
    <n v="5.8346808510638368"/>
    <x v="4"/>
    <m/>
  </r>
  <r>
    <n v="3884"/>
    <n v="29"/>
    <x v="0"/>
    <x v="4"/>
    <x v="19"/>
    <n v="29.99"/>
    <x v="3"/>
    <x v="0"/>
    <n v="4.5"/>
    <n v="17"/>
    <n v="6"/>
    <n v="36.132530120481924"/>
    <n v="6.1425301204819256"/>
    <x v="5"/>
    <m/>
  </r>
  <r>
    <n v="3885"/>
    <n v="55"/>
    <x v="1"/>
    <x v="3"/>
    <x v="15"/>
    <n v="261.19"/>
    <x v="1"/>
    <x v="0"/>
    <n v="3.2"/>
    <n v="24"/>
    <n v="7"/>
    <n v="343.67105263157896"/>
    <n v="82.481052631578962"/>
    <x v="0"/>
    <m/>
  </r>
  <r>
    <n v="3886"/>
    <n v="70"/>
    <x v="1"/>
    <x v="7"/>
    <x v="11"/>
    <n v="87.98"/>
    <x v="1"/>
    <x v="0"/>
    <n v="3.2"/>
    <n v="12"/>
    <n v="6"/>
    <n v="99.977272727272734"/>
    <n v="11.99727272727273"/>
    <x v="2"/>
    <m/>
  </r>
  <r>
    <n v="3887"/>
    <n v="41"/>
    <x v="1"/>
    <x v="1"/>
    <x v="9"/>
    <n v="152.87"/>
    <x v="3"/>
    <x v="0"/>
    <n v="4.5"/>
    <n v="12"/>
    <n v="6"/>
    <n v="173.71590909090909"/>
    <n v="20.845909090909089"/>
    <x v="1"/>
    <m/>
  </r>
  <r>
    <n v="3888"/>
    <n v="24"/>
    <x v="1"/>
    <x v="3"/>
    <x v="24"/>
    <n v="160.16999999999999"/>
    <x v="1"/>
    <x v="0"/>
    <n v="3.7"/>
    <n v="18"/>
    <n v="4"/>
    <n v="195.32926829268288"/>
    <n v="35.159268292682896"/>
    <x v="3"/>
    <m/>
  </r>
  <r>
    <n v="3889"/>
    <n v="61"/>
    <x v="1"/>
    <x v="2"/>
    <x v="2"/>
    <n v="92.21"/>
    <x v="1"/>
    <x v="0"/>
    <n v="4.2"/>
    <n v="10"/>
    <n v="5"/>
    <n v="102.45555555555555"/>
    <n v="10.245555555555555"/>
    <x v="0"/>
    <m/>
  </r>
  <r>
    <n v="3890"/>
    <n v="55"/>
    <x v="0"/>
    <x v="8"/>
    <x v="18"/>
    <n v="68.75"/>
    <x v="3"/>
    <x v="0"/>
    <n v="4.9000000000000004"/>
    <n v="9"/>
    <n v="2"/>
    <n v="75.54945054945054"/>
    <n v="6.7994505494505404"/>
    <x v="0"/>
    <m/>
  </r>
  <r>
    <n v="3891"/>
    <n v="36"/>
    <x v="1"/>
    <x v="5"/>
    <x v="7"/>
    <n v="2199.9299999999998"/>
    <x v="2"/>
    <x v="0"/>
    <n v="4.3"/>
    <n v="17"/>
    <n v="6"/>
    <n v="2650.5180722891564"/>
    <n v="450.58807228915657"/>
    <x v="1"/>
    <m/>
  </r>
  <r>
    <n v="3892"/>
    <n v="67"/>
    <x v="0"/>
    <x v="7"/>
    <x v="11"/>
    <n v="191.36"/>
    <x v="2"/>
    <x v="0"/>
    <n v="4.0999999999999996"/>
    <n v="18"/>
    <n v="4"/>
    <n v="233.36585365853659"/>
    <n v="42.00585365853658"/>
    <x v="2"/>
    <m/>
  </r>
  <r>
    <n v="3893"/>
    <n v="50"/>
    <x v="1"/>
    <x v="3"/>
    <x v="24"/>
    <n v="55.82"/>
    <x v="1"/>
    <x v="1"/>
    <n v="3.7"/>
    <n v="16"/>
    <n v="3"/>
    <n v="66.452380952380949"/>
    <n v="10.632380952380949"/>
    <x v="4"/>
    <m/>
  </r>
  <r>
    <n v="3894"/>
    <n v="33"/>
    <x v="0"/>
    <x v="7"/>
    <x v="8"/>
    <n v="222.12"/>
    <x v="2"/>
    <x v="0"/>
    <n v="4.0999999999999996"/>
    <n v="10"/>
    <n v="5"/>
    <n v="246.8"/>
    <n v="24.680000000000007"/>
    <x v="5"/>
    <m/>
  </r>
  <r>
    <n v="3895"/>
    <n v="33"/>
    <x v="0"/>
    <x v="4"/>
    <x v="19"/>
    <n v="78.680000000000007"/>
    <x v="3"/>
    <x v="0"/>
    <n v="3.4"/>
    <n v="6"/>
    <n v="3"/>
    <n v="83.702127659574487"/>
    <n v="5.0221276595744797"/>
    <x v="5"/>
    <m/>
  </r>
  <r>
    <n v="3896"/>
    <n v="53"/>
    <x v="0"/>
    <x v="7"/>
    <x v="8"/>
    <n v="151.9"/>
    <x v="3"/>
    <x v="0"/>
    <n v="3.5"/>
    <n v="7"/>
    <n v="1"/>
    <n v="163.33333333333334"/>
    <n v="11.433333333333337"/>
    <x v="4"/>
    <m/>
  </r>
  <r>
    <n v="3897"/>
    <n v="41"/>
    <x v="0"/>
    <x v="8"/>
    <x v="17"/>
    <n v="34.340000000000003"/>
    <x v="0"/>
    <x v="1"/>
    <n v="3.7"/>
    <n v="24"/>
    <n v="7"/>
    <n v="45.184210526315795"/>
    <n v="10.844210526315791"/>
    <x v="1"/>
    <m/>
  </r>
  <r>
    <n v="3898"/>
    <n v="44"/>
    <x v="1"/>
    <x v="3"/>
    <x v="24"/>
    <n v="193.78"/>
    <x v="0"/>
    <x v="0"/>
    <n v="3.9"/>
    <n v="11"/>
    <n v="3"/>
    <n v="217.73033707865167"/>
    <n v="23.950337078651671"/>
    <x v="1"/>
    <m/>
  </r>
  <r>
    <n v="3899"/>
    <n v="44"/>
    <x v="0"/>
    <x v="7"/>
    <x v="13"/>
    <n v="165.49"/>
    <x v="2"/>
    <x v="0"/>
    <n v="3.8"/>
    <n v="20"/>
    <n v="5"/>
    <n v="206.86250000000001"/>
    <n v="41.372500000000002"/>
    <x v="1"/>
    <m/>
  </r>
  <r>
    <n v="3900"/>
    <n v="26"/>
    <x v="0"/>
    <x v="8"/>
    <x v="18"/>
    <n v="98.13"/>
    <x v="3"/>
    <x v="1"/>
    <n v="3"/>
    <n v="15"/>
    <n v="5"/>
    <n v="115.4470588235294"/>
    <n v="17.317058823529408"/>
    <x v="5"/>
    <m/>
  </r>
  <r>
    <n v="3901"/>
    <n v="60"/>
    <x v="1"/>
    <x v="1"/>
    <x v="1"/>
    <n v="101.85"/>
    <x v="2"/>
    <x v="0"/>
    <n v="4.4000000000000004"/>
    <n v="10"/>
    <n v="5"/>
    <n v="113.16666666666666"/>
    <n v="11.316666666666663"/>
    <x v="0"/>
    <m/>
  </r>
  <r>
    <n v="3902"/>
    <n v="20"/>
    <x v="0"/>
    <x v="6"/>
    <x v="27"/>
    <n v="140.1"/>
    <x v="3"/>
    <x v="0"/>
    <n v="3.7"/>
    <n v="4"/>
    <n v="2"/>
    <n v="145.9375"/>
    <n v="5.8375000000000057"/>
    <x v="3"/>
    <m/>
  </r>
  <r>
    <n v="3903"/>
    <n v="45"/>
    <x v="1"/>
    <x v="4"/>
    <x v="19"/>
    <n v="8.33"/>
    <x v="1"/>
    <x v="0"/>
    <n v="2.7"/>
    <n v="12"/>
    <n v="6"/>
    <n v="9.4659090909090917"/>
    <n v="1.1359090909090916"/>
    <x v="4"/>
    <m/>
  </r>
  <r>
    <n v="3904"/>
    <n v="41"/>
    <x v="1"/>
    <x v="5"/>
    <x v="5"/>
    <n v="2137.8000000000002"/>
    <x v="2"/>
    <x v="0"/>
    <n v="2.9"/>
    <n v="11"/>
    <n v="3"/>
    <n v="2402.0224719101125"/>
    <n v="264.22247191011229"/>
    <x v="1"/>
    <m/>
  </r>
  <r>
    <n v="3905"/>
    <n v="24"/>
    <x v="1"/>
    <x v="5"/>
    <x v="21"/>
    <n v="1012.48"/>
    <x v="2"/>
    <x v="0"/>
    <n v="5"/>
    <n v="12"/>
    <n v="6"/>
    <n v="1150.5454545454545"/>
    <n v="138.06545454545449"/>
    <x v="3"/>
    <m/>
  </r>
  <r>
    <n v="3906"/>
    <n v="23"/>
    <x v="1"/>
    <x v="7"/>
    <x v="8"/>
    <n v="159.02000000000001"/>
    <x v="1"/>
    <x v="0"/>
    <n v="3.4"/>
    <n v="6"/>
    <n v="3"/>
    <n v="169.17021276595747"/>
    <n v="10.150212765957463"/>
    <x v="3"/>
    <m/>
  </r>
  <r>
    <n v="3907"/>
    <n v="70"/>
    <x v="0"/>
    <x v="6"/>
    <x v="6"/>
    <n v="65.099999999999994"/>
    <x v="2"/>
    <x v="1"/>
    <n v="3.5"/>
    <n v="11"/>
    <n v="3"/>
    <n v="73.146067415730329"/>
    <n v="8.0460674157303345"/>
    <x v="2"/>
    <m/>
  </r>
  <r>
    <n v="3908"/>
    <n v="45"/>
    <x v="1"/>
    <x v="5"/>
    <x v="25"/>
    <n v="1162.1500000000001"/>
    <x v="1"/>
    <x v="0"/>
    <n v="3.9"/>
    <n v="9"/>
    <n v="2"/>
    <n v="1277.0879120879122"/>
    <n v="114.93791208791208"/>
    <x v="4"/>
    <m/>
  </r>
  <r>
    <n v="3909"/>
    <n v="51"/>
    <x v="1"/>
    <x v="7"/>
    <x v="8"/>
    <n v="226.35"/>
    <x v="3"/>
    <x v="0"/>
    <n v="4.2"/>
    <n v="20"/>
    <n v="10"/>
    <n v="282.9375"/>
    <n v="56.587500000000006"/>
    <x v="4"/>
    <m/>
  </r>
  <r>
    <n v="3910"/>
    <n v="38"/>
    <x v="1"/>
    <x v="5"/>
    <x v="21"/>
    <n v="1523"/>
    <x v="3"/>
    <x v="0"/>
    <n v="5"/>
    <n v="32"/>
    <n v="11"/>
    <n v="2239.7058823529414"/>
    <n v="716.70588235294144"/>
    <x v="1"/>
    <m/>
  </r>
  <r>
    <n v="3911"/>
    <n v="59"/>
    <x v="1"/>
    <x v="3"/>
    <x v="24"/>
    <n v="152.75"/>
    <x v="0"/>
    <x v="0"/>
    <n v="3.6"/>
    <n v="30"/>
    <n v="10"/>
    <n v="218.21428571428572"/>
    <n v="65.464285714285722"/>
    <x v="0"/>
    <m/>
  </r>
  <r>
    <n v="3912"/>
    <n v="42"/>
    <x v="1"/>
    <x v="2"/>
    <x v="10"/>
    <n v="243.12"/>
    <x v="0"/>
    <x v="0"/>
    <n v="5"/>
    <n v="14"/>
    <n v="7"/>
    <n v="282.69767441860466"/>
    <n v="39.577674418604659"/>
    <x v="1"/>
    <m/>
  </r>
  <r>
    <n v="3913"/>
    <n v="64"/>
    <x v="1"/>
    <x v="4"/>
    <x v="4"/>
    <n v="11.97"/>
    <x v="3"/>
    <x v="0"/>
    <n v="4"/>
    <n v="9"/>
    <n v="2"/>
    <n v="13.153846153846153"/>
    <n v="1.1838461538461527"/>
    <x v="0"/>
    <m/>
  </r>
  <r>
    <n v="3914"/>
    <n v="23"/>
    <x v="1"/>
    <x v="7"/>
    <x v="11"/>
    <n v="75.64"/>
    <x v="0"/>
    <x v="0"/>
    <n v="2.8"/>
    <n v="22"/>
    <n v="6"/>
    <n v="96.974358974358978"/>
    <n v="21.334358974358977"/>
    <x v="3"/>
    <m/>
  </r>
  <r>
    <n v="3915"/>
    <n v="31"/>
    <x v="1"/>
    <x v="2"/>
    <x v="2"/>
    <n v="107.78"/>
    <x v="0"/>
    <x v="0"/>
    <n v="3.5"/>
    <n v="15"/>
    <n v="5"/>
    <n v="126.80000000000001"/>
    <n v="19.02000000000001"/>
    <x v="5"/>
    <m/>
  </r>
  <r>
    <n v="3916"/>
    <n v="64"/>
    <x v="1"/>
    <x v="2"/>
    <x v="2"/>
    <n v="170.99"/>
    <x v="3"/>
    <x v="0"/>
    <n v="3.7"/>
    <n v="14"/>
    <n v="7"/>
    <n v="198.82558139534885"/>
    <n v="27.835581395348839"/>
    <x v="0"/>
    <m/>
  </r>
  <r>
    <n v="3917"/>
    <n v="61"/>
    <x v="0"/>
    <x v="0"/>
    <x v="28"/>
    <n v="171.53"/>
    <x v="3"/>
    <x v="0"/>
    <n v="3.5"/>
    <n v="16"/>
    <n v="3"/>
    <n v="204.20238095238096"/>
    <n v="32.672380952380962"/>
    <x v="0"/>
    <m/>
  </r>
  <r>
    <n v="3918"/>
    <n v="27"/>
    <x v="0"/>
    <x v="6"/>
    <x v="27"/>
    <n v="76.489999999999995"/>
    <x v="1"/>
    <x v="0"/>
    <n v="4.3"/>
    <n v="9"/>
    <n v="2"/>
    <n v="84.054945054945051"/>
    <n v="7.5649450549450563"/>
    <x v="5"/>
    <m/>
  </r>
  <r>
    <n v="3919"/>
    <n v="22"/>
    <x v="0"/>
    <x v="8"/>
    <x v="14"/>
    <n v="180.68"/>
    <x v="2"/>
    <x v="0"/>
    <n v="4.5"/>
    <n v="21"/>
    <n v="8"/>
    <n v="228.70886075949366"/>
    <n v="48.028860759493654"/>
    <x v="3"/>
    <m/>
  </r>
  <r>
    <n v="3920"/>
    <n v="69"/>
    <x v="1"/>
    <x v="2"/>
    <x v="12"/>
    <n v="51.3"/>
    <x v="0"/>
    <x v="1"/>
    <n v="2.5"/>
    <n v="9"/>
    <n v="2"/>
    <n v="56.373626373626365"/>
    <n v="5.073626373626368"/>
    <x v="2"/>
    <m/>
  </r>
  <r>
    <n v="3921"/>
    <n v="66"/>
    <x v="1"/>
    <x v="1"/>
    <x v="14"/>
    <n v="40.06"/>
    <x v="3"/>
    <x v="1"/>
    <n v="3.1"/>
    <n v="20"/>
    <n v="5"/>
    <n v="50.075000000000003"/>
    <n v="10.015000000000001"/>
    <x v="2"/>
    <m/>
  </r>
  <r>
    <n v="3922"/>
    <n v="39"/>
    <x v="1"/>
    <x v="2"/>
    <x v="12"/>
    <n v="149.28"/>
    <x v="2"/>
    <x v="0"/>
    <n v="2.9"/>
    <n v="15"/>
    <n v="5"/>
    <n v="175.62352941176471"/>
    <n v="26.343529411764706"/>
    <x v="1"/>
    <m/>
  </r>
  <r>
    <n v="3923"/>
    <n v="22"/>
    <x v="1"/>
    <x v="7"/>
    <x v="11"/>
    <n v="168.49"/>
    <x v="1"/>
    <x v="0"/>
    <n v="4.9000000000000004"/>
    <n v="19"/>
    <n v="7"/>
    <n v="208.01234567901236"/>
    <n v="39.522345679012346"/>
    <x v="3"/>
    <m/>
  </r>
  <r>
    <n v="3924"/>
    <n v="53"/>
    <x v="0"/>
    <x v="7"/>
    <x v="11"/>
    <n v="141.58000000000001"/>
    <x v="1"/>
    <x v="0"/>
    <n v="1.7"/>
    <n v="10"/>
    <n v="5"/>
    <n v="157.31111111111113"/>
    <n v="15.731111111111119"/>
    <x v="4"/>
    <m/>
  </r>
  <r>
    <n v="3925"/>
    <n v="50"/>
    <x v="0"/>
    <x v="7"/>
    <x v="11"/>
    <n v="227.28"/>
    <x v="1"/>
    <x v="0"/>
    <n v="3.8"/>
    <n v="16"/>
    <n v="3"/>
    <n v="270.57142857142856"/>
    <n v="43.291428571428554"/>
    <x v="4"/>
    <m/>
  </r>
  <r>
    <n v="3926"/>
    <n v="45"/>
    <x v="1"/>
    <x v="1"/>
    <x v="1"/>
    <n v="49.65"/>
    <x v="3"/>
    <x v="0"/>
    <n v="4.9000000000000004"/>
    <n v="26"/>
    <n v="8"/>
    <n v="67.094594594594597"/>
    <n v="17.444594594594598"/>
    <x v="4"/>
    <m/>
  </r>
  <r>
    <n v="3927"/>
    <n v="54"/>
    <x v="1"/>
    <x v="1"/>
    <x v="20"/>
    <n v="48.95"/>
    <x v="2"/>
    <x v="0"/>
    <n v="2.6"/>
    <n v="13"/>
    <n v="4"/>
    <n v="56.264367816091955"/>
    <n v="7.3143678160919521"/>
    <x v="4"/>
    <m/>
  </r>
  <r>
    <n v="3928"/>
    <n v="38"/>
    <x v="0"/>
    <x v="3"/>
    <x v="15"/>
    <n v="289.17"/>
    <x v="2"/>
    <x v="0"/>
    <n v="3.9"/>
    <n v="6"/>
    <n v="3"/>
    <n v="307.62765957446811"/>
    <n v="18.457659574468096"/>
    <x v="1"/>
    <m/>
  </r>
  <r>
    <n v="3929"/>
    <n v="45"/>
    <x v="0"/>
    <x v="0"/>
    <x v="28"/>
    <n v="51.88"/>
    <x v="2"/>
    <x v="0"/>
    <n v="4.5999999999999996"/>
    <n v="8"/>
    <n v="4"/>
    <n v="56.391304347826086"/>
    <n v="4.5113043478260835"/>
    <x v="4"/>
    <m/>
  </r>
  <r>
    <n v="3930"/>
    <n v="36"/>
    <x v="0"/>
    <x v="8"/>
    <x v="17"/>
    <n v="70.98"/>
    <x v="2"/>
    <x v="1"/>
    <n v="3.4"/>
    <n v="6"/>
    <n v="3"/>
    <n v="75.510638297872347"/>
    <n v="4.5306382978723434"/>
    <x v="1"/>
    <m/>
  </r>
  <r>
    <n v="3931"/>
    <n v="34"/>
    <x v="1"/>
    <x v="1"/>
    <x v="9"/>
    <n v="63.17"/>
    <x v="3"/>
    <x v="0"/>
    <n v="3.6"/>
    <n v="20"/>
    <n v="10"/>
    <n v="78.962499999999991"/>
    <n v="15.79249999999999"/>
    <x v="5"/>
    <m/>
  </r>
  <r>
    <n v="3932"/>
    <n v="69"/>
    <x v="1"/>
    <x v="2"/>
    <x v="10"/>
    <n v="235.79"/>
    <x v="2"/>
    <x v="0"/>
    <n v="3.7"/>
    <n v="11"/>
    <n v="3"/>
    <n v="264.93258426966293"/>
    <n v="29.142584269662933"/>
    <x v="2"/>
    <m/>
  </r>
  <r>
    <n v="3933"/>
    <n v="25"/>
    <x v="1"/>
    <x v="2"/>
    <x v="12"/>
    <n v="156.57"/>
    <x v="2"/>
    <x v="0"/>
    <n v="3.5"/>
    <n v="17"/>
    <n v="6"/>
    <n v="188.63855421686748"/>
    <n v="32.068554216867483"/>
    <x v="5"/>
    <m/>
  </r>
  <r>
    <n v="3934"/>
    <n v="70"/>
    <x v="0"/>
    <x v="4"/>
    <x v="4"/>
    <n v="58.72"/>
    <x v="1"/>
    <x v="0"/>
    <n v="4.5"/>
    <n v="26"/>
    <n v="8"/>
    <n v="79.351351351351354"/>
    <n v="20.631351351351356"/>
    <x v="2"/>
    <m/>
  </r>
  <r>
    <n v="3935"/>
    <n v="26"/>
    <x v="1"/>
    <x v="1"/>
    <x v="14"/>
    <n v="148.72999999999999"/>
    <x v="2"/>
    <x v="0"/>
    <n v="3.5"/>
    <n v="20"/>
    <n v="5"/>
    <n v="185.91249999999997"/>
    <n v="37.182499999999976"/>
    <x v="5"/>
    <m/>
  </r>
  <r>
    <n v="3936"/>
    <n v="41"/>
    <x v="1"/>
    <x v="5"/>
    <x v="25"/>
    <n v="560.16"/>
    <x v="0"/>
    <x v="0"/>
    <n v="3.4"/>
    <n v="8"/>
    <n v="4"/>
    <n v="608.86956521739125"/>
    <n v="48.709565217391287"/>
    <x v="1"/>
    <m/>
  </r>
  <r>
    <n v="3937"/>
    <n v="70"/>
    <x v="0"/>
    <x v="6"/>
    <x v="23"/>
    <n v="57.57"/>
    <x v="1"/>
    <x v="0"/>
    <n v="4.2"/>
    <n v="28"/>
    <n v="9"/>
    <n v="79.958333333333343"/>
    <n v="22.388333333333343"/>
    <x v="2"/>
    <m/>
  </r>
  <r>
    <n v="3938"/>
    <n v="67"/>
    <x v="1"/>
    <x v="2"/>
    <x v="2"/>
    <n v="177.81"/>
    <x v="3"/>
    <x v="0"/>
    <n v="4.4000000000000004"/>
    <n v="24"/>
    <n v="7"/>
    <n v="233.96052631578948"/>
    <n v="56.150526315789477"/>
    <x v="2"/>
    <m/>
  </r>
  <r>
    <n v="3939"/>
    <n v="51"/>
    <x v="0"/>
    <x v="2"/>
    <x v="2"/>
    <n v="184.15"/>
    <x v="0"/>
    <x v="0"/>
    <n v="4.5"/>
    <n v="19"/>
    <n v="7"/>
    <n v="227.34567901234567"/>
    <n v="43.195679012345664"/>
    <x v="4"/>
    <m/>
  </r>
  <r>
    <n v="3940"/>
    <n v="57"/>
    <x v="0"/>
    <x v="6"/>
    <x v="23"/>
    <n v="113.42"/>
    <x v="2"/>
    <x v="0"/>
    <n v="5"/>
    <n v="24"/>
    <n v="7"/>
    <n v="149.23684210526315"/>
    <n v="35.816842105263149"/>
    <x v="0"/>
    <m/>
  </r>
  <r>
    <n v="3941"/>
    <n v="43"/>
    <x v="1"/>
    <x v="1"/>
    <x v="1"/>
    <n v="73.540000000000006"/>
    <x v="0"/>
    <x v="1"/>
    <n v="2.4"/>
    <n v="11"/>
    <n v="3"/>
    <n v="82.629213483146074"/>
    <n v="9.089213483146068"/>
    <x v="1"/>
    <m/>
  </r>
  <r>
    <n v="3942"/>
    <n v="63"/>
    <x v="0"/>
    <x v="0"/>
    <x v="0"/>
    <n v="83.01"/>
    <x v="3"/>
    <x v="0"/>
    <n v="2.9"/>
    <n v="20"/>
    <n v="5"/>
    <n v="103.7625"/>
    <n v="20.752499999999998"/>
    <x v="0"/>
    <m/>
  </r>
  <r>
    <n v="3943"/>
    <n v="42"/>
    <x v="0"/>
    <x v="0"/>
    <x v="28"/>
    <n v="136.71"/>
    <x v="2"/>
    <x v="0"/>
    <n v="2.2999999999999998"/>
    <n v="16"/>
    <n v="3"/>
    <n v="162.75000000000003"/>
    <n v="26.04000000000002"/>
    <x v="1"/>
    <m/>
  </r>
  <r>
    <n v="3944"/>
    <n v="46"/>
    <x v="1"/>
    <x v="5"/>
    <x v="7"/>
    <n v="1464.71"/>
    <x v="0"/>
    <x v="0"/>
    <n v="2.2999999999999998"/>
    <n v="12"/>
    <n v="6"/>
    <n v="1664.4431818181818"/>
    <n v="199.73318181818172"/>
    <x v="4"/>
    <m/>
  </r>
  <r>
    <n v="3945"/>
    <n v="69"/>
    <x v="1"/>
    <x v="1"/>
    <x v="20"/>
    <n v="173.52"/>
    <x v="3"/>
    <x v="0"/>
    <n v="3.2"/>
    <n v="10"/>
    <n v="5"/>
    <n v="192.8"/>
    <n v="19.28"/>
    <x v="2"/>
    <m/>
  </r>
  <r>
    <n v="3946"/>
    <n v="49"/>
    <x v="1"/>
    <x v="5"/>
    <x v="25"/>
    <n v="1875.63"/>
    <x v="2"/>
    <x v="0"/>
    <n v="3.5"/>
    <n v="18"/>
    <n v="4"/>
    <n v="2287.3536585365855"/>
    <n v="411.72365853658539"/>
    <x v="4"/>
    <m/>
  </r>
  <r>
    <n v="3947"/>
    <n v="36"/>
    <x v="0"/>
    <x v="6"/>
    <x v="27"/>
    <n v="149.27000000000001"/>
    <x v="2"/>
    <x v="0"/>
    <n v="3.2"/>
    <n v="6"/>
    <n v="3"/>
    <n v="158.79787234042556"/>
    <n v="9.5278723404255459"/>
    <x v="1"/>
    <m/>
  </r>
  <r>
    <n v="3948"/>
    <n v="37"/>
    <x v="0"/>
    <x v="7"/>
    <x v="11"/>
    <n v="116.16"/>
    <x v="0"/>
    <x v="0"/>
    <n v="4.7"/>
    <n v="20"/>
    <n v="5"/>
    <n v="145.19999999999999"/>
    <n v="29.039999999999992"/>
    <x v="1"/>
    <m/>
  </r>
  <r>
    <n v="3949"/>
    <n v="21"/>
    <x v="0"/>
    <x v="0"/>
    <x v="0"/>
    <n v="159.82"/>
    <x v="0"/>
    <x v="0"/>
    <n v="3.9"/>
    <n v="4"/>
    <n v="2"/>
    <n v="166.47916666666666"/>
    <n v="6.659166666666664"/>
    <x v="3"/>
    <m/>
  </r>
  <r>
    <n v="3950"/>
    <n v="70"/>
    <x v="0"/>
    <x v="8"/>
    <x v="17"/>
    <n v="53.66"/>
    <x v="3"/>
    <x v="1"/>
    <n v="2.6"/>
    <n v="20"/>
    <n v="5"/>
    <n v="67.074999999999989"/>
    <n v="13.414999999999992"/>
    <x v="2"/>
    <m/>
  </r>
  <r>
    <n v="3951"/>
    <n v="40"/>
    <x v="0"/>
    <x v="8"/>
    <x v="16"/>
    <n v="180.23"/>
    <x v="1"/>
    <x v="0"/>
    <n v="3.8"/>
    <n v="13"/>
    <n v="4"/>
    <n v="207.16091954022988"/>
    <n v="26.930919540229894"/>
    <x v="1"/>
    <m/>
  </r>
  <r>
    <n v="3952"/>
    <n v="65"/>
    <x v="1"/>
    <x v="2"/>
    <x v="12"/>
    <n v="177.72"/>
    <x v="2"/>
    <x v="0"/>
    <n v="3.6"/>
    <n v="21"/>
    <n v="8"/>
    <n v="224.96202531645568"/>
    <n v="47.242025316455681"/>
    <x v="2"/>
    <m/>
  </r>
  <r>
    <n v="3953"/>
    <n v="65"/>
    <x v="1"/>
    <x v="5"/>
    <x v="7"/>
    <n v="2849.33"/>
    <x v="1"/>
    <x v="0"/>
    <n v="4.5999999999999996"/>
    <n v="18"/>
    <n v="4"/>
    <n v="3474.792682926829"/>
    <n v="625.46268292682907"/>
    <x v="2"/>
    <m/>
  </r>
  <r>
    <n v="3954"/>
    <n v="34"/>
    <x v="1"/>
    <x v="4"/>
    <x v="29"/>
    <n v="5.92"/>
    <x v="1"/>
    <x v="0"/>
    <n v="4.2"/>
    <n v="15"/>
    <n v="5"/>
    <n v="6.9647058823529413"/>
    <n v="1.0447058823529414"/>
    <x v="5"/>
    <m/>
  </r>
  <r>
    <n v="3955"/>
    <n v="37"/>
    <x v="1"/>
    <x v="2"/>
    <x v="2"/>
    <n v="120"/>
    <x v="1"/>
    <x v="0"/>
    <n v="2.8"/>
    <n v="15"/>
    <n v="5"/>
    <n v="141.1764705882353"/>
    <n v="21.176470588235304"/>
    <x v="1"/>
    <m/>
  </r>
  <r>
    <n v="3956"/>
    <n v="35"/>
    <x v="1"/>
    <x v="7"/>
    <x v="8"/>
    <n v="151.72999999999999"/>
    <x v="3"/>
    <x v="0"/>
    <n v="3.3"/>
    <n v="8"/>
    <n v="4"/>
    <n v="164.92391304347825"/>
    <n v="13.193913043478261"/>
    <x v="1"/>
    <m/>
  </r>
  <r>
    <n v="3957"/>
    <n v="66"/>
    <x v="1"/>
    <x v="1"/>
    <x v="9"/>
    <n v="188.31"/>
    <x v="2"/>
    <x v="0"/>
    <n v="5"/>
    <n v="6"/>
    <n v="3"/>
    <n v="200.32978723404256"/>
    <n v="12.019787234042553"/>
    <x v="2"/>
    <m/>
  </r>
  <r>
    <n v="3958"/>
    <n v="63"/>
    <x v="0"/>
    <x v="3"/>
    <x v="24"/>
    <n v="96.14"/>
    <x v="1"/>
    <x v="1"/>
    <n v="4.9000000000000004"/>
    <n v="24"/>
    <n v="7"/>
    <n v="126.5"/>
    <n v="30.36"/>
    <x v="0"/>
    <m/>
  </r>
  <r>
    <n v="3959"/>
    <n v="68"/>
    <x v="0"/>
    <x v="2"/>
    <x v="12"/>
    <n v="57.13"/>
    <x v="0"/>
    <x v="1"/>
    <n v="3.9"/>
    <n v="18"/>
    <n v="9"/>
    <n v="69.670731707317074"/>
    <n v="12.540731707317072"/>
    <x v="2"/>
    <m/>
  </r>
  <r>
    <n v="3960"/>
    <n v="58"/>
    <x v="1"/>
    <x v="3"/>
    <x v="24"/>
    <n v="53.9"/>
    <x v="2"/>
    <x v="1"/>
    <n v="4.4000000000000004"/>
    <n v="24"/>
    <n v="7"/>
    <n v="70.921052631578945"/>
    <n v="17.021052631578947"/>
    <x v="0"/>
    <m/>
  </r>
  <r>
    <n v="3961"/>
    <n v="48"/>
    <x v="0"/>
    <x v="8"/>
    <x v="18"/>
    <n v="108.03"/>
    <x v="1"/>
    <x v="0"/>
    <n v="2.9"/>
    <n v="13"/>
    <n v="4"/>
    <n v="124.17241379310344"/>
    <n v="16.142413793103444"/>
    <x v="4"/>
    <m/>
  </r>
  <r>
    <n v="3962"/>
    <n v="33"/>
    <x v="0"/>
    <x v="0"/>
    <x v="0"/>
    <n v="37.950000000000003"/>
    <x v="2"/>
    <x v="1"/>
    <n v="4.5"/>
    <n v="14"/>
    <n v="7"/>
    <n v="44.127906976744192"/>
    <n v="6.1779069767441896"/>
    <x v="5"/>
    <m/>
  </r>
  <r>
    <n v="3963"/>
    <n v="61"/>
    <x v="1"/>
    <x v="2"/>
    <x v="12"/>
    <n v="105.24"/>
    <x v="3"/>
    <x v="0"/>
    <n v="4.5999999999999996"/>
    <n v="12"/>
    <n v="6"/>
    <n v="119.59090909090908"/>
    <n v="14.350909090909084"/>
    <x v="0"/>
    <m/>
  </r>
  <r>
    <n v="3964"/>
    <n v="39"/>
    <x v="1"/>
    <x v="5"/>
    <x v="21"/>
    <n v="1041.0999999999999"/>
    <x v="2"/>
    <x v="0"/>
    <n v="3.4"/>
    <n v="19"/>
    <n v="7"/>
    <n v="1285.3086419753085"/>
    <n v="244.20864197530864"/>
    <x v="1"/>
    <m/>
  </r>
  <r>
    <n v="3965"/>
    <n v="41"/>
    <x v="1"/>
    <x v="2"/>
    <x v="12"/>
    <n v="171.63"/>
    <x v="2"/>
    <x v="0"/>
    <n v="4.4000000000000004"/>
    <n v="16"/>
    <n v="3"/>
    <n v="204.32142857142858"/>
    <n v="32.691428571428588"/>
    <x v="1"/>
    <m/>
  </r>
  <r>
    <n v="3966"/>
    <n v="60"/>
    <x v="0"/>
    <x v="7"/>
    <x v="13"/>
    <n v="234.84"/>
    <x v="3"/>
    <x v="0"/>
    <n v="5"/>
    <n v="29"/>
    <n v="12"/>
    <n v="330.76056338028172"/>
    <n v="95.92056338028172"/>
    <x v="0"/>
    <m/>
  </r>
  <r>
    <n v="3967"/>
    <n v="38"/>
    <x v="0"/>
    <x v="7"/>
    <x v="11"/>
    <n v="68.16"/>
    <x v="2"/>
    <x v="0"/>
    <n v="4.3"/>
    <n v="22"/>
    <n v="6"/>
    <n v="87.384615384615373"/>
    <n v="19.224615384615376"/>
    <x v="1"/>
    <m/>
  </r>
  <r>
    <n v="3968"/>
    <n v="21"/>
    <x v="1"/>
    <x v="7"/>
    <x v="8"/>
    <n v="245.4"/>
    <x v="2"/>
    <x v="0"/>
    <n v="3.9"/>
    <n v="4"/>
    <n v="2"/>
    <n v="255.62500000000003"/>
    <n v="10.225000000000023"/>
    <x v="3"/>
    <m/>
  </r>
  <r>
    <n v="3969"/>
    <n v="56"/>
    <x v="0"/>
    <x v="6"/>
    <x v="6"/>
    <n v="79.16"/>
    <x v="2"/>
    <x v="1"/>
    <n v="3"/>
    <n v="9"/>
    <n v="2"/>
    <n v="86.989010989010978"/>
    <n v="7.8290109890109818"/>
    <x v="0"/>
    <m/>
  </r>
  <r>
    <n v="3970"/>
    <n v="51"/>
    <x v="0"/>
    <x v="7"/>
    <x v="11"/>
    <n v="88.4"/>
    <x v="0"/>
    <x v="1"/>
    <n v="4"/>
    <n v="6"/>
    <n v="3"/>
    <n v="94.042553191489375"/>
    <n v="5.6425531914893696"/>
    <x v="4"/>
    <m/>
  </r>
  <r>
    <n v="3971"/>
    <n v="27"/>
    <x v="0"/>
    <x v="3"/>
    <x v="3"/>
    <n v="271.83999999999997"/>
    <x v="1"/>
    <x v="0"/>
    <n v="3.5"/>
    <n v="12"/>
    <n v="6"/>
    <n v="308.90909090909088"/>
    <n v="37.069090909090903"/>
    <x v="5"/>
    <m/>
  </r>
  <r>
    <n v="3972"/>
    <n v="68"/>
    <x v="0"/>
    <x v="0"/>
    <x v="0"/>
    <n v="119.54"/>
    <x v="2"/>
    <x v="0"/>
    <n v="3.8"/>
    <n v="4"/>
    <n v="2"/>
    <n v="124.52083333333334"/>
    <n v="4.9808333333333366"/>
    <x v="2"/>
    <m/>
  </r>
  <r>
    <n v="3973"/>
    <n v="20"/>
    <x v="1"/>
    <x v="7"/>
    <x v="13"/>
    <n v="99.98"/>
    <x v="0"/>
    <x v="1"/>
    <n v="4.3"/>
    <n v="4"/>
    <n v="2"/>
    <n v="104.14583333333334"/>
    <n v="4.1658333333333388"/>
    <x v="3"/>
    <m/>
  </r>
  <r>
    <n v="3974"/>
    <n v="51"/>
    <x v="0"/>
    <x v="6"/>
    <x v="6"/>
    <n v="98.45"/>
    <x v="2"/>
    <x v="1"/>
    <n v="4"/>
    <n v="20"/>
    <n v="5"/>
    <n v="123.0625"/>
    <n v="24.612499999999997"/>
    <x v="4"/>
    <m/>
  </r>
  <r>
    <n v="3975"/>
    <n v="52"/>
    <x v="1"/>
    <x v="7"/>
    <x v="8"/>
    <n v="152.72"/>
    <x v="0"/>
    <x v="0"/>
    <n v="3.6"/>
    <n v="19"/>
    <n v="7"/>
    <n v="188.54320987654319"/>
    <n v="35.823209876543189"/>
    <x v="4"/>
    <m/>
  </r>
  <r>
    <n v="3976"/>
    <n v="36"/>
    <x v="1"/>
    <x v="7"/>
    <x v="11"/>
    <n v="149.22999999999999"/>
    <x v="2"/>
    <x v="0"/>
    <n v="4.2"/>
    <n v="13"/>
    <n v="4"/>
    <n v="171.5287356321839"/>
    <n v="22.298735632183906"/>
    <x v="1"/>
    <m/>
  </r>
  <r>
    <n v="3977"/>
    <n v="57"/>
    <x v="0"/>
    <x v="7"/>
    <x v="8"/>
    <n v="222.63"/>
    <x v="0"/>
    <x v="0"/>
    <n v="3.9"/>
    <n v="14"/>
    <n v="2"/>
    <n v="258.87209302325579"/>
    <n v="36.242093023255791"/>
    <x v="0"/>
    <m/>
  </r>
  <r>
    <n v="3978"/>
    <n v="60"/>
    <x v="0"/>
    <x v="7"/>
    <x v="13"/>
    <n v="180.72"/>
    <x v="3"/>
    <x v="0"/>
    <n v="3.7"/>
    <n v="4"/>
    <n v="2"/>
    <n v="188.25"/>
    <n v="7.5300000000000011"/>
    <x v="0"/>
    <m/>
  </r>
  <r>
    <n v="3979"/>
    <n v="61"/>
    <x v="1"/>
    <x v="7"/>
    <x v="11"/>
    <n v="223.63"/>
    <x v="1"/>
    <x v="0"/>
    <n v="2.4"/>
    <n v="10"/>
    <n v="5"/>
    <n v="248.47777777777776"/>
    <n v="24.847777777777765"/>
    <x v="0"/>
    <m/>
  </r>
  <r>
    <n v="3980"/>
    <n v="43"/>
    <x v="1"/>
    <x v="5"/>
    <x v="5"/>
    <n v="2843.54"/>
    <x v="0"/>
    <x v="0"/>
    <n v="4.7"/>
    <n v="12"/>
    <n v="6"/>
    <n v="3231.2954545454545"/>
    <n v="387.75545454545454"/>
    <x v="1"/>
    <m/>
  </r>
  <r>
    <n v="3981"/>
    <n v="21"/>
    <x v="1"/>
    <x v="2"/>
    <x v="2"/>
    <n v="84.88"/>
    <x v="0"/>
    <x v="1"/>
    <n v="3.5"/>
    <n v="12"/>
    <n v="6"/>
    <n v="96.454545454545453"/>
    <n v="11.574545454545458"/>
    <x v="3"/>
    <m/>
  </r>
  <r>
    <n v="3982"/>
    <n v="31"/>
    <x v="1"/>
    <x v="5"/>
    <x v="5"/>
    <n v="2371.4899999999998"/>
    <x v="2"/>
    <x v="0"/>
    <n v="4.5"/>
    <n v="8"/>
    <n v="4"/>
    <n v="2577.70652173913"/>
    <n v="206.21652173913026"/>
    <x v="5"/>
    <m/>
  </r>
  <r>
    <n v="3983"/>
    <n v="62"/>
    <x v="1"/>
    <x v="2"/>
    <x v="12"/>
    <n v="150.02000000000001"/>
    <x v="0"/>
    <x v="0"/>
    <n v="3.8"/>
    <n v="20"/>
    <n v="10"/>
    <n v="187.52500000000001"/>
    <n v="37.504999999999995"/>
    <x v="0"/>
    <m/>
  </r>
  <r>
    <n v="3984"/>
    <n v="63"/>
    <x v="1"/>
    <x v="1"/>
    <x v="14"/>
    <n v="136.77000000000001"/>
    <x v="2"/>
    <x v="0"/>
    <n v="4.5"/>
    <n v="14"/>
    <n v="2"/>
    <n v="159.03488372093025"/>
    <n v="22.264883720930243"/>
    <x v="0"/>
    <m/>
  </r>
  <r>
    <n v="3985"/>
    <n v="66"/>
    <x v="1"/>
    <x v="5"/>
    <x v="7"/>
    <n v="2709.03"/>
    <x v="3"/>
    <x v="0"/>
    <n v="2"/>
    <n v="20"/>
    <n v="10"/>
    <n v="3386.2874999999999"/>
    <n v="677.25749999999971"/>
    <x v="2"/>
    <m/>
  </r>
  <r>
    <n v="3986"/>
    <n v="31"/>
    <x v="0"/>
    <x v="8"/>
    <x v="16"/>
    <n v="147.94999999999999"/>
    <x v="1"/>
    <x v="0"/>
    <n v="3.5"/>
    <n v="17"/>
    <n v="6"/>
    <n v="178.25301204819277"/>
    <n v="30.303012048192784"/>
    <x v="5"/>
    <m/>
  </r>
  <r>
    <n v="3987"/>
    <n v="42"/>
    <x v="1"/>
    <x v="2"/>
    <x v="2"/>
    <n v="114.5"/>
    <x v="1"/>
    <x v="0"/>
    <n v="2.8"/>
    <n v="14"/>
    <n v="2"/>
    <n v="133.13953488372093"/>
    <n v="18.639534883720927"/>
    <x v="1"/>
    <m/>
  </r>
  <r>
    <n v="3988"/>
    <n v="34"/>
    <x v="1"/>
    <x v="2"/>
    <x v="12"/>
    <n v="238.61"/>
    <x v="3"/>
    <x v="0"/>
    <n v="3.9"/>
    <n v="11"/>
    <n v="3"/>
    <n v="268.10112359550561"/>
    <n v="29.491123595505599"/>
    <x v="5"/>
    <m/>
  </r>
  <r>
    <n v="3989"/>
    <n v="61"/>
    <x v="1"/>
    <x v="5"/>
    <x v="5"/>
    <n v="2513.3200000000002"/>
    <x v="2"/>
    <x v="0"/>
    <n v="3.6"/>
    <n v="6"/>
    <n v="3"/>
    <n v="2673.744680851064"/>
    <n v="160.42468085106384"/>
    <x v="0"/>
    <m/>
  </r>
  <r>
    <n v="3990"/>
    <n v="47"/>
    <x v="1"/>
    <x v="2"/>
    <x v="10"/>
    <n v="221.85"/>
    <x v="1"/>
    <x v="0"/>
    <n v="4.4000000000000004"/>
    <n v="16"/>
    <n v="3"/>
    <n v="264.10714285714283"/>
    <n v="42.257142857142838"/>
    <x v="4"/>
    <m/>
  </r>
  <r>
    <n v="3991"/>
    <n v="39"/>
    <x v="1"/>
    <x v="7"/>
    <x v="13"/>
    <n v="217.91"/>
    <x v="1"/>
    <x v="0"/>
    <n v="3"/>
    <n v="20"/>
    <n v="5"/>
    <n v="272.38749999999999"/>
    <n v="54.477499999999992"/>
    <x v="1"/>
    <m/>
  </r>
  <r>
    <n v="3992"/>
    <n v="29"/>
    <x v="1"/>
    <x v="7"/>
    <x v="13"/>
    <n v="88.9"/>
    <x v="3"/>
    <x v="1"/>
    <n v="2.8"/>
    <n v="15"/>
    <n v="5"/>
    <n v="104.58823529411765"/>
    <n v="15.688235294117646"/>
    <x v="5"/>
    <m/>
  </r>
  <r>
    <n v="3993"/>
    <n v="49"/>
    <x v="0"/>
    <x v="3"/>
    <x v="3"/>
    <n v="248.98"/>
    <x v="1"/>
    <x v="0"/>
    <n v="3.8"/>
    <n v="23"/>
    <n v="9"/>
    <n v="323.35064935064935"/>
    <n v="74.370649350649359"/>
    <x v="4"/>
    <m/>
  </r>
  <r>
    <n v="3994"/>
    <n v="28"/>
    <x v="0"/>
    <x v="3"/>
    <x v="3"/>
    <n v="225.31"/>
    <x v="2"/>
    <x v="0"/>
    <n v="3.9"/>
    <n v="10"/>
    <n v="5"/>
    <n v="250.34444444444443"/>
    <n v="25.034444444444432"/>
    <x v="5"/>
    <m/>
  </r>
  <r>
    <n v="3995"/>
    <n v="23"/>
    <x v="0"/>
    <x v="0"/>
    <x v="0"/>
    <n v="163.88"/>
    <x v="1"/>
    <x v="0"/>
    <n v="4.7"/>
    <n v="12"/>
    <n v="6"/>
    <n v="186.22727272727272"/>
    <n v="22.347272727272724"/>
    <x v="3"/>
    <m/>
  </r>
  <r>
    <n v="3996"/>
    <n v="28"/>
    <x v="0"/>
    <x v="0"/>
    <x v="0"/>
    <n v="139.87"/>
    <x v="3"/>
    <x v="0"/>
    <n v="4.8"/>
    <n v="15"/>
    <n v="5"/>
    <n v="164.5529411764706"/>
    <n v="24.682941176470592"/>
    <x v="5"/>
    <m/>
  </r>
  <r>
    <n v="3997"/>
    <n v="67"/>
    <x v="0"/>
    <x v="0"/>
    <x v="0"/>
    <n v="133.21"/>
    <x v="3"/>
    <x v="0"/>
    <n v="4.5999999999999996"/>
    <n v="12"/>
    <n v="6"/>
    <n v="151.375"/>
    <n v="18.164999999999992"/>
    <x v="2"/>
    <m/>
  </r>
  <r>
    <n v="3998"/>
    <n v="63"/>
    <x v="0"/>
    <x v="0"/>
    <x v="0"/>
    <n v="138.94"/>
    <x v="3"/>
    <x v="0"/>
    <n v="3.8"/>
    <n v="18"/>
    <n v="9"/>
    <n v="169.43902439024387"/>
    <n v="30.499024390243875"/>
    <x v="0"/>
    <m/>
  </r>
  <r>
    <n v="3999"/>
    <n v="38"/>
    <x v="0"/>
    <x v="2"/>
    <x v="12"/>
    <n v="52.35"/>
    <x v="1"/>
    <x v="0"/>
    <n v="4.0999999999999996"/>
    <n v="21"/>
    <n v="8"/>
    <n v="66.265822784810126"/>
    <n v="13.915822784810125"/>
    <x v="1"/>
    <m/>
  </r>
  <r>
    <n v="4000"/>
    <n v="41"/>
    <x v="1"/>
    <x v="1"/>
    <x v="14"/>
    <n v="36.25"/>
    <x v="0"/>
    <x v="1"/>
    <n v="4.5999999999999996"/>
    <n v="18"/>
    <n v="4"/>
    <n v="44.207317073170728"/>
    <n v="7.9573170731707279"/>
    <x v="1"/>
    <m/>
  </r>
  <r>
    <n v="4001"/>
    <n v="50"/>
    <x v="1"/>
    <x v="1"/>
    <x v="9"/>
    <n v="96.94"/>
    <x v="3"/>
    <x v="1"/>
    <n v="3.6"/>
    <n v="6"/>
    <n v="3"/>
    <n v="103.12765957446808"/>
    <n v="6.1876595744680856"/>
    <x v="4"/>
    <m/>
  </r>
  <r>
    <n v="4002"/>
    <n v="65"/>
    <x v="0"/>
    <x v="8"/>
    <x v="14"/>
    <n v="170.25"/>
    <x v="0"/>
    <x v="0"/>
    <n v="4.7"/>
    <n v="26"/>
    <n v="8"/>
    <n v="230.06756756756758"/>
    <n v="59.817567567567579"/>
    <x v="2"/>
    <m/>
  </r>
  <r>
    <n v="4003"/>
    <n v="49"/>
    <x v="1"/>
    <x v="2"/>
    <x v="12"/>
    <n v="190.85"/>
    <x v="1"/>
    <x v="0"/>
    <n v="4"/>
    <n v="14"/>
    <n v="7"/>
    <n v="221.91860465116278"/>
    <n v="31.068604651162786"/>
    <x v="4"/>
    <m/>
  </r>
  <r>
    <n v="4004"/>
    <n v="41"/>
    <x v="1"/>
    <x v="1"/>
    <x v="1"/>
    <n v="106.08"/>
    <x v="0"/>
    <x v="0"/>
    <n v="4.0999999999999996"/>
    <n v="9"/>
    <n v="2"/>
    <n v="116.57142857142857"/>
    <n v="10.491428571428571"/>
    <x v="1"/>
    <m/>
  </r>
  <r>
    <n v="4005"/>
    <n v="24"/>
    <x v="0"/>
    <x v="6"/>
    <x v="23"/>
    <n v="124.83"/>
    <x v="2"/>
    <x v="0"/>
    <n v="2.6"/>
    <n v="12"/>
    <n v="1"/>
    <n v="141.85227272727272"/>
    <n v="17.022272727272721"/>
    <x v="3"/>
    <m/>
  </r>
  <r>
    <n v="4006"/>
    <n v="27"/>
    <x v="0"/>
    <x v="6"/>
    <x v="27"/>
    <n v="140.07"/>
    <x v="3"/>
    <x v="0"/>
    <n v="3.2"/>
    <n v="11"/>
    <n v="3"/>
    <n v="157.38202247191009"/>
    <n v="17.312022471910097"/>
    <x v="5"/>
    <m/>
  </r>
  <r>
    <n v="4007"/>
    <n v="50"/>
    <x v="0"/>
    <x v="4"/>
    <x v="4"/>
    <n v="72.930000000000007"/>
    <x v="2"/>
    <x v="1"/>
    <n v="3.8"/>
    <n v="10"/>
    <n v="5"/>
    <n v="81.033333333333346"/>
    <n v="8.1033333333333388"/>
    <x v="4"/>
    <m/>
  </r>
  <r>
    <n v="4008"/>
    <n v="36"/>
    <x v="0"/>
    <x v="6"/>
    <x v="23"/>
    <n v="122.19"/>
    <x v="2"/>
    <x v="0"/>
    <n v="3.8"/>
    <n v="12"/>
    <n v="6"/>
    <n v="138.85227272727272"/>
    <n v="16.662272727272722"/>
    <x v="1"/>
    <m/>
  </r>
  <r>
    <n v="4009"/>
    <n v="52"/>
    <x v="1"/>
    <x v="5"/>
    <x v="7"/>
    <n v="1169.3900000000001"/>
    <x v="3"/>
    <x v="0"/>
    <n v="3"/>
    <n v="20"/>
    <n v="10"/>
    <n v="1461.7375"/>
    <n v="292.34749999999985"/>
    <x v="4"/>
    <m/>
  </r>
  <r>
    <n v="4010"/>
    <n v="66"/>
    <x v="0"/>
    <x v="2"/>
    <x v="2"/>
    <n v="195.24"/>
    <x v="2"/>
    <x v="0"/>
    <n v="5"/>
    <n v="18"/>
    <n v="4"/>
    <n v="238.09756097560975"/>
    <n v="42.857560975609744"/>
    <x v="2"/>
    <m/>
  </r>
  <r>
    <n v="4011"/>
    <n v="70"/>
    <x v="0"/>
    <x v="8"/>
    <x v="16"/>
    <n v="199.98"/>
    <x v="1"/>
    <x v="0"/>
    <n v="4"/>
    <n v="13"/>
    <n v="4"/>
    <n v="229.86206896551724"/>
    <n v="29.882068965517249"/>
    <x v="2"/>
    <m/>
  </r>
  <r>
    <n v="4012"/>
    <n v="44"/>
    <x v="0"/>
    <x v="8"/>
    <x v="16"/>
    <n v="81.96"/>
    <x v="0"/>
    <x v="1"/>
    <n v="2.7"/>
    <n v="10"/>
    <n v="5"/>
    <n v="91.066666666666663"/>
    <n v="9.1066666666666691"/>
    <x v="1"/>
    <m/>
  </r>
  <r>
    <n v="4013"/>
    <n v="64"/>
    <x v="0"/>
    <x v="8"/>
    <x v="17"/>
    <n v="168.24"/>
    <x v="2"/>
    <x v="0"/>
    <n v="3.1"/>
    <n v="4"/>
    <n v="2"/>
    <n v="175.25000000000003"/>
    <n v="7.0100000000000193"/>
    <x v="0"/>
    <m/>
  </r>
  <r>
    <n v="4014"/>
    <n v="37"/>
    <x v="0"/>
    <x v="6"/>
    <x v="6"/>
    <n v="38"/>
    <x v="0"/>
    <x v="0"/>
    <n v="4"/>
    <n v="16"/>
    <n v="8"/>
    <n v="45.238095238095241"/>
    <n v="7.2380952380952408"/>
    <x v="1"/>
    <m/>
  </r>
  <r>
    <n v="4015"/>
    <n v="36"/>
    <x v="1"/>
    <x v="2"/>
    <x v="2"/>
    <n v="37.32"/>
    <x v="2"/>
    <x v="0"/>
    <n v="5"/>
    <n v="23"/>
    <n v="9"/>
    <n v="48.467532467532465"/>
    <n v="11.147532467532464"/>
    <x v="1"/>
    <m/>
  </r>
  <r>
    <n v="4016"/>
    <n v="58"/>
    <x v="0"/>
    <x v="0"/>
    <x v="28"/>
    <n v="152.99"/>
    <x v="3"/>
    <x v="0"/>
    <n v="3.2"/>
    <n v="17"/>
    <n v="6"/>
    <n v="184.32530120481928"/>
    <n v="31.335301204819274"/>
    <x v="0"/>
    <m/>
  </r>
  <r>
    <n v="4017"/>
    <n v="65"/>
    <x v="0"/>
    <x v="0"/>
    <x v="28"/>
    <n v="88.31"/>
    <x v="0"/>
    <x v="0"/>
    <n v="3.8"/>
    <n v="18"/>
    <n v="4"/>
    <n v="107.69512195121951"/>
    <n v="19.385121951219503"/>
    <x v="2"/>
    <m/>
  </r>
  <r>
    <n v="4018"/>
    <n v="35"/>
    <x v="1"/>
    <x v="1"/>
    <x v="1"/>
    <n v="49.5"/>
    <x v="1"/>
    <x v="1"/>
    <n v="4.5999999999999996"/>
    <n v="18"/>
    <n v="4"/>
    <n v="60.365853658536579"/>
    <n v="10.865853658536579"/>
    <x v="1"/>
    <m/>
  </r>
  <r>
    <n v="4019"/>
    <n v="41"/>
    <x v="1"/>
    <x v="2"/>
    <x v="2"/>
    <n v="201"/>
    <x v="3"/>
    <x v="0"/>
    <n v="4.5999999999999996"/>
    <n v="4"/>
    <n v="2"/>
    <n v="209.375"/>
    <n v="8.375"/>
    <x v="1"/>
    <m/>
  </r>
  <r>
    <n v="4020"/>
    <n v="52"/>
    <x v="0"/>
    <x v="0"/>
    <x v="28"/>
    <n v="85.67"/>
    <x v="3"/>
    <x v="1"/>
    <n v="2.7"/>
    <n v="8"/>
    <n v="4"/>
    <n v="93.119565217391298"/>
    <n v="7.4495652173912958"/>
    <x v="4"/>
    <m/>
  </r>
  <r>
    <n v="4021"/>
    <n v="41"/>
    <x v="1"/>
    <x v="4"/>
    <x v="4"/>
    <n v="35.58"/>
    <x v="2"/>
    <x v="0"/>
    <n v="4.4000000000000004"/>
    <n v="24"/>
    <n v="7"/>
    <n v="46.815789473684205"/>
    <n v="11.235789473684207"/>
    <x v="1"/>
    <m/>
  </r>
  <r>
    <n v="4022"/>
    <n v="28"/>
    <x v="0"/>
    <x v="6"/>
    <x v="27"/>
    <n v="132.91"/>
    <x v="1"/>
    <x v="0"/>
    <n v="3.4"/>
    <n v="10"/>
    <n v="5"/>
    <n v="147.67777777777778"/>
    <n v="14.767777777777781"/>
    <x v="5"/>
    <m/>
  </r>
  <r>
    <n v="4023"/>
    <n v="54"/>
    <x v="0"/>
    <x v="8"/>
    <x v="14"/>
    <n v="41.9"/>
    <x v="1"/>
    <x v="1"/>
    <n v="3.3"/>
    <n v="14"/>
    <n v="2"/>
    <n v="48.720930232558139"/>
    <n v="6.8209302325581405"/>
    <x v="4"/>
    <m/>
  </r>
  <r>
    <n v="4024"/>
    <n v="62"/>
    <x v="1"/>
    <x v="7"/>
    <x v="8"/>
    <n v="237.74"/>
    <x v="1"/>
    <x v="0"/>
    <n v="3.1"/>
    <n v="16"/>
    <n v="8"/>
    <n v="283.02380952380952"/>
    <n v="45.283809523809509"/>
    <x v="0"/>
    <m/>
  </r>
  <r>
    <n v="4025"/>
    <n v="66"/>
    <x v="0"/>
    <x v="6"/>
    <x v="27"/>
    <n v="66.59"/>
    <x v="0"/>
    <x v="0"/>
    <n v="3.4"/>
    <n v="22"/>
    <n v="6"/>
    <n v="85.371794871794876"/>
    <n v="18.781794871794872"/>
    <x v="2"/>
    <m/>
  </r>
  <r>
    <n v="4026"/>
    <n v="35"/>
    <x v="0"/>
    <x v="2"/>
    <x v="12"/>
    <n v="127.31"/>
    <x v="0"/>
    <x v="0"/>
    <n v="3.1"/>
    <n v="17"/>
    <n v="6"/>
    <n v="153.3855421686747"/>
    <n v="26.075542168674701"/>
    <x v="1"/>
    <m/>
  </r>
  <r>
    <n v="4027"/>
    <n v="59"/>
    <x v="0"/>
    <x v="3"/>
    <x v="3"/>
    <n v="123.5"/>
    <x v="3"/>
    <x v="0"/>
    <n v="3.3"/>
    <n v="22"/>
    <n v="11"/>
    <n v="158.33333333333331"/>
    <n v="34.833333333333314"/>
    <x v="0"/>
    <m/>
  </r>
  <r>
    <n v="4028"/>
    <n v="65"/>
    <x v="0"/>
    <x v="7"/>
    <x v="11"/>
    <n v="187.64"/>
    <x v="3"/>
    <x v="0"/>
    <n v="4.0999999999999996"/>
    <n v="26"/>
    <n v="8"/>
    <n v="253.56756756756755"/>
    <n v="65.927567567567564"/>
    <x v="2"/>
    <m/>
  </r>
  <r>
    <n v="4029"/>
    <n v="33"/>
    <x v="1"/>
    <x v="7"/>
    <x v="13"/>
    <n v="156.02000000000001"/>
    <x v="1"/>
    <x v="0"/>
    <n v="4.5999999999999996"/>
    <n v="13"/>
    <n v="4"/>
    <n v="179.33333333333334"/>
    <n v="23.313333333333333"/>
    <x v="5"/>
    <m/>
  </r>
  <r>
    <n v="4030"/>
    <n v="37"/>
    <x v="0"/>
    <x v="6"/>
    <x v="6"/>
    <n v="21.66"/>
    <x v="2"/>
    <x v="0"/>
    <n v="2.9"/>
    <n v="10"/>
    <n v="5"/>
    <n v="24.066666666666666"/>
    <n v="2.4066666666666663"/>
    <x v="1"/>
    <m/>
  </r>
  <r>
    <n v="4031"/>
    <n v="66"/>
    <x v="0"/>
    <x v="0"/>
    <x v="22"/>
    <n v="155.30000000000001"/>
    <x v="0"/>
    <x v="0"/>
    <n v="2.8"/>
    <n v="10"/>
    <n v="5"/>
    <n v="172.55555555555557"/>
    <n v="17.25555555555556"/>
    <x v="2"/>
    <m/>
  </r>
  <r>
    <n v="4032"/>
    <n v="62"/>
    <x v="0"/>
    <x v="7"/>
    <x v="13"/>
    <n v="112.89"/>
    <x v="1"/>
    <x v="0"/>
    <n v="3.8"/>
    <n v="20"/>
    <n v="10"/>
    <n v="141.11249999999998"/>
    <n v="28.222499999999982"/>
    <x v="0"/>
    <m/>
  </r>
  <r>
    <n v="4033"/>
    <n v="22"/>
    <x v="0"/>
    <x v="0"/>
    <x v="0"/>
    <n v="66.64"/>
    <x v="2"/>
    <x v="1"/>
    <n v="3"/>
    <n v="15"/>
    <n v="5"/>
    <n v="78.400000000000006"/>
    <n v="11.760000000000005"/>
    <x v="3"/>
    <m/>
  </r>
  <r>
    <n v="4034"/>
    <n v="29"/>
    <x v="1"/>
    <x v="7"/>
    <x v="11"/>
    <n v="139.43"/>
    <x v="1"/>
    <x v="0"/>
    <n v="3.3"/>
    <n v="13"/>
    <n v="4"/>
    <n v="160.26436781609198"/>
    <n v="20.834367816091969"/>
    <x v="5"/>
    <m/>
  </r>
  <r>
    <n v="4035"/>
    <n v="52"/>
    <x v="0"/>
    <x v="6"/>
    <x v="27"/>
    <n v="106.44"/>
    <x v="3"/>
    <x v="0"/>
    <n v="4.5"/>
    <n v="18"/>
    <n v="4"/>
    <n v="129.80487804878047"/>
    <n v="23.364878048780469"/>
    <x v="4"/>
    <m/>
  </r>
  <r>
    <n v="4036"/>
    <n v="47"/>
    <x v="0"/>
    <x v="8"/>
    <x v="17"/>
    <n v="79.709999999999994"/>
    <x v="0"/>
    <x v="1"/>
    <n v="3.3"/>
    <n v="6"/>
    <n v="3"/>
    <n v="84.797872340425528"/>
    <n v="5.0878723404255339"/>
    <x v="4"/>
    <m/>
  </r>
  <r>
    <n v="4037"/>
    <n v="67"/>
    <x v="1"/>
    <x v="1"/>
    <x v="9"/>
    <n v="188.64"/>
    <x v="2"/>
    <x v="0"/>
    <n v="4.5"/>
    <n v="20"/>
    <n v="5"/>
    <n v="235.79999999999998"/>
    <n v="47.16"/>
    <x v="2"/>
    <m/>
  </r>
  <r>
    <n v="4038"/>
    <n v="34"/>
    <x v="1"/>
    <x v="3"/>
    <x v="24"/>
    <n v="136.71"/>
    <x v="2"/>
    <x v="0"/>
    <n v="4"/>
    <n v="14"/>
    <n v="7"/>
    <n v="158.96511627906978"/>
    <n v="22.255116279069767"/>
    <x v="5"/>
    <m/>
  </r>
  <r>
    <n v="4039"/>
    <n v="42"/>
    <x v="0"/>
    <x v="7"/>
    <x v="8"/>
    <n v="211.73"/>
    <x v="2"/>
    <x v="0"/>
    <n v="4.5999999999999996"/>
    <n v="17"/>
    <n v="6"/>
    <n v="255.09638554216866"/>
    <n v="43.366385542168672"/>
    <x v="1"/>
    <m/>
  </r>
  <r>
    <n v="4040"/>
    <n v="51"/>
    <x v="0"/>
    <x v="6"/>
    <x v="27"/>
    <n v="86.9"/>
    <x v="3"/>
    <x v="0"/>
    <n v="4"/>
    <n v="16"/>
    <n v="8"/>
    <n v="103.45238095238096"/>
    <n v="16.552380952380958"/>
    <x v="4"/>
    <m/>
  </r>
  <r>
    <n v="4041"/>
    <n v="51"/>
    <x v="0"/>
    <x v="7"/>
    <x v="13"/>
    <n v="80.319999999999993"/>
    <x v="3"/>
    <x v="1"/>
    <n v="4"/>
    <n v="25"/>
    <n v="10"/>
    <n v="107.09333333333332"/>
    <n v="26.773333333333326"/>
    <x v="4"/>
    <m/>
  </r>
  <r>
    <n v="4042"/>
    <n v="50"/>
    <x v="0"/>
    <x v="8"/>
    <x v="18"/>
    <n v="110.41"/>
    <x v="2"/>
    <x v="0"/>
    <n v="3"/>
    <n v="17"/>
    <n v="6"/>
    <n v="133.02409638554218"/>
    <n v="22.614096385542183"/>
    <x v="4"/>
    <m/>
  </r>
  <r>
    <n v="4043"/>
    <n v="62"/>
    <x v="0"/>
    <x v="0"/>
    <x v="28"/>
    <n v="173.41"/>
    <x v="2"/>
    <x v="0"/>
    <n v="3.9"/>
    <n v="13"/>
    <n v="4"/>
    <n v="199.32183908045977"/>
    <n v="25.911839080459771"/>
    <x v="0"/>
    <m/>
  </r>
  <r>
    <n v="4044"/>
    <n v="41"/>
    <x v="1"/>
    <x v="7"/>
    <x v="8"/>
    <n v="227.74"/>
    <x v="2"/>
    <x v="0"/>
    <n v="3.6"/>
    <n v="8"/>
    <n v="4"/>
    <n v="247.54347826086956"/>
    <n v="19.803478260869554"/>
    <x v="1"/>
    <m/>
  </r>
  <r>
    <n v="4045"/>
    <n v="59"/>
    <x v="1"/>
    <x v="2"/>
    <x v="10"/>
    <n v="63.64"/>
    <x v="2"/>
    <x v="1"/>
    <n v="3.9"/>
    <n v="22"/>
    <n v="6"/>
    <n v="81.589743589743591"/>
    <n v="17.949743589743591"/>
    <x v="0"/>
    <m/>
  </r>
  <r>
    <n v="4046"/>
    <n v="39"/>
    <x v="1"/>
    <x v="5"/>
    <x v="25"/>
    <n v="2936.44"/>
    <x v="1"/>
    <x v="0"/>
    <n v="4.3"/>
    <n v="9"/>
    <n v="2"/>
    <n v="3226.8571428571427"/>
    <n v="290.41714285714261"/>
    <x v="1"/>
    <m/>
  </r>
  <r>
    <n v="4047"/>
    <n v="48"/>
    <x v="0"/>
    <x v="8"/>
    <x v="18"/>
    <n v="85.77"/>
    <x v="0"/>
    <x v="1"/>
    <n v="4.2"/>
    <n v="15"/>
    <n v="5"/>
    <n v="100.90588235294118"/>
    <n v="15.135882352941181"/>
    <x v="4"/>
    <m/>
  </r>
  <r>
    <n v="4048"/>
    <n v="42"/>
    <x v="0"/>
    <x v="8"/>
    <x v="14"/>
    <n v="149.1"/>
    <x v="2"/>
    <x v="0"/>
    <n v="4.5999999999999996"/>
    <n v="32"/>
    <n v="11"/>
    <n v="219.26470588235296"/>
    <n v="70.164705882352962"/>
    <x v="1"/>
    <m/>
  </r>
  <r>
    <n v="4049"/>
    <n v="54"/>
    <x v="1"/>
    <x v="2"/>
    <x v="2"/>
    <n v="231.13"/>
    <x v="3"/>
    <x v="0"/>
    <n v="4.5999999999999996"/>
    <n v="21"/>
    <n v="8"/>
    <n v="292.56962025316454"/>
    <n v="61.439620253164549"/>
    <x v="4"/>
    <m/>
  </r>
  <r>
    <n v="4050"/>
    <n v="36"/>
    <x v="1"/>
    <x v="2"/>
    <x v="10"/>
    <n v="193.53"/>
    <x v="0"/>
    <x v="0"/>
    <n v="2.2000000000000002"/>
    <n v="10"/>
    <n v="5"/>
    <n v="215.03333333333333"/>
    <n v="21.50333333333333"/>
    <x v="1"/>
    <m/>
  </r>
  <r>
    <n v="4051"/>
    <n v="30"/>
    <x v="1"/>
    <x v="1"/>
    <x v="14"/>
    <n v="47.15"/>
    <x v="0"/>
    <x v="1"/>
    <n v="4.9000000000000004"/>
    <n v="24"/>
    <n v="7"/>
    <n v="62.03947368421052"/>
    <n v="14.889473684210522"/>
    <x v="5"/>
    <m/>
  </r>
  <r>
    <n v="4052"/>
    <n v="38"/>
    <x v="1"/>
    <x v="5"/>
    <x v="21"/>
    <n v="824.08"/>
    <x v="1"/>
    <x v="0"/>
    <n v="4.9000000000000004"/>
    <n v="12"/>
    <n v="6"/>
    <n v="936.4545454545455"/>
    <n v="112.37454545454545"/>
    <x v="1"/>
    <m/>
  </r>
  <r>
    <n v="4053"/>
    <n v="47"/>
    <x v="0"/>
    <x v="8"/>
    <x v="17"/>
    <n v="86.68"/>
    <x v="0"/>
    <x v="0"/>
    <n v="4.9000000000000004"/>
    <n v="16"/>
    <n v="3"/>
    <n v="103.1904761904762"/>
    <n v="16.510476190476197"/>
    <x v="4"/>
    <m/>
  </r>
  <r>
    <n v="4054"/>
    <n v="37"/>
    <x v="1"/>
    <x v="2"/>
    <x v="12"/>
    <n v="218.43"/>
    <x v="0"/>
    <x v="0"/>
    <n v="4.0999999999999996"/>
    <n v="20"/>
    <n v="5"/>
    <n v="273.03749999999997"/>
    <n v="54.607499999999959"/>
    <x v="1"/>
    <m/>
  </r>
  <r>
    <n v="4055"/>
    <n v="68"/>
    <x v="1"/>
    <x v="4"/>
    <x v="19"/>
    <n v="21.72"/>
    <x v="2"/>
    <x v="1"/>
    <n v="3.1"/>
    <n v="18"/>
    <n v="4"/>
    <n v="26.487804878048777"/>
    <n v="4.7678048780487785"/>
    <x v="2"/>
    <m/>
  </r>
  <r>
    <n v="4056"/>
    <n v="21"/>
    <x v="0"/>
    <x v="6"/>
    <x v="6"/>
    <n v="23.57"/>
    <x v="3"/>
    <x v="1"/>
    <n v="4.3"/>
    <n v="22"/>
    <n v="6"/>
    <n v="30.217948717948719"/>
    <n v="6.6479487179487187"/>
    <x v="3"/>
    <m/>
  </r>
  <r>
    <n v="4057"/>
    <n v="70"/>
    <x v="1"/>
    <x v="3"/>
    <x v="3"/>
    <n v="177.36"/>
    <x v="0"/>
    <x v="0"/>
    <n v="3.2"/>
    <n v="22"/>
    <n v="6"/>
    <n v="227.38461538461539"/>
    <n v="50.024615384615373"/>
    <x v="2"/>
    <m/>
  </r>
  <r>
    <n v="4058"/>
    <n v="49"/>
    <x v="0"/>
    <x v="8"/>
    <x v="18"/>
    <n v="125.76"/>
    <x v="1"/>
    <x v="0"/>
    <n v="3.6"/>
    <n v="16"/>
    <n v="3"/>
    <n v="149.71428571428572"/>
    <n v="23.954285714285717"/>
    <x v="4"/>
    <m/>
  </r>
  <r>
    <n v="4059"/>
    <n v="70"/>
    <x v="1"/>
    <x v="3"/>
    <x v="3"/>
    <n v="118.9"/>
    <x v="0"/>
    <x v="0"/>
    <n v="4.5"/>
    <n v="8"/>
    <n v="4"/>
    <n v="129.2391304347826"/>
    <n v="10.339130434782589"/>
    <x v="2"/>
    <m/>
  </r>
  <r>
    <n v="4060"/>
    <n v="60"/>
    <x v="1"/>
    <x v="2"/>
    <x v="10"/>
    <n v="103.3"/>
    <x v="2"/>
    <x v="0"/>
    <n v="3.2"/>
    <n v="26"/>
    <n v="8"/>
    <n v="139.59459459459458"/>
    <n v="36.294594594594585"/>
    <x v="0"/>
    <m/>
  </r>
  <r>
    <n v="4061"/>
    <n v="22"/>
    <x v="0"/>
    <x v="8"/>
    <x v="16"/>
    <n v="34.979999999999997"/>
    <x v="1"/>
    <x v="0"/>
    <n v="3.9"/>
    <n v="4"/>
    <n v="2"/>
    <n v="36.4375"/>
    <n v="1.4575000000000031"/>
    <x v="3"/>
    <m/>
  </r>
  <r>
    <n v="4062"/>
    <n v="44"/>
    <x v="1"/>
    <x v="1"/>
    <x v="20"/>
    <n v="193.69"/>
    <x v="3"/>
    <x v="0"/>
    <n v="2.8"/>
    <n v="17"/>
    <n v="6"/>
    <n v="233.36144578313255"/>
    <n v="39.671445783132555"/>
    <x v="1"/>
    <m/>
  </r>
  <r>
    <n v="4063"/>
    <n v="29"/>
    <x v="1"/>
    <x v="2"/>
    <x v="12"/>
    <n v="40.36"/>
    <x v="2"/>
    <x v="1"/>
    <n v="3.5"/>
    <n v="7"/>
    <n v="1"/>
    <n v="43.397849462365592"/>
    <n v="3.0378494623655925"/>
    <x v="5"/>
    <m/>
  </r>
  <r>
    <n v="4064"/>
    <n v="66"/>
    <x v="1"/>
    <x v="5"/>
    <x v="5"/>
    <n v="1248.04"/>
    <x v="3"/>
    <x v="0"/>
    <n v="3.8"/>
    <n v="20"/>
    <n v="5"/>
    <n v="1560.05"/>
    <n v="312.01"/>
    <x v="2"/>
    <m/>
  </r>
  <r>
    <n v="4065"/>
    <n v="64"/>
    <x v="1"/>
    <x v="2"/>
    <x v="12"/>
    <n v="176.11"/>
    <x v="0"/>
    <x v="0"/>
    <n v="3.5"/>
    <n v="10"/>
    <n v="5"/>
    <n v="195.67777777777778"/>
    <n v="19.567777777777764"/>
    <x v="0"/>
    <m/>
  </r>
  <r>
    <n v="4066"/>
    <n v="56"/>
    <x v="1"/>
    <x v="2"/>
    <x v="2"/>
    <n v="165.49"/>
    <x v="0"/>
    <x v="0"/>
    <n v="3.8"/>
    <n v="22"/>
    <n v="6"/>
    <n v="212.16666666666666"/>
    <n v="46.676666666666648"/>
    <x v="0"/>
    <m/>
  </r>
  <r>
    <n v="4067"/>
    <n v="65"/>
    <x v="1"/>
    <x v="2"/>
    <x v="10"/>
    <n v="147.71"/>
    <x v="0"/>
    <x v="0"/>
    <n v="3.4"/>
    <n v="13"/>
    <n v="4"/>
    <n v="169.7816091954023"/>
    <n v="22.071609195402289"/>
    <x v="2"/>
    <m/>
  </r>
  <r>
    <n v="4068"/>
    <n v="26"/>
    <x v="0"/>
    <x v="7"/>
    <x v="11"/>
    <n v="167.62"/>
    <x v="3"/>
    <x v="0"/>
    <n v="3.4"/>
    <n v="30"/>
    <n v="10"/>
    <n v="239.45714285714288"/>
    <n v="71.837142857142879"/>
    <x v="5"/>
    <m/>
  </r>
  <r>
    <n v="4069"/>
    <n v="53"/>
    <x v="1"/>
    <x v="3"/>
    <x v="24"/>
    <n v="103.21"/>
    <x v="2"/>
    <x v="0"/>
    <n v="3.3"/>
    <n v="11"/>
    <n v="3"/>
    <n v="115.96629213483145"/>
    <n v="12.756292134831455"/>
    <x v="4"/>
    <m/>
  </r>
  <r>
    <n v="4070"/>
    <n v="70"/>
    <x v="1"/>
    <x v="7"/>
    <x v="13"/>
    <n v="56.28"/>
    <x v="3"/>
    <x v="0"/>
    <n v="2.9"/>
    <n v="10"/>
    <n v="5"/>
    <n v="62.533333333333331"/>
    <n v="6.2533333333333303"/>
    <x v="2"/>
    <m/>
  </r>
  <r>
    <n v="4071"/>
    <n v="48"/>
    <x v="1"/>
    <x v="2"/>
    <x v="10"/>
    <n v="136.24"/>
    <x v="3"/>
    <x v="0"/>
    <n v="3.3"/>
    <n v="14"/>
    <n v="7"/>
    <n v="158.41860465116281"/>
    <n v="22.1786046511628"/>
    <x v="4"/>
    <m/>
  </r>
  <r>
    <n v="4072"/>
    <n v="53"/>
    <x v="0"/>
    <x v="6"/>
    <x v="27"/>
    <n v="125.77"/>
    <x v="1"/>
    <x v="0"/>
    <n v="3.4"/>
    <n v="10"/>
    <n v="5"/>
    <n v="139.74444444444444"/>
    <n v="13.974444444444444"/>
    <x v="4"/>
    <m/>
  </r>
  <r>
    <n v="4073"/>
    <n v="26"/>
    <x v="0"/>
    <x v="0"/>
    <x v="22"/>
    <n v="62.53"/>
    <x v="3"/>
    <x v="1"/>
    <n v="3.8"/>
    <n v="16"/>
    <n v="8"/>
    <n v="74.44047619047619"/>
    <n v="11.910476190476189"/>
    <x v="5"/>
    <m/>
  </r>
  <r>
    <n v="4074"/>
    <n v="28"/>
    <x v="0"/>
    <x v="7"/>
    <x v="13"/>
    <n v="205.3"/>
    <x v="0"/>
    <x v="0"/>
    <n v="4.8"/>
    <n v="10"/>
    <n v="5"/>
    <n v="228.11111111111111"/>
    <n v="22.811111111111103"/>
    <x v="5"/>
    <m/>
  </r>
  <r>
    <n v="4075"/>
    <n v="39"/>
    <x v="0"/>
    <x v="6"/>
    <x v="23"/>
    <n v="99.04"/>
    <x v="0"/>
    <x v="0"/>
    <n v="4.5"/>
    <n v="26"/>
    <n v="8"/>
    <n v="133.83783783783784"/>
    <n v="34.797837837837832"/>
    <x v="1"/>
    <m/>
  </r>
  <r>
    <n v="4076"/>
    <n v="33"/>
    <x v="1"/>
    <x v="2"/>
    <x v="10"/>
    <n v="123.12"/>
    <x v="2"/>
    <x v="0"/>
    <n v="4"/>
    <n v="18"/>
    <n v="9"/>
    <n v="150.14634146341461"/>
    <n v="27.02634146341461"/>
    <x v="5"/>
    <m/>
  </r>
  <r>
    <n v="4077"/>
    <n v="40"/>
    <x v="1"/>
    <x v="5"/>
    <x v="21"/>
    <n v="1512.28"/>
    <x v="1"/>
    <x v="0"/>
    <n v="3.8"/>
    <n v="15"/>
    <n v="5"/>
    <n v="1779.1529411764707"/>
    <n v="266.8729411764707"/>
    <x v="1"/>
    <m/>
  </r>
  <r>
    <n v="4078"/>
    <n v="62"/>
    <x v="1"/>
    <x v="1"/>
    <x v="9"/>
    <n v="71.94"/>
    <x v="3"/>
    <x v="0"/>
    <n v="4.9000000000000004"/>
    <n v="17"/>
    <n v="6"/>
    <n v="86.674698795180731"/>
    <n v="14.734698795180734"/>
    <x v="0"/>
    <m/>
  </r>
  <r>
    <n v="4079"/>
    <n v="28"/>
    <x v="1"/>
    <x v="2"/>
    <x v="2"/>
    <n v="153.12"/>
    <x v="2"/>
    <x v="0"/>
    <n v="4.4000000000000004"/>
    <n v="9"/>
    <n v="2"/>
    <n v="168.26373626373626"/>
    <n v="15.143736263736258"/>
    <x v="5"/>
    <m/>
  </r>
  <r>
    <n v="4080"/>
    <n v="43"/>
    <x v="0"/>
    <x v="0"/>
    <x v="22"/>
    <n v="74.33"/>
    <x v="0"/>
    <x v="0"/>
    <n v="3.6"/>
    <n v="11"/>
    <n v="3"/>
    <n v="83.516853932584269"/>
    <n v="9.1868539325842704"/>
    <x v="1"/>
    <m/>
  </r>
  <r>
    <n v="4081"/>
    <n v="22"/>
    <x v="0"/>
    <x v="0"/>
    <x v="22"/>
    <n v="100.98"/>
    <x v="1"/>
    <x v="0"/>
    <n v="4.3"/>
    <n v="13"/>
    <n v="4"/>
    <n v="116.06896551724138"/>
    <n v="15.088965517241377"/>
    <x v="3"/>
    <m/>
  </r>
  <r>
    <n v="4082"/>
    <n v="51"/>
    <x v="1"/>
    <x v="5"/>
    <x v="21"/>
    <n v="2199.5100000000002"/>
    <x v="1"/>
    <x v="0"/>
    <n v="3.6"/>
    <n v="15"/>
    <n v="5"/>
    <n v="2587.6588235294121"/>
    <n v="388.14882352941186"/>
    <x v="4"/>
    <m/>
  </r>
  <r>
    <n v="4083"/>
    <n v="53"/>
    <x v="1"/>
    <x v="2"/>
    <x v="12"/>
    <n v="74.23"/>
    <x v="2"/>
    <x v="0"/>
    <n v="2.2000000000000002"/>
    <n v="19"/>
    <n v="7"/>
    <n v="91.641975308641975"/>
    <n v="17.411975308641971"/>
    <x v="4"/>
    <m/>
  </r>
  <r>
    <n v="4084"/>
    <n v="36"/>
    <x v="1"/>
    <x v="5"/>
    <x v="21"/>
    <n v="2049.23"/>
    <x v="1"/>
    <x v="0"/>
    <n v="3"/>
    <n v="22"/>
    <n v="6"/>
    <n v="2627.2179487179487"/>
    <n v="577.98794871794871"/>
    <x v="1"/>
    <m/>
  </r>
  <r>
    <n v="4085"/>
    <n v="68"/>
    <x v="1"/>
    <x v="5"/>
    <x v="5"/>
    <n v="2813.71"/>
    <x v="3"/>
    <x v="0"/>
    <n v="4.0999999999999996"/>
    <n v="13"/>
    <n v="4"/>
    <n v="3234.1494252873563"/>
    <n v="420.43942528735624"/>
    <x v="2"/>
    <m/>
  </r>
  <r>
    <n v="4086"/>
    <n v="53"/>
    <x v="0"/>
    <x v="8"/>
    <x v="16"/>
    <n v="81.17"/>
    <x v="2"/>
    <x v="1"/>
    <n v="5"/>
    <n v="20"/>
    <n v="5"/>
    <n v="101.46249999999999"/>
    <n v="20.29249999999999"/>
    <x v="4"/>
    <m/>
  </r>
  <r>
    <n v="4087"/>
    <n v="46"/>
    <x v="1"/>
    <x v="1"/>
    <x v="14"/>
    <n v="30.78"/>
    <x v="2"/>
    <x v="0"/>
    <n v="5"/>
    <n v="12"/>
    <n v="6"/>
    <n v="34.977272727272727"/>
    <n v="4.1972727272727255"/>
    <x v="4"/>
    <m/>
  </r>
  <r>
    <n v="4088"/>
    <n v="66"/>
    <x v="1"/>
    <x v="2"/>
    <x v="12"/>
    <n v="181.35"/>
    <x v="1"/>
    <x v="0"/>
    <n v="4"/>
    <n v="23"/>
    <n v="9"/>
    <n v="235.51948051948051"/>
    <n v="54.169480519480516"/>
    <x v="2"/>
    <m/>
  </r>
  <r>
    <n v="4089"/>
    <n v="68"/>
    <x v="1"/>
    <x v="5"/>
    <x v="21"/>
    <n v="2171.9299999999998"/>
    <x v="1"/>
    <x v="0"/>
    <n v="3.8"/>
    <n v="14"/>
    <n v="2"/>
    <n v="2525.5"/>
    <n v="353.57000000000016"/>
    <x v="2"/>
    <m/>
  </r>
  <r>
    <n v="4090"/>
    <n v="24"/>
    <x v="0"/>
    <x v="2"/>
    <x v="10"/>
    <n v="164.57"/>
    <x v="1"/>
    <x v="0"/>
    <n v="3"/>
    <n v="14"/>
    <n v="7"/>
    <n v="191.36046511627907"/>
    <n v="26.79046511627908"/>
    <x v="3"/>
    <m/>
  </r>
  <r>
    <n v="4091"/>
    <n v="37"/>
    <x v="1"/>
    <x v="4"/>
    <x v="26"/>
    <n v="18.23"/>
    <x v="0"/>
    <x v="0"/>
    <n v="3.5"/>
    <n v="10"/>
    <n v="5"/>
    <n v="20.255555555555556"/>
    <n v="2.025555555555556"/>
    <x v="1"/>
    <m/>
  </r>
  <r>
    <n v="4092"/>
    <n v="64"/>
    <x v="0"/>
    <x v="6"/>
    <x v="27"/>
    <n v="73.92"/>
    <x v="2"/>
    <x v="0"/>
    <n v="3.1"/>
    <n v="7"/>
    <n v="1"/>
    <n v="79.483870967741936"/>
    <n v="5.5638709677419342"/>
    <x v="0"/>
    <m/>
  </r>
  <r>
    <n v="4093"/>
    <n v="43"/>
    <x v="1"/>
    <x v="2"/>
    <x v="2"/>
    <n v="221.83"/>
    <x v="0"/>
    <x v="0"/>
    <n v="4.3"/>
    <n v="21"/>
    <n v="8"/>
    <n v="280.79746835443041"/>
    <n v="58.967468354430395"/>
    <x v="1"/>
    <m/>
  </r>
  <r>
    <n v="4094"/>
    <n v="68"/>
    <x v="0"/>
    <x v="6"/>
    <x v="23"/>
    <n v="100.18"/>
    <x v="0"/>
    <x v="0"/>
    <n v="3.3"/>
    <n v="18"/>
    <n v="4"/>
    <n v="122.17073170731707"/>
    <n v="21.990731707317067"/>
    <x v="2"/>
    <m/>
  </r>
  <r>
    <n v="4095"/>
    <n v="41"/>
    <x v="1"/>
    <x v="2"/>
    <x v="2"/>
    <n v="70.849999999999994"/>
    <x v="3"/>
    <x v="1"/>
    <n v="5"/>
    <n v="18"/>
    <n v="4"/>
    <n v="86.402439024390233"/>
    <n v="15.552439024390239"/>
    <x v="1"/>
    <m/>
  </r>
  <r>
    <n v="4096"/>
    <n v="26"/>
    <x v="0"/>
    <x v="3"/>
    <x v="3"/>
    <n v="209.2"/>
    <x v="1"/>
    <x v="0"/>
    <n v="4.3"/>
    <n v="6"/>
    <n v="3"/>
    <n v="222.55319148936169"/>
    <n v="13.353191489361706"/>
    <x v="5"/>
    <m/>
  </r>
  <r>
    <n v="4097"/>
    <n v="30"/>
    <x v="0"/>
    <x v="8"/>
    <x v="16"/>
    <n v="186.87"/>
    <x v="2"/>
    <x v="0"/>
    <n v="2.6"/>
    <n v="4"/>
    <n v="2"/>
    <n v="194.65625"/>
    <n v="7.7862499999999955"/>
    <x v="5"/>
    <m/>
  </r>
  <r>
    <n v="4098"/>
    <n v="68"/>
    <x v="0"/>
    <x v="0"/>
    <x v="28"/>
    <n v="150.12"/>
    <x v="2"/>
    <x v="0"/>
    <n v="2.9"/>
    <n v="6"/>
    <n v="3"/>
    <n v="159.70212765957447"/>
    <n v="9.5821276595744678"/>
    <x v="2"/>
    <m/>
  </r>
  <r>
    <n v="4099"/>
    <n v="26"/>
    <x v="1"/>
    <x v="1"/>
    <x v="14"/>
    <n v="119.13"/>
    <x v="0"/>
    <x v="0"/>
    <n v="4.5"/>
    <n v="6"/>
    <n v="3"/>
    <n v="126.73404255319149"/>
    <n v="7.6040425531914906"/>
    <x v="5"/>
    <m/>
  </r>
  <r>
    <n v="4100"/>
    <n v="40"/>
    <x v="1"/>
    <x v="5"/>
    <x v="21"/>
    <n v="2011.55"/>
    <x v="2"/>
    <x v="0"/>
    <n v="3.8"/>
    <n v="10"/>
    <n v="5"/>
    <n v="2235.0555555555557"/>
    <n v="223.5055555555557"/>
    <x v="1"/>
    <m/>
  </r>
  <r>
    <n v="4101"/>
    <n v="65"/>
    <x v="0"/>
    <x v="0"/>
    <x v="22"/>
    <n v="98.52"/>
    <x v="3"/>
    <x v="1"/>
    <n v="5"/>
    <n v="12"/>
    <n v="6"/>
    <n v="111.95454545454545"/>
    <n v="13.434545454545457"/>
    <x v="2"/>
    <m/>
  </r>
  <r>
    <n v="4102"/>
    <n v="53"/>
    <x v="1"/>
    <x v="2"/>
    <x v="2"/>
    <n v="138.94"/>
    <x v="0"/>
    <x v="0"/>
    <n v="3.6"/>
    <n v="10"/>
    <n v="5"/>
    <n v="154.37777777777777"/>
    <n v="15.437777777777768"/>
    <x v="4"/>
    <m/>
  </r>
  <r>
    <n v="4103"/>
    <n v="60"/>
    <x v="0"/>
    <x v="0"/>
    <x v="0"/>
    <n v="84.56"/>
    <x v="1"/>
    <x v="1"/>
    <n v="3.5"/>
    <n v="22"/>
    <n v="6"/>
    <n v="108.41025641025641"/>
    <n v="23.850256410256407"/>
    <x v="0"/>
    <m/>
  </r>
  <r>
    <n v="4104"/>
    <n v="58"/>
    <x v="0"/>
    <x v="8"/>
    <x v="18"/>
    <n v="71.760000000000005"/>
    <x v="1"/>
    <x v="0"/>
    <n v="5"/>
    <n v="9"/>
    <n v="2"/>
    <n v="78.857142857142861"/>
    <n v="7.0971428571428561"/>
    <x v="0"/>
    <m/>
  </r>
  <r>
    <n v="4105"/>
    <n v="47"/>
    <x v="1"/>
    <x v="5"/>
    <x v="21"/>
    <n v="2924.57"/>
    <x v="2"/>
    <x v="0"/>
    <n v="3.5"/>
    <n v="13"/>
    <n v="4"/>
    <n v="3361.5747126436781"/>
    <n v="437.00471264367798"/>
    <x v="4"/>
    <m/>
  </r>
  <r>
    <n v="4106"/>
    <n v="57"/>
    <x v="0"/>
    <x v="0"/>
    <x v="0"/>
    <n v="96.5"/>
    <x v="1"/>
    <x v="0"/>
    <n v="2.9"/>
    <n v="13"/>
    <n v="4"/>
    <n v="110.91954022988506"/>
    <n v="14.419540229885058"/>
    <x v="0"/>
    <m/>
  </r>
  <r>
    <n v="4107"/>
    <n v="62"/>
    <x v="0"/>
    <x v="7"/>
    <x v="13"/>
    <n v="93.71"/>
    <x v="3"/>
    <x v="0"/>
    <n v="3.4"/>
    <n v="14"/>
    <n v="7"/>
    <n v="108.96511627906976"/>
    <n v="15.255116279069767"/>
    <x v="0"/>
    <m/>
  </r>
  <r>
    <n v="4108"/>
    <n v="59"/>
    <x v="0"/>
    <x v="8"/>
    <x v="18"/>
    <n v="107.94"/>
    <x v="2"/>
    <x v="0"/>
    <n v="3.5"/>
    <n v="10"/>
    <n v="5"/>
    <n v="119.93333333333332"/>
    <n v="11.993333333333325"/>
    <x v="0"/>
    <m/>
  </r>
  <r>
    <n v="4109"/>
    <n v="29"/>
    <x v="1"/>
    <x v="7"/>
    <x v="13"/>
    <n v="75.989999999999995"/>
    <x v="1"/>
    <x v="1"/>
    <n v="4.5999999999999996"/>
    <n v="18"/>
    <n v="4"/>
    <n v="92.67073170731706"/>
    <n v="16.680731707317065"/>
    <x v="5"/>
    <m/>
  </r>
  <r>
    <n v="4110"/>
    <n v="39"/>
    <x v="0"/>
    <x v="8"/>
    <x v="18"/>
    <n v="154.16999999999999"/>
    <x v="0"/>
    <x v="0"/>
    <n v="4"/>
    <n v="23"/>
    <n v="9"/>
    <n v="200.22077922077921"/>
    <n v="46.050779220779219"/>
    <x v="1"/>
    <m/>
  </r>
  <r>
    <n v="4111"/>
    <n v="23"/>
    <x v="0"/>
    <x v="0"/>
    <x v="0"/>
    <n v="100.67"/>
    <x v="3"/>
    <x v="0"/>
    <n v="3.7"/>
    <n v="18"/>
    <n v="4"/>
    <n v="122.76829268292683"/>
    <n v="22.098292682926825"/>
    <x v="3"/>
    <m/>
  </r>
  <r>
    <n v="4112"/>
    <n v="63"/>
    <x v="0"/>
    <x v="7"/>
    <x v="11"/>
    <n v="116.77"/>
    <x v="3"/>
    <x v="0"/>
    <n v="4.3"/>
    <n v="26"/>
    <n v="8"/>
    <n v="157.79729729729729"/>
    <n v="41.027297297297295"/>
    <x v="0"/>
    <m/>
  </r>
  <r>
    <n v="4113"/>
    <n v="38"/>
    <x v="1"/>
    <x v="7"/>
    <x v="11"/>
    <n v="157.97999999999999"/>
    <x v="3"/>
    <x v="0"/>
    <n v="4.9000000000000004"/>
    <n v="22"/>
    <n v="6"/>
    <n v="202.53846153846152"/>
    <n v="44.558461538461529"/>
    <x v="1"/>
    <m/>
  </r>
  <r>
    <n v="4114"/>
    <n v="63"/>
    <x v="0"/>
    <x v="2"/>
    <x v="2"/>
    <n v="108.5"/>
    <x v="0"/>
    <x v="0"/>
    <n v="3.5"/>
    <n v="17"/>
    <n v="6"/>
    <n v="130.72289156626508"/>
    <n v="22.222891566265076"/>
    <x v="0"/>
    <m/>
  </r>
  <r>
    <n v="4115"/>
    <n v="44"/>
    <x v="1"/>
    <x v="7"/>
    <x v="13"/>
    <n v="45.36"/>
    <x v="3"/>
    <x v="0"/>
    <n v="3"/>
    <n v="28"/>
    <n v="9"/>
    <n v="63"/>
    <n v="17.64"/>
    <x v="1"/>
    <m/>
  </r>
  <r>
    <n v="4116"/>
    <n v="68"/>
    <x v="1"/>
    <x v="1"/>
    <x v="14"/>
    <n v="185.02"/>
    <x v="0"/>
    <x v="0"/>
    <n v="3.8"/>
    <n v="14"/>
    <n v="2"/>
    <n v="215.13953488372096"/>
    <n v="30.119534883720945"/>
    <x v="2"/>
    <m/>
  </r>
  <r>
    <n v="4117"/>
    <n v="63"/>
    <x v="0"/>
    <x v="8"/>
    <x v="14"/>
    <n v="44.04"/>
    <x v="2"/>
    <x v="0"/>
    <n v="5"/>
    <n v="16"/>
    <n v="3"/>
    <n v="52.428571428571431"/>
    <n v="8.3885714285714315"/>
    <x v="0"/>
    <m/>
  </r>
  <r>
    <n v="4118"/>
    <n v="27"/>
    <x v="1"/>
    <x v="2"/>
    <x v="12"/>
    <n v="100.08"/>
    <x v="1"/>
    <x v="0"/>
    <n v="3.6"/>
    <n v="5"/>
    <n v="0"/>
    <n v="105.34736842105264"/>
    <n v="5.2673684210526375"/>
    <x v="5"/>
    <m/>
  </r>
  <r>
    <n v="4119"/>
    <n v="49"/>
    <x v="0"/>
    <x v="2"/>
    <x v="10"/>
    <n v="107.29"/>
    <x v="2"/>
    <x v="0"/>
    <n v="3.8"/>
    <n v="16"/>
    <n v="8"/>
    <n v="127.72619047619048"/>
    <n v="20.436190476190475"/>
    <x v="4"/>
    <m/>
  </r>
  <r>
    <n v="4120"/>
    <n v="43"/>
    <x v="0"/>
    <x v="3"/>
    <x v="24"/>
    <n v="163.18"/>
    <x v="3"/>
    <x v="0"/>
    <n v="5"/>
    <n v="6"/>
    <n v="3"/>
    <n v="173.59574468085108"/>
    <n v="10.415744680851077"/>
    <x v="1"/>
    <m/>
  </r>
  <r>
    <n v="4121"/>
    <n v="67"/>
    <x v="0"/>
    <x v="6"/>
    <x v="6"/>
    <n v="58.38"/>
    <x v="3"/>
    <x v="0"/>
    <n v="4"/>
    <n v="12"/>
    <n v="6"/>
    <n v="66.340909090909093"/>
    <n v="7.9609090909090909"/>
    <x v="2"/>
    <m/>
  </r>
  <r>
    <n v="4122"/>
    <n v="69"/>
    <x v="1"/>
    <x v="2"/>
    <x v="2"/>
    <n v="169.84"/>
    <x v="1"/>
    <x v="0"/>
    <n v="3.5"/>
    <n v="18"/>
    <n v="4"/>
    <n v="207.12195121951217"/>
    <n v="37.281951219512166"/>
    <x v="2"/>
    <m/>
  </r>
  <r>
    <n v="4123"/>
    <n v="20"/>
    <x v="0"/>
    <x v="0"/>
    <x v="22"/>
    <n v="145.22"/>
    <x v="0"/>
    <x v="0"/>
    <n v="3.8"/>
    <n v="20"/>
    <n v="5"/>
    <n v="181.52499999999998"/>
    <n v="36.304999999999978"/>
    <x v="3"/>
    <m/>
  </r>
  <r>
    <n v="4124"/>
    <n v="31"/>
    <x v="1"/>
    <x v="2"/>
    <x v="2"/>
    <n v="117.9"/>
    <x v="2"/>
    <x v="0"/>
    <n v="4.5999999999999996"/>
    <n v="24"/>
    <n v="7"/>
    <n v="155.13157894736844"/>
    <n v="37.231578947368433"/>
    <x v="5"/>
    <m/>
  </r>
  <r>
    <n v="4125"/>
    <n v="23"/>
    <x v="0"/>
    <x v="7"/>
    <x v="11"/>
    <n v="92.07"/>
    <x v="1"/>
    <x v="0"/>
    <n v="3.2"/>
    <n v="18"/>
    <n v="4"/>
    <n v="112.28048780487804"/>
    <n v="20.210487804878042"/>
    <x v="3"/>
    <m/>
  </r>
  <r>
    <n v="4126"/>
    <n v="33"/>
    <x v="0"/>
    <x v="8"/>
    <x v="16"/>
    <n v="133.31"/>
    <x v="3"/>
    <x v="0"/>
    <n v="2.9"/>
    <n v="4"/>
    <n v="2"/>
    <n v="138.86458333333334"/>
    <n v="5.5545833333333405"/>
    <x v="5"/>
    <m/>
  </r>
  <r>
    <n v="4127"/>
    <n v="22"/>
    <x v="0"/>
    <x v="0"/>
    <x v="28"/>
    <n v="77.069999999999993"/>
    <x v="1"/>
    <x v="0"/>
    <n v="4.7"/>
    <n v="18"/>
    <n v="4"/>
    <n v="93.987804878048763"/>
    <n v="16.91780487804877"/>
    <x v="3"/>
    <m/>
  </r>
  <r>
    <n v="4128"/>
    <n v="45"/>
    <x v="0"/>
    <x v="4"/>
    <x v="26"/>
    <n v="60.2"/>
    <x v="2"/>
    <x v="0"/>
    <n v="3.3"/>
    <n v="10"/>
    <n v="5"/>
    <n v="66.888888888888886"/>
    <n v="6.6888888888888829"/>
    <x v="4"/>
    <m/>
  </r>
  <r>
    <n v="4129"/>
    <n v="39"/>
    <x v="0"/>
    <x v="7"/>
    <x v="8"/>
    <n v="113.87"/>
    <x v="1"/>
    <x v="0"/>
    <n v="4.3"/>
    <n v="8"/>
    <n v="4"/>
    <n v="123.77173913043478"/>
    <n v="9.9017391304347768"/>
    <x v="1"/>
    <m/>
  </r>
  <r>
    <n v="4130"/>
    <n v="43"/>
    <x v="1"/>
    <x v="1"/>
    <x v="9"/>
    <n v="143.99"/>
    <x v="2"/>
    <x v="0"/>
    <n v="4"/>
    <n v="23"/>
    <n v="9"/>
    <n v="187"/>
    <n v="43.009999999999991"/>
    <x v="1"/>
    <m/>
  </r>
  <r>
    <n v="4131"/>
    <n v="50"/>
    <x v="1"/>
    <x v="1"/>
    <x v="1"/>
    <n v="131.03"/>
    <x v="0"/>
    <x v="0"/>
    <n v="3.3"/>
    <n v="24"/>
    <n v="7"/>
    <n v="172.40789473684211"/>
    <n v="41.377894736842109"/>
    <x v="4"/>
    <m/>
  </r>
  <r>
    <n v="4132"/>
    <n v="54"/>
    <x v="0"/>
    <x v="8"/>
    <x v="18"/>
    <n v="197.73"/>
    <x v="3"/>
    <x v="0"/>
    <n v="5"/>
    <n v="10"/>
    <n v="5"/>
    <n v="219.7"/>
    <n v="21.97"/>
    <x v="4"/>
    <m/>
  </r>
  <r>
    <n v="4133"/>
    <n v="46"/>
    <x v="0"/>
    <x v="7"/>
    <x v="11"/>
    <n v="40.76"/>
    <x v="0"/>
    <x v="1"/>
    <n v="4.7"/>
    <n v="2"/>
    <n v="1"/>
    <n v="41.591836734693878"/>
    <n v="0.83183673469387998"/>
    <x v="4"/>
    <m/>
  </r>
  <r>
    <n v="4134"/>
    <n v="65"/>
    <x v="0"/>
    <x v="6"/>
    <x v="23"/>
    <n v="74.680000000000007"/>
    <x v="1"/>
    <x v="0"/>
    <n v="4.0999999999999996"/>
    <n v="18"/>
    <n v="9"/>
    <n v="91.073170731707322"/>
    <n v="16.393170731707315"/>
    <x v="2"/>
    <m/>
  </r>
  <r>
    <n v="4135"/>
    <n v="27"/>
    <x v="0"/>
    <x v="6"/>
    <x v="23"/>
    <n v="117.55"/>
    <x v="0"/>
    <x v="0"/>
    <n v="3.2"/>
    <n v="11"/>
    <n v="3"/>
    <n v="132.07865168539325"/>
    <n v="14.528651685393257"/>
    <x v="5"/>
    <m/>
  </r>
  <r>
    <n v="4136"/>
    <n v="44"/>
    <x v="0"/>
    <x v="3"/>
    <x v="3"/>
    <n v="211.32"/>
    <x v="0"/>
    <x v="0"/>
    <n v="4.5"/>
    <n v="16"/>
    <n v="8"/>
    <n v="251.57142857142858"/>
    <n v="40.25142857142859"/>
    <x v="1"/>
    <m/>
  </r>
  <r>
    <n v="4137"/>
    <n v="29"/>
    <x v="1"/>
    <x v="1"/>
    <x v="9"/>
    <n v="32.81"/>
    <x v="1"/>
    <x v="1"/>
    <n v="3.8"/>
    <n v="9"/>
    <n v="2"/>
    <n v="36.054945054945058"/>
    <n v="3.244945054945056"/>
    <x v="5"/>
    <m/>
  </r>
  <r>
    <n v="4138"/>
    <n v="41"/>
    <x v="1"/>
    <x v="7"/>
    <x v="8"/>
    <n v="104.2"/>
    <x v="2"/>
    <x v="0"/>
    <n v="4.0999999999999996"/>
    <n v="11"/>
    <n v="3"/>
    <n v="117.07865168539325"/>
    <n v="12.878651685393251"/>
    <x v="1"/>
    <m/>
  </r>
  <r>
    <n v="4139"/>
    <n v="25"/>
    <x v="1"/>
    <x v="5"/>
    <x v="7"/>
    <n v="991.14"/>
    <x v="2"/>
    <x v="0"/>
    <n v="2.1"/>
    <n v="4"/>
    <n v="2"/>
    <n v="1032.4375"/>
    <n v="41.297500000000014"/>
    <x v="5"/>
    <m/>
  </r>
  <r>
    <n v="4140"/>
    <n v="34"/>
    <x v="0"/>
    <x v="3"/>
    <x v="24"/>
    <n v="138.43"/>
    <x v="2"/>
    <x v="0"/>
    <n v="4.0999999999999996"/>
    <n v="12"/>
    <n v="1"/>
    <n v="157.30681818181819"/>
    <n v="18.87681818181818"/>
    <x v="5"/>
    <m/>
  </r>
  <r>
    <n v="4141"/>
    <n v="61"/>
    <x v="1"/>
    <x v="2"/>
    <x v="12"/>
    <n v="176.45"/>
    <x v="0"/>
    <x v="0"/>
    <n v="3.9"/>
    <n v="6"/>
    <n v="3"/>
    <n v="187.71276595744681"/>
    <n v="11.262765957446817"/>
    <x v="0"/>
    <m/>
  </r>
  <r>
    <n v="4142"/>
    <n v="56"/>
    <x v="1"/>
    <x v="1"/>
    <x v="9"/>
    <n v="156.69"/>
    <x v="3"/>
    <x v="0"/>
    <n v="3.7"/>
    <n v="11"/>
    <n v="3"/>
    <n v="176.0561797752809"/>
    <n v="19.366179775280898"/>
    <x v="0"/>
    <m/>
  </r>
  <r>
    <n v="4143"/>
    <n v="34"/>
    <x v="1"/>
    <x v="5"/>
    <x v="25"/>
    <n v="1532.93"/>
    <x v="2"/>
    <x v="0"/>
    <n v="3.8"/>
    <n v="24"/>
    <n v="7"/>
    <n v="2017.0131578947369"/>
    <n v="484.08315789473681"/>
    <x v="5"/>
    <m/>
  </r>
  <r>
    <n v="4144"/>
    <n v="24"/>
    <x v="0"/>
    <x v="6"/>
    <x v="6"/>
    <n v="37.85"/>
    <x v="1"/>
    <x v="1"/>
    <n v="3.7"/>
    <n v="18"/>
    <n v="4"/>
    <n v="46.158536585365852"/>
    <n v="8.3085365853658502"/>
    <x v="3"/>
    <m/>
  </r>
  <r>
    <n v="4145"/>
    <n v="49"/>
    <x v="1"/>
    <x v="1"/>
    <x v="14"/>
    <n v="132.37"/>
    <x v="3"/>
    <x v="0"/>
    <n v="2.9"/>
    <n v="13"/>
    <n v="4"/>
    <n v="152.14942528735634"/>
    <n v="19.779425287356332"/>
    <x v="4"/>
    <m/>
  </r>
  <r>
    <n v="4146"/>
    <n v="40"/>
    <x v="1"/>
    <x v="2"/>
    <x v="2"/>
    <n v="42.76"/>
    <x v="0"/>
    <x v="1"/>
    <n v="2.7"/>
    <n v="8"/>
    <n v="4"/>
    <n v="46.478260869565212"/>
    <n v="3.7182608695652135"/>
    <x v="1"/>
    <m/>
  </r>
  <r>
    <n v="4147"/>
    <n v="39"/>
    <x v="0"/>
    <x v="6"/>
    <x v="23"/>
    <n v="28.3"/>
    <x v="1"/>
    <x v="0"/>
    <n v="3.9"/>
    <n v="28"/>
    <n v="9"/>
    <n v="39.305555555555557"/>
    <n v="11.005555555555556"/>
    <x v="1"/>
    <m/>
  </r>
  <r>
    <n v="4148"/>
    <n v="27"/>
    <x v="1"/>
    <x v="5"/>
    <x v="21"/>
    <n v="2662.63"/>
    <x v="1"/>
    <x v="0"/>
    <n v="3.4"/>
    <n v="15"/>
    <n v="5"/>
    <n v="3132.5058823529412"/>
    <n v="469.87588235294106"/>
    <x v="5"/>
    <m/>
  </r>
  <r>
    <n v="4149"/>
    <n v="63"/>
    <x v="1"/>
    <x v="5"/>
    <x v="25"/>
    <n v="783.46"/>
    <x v="1"/>
    <x v="0"/>
    <n v="2.9"/>
    <n v="16"/>
    <n v="8"/>
    <n v="932.69047619047626"/>
    <n v="149.23047619047622"/>
    <x v="0"/>
    <m/>
  </r>
  <r>
    <n v="4150"/>
    <n v="40"/>
    <x v="0"/>
    <x v="0"/>
    <x v="22"/>
    <n v="28.71"/>
    <x v="2"/>
    <x v="1"/>
    <n v="2.5"/>
    <n v="16"/>
    <n v="8"/>
    <n v="34.178571428571431"/>
    <n v="5.4685714285714297"/>
    <x v="1"/>
    <m/>
  </r>
  <r>
    <n v="4151"/>
    <n v="29"/>
    <x v="1"/>
    <x v="2"/>
    <x v="12"/>
    <n v="103"/>
    <x v="3"/>
    <x v="0"/>
    <n v="2.9"/>
    <n v="23"/>
    <n v="9"/>
    <n v="133.76623376623377"/>
    <n v="30.766233766233768"/>
    <x v="5"/>
    <m/>
  </r>
  <r>
    <n v="4152"/>
    <n v="48"/>
    <x v="1"/>
    <x v="1"/>
    <x v="20"/>
    <n v="121.26"/>
    <x v="3"/>
    <x v="0"/>
    <n v="1.9"/>
    <n v="12"/>
    <n v="6"/>
    <n v="137.79545454545456"/>
    <n v="16.535454545454556"/>
    <x v="4"/>
    <m/>
  </r>
  <r>
    <n v="4153"/>
    <n v="30"/>
    <x v="1"/>
    <x v="4"/>
    <x v="29"/>
    <n v="5.89"/>
    <x v="3"/>
    <x v="1"/>
    <n v="3.2"/>
    <n v="17"/>
    <n v="6"/>
    <n v="7.096385542168675"/>
    <n v="1.2063855421686753"/>
    <x v="5"/>
    <m/>
  </r>
  <r>
    <n v="4154"/>
    <n v="35"/>
    <x v="1"/>
    <x v="7"/>
    <x v="11"/>
    <n v="240.97"/>
    <x v="3"/>
    <x v="0"/>
    <n v="2.8"/>
    <n v="22"/>
    <n v="6"/>
    <n v="308.9358974358974"/>
    <n v="67.965897435897404"/>
    <x v="1"/>
    <m/>
  </r>
  <r>
    <n v="4155"/>
    <n v="62"/>
    <x v="0"/>
    <x v="6"/>
    <x v="23"/>
    <n v="140.77000000000001"/>
    <x v="3"/>
    <x v="0"/>
    <n v="2.7"/>
    <n v="6"/>
    <n v="3"/>
    <n v="149.7553191489362"/>
    <n v="8.9853191489361848"/>
    <x v="0"/>
    <m/>
  </r>
  <r>
    <n v="4156"/>
    <n v="21"/>
    <x v="1"/>
    <x v="5"/>
    <x v="25"/>
    <n v="1584.57"/>
    <x v="2"/>
    <x v="0"/>
    <n v="3.6"/>
    <n v="15"/>
    <n v="5"/>
    <n v="1864.2"/>
    <n v="279.63000000000011"/>
    <x v="3"/>
    <m/>
  </r>
  <r>
    <n v="4157"/>
    <n v="56"/>
    <x v="0"/>
    <x v="8"/>
    <x v="17"/>
    <n v="123.71"/>
    <x v="0"/>
    <x v="0"/>
    <n v="3.2"/>
    <n v="11"/>
    <n v="3"/>
    <n v="139"/>
    <n v="15.290000000000006"/>
    <x v="0"/>
    <m/>
  </r>
  <r>
    <n v="4158"/>
    <n v="20"/>
    <x v="0"/>
    <x v="0"/>
    <x v="28"/>
    <n v="127.91"/>
    <x v="1"/>
    <x v="0"/>
    <n v="2.9"/>
    <n v="17"/>
    <n v="6"/>
    <n v="154.10843373493975"/>
    <n v="26.198433734939755"/>
    <x v="3"/>
    <m/>
  </r>
  <r>
    <n v="4159"/>
    <n v="22"/>
    <x v="0"/>
    <x v="4"/>
    <x v="4"/>
    <n v="23.75"/>
    <x v="1"/>
    <x v="0"/>
    <n v="3.7"/>
    <n v="18"/>
    <n v="4"/>
    <n v="28.963414634146339"/>
    <n v="5.2134146341463392"/>
    <x v="3"/>
    <m/>
  </r>
  <r>
    <n v="4160"/>
    <n v="47"/>
    <x v="1"/>
    <x v="7"/>
    <x v="11"/>
    <n v="71.63"/>
    <x v="0"/>
    <x v="1"/>
    <n v="3.2"/>
    <n v="15"/>
    <n v="5"/>
    <n v="84.270588235294113"/>
    <n v="12.640588235294118"/>
    <x v="4"/>
    <m/>
  </r>
  <r>
    <n v="4161"/>
    <n v="44"/>
    <x v="0"/>
    <x v="0"/>
    <x v="28"/>
    <n v="132.41999999999999"/>
    <x v="0"/>
    <x v="0"/>
    <n v="3.7"/>
    <n v="15"/>
    <n v="5"/>
    <n v="155.78823529411764"/>
    <n v="23.368235294117653"/>
    <x v="1"/>
    <m/>
  </r>
  <r>
    <n v="4162"/>
    <n v="50"/>
    <x v="0"/>
    <x v="6"/>
    <x v="27"/>
    <n v="128.51"/>
    <x v="1"/>
    <x v="0"/>
    <n v="3.8"/>
    <n v="16"/>
    <n v="8"/>
    <n v="152.98809523809524"/>
    <n v="24.47809523809525"/>
    <x v="4"/>
    <m/>
  </r>
  <r>
    <n v="4163"/>
    <n v="39"/>
    <x v="1"/>
    <x v="1"/>
    <x v="20"/>
    <n v="143.5"/>
    <x v="2"/>
    <x v="0"/>
    <n v="4.9000000000000004"/>
    <n v="19"/>
    <n v="7"/>
    <n v="177.16049382716048"/>
    <n v="33.660493827160479"/>
    <x v="1"/>
    <m/>
  </r>
  <r>
    <n v="4164"/>
    <n v="64"/>
    <x v="0"/>
    <x v="7"/>
    <x v="13"/>
    <n v="162.31"/>
    <x v="3"/>
    <x v="0"/>
    <n v="3.7"/>
    <n v="14"/>
    <n v="7"/>
    <n v="188.73255813953489"/>
    <n v="26.422558139534885"/>
    <x v="0"/>
    <m/>
  </r>
  <r>
    <n v="4165"/>
    <n v="67"/>
    <x v="0"/>
    <x v="7"/>
    <x v="11"/>
    <n v="210.1"/>
    <x v="0"/>
    <x v="0"/>
    <n v="3.9"/>
    <n v="4"/>
    <n v="2"/>
    <n v="218.85416666666666"/>
    <n v="8.7541666666666629"/>
    <x v="2"/>
    <m/>
  </r>
  <r>
    <n v="4166"/>
    <n v="48"/>
    <x v="1"/>
    <x v="5"/>
    <x v="5"/>
    <n v="1794.93"/>
    <x v="1"/>
    <x v="0"/>
    <n v="4.5999999999999996"/>
    <n v="16"/>
    <n v="8"/>
    <n v="2136.8214285714289"/>
    <n v="341.89142857142883"/>
    <x v="4"/>
    <m/>
  </r>
  <r>
    <n v="4167"/>
    <n v="26"/>
    <x v="1"/>
    <x v="1"/>
    <x v="9"/>
    <n v="52.64"/>
    <x v="0"/>
    <x v="1"/>
    <n v="4.5"/>
    <n v="9"/>
    <n v="2"/>
    <n v="57.846153846153847"/>
    <n v="5.2061538461538461"/>
    <x v="5"/>
    <m/>
  </r>
  <r>
    <n v="4168"/>
    <n v="46"/>
    <x v="1"/>
    <x v="2"/>
    <x v="12"/>
    <n v="119.62"/>
    <x v="0"/>
    <x v="0"/>
    <n v="4.5"/>
    <n v="15"/>
    <n v="5"/>
    <n v="140.7294117647059"/>
    <n v="21.109411764705897"/>
    <x v="4"/>
    <m/>
  </r>
  <r>
    <n v="4169"/>
    <n v="26"/>
    <x v="0"/>
    <x v="7"/>
    <x v="11"/>
    <n v="230.19"/>
    <x v="2"/>
    <x v="0"/>
    <n v="3.9"/>
    <n v="22"/>
    <n v="6"/>
    <n v="295.11538461538458"/>
    <n v="64.925384615384587"/>
    <x v="5"/>
    <m/>
  </r>
  <r>
    <n v="4170"/>
    <n v="50"/>
    <x v="0"/>
    <x v="3"/>
    <x v="3"/>
    <n v="58.78"/>
    <x v="2"/>
    <x v="1"/>
    <n v="4.8"/>
    <n v="16"/>
    <n v="3"/>
    <n v="69.976190476190482"/>
    <n v="11.19619047619048"/>
    <x v="4"/>
    <m/>
  </r>
  <r>
    <n v="4171"/>
    <n v="36"/>
    <x v="1"/>
    <x v="5"/>
    <x v="25"/>
    <n v="2331.58"/>
    <x v="2"/>
    <x v="0"/>
    <n v="3"/>
    <n v="8"/>
    <n v="4"/>
    <n v="2534.3260869565215"/>
    <n v="202.74608695652159"/>
    <x v="1"/>
    <m/>
  </r>
  <r>
    <n v="4172"/>
    <n v="36"/>
    <x v="1"/>
    <x v="2"/>
    <x v="12"/>
    <n v="149.44"/>
    <x v="0"/>
    <x v="0"/>
    <n v="3.6"/>
    <n v="20"/>
    <n v="5"/>
    <n v="186.79999999999998"/>
    <n v="37.359999999999985"/>
    <x v="1"/>
    <m/>
  </r>
  <r>
    <n v="4173"/>
    <n v="64"/>
    <x v="1"/>
    <x v="5"/>
    <x v="25"/>
    <n v="2758.3"/>
    <x v="1"/>
    <x v="0"/>
    <n v="3.4"/>
    <n v="17"/>
    <n v="6"/>
    <n v="3323.2530120481933"/>
    <n v="564.95301204819316"/>
    <x v="0"/>
    <m/>
  </r>
  <r>
    <n v="4174"/>
    <n v="69"/>
    <x v="0"/>
    <x v="6"/>
    <x v="23"/>
    <n v="87.77"/>
    <x v="0"/>
    <x v="1"/>
    <n v="3.9"/>
    <n v="9"/>
    <n v="2"/>
    <n v="96.450549450549445"/>
    <n v="8.6805494505494494"/>
    <x v="2"/>
    <m/>
  </r>
  <r>
    <n v="4175"/>
    <n v="41"/>
    <x v="1"/>
    <x v="1"/>
    <x v="1"/>
    <n v="199.07"/>
    <x v="2"/>
    <x v="0"/>
    <n v="3.1"/>
    <n v="6"/>
    <n v="3"/>
    <n v="211.77659574468086"/>
    <n v="12.706595744680868"/>
    <x v="1"/>
    <m/>
  </r>
  <r>
    <n v="4176"/>
    <n v="39"/>
    <x v="1"/>
    <x v="1"/>
    <x v="1"/>
    <n v="145.5"/>
    <x v="0"/>
    <x v="0"/>
    <n v="3.8"/>
    <n v="4"/>
    <n v="2"/>
    <n v="151.5625"/>
    <n v="6.0625"/>
    <x v="1"/>
    <m/>
  </r>
  <r>
    <n v="4177"/>
    <n v="62"/>
    <x v="0"/>
    <x v="6"/>
    <x v="23"/>
    <n v="145.38999999999999"/>
    <x v="3"/>
    <x v="0"/>
    <n v="3.8"/>
    <n v="13"/>
    <n v="4"/>
    <n v="167.11494252873561"/>
    <n v="21.724942528735625"/>
    <x v="0"/>
    <m/>
  </r>
  <r>
    <n v="4178"/>
    <n v="47"/>
    <x v="1"/>
    <x v="5"/>
    <x v="5"/>
    <n v="1665.59"/>
    <x v="3"/>
    <x v="0"/>
    <n v="3.9"/>
    <n v="17"/>
    <n v="6"/>
    <n v="2006.7349397590363"/>
    <n v="341.14493975903633"/>
    <x v="4"/>
    <m/>
  </r>
  <r>
    <n v="4179"/>
    <n v="46"/>
    <x v="0"/>
    <x v="7"/>
    <x v="11"/>
    <n v="89.47"/>
    <x v="1"/>
    <x v="1"/>
    <n v="4.3"/>
    <n v="17"/>
    <n v="6"/>
    <n v="107.79518072289157"/>
    <n v="18.325180722891574"/>
    <x v="4"/>
    <m/>
  </r>
  <r>
    <n v="4180"/>
    <n v="56"/>
    <x v="1"/>
    <x v="1"/>
    <x v="1"/>
    <n v="153.46"/>
    <x v="1"/>
    <x v="0"/>
    <n v="3.2"/>
    <n v="11"/>
    <n v="3"/>
    <n v="172.42696629213484"/>
    <n v="18.966966292134828"/>
    <x v="0"/>
    <m/>
  </r>
  <r>
    <n v="4181"/>
    <n v="32"/>
    <x v="0"/>
    <x v="0"/>
    <x v="22"/>
    <n v="156.18"/>
    <x v="2"/>
    <x v="0"/>
    <n v="2.6"/>
    <n v="12"/>
    <n v="6"/>
    <n v="177.47727272727275"/>
    <n v="21.297272727272741"/>
    <x v="5"/>
    <m/>
  </r>
  <r>
    <n v="4182"/>
    <n v="50"/>
    <x v="1"/>
    <x v="2"/>
    <x v="12"/>
    <n v="83.36"/>
    <x v="3"/>
    <x v="0"/>
    <n v="3.4"/>
    <n v="10"/>
    <n v="5"/>
    <n v="92.62222222222222"/>
    <n v="9.2622222222222206"/>
    <x v="4"/>
    <m/>
  </r>
  <r>
    <n v="4183"/>
    <n v="58"/>
    <x v="1"/>
    <x v="1"/>
    <x v="9"/>
    <n v="171.56"/>
    <x v="3"/>
    <x v="0"/>
    <n v="3.9"/>
    <n v="8"/>
    <n v="4"/>
    <n v="186.47826086956522"/>
    <n v="14.918260869565216"/>
    <x v="0"/>
    <m/>
  </r>
  <r>
    <n v="4184"/>
    <n v="26"/>
    <x v="0"/>
    <x v="8"/>
    <x v="17"/>
    <n v="31.99"/>
    <x v="2"/>
    <x v="1"/>
    <n v="3.4"/>
    <n v="23"/>
    <n v="9"/>
    <n v="41.54545454545454"/>
    <n v="9.5554545454545412"/>
    <x v="5"/>
    <m/>
  </r>
  <r>
    <n v="4185"/>
    <n v="58"/>
    <x v="0"/>
    <x v="8"/>
    <x v="17"/>
    <n v="199.24"/>
    <x v="2"/>
    <x v="0"/>
    <n v="3.3"/>
    <n v="15"/>
    <n v="5"/>
    <n v="234.4"/>
    <n v="35.159999999999997"/>
    <x v="0"/>
    <m/>
  </r>
  <r>
    <n v="4186"/>
    <n v="24"/>
    <x v="0"/>
    <x v="8"/>
    <x v="17"/>
    <n v="80.739999999999995"/>
    <x v="1"/>
    <x v="0"/>
    <n v="3.4"/>
    <n v="24"/>
    <n v="7"/>
    <n v="106.23684210526315"/>
    <n v="25.496842105263156"/>
    <x v="3"/>
    <m/>
  </r>
  <r>
    <n v="4187"/>
    <n v="65"/>
    <x v="0"/>
    <x v="7"/>
    <x v="11"/>
    <n v="231.77"/>
    <x v="0"/>
    <x v="0"/>
    <n v="3.5"/>
    <n v="22"/>
    <n v="6"/>
    <n v="297.14102564102564"/>
    <n v="65.371025641025625"/>
    <x v="2"/>
    <m/>
  </r>
  <r>
    <n v="4188"/>
    <n v="46"/>
    <x v="1"/>
    <x v="1"/>
    <x v="9"/>
    <n v="79.069999999999993"/>
    <x v="0"/>
    <x v="0"/>
    <n v="4.3"/>
    <n v="14"/>
    <n v="2"/>
    <n v="91.941860465116278"/>
    <n v="12.871860465116285"/>
    <x v="4"/>
    <m/>
  </r>
  <r>
    <n v="4189"/>
    <n v="57"/>
    <x v="0"/>
    <x v="4"/>
    <x v="19"/>
    <n v="13.76"/>
    <x v="2"/>
    <x v="0"/>
    <n v="4.4000000000000004"/>
    <n v="7"/>
    <n v="1"/>
    <n v="14.795698924731184"/>
    <n v="1.0356989247311841"/>
    <x v="0"/>
    <m/>
  </r>
  <r>
    <n v="4190"/>
    <n v="27"/>
    <x v="0"/>
    <x v="6"/>
    <x v="6"/>
    <n v="113.95"/>
    <x v="1"/>
    <x v="0"/>
    <n v="3.7"/>
    <n v="11"/>
    <n v="3"/>
    <n v="128.03370786516854"/>
    <n v="14.083707865168535"/>
    <x v="5"/>
    <m/>
  </r>
  <r>
    <n v="4191"/>
    <n v="41"/>
    <x v="0"/>
    <x v="7"/>
    <x v="8"/>
    <n v="216.85"/>
    <x v="1"/>
    <x v="0"/>
    <n v="3.3"/>
    <n v="21"/>
    <n v="8"/>
    <n v="274.4936708860759"/>
    <n v="57.64367088607591"/>
    <x v="1"/>
    <m/>
  </r>
  <r>
    <n v="4192"/>
    <n v="40"/>
    <x v="0"/>
    <x v="6"/>
    <x v="6"/>
    <n v="58.55"/>
    <x v="1"/>
    <x v="1"/>
    <n v="4.8"/>
    <n v="6"/>
    <n v="3"/>
    <n v="62.287234042553195"/>
    <n v="3.7372340425531974"/>
    <x v="1"/>
    <m/>
  </r>
  <r>
    <n v="4193"/>
    <n v="43"/>
    <x v="1"/>
    <x v="2"/>
    <x v="10"/>
    <n v="188.28"/>
    <x v="2"/>
    <x v="0"/>
    <n v="4.4000000000000004"/>
    <n v="19"/>
    <n v="7"/>
    <n v="232.44444444444443"/>
    <n v="44.164444444444428"/>
    <x v="1"/>
    <m/>
  </r>
  <r>
    <n v="4194"/>
    <n v="37"/>
    <x v="0"/>
    <x v="8"/>
    <x v="16"/>
    <n v="116.17"/>
    <x v="0"/>
    <x v="0"/>
    <n v="4.4000000000000004"/>
    <n v="22"/>
    <n v="6"/>
    <n v="148.93589743589743"/>
    <n v="32.765897435897429"/>
    <x v="1"/>
    <m/>
  </r>
  <r>
    <n v="4195"/>
    <n v="34"/>
    <x v="0"/>
    <x v="3"/>
    <x v="3"/>
    <n v="142.76"/>
    <x v="3"/>
    <x v="0"/>
    <n v="4.5999999999999996"/>
    <n v="19"/>
    <n v="7"/>
    <n v="176.24691358024688"/>
    <n v="33.486913580246892"/>
    <x v="5"/>
    <m/>
  </r>
  <r>
    <n v="4196"/>
    <n v="43"/>
    <x v="1"/>
    <x v="7"/>
    <x v="13"/>
    <n v="158.75"/>
    <x v="2"/>
    <x v="0"/>
    <n v="4.5"/>
    <n v="16"/>
    <n v="8"/>
    <n v="188.98809523809524"/>
    <n v="30.238095238095241"/>
    <x v="1"/>
    <m/>
  </r>
  <r>
    <n v="4197"/>
    <n v="49"/>
    <x v="0"/>
    <x v="4"/>
    <x v="26"/>
    <n v="43.81"/>
    <x v="1"/>
    <x v="1"/>
    <n v="4"/>
    <n v="12"/>
    <n v="6"/>
    <n v="49.784090909090914"/>
    <n v="5.9740909090909113"/>
    <x v="4"/>
    <m/>
  </r>
  <r>
    <n v="4198"/>
    <n v="57"/>
    <x v="1"/>
    <x v="2"/>
    <x v="2"/>
    <n v="66.09"/>
    <x v="1"/>
    <x v="1"/>
    <n v="3.6"/>
    <n v="11"/>
    <n v="3"/>
    <n v="74.258426966292134"/>
    <n v="8.1684269662921309"/>
    <x v="0"/>
    <m/>
  </r>
  <r>
    <n v="4199"/>
    <n v="60"/>
    <x v="1"/>
    <x v="5"/>
    <x v="21"/>
    <n v="2585.88"/>
    <x v="2"/>
    <x v="0"/>
    <n v="3.1"/>
    <n v="15"/>
    <n v="5"/>
    <n v="3042.2117647058826"/>
    <n v="456.33176470588251"/>
    <x v="0"/>
    <m/>
  </r>
  <r>
    <n v="4200"/>
    <n v="45"/>
    <x v="1"/>
    <x v="5"/>
    <x v="21"/>
    <n v="2462.83"/>
    <x v="1"/>
    <x v="0"/>
    <n v="4.5"/>
    <n v="12"/>
    <n v="6"/>
    <n v="2798.6704545454545"/>
    <n v="335.84045454545458"/>
    <x v="4"/>
    <m/>
  </r>
  <r>
    <n v="4201"/>
    <n v="38"/>
    <x v="1"/>
    <x v="2"/>
    <x v="10"/>
    <n v="92.59"/>
    <x v="1"/>
    <x v="0"/>
    <n v="4.5999999999999996"/>
    <n v="19"/>
    <n v="7"/>
    <n v="114.30864197530863"/>
    <n v="21.718641975308628"/>
    <x v="1"/>
    <m/>
  </r>
  <r>
    <n v="4202"/>
    <n v="52"/>
    <x v="0"/>
    <x v="8"/>
    <x v="14"/>
    <n v="132.66999999999999"/>
    <x v="0"/>
    <x v="0"/>
    <n v="5"/>
    <n v="13"/>
    <n v="4"/>
    <n v="152.4942528735632"/>
    <n v="19.824252873563211"/>
    <x v="4"/>
    <m/>
  </r>
  <r>
    <n v="4203"/>
    <n v="49"/>
    <x v="0"/>
    <x v="4"/>
    <x v="26"/>
    <n v="44.3"/>
    <x v="2"/>
    <x v="0"/>
    <n v="4.3"/>
    <n v="17"/>
    <n v="6"/>
    <n v="53.373493975903614"/>
    <n v="9.0734939759036166"/>
    <x v="4"/>
    <m/>
  </r>
  <r>
    <n v="4204"/>
    <n v="26"/>
    <x v="0"/>
    <x v="6"/>
    <x v="6"/>
    <n v="76.87"/>
    <x v="1"/>
    <x v="0"/>
    <n v="3"/>
    <n v="10"/>
    <n v="5"/>
    <n v="85.411111111111111"/>
    <n v="8.5411111111111069"/>
    <x v="5"/>
    <m/>
  </r>
  <r>
    <n v="4205"/>
    <n v="58"/>
    <x v="1"/>
    <x v="1"/>
    <x v="20"/>
    <n v="53.51"/>
    <x v="1"/>
    <x v="0"/>
    <n v="4.4000000000000004"/>
    <n v="12"/>
    <n v="6"/>
    <n v="60.80681818181818"/>
    <n v="7.2968181818181819"/>
    <x v="0"/>
    <m/>
  </r>
  <r>
    <n v="4206"/>
    <n v="52"/>
    <x v="1"/>
    <x v="2"/>
    <x v="12"/>
    <n v="103.02"/>
    <x v="0"/>
    <x v="0"/>
    <n v="3.6"/>
    <n v="14"/>
    <n v="7"/>
    <n v="119.7906976744186"/>
    <n v="16.770697674418599"/>
    <x v="4"/>
    <m/>
  </r>
  <r>
    <n v="4207"/>
    <n v="64"/>
    <x v="1"/>
    <x v="7"/>
    <x v="13"/>
    <n v="184.26"/>
    <x v="2"/>
    <x v="0"/>
    <n v="4.5999999999999996"/>
    <n v="12"/>
    <n v="1"/>
    <n v="209.38636363636363"/>
    <n v="25.126363636363635"/>
    <x v="0"/>
    <m/>
  </r>
  <r>
    <n v="4208"/>
    <n v="55"/>
    <x v="0"/>
    <x v="7"/>
    <x v="13"/>
    <n v="171.05"/>
    <x v="0"/>
    <x v="0"/>
    <n v="3.8"/>
    <n v="12"/>
    <n v="6"/>
    <n v="194.375"/>
    <n v="23.324999999999989"/>
    <x v="0"/>
    <m/>
  </r>
  <r>
    <n v="4209"/>
    <n v="67"/>
    <x v="0"/>
    <x v="0"/>
    <x v="28"/>
    <n v="37.770000000000003"/>
    <x v="2"/>
    <x v="1"/>
    <n v="4.5"/>
    <n v="20"/>
    <n v="5"/>
    <n v="47.212499999999999"/>
    <n v="9.4424999999999955"/>
    <x v="2"/>
    <m/>
  </r>
  <r>
    <n v="4210"/>
    <n v="41"/>
    <x v="1"/>
    <x v="3"/>
    <x v="15"/>
    <n v="170.89"/>
    <x v="0"/>
    <x v="0"/>
    <n v="4.7"/>
    <n v="24"/>
    <n v="7"/>
    <n v="224.85526315789471"/>
    <n v="53.965263157894725"/>
    <x v="1"/>
    <m/>
  </r>
  <r>
    <n v="4211"/>
    <n v="23"/>
    <x v="1"/>
    <x v="7"/>
    <x v="8"/>
    <n v="249.42"/>
    <x v="1"/>
    <x v="0"/>
    <n v="2.7"/>
    <n v="23"/>
    <n v="9"/>
    <n v="323.9220779220779"/>
    <n v="74.502077922077916"/>
    <x v="3"/>
    <m/>
  </r>
  <r>
    <n v="4212"/>
    <n v="66"/>
    <x v="0"/>
    <x v="7"/>
    <x v="11"/>
    <n v="167.08"/>
    <x v="1"/>
    <x v="0"/>
    <n v="4.2"/>
    <n v="24"/>
    <n v="7"/>
    <n v="219.84210526315792"/>
    <n v="52.762105263157906"/>
    <x v="2"/>
    <m/>
  </r>
  <r>
    <n v="4213"/>
    <n v="26"/>
    <x v="0"/>
    <x v="4"/>
    <x v="26"/>
    <n v="59.78"/>
    <x v="0"/>
    <x v="0"/>
    <n v="4.3"/>
    <n v="15"/>
    <n v="5"/>
    <n v="70.329411764705881"/>
    <n v="10.54941176470588"/>
    <x v="5"/>
    <m/>
  </r>
  <r>
    <n v="4214"/>
    <n v="44"/>
    <x v="0"/>
    <x v="8"/>
    <x v="17"/>
    <n v="32"/>
    <x v="0"/>
    <x v="0"/>
    <n v="5"/>
    <n v="14"/>
    <n v="7"/>
    <n v="37.209302325581397"/>
    <n v="5.2093023255813975"/>
    <x v="1"/>
    <m/>
  </r>
  <r>
    <n v="4215"/>
    <n v="36"/>
    <x v="1"/>
    <x v="2"/>
    <x v="10"/>
    <n v="46.99"/>
    <x v="1"/>
    <x v="1"/>
    <n v="3.7"/>
    <n v="8"/>
    <n v="4"/>
    <n v="51.076086956521742"/>
    <n v="4.0860869565217399"/>
    <x v="1"/>
    <m/>
  </r>
  <r>
    <n v="4216"/>
    <n v="31"/>
    <x v="1"/>
    <x v="7"/>
    <x v="13"/>
    <n v="82.9"/>
    <x v="2"/>
    <x v="0"/>
    <n v="4.2"/>
    <n v="16"/>
    <n v="3"/>
    <n v="98.690476190476204"/>
    <n v="15.790476190476198"/>
    <x v="5"/>
    <m/>
  </r>
  <r>
    <n v="4217"/>
    <n v="69"/>
    <x v="1"/>
    <x v="7"/>
    <x v="13"/>
    <n v="245.86"/>
    <x v="2"/>
    <x v="0"/>
    <n v="4"/>
    <n v="15"/>
    <n v="5"/>
    <n v="289.24705882352941"/>
    <n v="43.387058823529401"/>
    <x v="2"/>
    <m/>
  </r>
  <r>
    <n v="4218"/>
    <n v="48"/>
    <x v="0"/>
    <x v="0"/>
    <x v="0"/>
    <n v="94.05"/>
    <x v="1"/>
    <x v="1"/>
    <n v="4.3"/>
    <n v="10"/>
    <n v="5"/>
    <n v="104.5"/>
    <n v="10.450000000000003"/>
    <x v="4"/>
    <m/>
  </r>
  <r>
    <n v="4219"/>
    <n v="31"/>
    <x v="0"/>
    <x v="4"/>
    <x v="19"/>
    <n v="9.39"/>
    <x v="0"/>
    <x v="0"/>
    <n v="4.2"/>
    <n v="14"/>
    <n v="2"/>
    <n v="10.918604651162791"/>
    <n v="1.5286046511627909"/>
    <x v="5"/>
    <m/>
  </r>
  <r>
    <n v="4220"/>
    <n v="33"/>
    <x v="0"/>
    <x v="7"/>
    <x v="8"/>
    <n v="115.37"/>
    <x v="2"/>
    <x v="0"/>
    <n v="2.8"/>
    <n v="6"/>
    <n v="3"/>
    <n v="122.7340425531915"/>
    <n v="7.3640425531914957"/>
    <x v="5"/>
    <m/>
  </r>
  <r>
    <n v="4221"/>
    <n v="42"/>
    <x v="1"/>
    <x v="3"/>
    <x v="15"/>
    <n v="288.26"/>
    <x v="1"/>
    <x v="0"/>
    <n v="4.0999999999999996"/>
    <n v="10"/>
    <n v="5"/>
    <n v="320.28888888888889"/>
    <n v="32.028888888888901"/>
    <x v="1"/>
    <m/>
  </r>
  <r>
    <n v="4222"/>
    <n v="61"/>
    <x v="1"/>
    <x v="5"/>
    <x v="5"/>
    <n v="2235.09"/>
    <x v="2"/>
    <x v="0"/>
    <n v="4.4000000000000004"/>
    <n v="14"/>
    <n v="7"/>
    <n v="2598.9418604651164"/>
    <n v="363.85186046511626"/>
    <x v="0"/>
    <m/>
  </r>
  <r>
    <n v="4223"/>
    <n v="62"/>
    <x v="1"/>
    <x v="2"/>
    <x v="2"/>
    <n v="173.92"/>
    <x v="3"/>
    <x v="0"/>
    <n v="4.2"/>
    <n v="8"/>
    <n v="4"/>
    <n v="189.04347826086953"/>
    <n v="15.123478260869547"/>
    <x v="0"/>
    <m/>
  </r>
  <r>
    <n v="4224"/>
    <n v="29"/>
    <x v="0"/>
    <x v="6"/>
    <x v="6"/>
    <n v="20.49"/>
    <x v="1"/>
    <x v="1"/>
    <n v="3.7"/>
    <n v="14"/>
    <n v="7"/>
    <n v="23.825581395348834"/>
    <n v="3.3355813953488358"/>
    <x v="5"/>
    <m/>
  </r>
  <r>
    <n v="4225"/>
    <n v="23"/>
    <x v="0"/>
    <x v="6"/>
    <x v="27"/>
    <n v="46.62"/>
    <x v="2"/>
    <x v="1"/>
    <n v="5"/>
    <n v="22"/>
    <n v="6"/>
    <n v="59.769230769230766"/>
    <n v="13.149230769230769"/>
    <x v="3"/>
    <m/>
  </r>
  <r>
    <n v="4226"/>
    <n v="49"/>
    <x v="1"/>
    <x v="5"/>
    <x v="5"/>
    <n v="2552"/>
    <x v="0"/>
    <x v="0"/>
    <n v="4.5"/>
    <n v="18"/>
    <n v="4"/>
    <n v="3112.1951219512193"/>
    <n v="560.19512195121933"/>
    <x v="4"/>
    <m/>
  </r>
  <r>
    <n v="4227"/>
    <n v="67"/>
    <x v="1"/>
    <x v="2"/>
    <x v="10"/>
    <n v="123.27"/>
    <x v="3"/>
    <x v="0"/>
    <n v="4.0999999999999996"/>
    <n v="12"/>
    <n v="6"/>
    <n v="140.07954545454544"/>
    <n v="16.809545454545443"/>
    <x v="2"/>
    <m/>
  </r>
  <r>
    <n v="4228"/>
    <n v="65"/>
    <x v="1"/>
    <x v="7"/>
    <x v="8"/>
    <n v="92.07"/>
    <x v="3"/>
    <x v="1"/>
    <n v="4.2"/>
    <n v="18"/>
    <n v="4"/>
    <n v="112.28048780487804"/>
    <n v="20.210487804878042"/>
    <x v="2"/>
    <m/>
  </r>
  <r>
    <n v="4229"/>
    <n v="30"/>
    <x v="0"/>
    <x v="0"/>
    <x v="28"/>
    <n v="37.86"/>
    <x v="1"/>
    <x v="1"/>
    <n v="4.9000000000000004"/>
    <n v="16"/>
    <n v="3"/>
    <n v="45.071428571428569"/>
    <n v="7.21142857142857"/>
    <x v="5"/>
    <m/>
  </r>
  <r>
    <n v="4230"/>
    <n v="52"/>
    <x v="1"/>
    <x v="5"/>
    <x v="7"/>
    <n v="1075.98"/>
    <x v="0"/>
    <x v="0"/>
    <n v="4"/>
    <n v="4"/>
    <n v="2"/>
    <n v="1120.8125"/>
    <n v="44.832499999999982"/>
    <x v="4"/>
    <m/>
  </r>
  <r>
    <n v="4231"/>
    <n v="70"/>
    <x v="1"/>
    <x v="7"/>
    <x v="8"/>
    <n v="71.55"/>
    <x v="3"/>
    <x v="1"/>
    <n v="4.5"/>
    <n v="10"/>
    <n v="5"/>
    <n v="79.5"/>
    <n v="7.9500000000000028"/>
    <x v="2"/>
    <m/>
  </r>
  <r>
    <n v="4232"/>
    <n v="27"/>
    <x v="1"/>
    <x v="5"/>
    <x v="25"/>
    <n v="2020.46"/>
    <x v="0"/>
    <x v="0"/>
    <n v="5"/>
    <n v="23"/>
    <n v="9"/>
    <n v="2623.9740259740261"/>
    <n v="603.51402597402603"/>
    <x v="5"/>
    <m/>
  </r>
  <r>
    <n v="4233"/>
    <n v="41"/>
    <x v="0"/>
    <x v="0"/>
    <x v="0"/>
    <n v="55.11"/>
    <x v="1"/>
    <x v="0"/>
    <n v="3.2"/>
    <n v="15"/>
    <n v="5"/>
    <n v="64.835294117647067"/>
    <n v="9.7252941176470671"/>
    <x v="1"/>
    <m/>
  </r>
  <r>
    <n v="4234"/>
    <n v="22"/>
    <x v="0"/>
    <x v="6"/>
    <x v="23"/>
    <n v="120.3"/>
    <x v="1"/>
    <x v="0"/>
    <n v="3.3"/>
    <n v="11"/>
    <n v="3"/>
    <n v="135.16853932584269"/>
    <n v="14.86853932584269"/>
    <x v="3"/>
    <m/>
  </r>
  <r>
    <n v="4235"/>
    <n v="50"/>
    <x v="0"/>
    <x v="0"/>
    <x v="28"/>
    <n v="69.930000000000007"/>
    <x v="0"/>
    <x v="1"/>
    <n v="3.9"/>
    <n v="13"/>
    <n v="4"/>
    <n v="80.379310344827601"/>
    <n v="10.449310344827595"/>
    <x v="4"/>
    <m/>
  </r>
  <r>
    <n v="4236"/>
    <n v="27"/>
    <x v="0"/>
    <x v="8"/>
    <x v="17"/>
    <n v="185.32"/>
    <x v="3"/>
    <x v="0"/>
    <n v="4.5"/>
    <n v="19"/>
    <n v="7"/>
    <n v="228.7901234567901"/>
    <n v="43.470123456790105"/>
    <x v="5"/>
    <m/>
  </r>
  <r>
    <n v="4237"/>
    <n v="28"/>
    <x v="0"/>
    <x v="0"/>
    <x v="0"/>
    <n v="123.5"/>
    <x v="1"/>
    <x v="0"/>
    <n v="3"/>
    <n v="14"/>
    <n v="2"/>
    <n v="143.6046511627907"/>
    <n v="20.104651162790702"/>
    <x v="5"/>
    <m/>
  </r>
  <r>
    <n v="4238"/>
    <n v="52"/>
    <x v="1"/>
    <x v="7"/>
    <x v="8"/>
    <n v="56.61"/>
    <x v="3"/>
    <x v="1"/>
    <n v="2.9"/>
    <n v="15"/>
    <n v="5"/>
    <n v="66.599999999999994"/>
    <n v="9.9899999999999949"/>
    <x v="4"/>
    <m/>
  </r>
  <r>
    <n v="4239"/>
    <n v="32"/>
    <x v="0"/>
    <x v="8"/>
    <x v="17"/>
    <n v="60.63"/>
    <x v="2"/>
    <x v="1"/>
    <n v="3.6"/>
    <n v="12"/>
    <n v="6"/>
    <n v="68.89772727272728"/>
    <n v="8.2677272727272779"/>
    <x v="5"/>
    <m/>
  </r>
  <r>
    <n v="4240"/>
    <n v="68"/>
    <x v="0"/>
    <x v="0"/>
    <x v="28"/>
    <n v="80.92"/>
    <x v="1"/>
    <x v="0"/>
    <n v="4"/>
    <n v="16"/>
    <n v="3"/>
    <n v="96.333333333333343"/>
    <n v="15.413333333333341"/>
    <x v="2"/>
    <m/>
  </r>
  <r>
    <n v="4241"/>
    <n v="52"/>
    <x v="0"/>
    <x v="0"/>
    <x v="0"/>
    <n v="152.85"/>
    <x v="0"/>
    <x v="0"/>
    <n v="4.5"/>
    <n v="15"/>
    <n v="5"/>
    <n v="179.8235294117647"/>
    <n v="26.973529411764702"/>
    <x v="4"/>
    <m/>
  </r>
  <r>
    <n v="4242"/>
    <n v="29"/>
    <x v="1"/>
    <x v="5"/>
    <x v="5"/>
    <n v="2125.29"/>
    <x v="2"/>
    <x v="0"/>
    <n v="3.2"/>
    <n v="15"/>
    <n v="5"/>
    <n v="2500.3411764705884"/>
    <n v="375.05117647058842"/>
    <x v="5"/>
    <m/>
  </r>
  <r>
    <n v="4243"/>
    <n v="58"/>
    <x v="1"/>
    <x v="1"/>
    <x v="20"/>
    <n v="123.77"/>
    <x v="0"/>
    <x v="0"/>
    <n v="3"/>
    <n v="17"/>
    <n v="6"/>
    <n v="149.12048192771084"/>
    <n v="25.350481927710845"/>
    <x v="0"/>
    <m/>
  </r>
  <r>
    <n v="4244"/>
    <n v="54"/>
    <x v="0"/>
    <x v="7"/>
    <x v="11"/>
    <n v="90.38"/>
    <x v="1"/>
    <x v="0"/>
    <n v="2.2000000000000002"/>
    <n v="11"/>
    <n v="3"/>
    <n v="101.55056179775281"/>
    <n v="11.170561797752811"/>
    <x v="4"/>
    <m/>
  </r>
  <r>
    <n v="4245"/>
    <n v="32"/>
    <x v="1"/>
    <x v="2"/>
    <x v="2"/>
    <n v="76.58"/>
    <x v="3"/>
    <x v="0"/>
    <n v="3"/>
    <n v="18"/>
    <n v="4"/>
    <n v="93.390243902439011"/>
    <n v="16.810243902439012"/>
    <x v="5"/>
    <m/>
  </r>
  <r>
    <n v="4246"/>
    <n v="68"/>
    <x v="0"/>
    <x v="7"/>
    <x v="13"/>
    <n v="167.65"/>
    <x v="3"/>
    <x v="0"/>
    <n v="4.4000000000000004"/>
    <n v="15"/>
    <n v="5"/>
    <n v="197.23529411764707"/>
    <n v="29.585294117647067"/>
    <x v="2"/>
    <m/>
  </r>
  <r>
    <n v="4247"/>
    <n v="29"/>
    <x v="1"/>
    <x v="2"/>
    <x v="10"/>
    <n v="140.16999999999999"/>
    <x v="1"/>
    <x v="0"/>
    <n v="3.1"/>
    <n v="14"/>
    <n v="2"/>
    <n v="162.98837209302323"/>
    <n v="22.818372093023243"/>
    <x v="5"/>
    <m/>
  </r>
  <r>
    <n v="4248"/>
    <n v="63"/>
    <x v="0"/>
    <x v="0"/>
    <x v="28"/>
    <n v="159.29"/>
    <x v="2"/>
    <x v="0"/>
    <n v="5"/>
    <n v="13"/>
    <n v="4"/>
    <n v="183.09195402298849"/>
    <n v="23.801954022988497"/>
    <x v="0"/>
    <m/>
  </r>
  <r>
    <n v="4249"/>
    <n v="51"/>
    <x v="0"/>
    <x v="8"/>
    <x v="17"/>
    <n v="182.14"/>
    <x v="0"/>
    <x v="0"/>
    <n v="3.3"/>
    <n v="18"/>
    <n v="4"/>
    <n v="222.12195121951217"/>
    <n v="39.981951219512183"/>
    <x v="4"/>
    <m/>
  </r>
  <r>
    <n v="4250"/>
    <n v="43"/>
    <x v="0"/>
    <x v="7"/>
    <x v="8"/>
    <n v="207.33"/>
    <x v="0"/>
    <x v="0"/>
    <n v="3.9"/>
    <n v="10"/>
    <n v="5"/>
    <n v="230.36666666666667"/>
    <n v="23.036666666666662"/>
    <x v="1"/>
    <m/>
  </r>
  <r>
    <n v="4251"/>
    <n v="20"/>
    <x v="0"/>
    <x v="6"/>
    <x v="23"/>
    <n v="142.55000000000001"/>
    <x v="0"/>
    <x v="0"/>
    <n v="3.7"/>
    <n v="14"/>
    <n v="2"/>
    <n v="165.7558139534884"/>
    <n v="23.205813953488388"/>
    <x v="3"/>
    <m/>
  </r>
  <r>
    <n v="4252"/>
    <n v="24"/>
    <x v="1"/>
    <x v="2"/>
    <x v="12"/>
    <n v="28.41"/>
    <x v="1"/>
    <x v="0"/>
    <n v="3.7"/>
    <n v="18"/>
    <n v="4"/>
    <n v="34.646341463414629"/>
    <n v="6.2363414634146288"/>
    <x v="3"/>
    <m/>
  </r>
  <r>
    <n v="4253"/>
    <n v="22"/>
    <x v="0"/>
    <x v="3"/>
    <x v="24"/>
    <n v="53.87"/>
    <x v="3"/>
    <x v="0"/>
    <n v="3.7"/>
    <n v="9"/>
    <n v="2"/>
    <n v="59.19780219780219"/>
    <n v="5.3278021978021926"/>
    <x v="3"/>
    <m/>
  </r>
  <r>
    <n v="4254"/>
    <n v="40"/>
    <x v="1"/>
    <x v="5"/>
    <x v="21"/>
    <n v="2648.55"/>
    <x v="0"/>
    <x v="0"/>
    <n v="5"/>
    <n v="16"/>
    <n v="8"/>
    <n v="3153.0357142857147"/>
    <n v="504.48571428571449"/>
    <x v="1"/>
    <m/>
  </r>
  <r>
    <n v="4255"/>
    <n v="56"/>
    <x v="1"/>
    <x v="5"/>
    <x v="25"/>
    <n v="2273.5300000000002"/>
    <x v="3"/>
    <x v="0"/>
    <n v="3.9"/>
    <n v="25"/>
    <n v="10"/>
    <n v="3031.3733333333334"/>
    <n v="757.84333333333325"/>
    <x v="0"/>
    <m/>
  </r>
  <r>
    <n v="4256"/>
    <n v="68"/>
    <x v="0"/>
    <x v="2"/>
    <x v="2"/>
    <n v="118.12"/>
    <x v="2"/>
    <x v="0"/>
    <n v="3.3"/>
    <n v="22"/>
    <n v="6"/>
    <n v="151.43589743589743"/>
    <n v="33.315897435897426"/>
    <x v="2"/>
    <m/>
  </r>
  <r>
    <n v="4257"/>
    <n v="39"/>
    <x v="0"/>
    <x v="7"/>
    <x v="11"/>
    <n v="226.03"/>
    <x v="2"/>
    <x v="0"/>
    <n v="3.8"/>
    <n v="20"/>
    <n v="5"/>
    <n v="282.53749999999997"/>
    <n v="56.507499999999965"/>
    <x v="1"/>
    <m/>
  </r>
  <r>
    <n v="4258"/>
    <n v="45"/>
    <x v="0"/>
    <x v="8"/>
    <x v="17"/>
    <n v="78.87"/>
    <x v="1"/>
    <x v="1"/>
    <n v="3.7"/>
    <n v="18"/>
    <n v="4"/>
    <n v="96.182926829268297"/>
    <n v="17.312926829268292"/>
    <x v="4"/>
    <m/>
  </r>
  <r>
    <n v="4259"/>
    <n v="63"/>
    <x v="1"/>
    <x v="2"/>
    <x v="2"/>
    <n v="119.9"/>
    <x v="0"/>
    <x v="0"/>
    <n v="4.5999999999999996"/>
    <n v="30"/>
    <n v="10"/>
    <n v="171.28571428571431"/>
    <n v="51.3857142857143"/>
    <x v="0"/>
    <m/>
  </r>
  <r>
    <n v="4260"/>
    <n v="46"/>
    <x v="0"/>
    <x v="0"/>
    <x v="0"/>
    <n v="64.95"/>
    <x v="0"/>
    <x v="1"/>
    <n v="3.6"/>
    <n v="12"/>
    <n v="1"/>
    <n v="73.806818181818187"/>
    <n v="8.8568181818181841"/>
    <x v="4"/>
    <m/>
  </r>
  <r>
    <n v="4261"/>
    <n v="34"/>
    <x v="1"/>
    <x v="7"/>
    <x v="11"/>
    <n v="103.26"/>
    <x v="2"/>
    <x v="0"/>
    <n v="5"/>
    <n v="15"/>
    <n v="5"/>
    <n v="121.48235294117649"/>
    <n v="18.222352941176482"/>
    <x v="5"/>
    <m/>
  </r>
  <r>
    <n v="4262"/>
    <n v="69"/>
    <x v="1"/>
    <x v="5"/>
    <x v="25"/>
    <n v="1019.98"/>
    <x v="1"/>
    <x v="0"/>
    <n v="4.5"/>
    <n v="18"/>
    <n v="4"/>
    <n v="1243.8780487804877"/>
    <n v="223.89804878048767"/>
    <x v="2"/>
    <m/>
  </r>
  <r>
    <n v="4263"/>
    <n v="48"/>
    <x v="0"/>
    <x v="0"/>
    <x v="22"/>
    <n v="177.11"/>
    <x v="0"/>
    <x v="0"/>
    <n v="4.7"/>
    <n v="6"/>
    <n v="3"/>
    <n v="188.41489361702131"/>
    <n v="11.304893617021293"/>
    <x v="4"/>
    <m/>
  </r>
  <r>
    <n v="4264"/>
    <n v="68"/>
    <x v="0"/>
    <x v="8"/>
    <x v="17"/>
    <n v="102.76"/>
    <x v="1"/>
    <x v="0"/>
    <n v="3.5"/>
    <n v="17"/>
    <n v="6"/>
    <n v="123.80722891566266"/>
    <n v="21.047228915662657"/>
    <x v="2"/>
    <m/>
  </r>
  <r>
    <n v="4265"/>
    <n v="58"/>
    <x v="1"/>
    <x v="1"/>
    <x v="9"/>
    <n v="115.46"/>
    <x v="1"/>
    <x v="0"/>
    <n v="5"/>
    <n v="14"/>
    <n v="7"/>
    <n v="134.25581395348837"/>
    <n v="18.795813953488377"/>
    <x v="0"/>
    <m/>
  </r>
  <r>
    <n v="4266"/>
    <n v="23"/>
    <x v="1"/>
    <x v="1"/>
    <x v="20"/>
    <n v="180.94"/>
    <x v="3"/>
    <x v="0"/>
    <n v="3.9"/>
    <n v="14"/>
    <n v="7"/>
    <n v="210.3953488372093"/>
    <n v="29.4553488372093"/>
    <x v="3"/>
    <m/>
  </r>
  <r>
    <n v="4267"/>
    <n v="62"/>
    <x v="0"/>
    <x v="0"/>
    <x v="28"/>
    <n v="155.55000000000001"/>
    <x v="0"/>
    <x v="0"/>
    <n v="3.9"/>
    <n v="22"/>
    <n v="6"/>
    <n v="199.42307692307693"/>
    <n v="43.873076923076923"/>
    <x v="0"/>
    <m/>
  </r>
  <r>
    <n v="4268"/>
    <n v="41"/>
    <x v="0"/>
    <x v="4"/>
    <x v="29"/>
    <n v="8.82"/>
    <x v="2"/>
    <x v="1"/>
    <n v="3.6"/>
    <n v="6"/>
    <n v="3"/>
    <n v="9.382978723404257"/>
    <n v="0.5629787234042567"/>
    <x v="1"/>
    <m/>
  </r>
  <r>
    <n v="4269"/>
    <n v="38"/>
    <x v="0"/>
    <x v="8"/>
    <x v="16"/>
    <n v="87.41"/>
    <x v="1"/>
    <x v="0"/>
    <n v="3.8"/>
    <n v="2"/>
    <n v="1"/>
    <n v="89.193877551020407"/>
    <n v="1.7838775510204101"/>
    <x v="1"/>
    <m/>
  </r>
  <r>
    <n v="4270"/>
    <n v="48"/>
    <x v="1"/>
    <x v="2"/>
    <x v="2"/>
    <n v="134.24"/>
    <x v="0"/>
    <x v="0"/>
    <n v="2.7"/>
    <n v="14"/>
    <n v="7"/>
    <n v="156.09302325581396"/>
    <n v="21.853023255813952"/>
    <x v="4"/>
    <m/>
  </r>
  <r>
    <n v="4271"/>
    <n v="48"/>
    <x v="0"/>
    <x v="6"/>
    <x v="6"/>
    <n v="101.02"/>
    <x v="3"/>
    <x v="0"/>
    <n v="4"/>
    <n v="22"/>
    <n v="6"/>
    <n v="129.5128205128205"/>
    <n v="28.492820512820501"/>
    <x v="4"/>
    <m/>
  </r>
  <r>
    <n v="4272"/>
    <n v="27"/>
    <x v="0"/>
    <x v="2"/>
    <x v="12"/>
    <n v="83.72"/>
    <x v="1"/>
    <x v="0"/>
    <n v="3"/>
    <n v="22"/>
    <n v="6"/>
    <n v="107.33333333333333"/>
    <n v="23.61333333333333"/>
    <x v="5"/>
    <m/>
  </r>
  <r>
    <n v="4273"/>
    <n v="64"/>
    <x v="1"/>
    <x v="1"/>
    <x v="20"/>
    <n v="71.42"/>
    <x v="1"/>
    <x v="1"/>
    <n v="2.8"/>
    <n v="10"/>
    <n v="5"/>
    <n v="79.355555555555554"/>
    <n v="7.9355555555555526"/>
    <x v="0"/>
    <m/>
  </r>
  <r>
    <n v="4274"/>
    <n v="62"/>
    <x v="0"/>
    <x v="8"/>
    <x v="16"/>
    <n v="89.76"/>
    <x v="0"/>
    <x v="0"/>
    <n v="4.5999999999999996"/>
    <n v="28"/>
    <n v="9"/>
    <n v="124.66666666666667"/>
    <n v="34.906666666666666"/>
    <x v="0"/>
    <m/>
  </r>
  <r>
    <n v="4275"/>
    <n v="46"/>
    <x v="1"/>
    <x v="5"/>
    <x v="5"/>
    <n v="683.7"/>
    <x v="1"/>
    <x v="0"/>
    <n v="3.8"/>
    <n v="26"/>
    <n v="8"/>
    <n v="923.91891891891896"/>
    <n v="240.21891891891892"/>
    <x v="4"/>
    <m/>
  </r>
  <r>
    <n v="4276"/>
    <n v="58"/>
    <x v="1"/>
    <x v="2"/>
    <x v="12"/>
    <n v="151.74"/>
    <x v="0"/>
    <x v="0"/>
    <n v="4.4000000000000004"/>
    <n v="16"/>
    <n v="8"/>
    <n v="180.64285714285717"/>
    <n v="28.902857142857158"/>
    <x v="0"/>
    <m/>
  </r>
  <r>
    <n v="4277"/>
    <n v="58"/>
    <x v="1"/>
    <x v="7"/>
    <x v="13"/>
    <n v="72.22"/>
    <x v="2"/>
    <x v="0"/>
    <n v="2.6"/>
    <n v="16"/>
    <n v="8"/>
    <n v="85.976190476190482"/>
    <n v="13.756190476190483"/>
    <x v="0"/>
    <m/>
  </r>
  <r>
    <n v="4278"/>
    <n v="25"/>
    <x v="1"/>
    <x v="4"/>
    <x v="4"/>
    <n v="53.37"/>
    <x v="0"/>
    <x v="1"/>
    <n v="3.5"/>
    <n v="26"/>
    <n v="8"/>
    <n v="72.121621621621614"/>
    <n v="18.751621621621616"/>
    <x v="5"/>
    <m/>
  </r>
  <r>
    <n v="4279"/>
    <n v="49"/>
    <x v="1"/>
    <x v="2"/>
    <x v="10"/>
    <n v="33.07"/>
    <x v="2"/>
    <x v="0"/>
    <n v="2.9"/>
    <n v="22"/>
    <n v="6"/>
    <n v="42.397435897435898"/>
    <n v="9.3274358974358975"/>
    <x v="4"/>
    <m/>
  </r>
  <r>
    <n v="4280"/>
    <n v="33"/>
    <x v="0"/>
    <x v="0"/>
    <x v="22"/>
    <n v="61.92"/>
    <x v="1"/>
    <x v="1"/>
    <n v="4.2"/>
    <n v="28"/>
    <n v="9"/>
    <n v="86"/>
    <n v="24.08"/>
    <x v="5"/>
    <m/>
  </r>
  <r>
    <n v="4281"/>
    <n v="43"/>
    <x v="1"/>
    <x v="2"/>
    <x v="12"/>
    <n v="88.84"/>
    <x v="0"/>
    <x v="0"/>
    <n v="3.5"/>
    <n v="16"/>
    <n v="8"/>
    <n v="105.76190476190477"/>
    <n v="16.92190476190477"/>
    <x v="1"/>
    <m/>
  </r>
  <r>
    <n v="4282"/>
    <n v="46"/>
    <x v="0"/>
    <x v="7"/>
    <x v="13"/>
    <n v="213.67"/>
    <x v="3"/>
    <x v="0"/>
    <n v="3.8"/>
    <n v="13"/>
    <n v="4"/>
    <n v="245.59770114942526"/>
    <n v="31.927701149425275"/>
    <x v="4"/>
    <m/>
  </r>
  <r>
    <n v="4283"/>
    <n v="32"/>
    <x v="1"/>
    <x v="5"/>
    <x v="7"/>
    <n v="744.74"/>
    <x v="2"/>
    <x v="0"/>
    <n v="2.9"/>
    <n v="4"/>
    <n v="2"/>
    <n v="775.77083333333337"/>
    <n v="31.030833333333362"/>
    <x v="5"/>
    <m/>
  </r>
  <r>
    <n v="4284"/>
    <n v="64"/>
    <x v="0"/>
    <x v="8"/>
    <x v="14"/>
    <n v="199.4"/>
    <x v="1"/>
    <x v="0"/>
    <n v="3.2"/>
    <n v="11"/>
    <n v="3"/>
    <n v="224.04494382022472"/>
    <n v="24.644943820224711"/>
    <x v="0"/>
    <m/>
  </r>
  <r>
    <n v="4285"/>
    <n v="67"/>
    <x v="0"/>
    <x v="8"/>
    <x v="18"/>
    <n v="122.67"/>
    <x v="0"/>
    <x v="0"/>
    <n v="3.6"/>
    <n v="24"/>
    <n v="7"/>
    <n v="161.40789473684211"/>
    <n v="38.737894736842108"/>
    <x v="2"/>
    <m/>
  </r>
  <r>
    <n v="4286"/>
    <n v="56"/>
    <x v="0"/>
    <x v="8"/>
    <x v="14"/>
    <n v="81.62"/>
    <x v="1"/>
    <x v="0"/>
    <n v="4.0999999999999996"/>
    <n v="22"/>
    <n v="6"/>
    <n v="104.64102564102565"/>
    <n v="23.021025641025645"/>
    <x v="0"/>
    <m/>
  </r>
  <r>
    <n v="4287"/>
    <n v="51"/>
    <x v="0"/>
    <x v="4"/>
    <x v="4"/>
    <n v="50.86"/>
    <x v="3"/>
    <x v="1"/>
    <n v="3.4"/>
    <n v="20"/>
    <n v="5"/>
    <n v="63.574999999999996"/>
    <n v="12.714999999999996"/>
    <x v="4"/>
    <m/>
  </r>
  <r>
    <n v="4288"/>
    <n v="42"/>
    <x v="0"/>
    <x v="7"/>
    <x v="8"/>
    <n v="50.03"/>
    <x v="1"/>
    <x v="1"/>
    <n v="4.0999999999999996"/>
    <n v="12"/>
    <n v="6"/>
    <n v="56.852272727272727"/>
    <n v="6.8222727272727255"/>
    <x v="1"/>
    <m/>
  </r>
  <r>
    <n v="4289"/>
    <n v="46"/>
    <x v="1"/>
    <x v="7"/>
    <x v="8"/>
    <n v="140.4"/>
    <x v="2"/>
    <x v="0"/>
    <n v="3.5"/>
    <n v="18"/>
    <n v="9"/>
    <n v="171.21951219512195"/>
    <n v="30.819512195121945"/>
    <x v="4"/>
    <m/>
  </r>
  <r>
    <n v="4290"/>
    <n v="29"/>
    <x v="0"/>
    <x v="6"/>
    <x v="6"/>
    <n v="52.2"/>
    <x v="2"/>
    <x v="0"/>
    <n v="4.3"/>
    <n v="6"/>
    <n v="3"/>
    <n v="55.531914893617028"/>
    <n v="3.3319148936170251"/>
    <x v="5"/>
    <m/>
  </r>
  <r>
    <n v="4291"/>
    <n v="67"/>
    <x v="1"/>
    <x v="2"/>
    <x v="12"/>
    <n v="161.66999999999999"/>
    <x v="1"/>
    <x v="0"/>
    <n v="2.8"/>
    <n v="10"/>
    <n v="5"/>
    <n v="179.63333333333333"/>
    <n v="17.963333333333338"/>
    <x v="2"/>
    <m/>
  </r>
  <r>
    <n v="4292"/>
    <n v="61"/>
    <x v="1"/>
    <x v="2"/>
    <x v="12"/>
    <n v="116.32"/>
    <x v="0"/>
    <x v="0"/>
    <n v="3.6"/>
    <n v="16"/>
    <n v="3"/>
    <n v="138.47619047619048"/>
    <n v="22.156190476190488"/>
    <x v="0"/>
    <m/>
  </r>
  <r>
    <n v="4293"/>
    <n v="63"/>
    <x v="0"/>
    <x v="6"/>
    <x v="27"/>
    <n v="88.46"/>
    <x v="2"/>
    <x v="1"/>
    <n v="4.2"/>
    <n v="18"/>
    <n v="4"/>
    <n v="107.87804878048779"/>
    <n v="19.418048780487794"/>
    <x v="0"/>
    <m/>
  </r>
  <r>
    <n v="4294"/>
    <n v="20"/>
    <x v="1"/>
    <x v="1"/>
    <x v="9"/>
    <n v="175.64"/>
    <x v="3"/>
    <x v="0"/>
    <n v="4"/>
    <n v="21"/>
    <n v="8"/>
    <n v="222.3291139240506"/>
    <n v="46.689113924050616"/>
    <x v="3"/>
    <m/>
  </r>
  <r>
    <n v="4295"/>
    <n v="68"/>
    <x v="0"/>
    <x v="7"/>
    <x v="11"/>
    <n v="109.35"/>
    <x v="3"/>
    <x v="0"/>
    <n v="4.2"/>
    <n v="15"/>
    <n v="5"/>
    <n v="128.64705882352942"/>
    <n v="19.297058823529426"/>
    <x v="2"/>
    <m/>
  </r>
  <r>
    <n v="4296"/>
    <n v="41"/>
    <x v="0"/>
    <x v="3"/>
    <x v="15"/>
    <n v="63.09"/>
    <x v="0"/>
    <x v="0"/>
    <n v="4.0999999999999996"/>
    <n v="20"/>
    <n v="5"/>
    <n v="78.862499999999997"/>
    <n v="15.772499999999994"/>
    <x v="1"/>
    <m/>
  </r>
  <r>
    <n v="4297"/>
    <n v="66"/>
    <x v="1"/>
    <x v="1"/>
    <x v="9"/>
    <n v="177.68"/>
    <x v="2"/>
    <x v="0"/>
    <n v="4.5999999999999996"/>
    <n v="22"/>
    <n v="6"/>
    <n v="227.7948717948718"/>
    <n v="50.114871794871789"/>
    <x v="2"/>
    <m/>
  </r>
  <r>
    <n v="4298"/>
    <n v="53"/>
    <x v="1"/>
    <x v="2"/>
    <x v="2"/>
    <n v="203.97"/>
    <x v="1"/>
    <x v="0"/>
    <n v="3.8"/>
    <n v="6"/>
    <n v="3"/>
    <n v="216.98936170212767"/>
    <n v="13.019361702127668"/>
    <x v="4"/>
    <m/>
  </r>
  <r>
    <n v="4299"/>
    <n v="66"/>
    <x v="1"/>
    <x v="7"/>
    <x v="11"/>
    <n v="55.18"/>
    <x v="1"/>
    <x v="1"/>
    <n v="5"/>
    <n v="16"/>
    <n v="8"/>
    <n v="65.69047619047619"/>
    <n v="10.51047619047619"/>
    <x v="2"/>
    <m/>
  </r>
  <r>
    <n v="4300"/>
    <n v="58"/>
    <x v="0"/>
    <x v="6"/>
    <x v="6"/>
    <n v="120.91"/>
    <x v="2"/>
    <x v="0"/>
    <n v="4.2"/>
    <n v="18"/>
    <n v="4"/>
    <n v="147.45121951219511"/>
    <n v="26.541219512195113"/>
    <x v="0"/>
    <m/>
  </r>
  <r>
    <n v="4301"/>
    <n v="65"/>
    <x v="0"/>
    <x v="7"/>
    <x v="13"/>
    <n v="107.79"/>
    <x v="3"/>
    <x v="0"/>
    <n v="3.9"/>
    <n v="12"/>
    <n v="6"/>
    <n v="122.48863636363637"/>
    <n v="14.698636363636368"/>
    <x v="2"/>
    <m/>
  </r>
  <r>
    <n v="4302"/>
    <n v="22"/>
    <x v="0"/>
    <x v="6"/>
    <x v="27"/>
    <n v="88.76"/>
    <x v="1"/>
    <x v="0"/>
    <n v="4"/>
    <n v="21"/>
    <n v="8"/>
    <n v="112.35443037974683"/>
    <n v="23.594430379746825"/>
    <x v="3"/>
    <m/>
  </r>
  <r>
    <n v="4303"/>
    <n v="41"/>
    <x v="1"/>
    <x v="2"/>
    <x v="12"/>
    <n v="131.51"/>
    <x v="2"/>
    <x v="0"/>
    <n v="3.4"/>
    <n v="14"/>
    <n v="7"/>
    <n v="152.91860465116278"/>
    <n v="21.40860465116279"/>
    <x v="1"/>
    <m/>
  </r>
  <r>
    <n v="4304"/>
    <n v="54"/>
    <x v="1"/>
    <x v="3"/>
    <x v="24"/>
    <n v="58.82"/>
    <x v="3"/>
    <x v="1"/>
    <n v="3.8"/>
    <n v="23"/>
    <n v="9"/>
    <n v="76.389610389610382"/>
    <n v="17.569610389610382"/>
    <x v="4"/>
    <m/>
  </r>
  <r>
    <n v="4305"/>
    <n v="62"/>
    <x v="1"/>
    <x v="1"/>
    <x v="9"/>
    <n v="184.53"/>
    <x v="2"/>
    <x v="0"/>
    <n v="4.2"/>
    <n v="28"/>
    <n v="9"/>
    <n v="256.29166666666669"/>
    <n v="71.761666666666684"/>
    <x v="0"/>
    <m/>
  </r>
  <r>
    <n v="4306"/>
    <n v="65"/>
    <x v="1"/>
    <x v="5"/>
    <x v="7"/>
    <n v="2803.45"/>
    <x v="1"/>
    <x v="0"/>
    <n v="3.1"/>
    <n v="12"/>
    <n v="1"/>
    <n v="3185.738636363636"/>
    <n v="382.28863636363621"/>
    <x v="2"/>
    <m/>
  </r>
  <r>
    <n v="4307"/>
    <n v="54"/>
    <x v="0"/>
    <x v="0"/>
    <x v="28"/>
    <n v="91.94"/>
    <x v="0"/>
    <x v="0"/>
    <n v="3.6"/>
    <n v="16"/>
    <n v="3"/>
    <n v="109.45238095238095"/>
    <n v="17.512380952380951"/>
    <x v="4"/>
    <m/>
  </r>
  <r>
    <n v="4308"/>
    <n v="45"/>
    <x v="1"/>
    <x v="3"/>
    <x v="3"/>
    <n v="130.44999999999999"/>
    <x v="2"/>
    <x v="0"/>
    <n v="4.5"/>
    <n v="14"/>
    <n v="7"/>
    <n v="151.68604651162789"/>
    <n v="21.236046511627904"/>
    <x v="4"/>
    <m/>
  </r>
  <r>
    <n v="4309"/>
    <n v="34"/>
    <x v="1"/>
    <x v="3"/>
    <x v="15"/>
    <n v="225"/>
    <x v="3"/>
    <x v="0"/>
    <n v="3.2"/>
    <n v="14"/>
    <n v="2"/>
    <n v="261.62790697674421"/>
    <n v="36.627906976744214"/>
    <x v="5"/>
    <m/>
  </r>
  <r>
    <n v="4310"/>
    <n v="32"/>
    <x v="1"/>
    <x v="7"/>
    <x v="11"/>
    <n v="237.39"/>
    <x v="0"/>
    <x v="0"/>
    <n v="5"/>
    <n v="24"/>
    <n v="7"/>
    <n v="312.35526315789474"/>
    <n v="74.965263157894753"/>
    <x v="5"/>
    <m/>
  </r>
  <r>
    <n v="4311"/>
    <n v="52"/>
    <x v="0"/>
    <x v="0"/>
    <x v="22"/>
    <n v="36.25"/>
    <x v="2"/>
    <x v="1"/>
    <n v="4"/>
    <n v="17"/>
    <n v="6"/>
    <n v="43.674698795180724"/>
    <n v="7.4246987951807242"/>
    <x v="4"/>
    <m/>
  </r>
  <r>
    <n v="4312"/>
    <n v="53"/>
    <x v="1"/>
    <x v="7"/>
    <x v="8"/>
    <n v="70.209999999999994"/>
    <x v="1"/>
    <x v="0"/>
    <n v="3"/>
    <n v="8"/>
    <n v="4"/>
    <n v="76.315217391304344"/>
    <n v="6.1052173913043504"/>
    <x v="4"/>
    <m/>
  </r>
  <r>
    <n v="4313"/>
    <n v="38"/>
    <x v="0"/>
    <x v="8"/>
    <x v="18"/>
    <n v="136.24"/>
    <x v="2"/>
    <x v="0"/>
    <n v="3.9"/>
    <n v="8"/>
    <n v="4"/>
    <n v="148.08695652173913"/>
    <n v="11.846956521739116"/>
    <x v="1"/>
    <m/>
  </r>
  <r>
    <n v="4314"/>
    <n v="44"/>
    <x v="0"/>
    <x v="8"/>
    <x v="16"/>
    <n v="159.32"/>
    <x v="0"/>
    <x v="0"/>
    <n v="4.3"/>
    <n v="10"/>
    <n v="5"/>
    <n v="177.02222222222221"/>
    <n v="17.702222222222218"/>
    <x v="1"/>
    <m/>
  </r>
  <r>
    <n v="4315"/>
    <n v="27"/>
    <x v="1"/>
    <x v="3"/>
    <x v="3"/>
    <n v="105.26"/>
    <x v="2"/>
    <x v="0"/>
    <n v="3.7"/>
    <n v="15"/>
    <n v="5"/>
    <n v="123.83529411764707"/>
    <n v="18.575294117647061"/>
    <x v="5"/>
    <m/>
  </r>
  <r>
    <n v="4316"/>
    <n v="55"/>
    <x v="0"/>
    <x v="3"/>
    <x v="15"/>
    <n v="214.41"/>
    <x v="2"/>
    <x v="0"/>
    <n v="3.7"/>
    <n v="11"/>
    <n v="3"/>
    <n v="240.91011235955057"/>
    <n v="26.50011235955057"/>
    <x v="0"/>
    <m/>
  </r>
  <r>
    <n v="4317"/>
    <n v="42"/>
    <x v="0"/>
    <x v="8"/>
    <x v="16"/>
    <n v="101.15"/>
    <x v="0"/>
    <x v="0"/>
    <n v="2.6"/>
    <n v="12"/>
    <n v="6"/>
    <n v="114.94318181818183"/>
    <n v="13.793181818181822"/>
    <x v="1"/>
    <m/>
  </r>
  <r>
    <n v="4318"/>
    <n v="39"/>
    <x v="0"/>
    <x v="4"/>
    <x v="19"/>
    <n v="23.86"/>
    <x v="3"/>
    <x v="1"/>
    <n v="3.7"/>
    <n v="14"/>
    <n v="7"/>
    <n v="27.744186046511629"/>
    <n v="3.8841860465116298"/>
    <x v="1"/>
    <m/>
  </r>
  <r>
    <n v="4319"/>
    <n v="38"/>
    <x v="1"/>
    <x v="7"/>
    <x v="13"/>
    <n v="206.88"/>
    <x v="2"/>
    <x v="0"/>
    <n v="4.5"/>
    <n v="23"/>
    <n v="9"/>
    <n v="268.67532467532465"/>
    <n v="61.79532467532465"/>
    <x v="1"/>
    <m/>
  </r>
  <r>
    <n v="4320"/>
    <n v="33"/>
    <x v="0"/>
    <x v="8"/>
    <x v="14"/>
    <n v="152.85"/>
    <x v="2"/>
    <x v="0"/>
    <n v="2.9"/>
    <n v="17"/>
    <n v="6"/>
    <n v="184.15662650602411"/>
    <n v="31.306626506024116"/>
    <x v="5"/>
    <m/>
  </r>
  <r>
    <n v="4321"/>
    <n v="41"/>
    <x v="0"/>
    <x v="8"/>
    <x v="17"/>
    <n v="131.57"/>
    <x v="3"/>
    <x v="0"/>
    <n v="5"/>
    <n v="9"/>
    <n v="2"/>
    <n v="144.58241758241758"/>
    <n v="13.012417582417584"/>
    <x v="1"/>
    <m/>
  </r>
  <r>
    <n v="4322"/>
    <n v="46"/>
    <x v="1"/>
    <x v="2"/>
    <x v="2"/>
    <n v="61.71"/>
    <x v="0"/>
    <x v="0"/>
    <n v="4.8"/>
    <n v="18"/>
    <n v="4"/>
    <n v="75.256097560975604"/>
    <n v="13.546097560975603"/>
    <x v="4"/>
    <m/>
  </r>
  <r>
    <n v="4323"/>
    <n v="33"/>
    <x v="0"/>
    <x v="2"/>
    <x v="10"/>
    <n v="146.32"/>
    <x v="0"/>
    <x v="0"/>
    <n v="3.9"/>
    <n v="14"/>
    <n v="2"/>
    <n v="170.13953488372093"/>
    <n v="23.819534883720934"/>
    <x v="5"/>
    <m/>
  </r>
  <r>
    <n v="4324"/>
    <n v="30"/>
    <x v="1"/>
    <x v="2"/>
    <x v="2"/>
    <n v="176.43"/>
    <x v="0"/>
    <x v="0"/>
    <n v="3.9"/>
    <n v="10"/>
    <n v="5"/>
    <n v="196.03333333333333"/>
    <n v="19.603333333333325"/>
    <x v="5"/>
    <m/>
  </r>
  <r>
    <n v="4325"/>
    <n v="40"/>
    <x v="1"/>
    <x v="7"/>
    <x v="13"/>
    <n v="180.35"/>
    <x v="0"/>
    <x v="0"/>
    <n v="3.5"/>
    <n v="10"/>
    <n v="5"/>
    <n v="200.38888888888889"/>
    <n v="20.038888888888891"/>
    <x v="1"/>
    <m/>
  </r>
  <r>
    <n v="4326"/>
    <n v="31"/>
    <x v="0"/>
    <x v="3"/>
    <x v="15"/>
    <n v="46.08"/>
    <x v="0"/>
    <x v="0"/>
    <n v="3"/>
    <n v="17"/>
    <n v="6"/>
    <n v="55.518072289156628"/>
    <n v="9.4380722891566293"/>
    <x v="5"/>
    <m/>
  </r>
  <r>
    <n v="4327"/>
    <n v="52"/>
    <x v="0"/>
    <x v="6"/>
    <x v="23"/>
    <n v="89.09"/>
    <x v="0"/>
    <x v="1"/>
    <n v="4.4000000000000004"/>
    <n v="12"/>
    <n v="6"/>
    <n v="101.23863636363637"/>
    <n v="12.148636363636371"/>
    <x v="4"/>
    <m/>
  </r>
  <r>
    <n v="4328"/>
    <n v="65"/>
    <x v="0"/>
    <x v="2"/>
    <x v="10"/>
    <n v="100.42"/>
    <x v="0"/>
    <x v="0"/>
    <n v="3.8"/>
    <n v="22"/>
    <n v="6"/>
    <n v="128.74358974358975"/>
    <n v="28.32358974358975"/>
    <x v="2"/>
    <m/>
  </r>
  <r>
    <n v="4329"/>
    <n v="48"/>
    <x v="1"/>
    <x v="1"/>
    <x v="9"/>
    <n v="89.83"/>
    <x v="3"/>
    <x v="0"/>
    <n v="4.0999999999999996"/>
    <n v="20"/>
    <n v="5"/>
    <n v="112.28749999999999"/>
    <n v="22.457499999999996"/>
    <x v="4"/>
    <m/>
  </r>
  <r>
    <n v="4330"/>
    <n v="54"/>
    <x v="1"/>
    <x v="5"/>
    <x v="5"/>
    <n v="970.58"/>
    <x v="3"/>
    <x v="0"/>
    <n v="4.7"/>
    <n v="18"/>
    <n v="9"/>
    <n v="1183.6341463414633"/>
    <n v="213.05414634146325"/>
    <x v="4"/>
    <m/>
  </r>
  <r>
    <n v="4331"/>
    <n v="33"/>
    <x v="1"/>
    <x v="5"/>
    <x v="21"/>
    <n v="1987.37"/>
    <x v="3"/>
    <x v="0"/>
    <n v="3.9"/>
    <n v="14"/>
    <n v="2"/>
    <n v="2310.895348837209"/>
    <n v="323.52534883720909"/>
    <x v="5"/>
    <m/>
  </r>
  <r>
    <n v="4332"/>
    <n v="56"/>
    <x v="1"/>
    <x v="5"/>
    <x v="7"/>
    <n v="2918.5"/>
    <x v="2"/>
    <x v="0"/>
    <n v="2.8"/>
    <n v="15"/>
    <n v="5"/>
    <n v="3433.5294117647059"/>
    <n v="515.02941176470586"/>
    <x v="0"/>
    <m/>
  </r>
  <r>
    <n v="4333"/>
    <n v="41"/>
    <x v="0"/>
    <x v="2"/>
    <x v="10"/>
    <n v="25.82"/>
    <x v="3"/>
    <x v="0"/>
    <n v="4.4000000000000004"/>
    <n v="16"/>
    <n v="3"/>
    <n v="30.738095238095241"/>
    <n v="4.9180952380952405"/>
    <x v="1"/>
    <m/>
  </r>
  <r>
    <n v="4334"/>
    <n v="65"/>
    <x v="1"/>
    <x v="7"/>
    <x v="8"/>
    <n v="72.739999999999995"/>
    <x v="2"/>
    <x v="0"/>
    <n v="3"/>
    <n v="12"/>
    <n v="6"/>
    <n v="82.659090909090907"/>
    <n v="9.9190909090909116"/>
    <x v="2"/>
    <m/>
  </r>
  <r>
    <n v="4335"/>
    <n v="32"/>
    <x v="0"/>
    <x v="6"/>
    <x v="27"/>
    <n v="139.69999999999999"/>
    <x v="3"/>
    <x v="0"/>
    <n v="3.1"/>
    <n v="20"/>
    <n v="5"/>
    <n v="174.62499999999997"/>
    <n v="34.924999999999983"/>
    <x v="5"/>
    <m/>
  </r>
  <r>
    <n v="4336"/>
    <n v="49"/>
    <x v="0"/>
    <x v="7"/>
    <x v="8"/>
    <n v="59.06"/>
    <x v="1"/>
    <x v="1"/>
    <n v="2.9"/>
    <n v="14"/>
    <n v="7"/>
    <n v="68.674418604651166"/>
    <n v="9.6144186046511635"/>
    <x v="4"/>
    <m/>
  </r>
  <r>
    <n v="4337"/>
    <n v="61"/>
    <x v="1"/>
    <x v="2"/>
    <x v="2"/>
    <n v="101.88"/>
    <x v="1"/>
    <x v="0"/>
    <n v="3.9"/>
    <n v="11"/>
    <n v="3"/>
    <n v="114.47191011235954"/>
    <n v="12.591910112359542"/>
    <x v="0"/>
    <m/>
  </r>
  <r>
    <n v="4338"/>
    <n v="54"/>
    <x v="1"/>
    <x v="2"/>
    <x v="2"/>
    <n v="92.18"/>
    <x v="1"/>
    <x v="0"/>
    <n v="3.3"/>
    <n v="11"/>
    <n v="3"/>
    <n v="103.57303370786518"/>
    <n v="11.393033707865172"/>
    <x v="4"/>
    <m/>
  </r>
  <r>
    <n v="4339"/>
    <n v="50"/>
    <x v="0"/>
    <x v="2"/>
    <x v="2"/>
    <n v="118.5"/>
    <x v="3"/>
    <x v="0"/>
    <n v="4.5999999999999996"/>
    <n v="20"/>
    <n v="10"/>
    <n v="148.125"/>
    <n v="29.625"/>
    <x v="4"/>
    <m/>
  </r>
  <r>
    <n v="4340"/>
    <n v="61"/>
    <x v="1"/>
    <x v="5"/>
    <x v="5"/>
    <n v="1079.3399999999999"/>
    <x v="0"/>
    <x v="0"/>
    <n v="3.6"/>
    <n v="26"/>
    <n v="8"/>
    <n v="1458.5675675675675"/>
    <n v="379.22756756756758"/>
    <x v="0"/>
    <m/>
  </r>
  <r>
    <n v="4341"/>
    <n v="60"/>
    <x v="0"/>
    <x v="6"/>
    <x v="6"/>
    <n v="65.44"/>
    <x v="0"/>
    <x v="1"/>
    <n v="5"/>
    <n v="16"/>
    <n v="3"/>
    <n v="77.904761904761898"/>
    <n v="12.4647619047619"/>
    <x v="0"/>
    <m/>
  </r>
  <r>
    <n v="4342"/>
    <n v="42"/>
    <x v="0"/>
    <x v="6"/>
    <x v="27"/>
    <n v="25.79"/>
    <x v="2"/>
    <x v="1"/>
    <n v="4"/>
    <n v="8"/>
    <n v="4"/>
    <n v="28.032608695652172"/>
    <n v="2.2426086956521729"/>
    <x v="1"/>
    <m/>
  </r>
  <r>
    <n v="4343"/>
    <n v="45"/>
    <x v="0"/>
    <x v="7"/>
    <x v="11"/>
    <n v="50.12"/>
    <x v="2"/>
    <x v="1"/>
    <n v="3.3"/>
    <n v="9"/>
    <n v="2"/>
    <n v="55.076923076923073"/>
    <n v="4.9569230769230757"/>
    <x v="4"/>
    <m/>
  </r>
  <r>
    <n v="4344"/>
    <n v="28"/>
    <x v="1"/>
    <x v="2"/>
    <x v="10"/>
    <n v="131.99"/>
    <x v="2"/>
    <x v="0"/>
    <n v="4"/>
    <n v="23"/>
    <n v="9"/>
    <n v="171.41558441558442"/>
    <n v="39.42558441558441"/>
    <x v="5"/>
    <m/>
  </r>
  <r>
    <n v="4345"/>
    <n v="53"/>
    <x v="0"/>
    <x v="7"/>
    <x v="11"/>
    <n v="56.27"/>
    <x v="1"/>
    <x v="1"/>
    <n v="3.3"/>
    <n v="16"/>
    <n v="8"/>
    <n v="66.988095238095241"/>
    <n v="10.718095238095238"/>
    <x v="4"/>
    <m/>
  </r>
  <r>
    <n v="4346"/>
    <n v="59"/>
    <x v="1"/>
    <x v="5"/>
    <x v="21"/>
    <n v="639.16999999999996"/>
    <x v="2"/>
    <x v="0"/>
    <n v="3.9"/>
    <n v="16"/>
    <n v="8"/>
    <n v="760.91666666666663"/>
    <n v="121.74666666666667"/>
    <x v="0"/>
    <m/>
  </r>
  <r>
    <n v="4347"/>
    <n v="42"/>
    <x v="0"/>
    <x v="7"/>
    <x v="8"/>
    <n v="56.5"/>
    <x v="1"/>
    <x v="0"/>
    <n v="4.0999999999999996"/>
    <n v="8"/>
    <n v="4"/>
    <n v="61.413043478260867"/>
    <n v="4.9130434782608674"/>
    <x v="1"/>
    <m/>
  </r>
  <r>
    <n v="4348"/>
    <n v="69"/>
    <x v="0"/>
    <x v="2"/>
    <x v="2"/>
    <n v="49.1"/>
    <x v="3"/>
    <x v="1"/>
    <n v="3"/>
    <n v="22"/>
    <n v="6"/>
    <n v="62.948717948717949"/>
    <n v="13.848717948717947"/>
    <x v="2"/>
    <m/>
  </r>
  <r>
    <n v="4349"/>
    <n v="70"/>
    <x v="0"/>
    <x v="0"/>
    <x v="28"/>
    <n v="27.04"/>
    <x v="2"/>
    <x v="0"/>
    <n v="3.9"/>
    <n v="16"/>
    <n v="3"/>
    <n v="32.19047619047619"/>
    <n v="5.1504761904761907"/>
    <x v="2"/>
    <m/>
  </r>
  <r>
    <n v="4350"/>
    <n v="69"/>
    <x v="1"/>
    <x v="7"/>
    <x v="13"/>
    <n v="116.04"/>
    <x v="2"/>
    <x v="0"/>
    <n v="3.3"/>
    <n v="17"/>
    <n v="6"/>
    <n v="139.80722891566268"/>
    <n v="23.76722891566267"/>
    <x v="2"/>
    <m/>
  </r>
  <r>
    <n v="4351"/>
    <n v="21"/>
    <x v="0"/>
    <x v="2"/>
    <x v="10"/>
    <n v="130.69999999999999"/>
    <x v="0"/>
    <x v="0"/>
    <n v="3.5"/>
    <n v="10"/>
    <n v="5"/>
    <n v="145.2222222222222"/>
    <n v="14.522222222222211"/>
    <x v="3"/>
    <m/>
  </r>
  <r>
    <n v="4352"/>
    <n v="23"/>
    <x v="1"/>
    <x v="5"/>
    <x v="5"/>
    <n v="1990.13"/>
    <x v="1"/>
    <x v="0"/>
    <n v="4.0999999999999996"/>
    <n v="10"/>
    <n v="0"/>
    <n v="2211.2555555555555"/>
    <n v="221.12555555555537"/>
    <x v="3"/>
    <m/>
  </r>
  <r>
    <n v="4353"/>
    <n v="59"/>
    <x v="0"/>
    <x v="7"/>
    <x v="13"/>
    <n v="198.56"/>
    <x v="3"/>
    <x v="0"/>
    <n v="3.4"/>
    <n v="10"/>
    <n v="5"/>
    <n v="220.62222222222221"/>
    <n v="22.062222222222204"/>
    <x v="0"/>
    <m/>
  </r>
  <r>
    <n v="4354"/>
    <n v="68"/>
    <x v="0"/>
    <x v="0"/>
    <x v="22"/>
    <n v="116.6"/>
    <x v="2"/>
    <x v="0"/>
    <n v="3.4"/>
    <n v="16"/>
    <n v="3"/>
    <n v="138.8095238095238"/>
    <n v="22.209523809523802"/>
    <x v="2"/>
    <m/>
  </r>
  <r>
    <n v="4355"/>
    <n v="41"/>
    <x v="1"/>
    <x v="1"/>
    <x v="1"/>
    <n v="143.78"/>
    <x v="2"/>
    <x v="0"/>
    <n v="3.6"/>
    <n v="24"/>
    <n v="12"/>
    <n v="189.18421052631578"/>
    <n v="45.404210526315779"/>
    <x v="1"/>
    <m/>
  </r>
  <r>
    <n v="4356"/>
    <n v="22"/>
    <x v="1"/>
    <x v="7"/>
    <x v="8"/>
    <n v="72.510000000000005"/>
    <x v="1"/>
    <x v="1"/>
    <n v="3.7"/>
    <n v="11"/>
    <n v="3"/>
    <n v="81.471910112359552"/>
    <n v="8.961910112359547"/>
    <x v="3"/>
    <m/>
  </r>
  <r>
    <n v="4357"/>
    <n v="20"/>
    <x v="1"/>
    <x v="7"/>
    <x v="8"/>
    <n v="238.67"/>
    <x v="1"/>
    <x v="0"/>
    <n v="4.0999999999999996"/>
    <n v="12"/>
    <n v="6"/>
    <n v="271.21590909090907"/>
    <n v="32.545909090909078"/>
    <x v="3"/>
    <m/>
  </r>
  <r>
    <n v="4358"/>
    <n v="52"/>
    <x v="1"/>
    <x v="1"/>
    <x v="1"/>
    <n v="164.35"/>
    <x v="2"/>
    <x v="0"/>
    <n v="4.0999999999999996"/>
    <n v="4"/>
    <n v="2"/>
    <n v="171.19791666666666"/>
    <n v="6.8479166666666629"/>
    <x v="4"/>
    <m/>
  </r>
  <r>
    <n v="4359"/>
    <n v="69"/>
    <x v="1"/>
    <x v="5"/>
    <x v="25"/>
    <n v="1339.11"/>
    <x v="0"/>
    <x v="0"/>
    <n v="3.5"/>
    <n v="9"/>
    <n v="2"/>
    <n v="1471.5494505494503"/>
    <n v="132.43945054945038"/>
    <x v="2"/>
    <m/>
  </r>
  <r>
    <n v="4360"/>
    <n v="42"/>
    <x v="1"/>
    <x v="2"/>
    <x v="12"/>
    <n v="198.2"/>
    <x v="0"/>
    <x v="0"/>
    <n v="3.3"/>
    <n v="8"/>
    <n v="4"/>
    <n v="215.43478260869563"/>
    <n v="17.234782608695639"/>
    <x v="1"/>
    <m/>
  </r>
  <r>
    <n v="4361"/>
    <n v="37"/>
    <x v="1"/>
    <x v="4"/>
    <x v="26"/>
    <n v="62.87"/>
    <x v="3"/>
    <x v="1"/>
    <n v="3.5"/>
    <n v="14"/>
    <n v="7"/>
    <n v="73.104651162790702"/>
    <n v="10.234651162790705"/>
    <x v="1"/>
    <m/>
  </r>
  <r>
    <n v="4362"/>
    <n v="29"/>
    <x v="0"/>
    <x v="8"/>
    <x v="18"/>
    <n v="150.07"/>
    <x v="1"/>
    <x v="0"/>
    <n v="3.9"/>
    <n v="19"/>
    <n v="7"/>
    <n v="185.27160493827159"/>
    <n v="35.201604938271601"/>
    <x v="5"/>
    <m/>
  </r>
  <r>
    <n v="4363"/>
    <n v="51"/>
    <x v="1"/>
    <x v="4"/>
    <x v="26"/>
    <n v="71.540000000000006"/>
    <x v="2"/>
    <x v="1"/>
    <n v="3.5"/>
    <n v="16"/>
    <n v="3"/>
    <n v="85.166666666666671"/>
    <n v="13.626666666666665"/>
    <x v="4"/>
    <m/>
  </r>
  <r>
    <n v="4364"/>
    <n v="26"/>
    <x v="0"/>
    <x v="8"/>
    <x v="16"/>
    <n v="43.22"/>
    <x v="1"/>
    <x v="1"/>
    <n v="2.9"/>
    <n v="2"/>
    <n v="1"/>
    <n v="44.102040816326529"/>
    <n v="0.88204081632652986"/>
    <x v="5"/>
    <m/>
  </r>
  <r>
    <n v="4365"/>
    <n v="49"/>
    <x v="1"/>
    <x v="7"/>
    <x v="11"/>
    <n v="173.46"/>
    <x v="0"/>
    <x v="0"/>
    <n v="3.8"/>
    <n v="22"/>
    <n v="6"/>
    <n v="222.38461538461539"/>
    <n v="48.924615384615379"/>
    <x v="4"/>
    <m/>
  </r>
  <r>
    <n v="4366"/>
    <n v="47"/>
    <x v="1"/>
    <x v="3"/>
    <x v="15"/>
    <n v="286.8"/>
    <x v="1"/>
    <x v="0"/>
    <n v="5"/>
    <n v="19"/>
    <n v="7"/>
    <n v="354.07407407407408"/>
    <n v="67.274074074074065"/>
    <x v="4"/>
    <m/>
  </r>
  <r>
    <n v="4367"/>
    <n v="30"/>
    <x v="1"/>
    <x v="1"/>
    <x v="20"/>
    <n v="83.11"/>
    <x v="0"/>
    <x v="0"/>
    <n v="3.6"/>
    <n v="14"/>
    <n v="2"/>
    <n v="96.639534883720927"/>
    <n v="13.529534883720927"/>
    <x v="5"/>
    <m/>
  </r>
  <r>
    <n v="4368"/>
    <n v="22"/>
    <x v="0"/>
    <x v="6"/>
    <x v="6"/>
    <n v="27.57"/>
    <x v="1"/>
    <x v="1"/>
    <n v="4.0999999999999996"/>
    <n v="14"/>
    <n v="7"/>
    <n v="32.058139534883722"/>
    <n v="4.4881395348837216"/>
    <x v="3"/>
    <m/>
  </r>
  <r>
    <n v="4369"/>
    <n v="46"/>
    <x v="0"/>
    <x v="7"/>
    <x v="13"/>
    <n v="208.33"/>
    <x v="2"/>
    <x v="0"/>
    <n v="3.9"/>
    <n v="8"/>
    <n v="4"/>
    <n v="226.44565217391306"/>
    <n v="18.115652173913048"/>
    <x v="4"/>
    <m/>
  </r>
  <r>
    <n v="4370"/>
    <n v="57"/>
    <x v="0"/>
    <x v="8"/>
    <x v="18"/>
    <n v="43.06"/>
    <x v="2"/>
    <x v="0"/>
    <n v="5"/>
    <n v="20"/>
    <n v="5"/>
    <n v="53.825000000000003"/>
    <n v="10.765000000000001"/>
    <x v="0"/>
    <m/>
  </r>
  <r>
    <n v="4371"/>
    <n v="63"/>
    <x v="0"/>
    <x v="4"/>
    <x v="29"/>
    <n v="42.76"/>
    <x v="0"/>
    <x v="1"/>
    <n v="4.3"/>
    <n v="24"/>
    <n v="7"/>
    <n v="56.263157894736835"/>
    <n v="13.503157894736837"/>
    <x v="0"/>
    <m/>
  </r>
  <r>
    <n v="4372"/>
    <n v="54"/>
    <x v="1"/>
    <x v="1"/>
    <x v="20"/>
    <n v="80.56"/>
    <x v="3"/>
    <x v="0"/>
    <n v="4"/>
    <n v="26"/>
    <n v="8"/>
    <n v="108.86486486486487"/>
    <n v="28.304864864864868"/>
    <x v="4"/>
    <m/>
  </r>
  <r>
    <n v="4373"/>
    <n v="32"/>
    <x v="0"/>
    <x v="8"/>
    <x v="16"/>
    <n v="59.17"/>
    <x v="2"/>
    <x v="0"/>
    <n v="3"/>
    <n v="12"/>
    <n v="6"/>
    <n v="67.23863636363636"/>
    <n v="8.0686363636363581"/>
    <x v="5"/>
    <m/>
  </r>
  <r>
    <n v="4374"/>
    <n v="69"/>
    <x v="1"/>
    <x v="4"/>
    <x v="19"/>
    <n v="58.67"/>
    <x v="2"/>
    <x v="1"/>
    <n v="4.7"/>
    <n v="28"/>
    <n v="9"/>
    <n v="81.486111111111114"/>
    <n v="22.816111111111113"/>
    <x v="2"/>
    <m/>
  </r>
  <r>
    <n v="4375"/>
    <n v="65"/>
    <x v="1"/>
    <x v="5"/>
    <x v="21"/>
    <n v="2600.4699999999998"/>
    <x v="0"/>
    <x v="0"/>
    <n v="2.1"/>
    <n v="13"/>
    <n v="4"/>
    <n v="2989.045977011494"/>
    <n v="388.57597701149416"/>
    <x v="2"/>
    <m/>
  </r>
  <r>
    <n v="4376"/>
    <n v="57"/>
    <x v="0"/>
    <x v="8"/>
    <x v="16"/>
    <n v="54.73"/>
    <x v="0"/>
    <x v="1"/>
    <n v="3.7"/>
    <n v="22"/>
    <n v="11"/>
    <n v="70.166666666666657"/>
    <n v="15.43666666666666"/>
    <x v="0"/>
    <m/>
  </r>
  <r>
    <n v="4377"/>
    <n v="27"/>
    <x v="1"/>
    <x v="7"/>
    <x v="11"/>
    <n v="66.290000000000006"/>
    <x v="0"/>
    <x v="1"/>
    <n v="3"/>
    <n v="11"/>
    <n v="3"/>
    <n v="74.483146067415731"/>
    <n v="8.193146067415725"/>
    <x v="5"/>
    <m/>
  </r>
  <r>
    <n v="4378"/>
    <n v="40"/>
    <x v="0"/>
    <x v="8"/>
    <x v="14"/>
    <n v="65.430000000000007"/>
    <x v="1"/>
    <x v="0"/>
    <n v="3.6"/>
    <n v="14"/>
    <n v="2"/>
    <n v="76.081395348837219"/>
    <n v="10.651395348837212"/>
    <x v="1"/>
    <m/>
  </r>
  <r>
    <n v="4379"/>
    <n v="62"/>
    <x v="1"/>
    <x v="2"/>
    <x v="10"/>
    <n v="50.26"/>
    <x v="2"/>
    <x v="1"/>
    <n v="2.8"/>
    <n v="19"/>
    <n v="7"/>
    <n v="62.049382716049379"/>
    <n v="11.789382716049381"/>
    <x v="0"/>
    <m/>
  </r>
  <r>
    <n v="4380"/>
    <n v="27"/>
    <x v="0"/>
    <x v="6"/>
    <x v="23"/>
    <n v="125.15"/>
    <x v="3"/>
    <x v="0"/>
    <n v="3.9"/>
    <n v="18"/>
    <n v="4"/>
    <n v="152.6219512195122"/>
    <n v="27.471951219512192"/>
    <x v="5"/>
    <m/>
  </r>
  <r>
    <n v="4381"/>
    <n v="62"/>
    <x v="1"/>
    <x v="7"/>
    <x v="13"/>
    <n v="166.81"/>
    <x v="2"/>
    <x v="0"/>
    <n v="4.5999999999999996"/>
    <n v="28"/>
    <n v="9"/>
    <n v="231.68055555555557"/>
    <n v="64.870555555555569"/>
    <x v="0"/>
    <m/>
  </r>
  <r>
    <n v="4382"/>
    <n v="46"/>
    <x v="0"/>
    <x v="8"/>
    <x v="16"/>
    <n v="141.44999999999999"/>
    <x v="3"/>
    <x v="0"/>
    <n v="5"/>
    <n v="14"/>
    <n v="7"/>
    <n v="164.47674418604649"/>
    <n v="23.0267441860465"/>
    <x v="4"/>
    <m/>
  </r>
  <r>
    <n v="4383"/>
    <n v="60"/>
    <x v="1"/>
    <x v="7"/>
    <x v="13"/>
    <n v="167.45"/>
    <x v="1"/>
    <x v="0"/>
    <n v="4.4000000000000004"/>
    <n v="5"/>
    <n v="0"/>
    <n v="176.26315789473685"/>
    <n v="8.813157894736861"/>
    <x v="0"/>
    <m/>
  </r>
  <r>
    <n v="4384"/>
    <n v="62"/>
    <x v="1"/>
    <x v="7"/>
    <x v="8"/>
    <n v="151.56"/>
    <x v="1"/>
    <x v="0"/>
    <n v="4.0999999999999996"/>
    <n v="13"/>
    <n v="4"/>
    <n v="174.20689655172413"/>
    <n v="22.646896551724126"/>
    <x v="0"/>
    <m/>
  </r>
  <r>
    <n v="4385"/>
    <n v="49"/>
    <x v="1"/>
    <x v="1"/>
    <x v="9"/>
    <n v="49.58"/>
    <x v="0"/>
    <x v="1"/>
    <n v="4.5999999999999996"/>
    <n v="21"/>
    <n v="8"/>
    <n v="62.759493670886073"/>
    <n v="13.179493670886075"/>
    <x v="4"/>
    <m/>
  </r>
  <r>
    <n v="4386"/>
    <n v="21"/>
    <x v="0"/>
    <x v="7"/>
    <x v="8"/>
    <n v="170.32"/>
    <x v="1"/>
    <x v="0"/>
    <n v="4.8"/>
    <n v="21"/>
    <n v="8"/>
    <n v="215.59493670886073"/>
    <n v="45.274936708860736"/>
    <x v="3"/>
    <m/>
  </r>
  <r>
    <n v="4387"/>
    <n v="25"/>
    <x v="0"/>
    <x v="0"/>
    <x v="22"/>
    <n v="30.47"/>
    <x v="2"/>
    <x v="0"/>
    <n v="4.5"/>
    <n v="20"/>
    <n v="5"/>
    <n v="38.087499999999999"/>
    <n v="7.6174999999999997"/>
    <x v="5"/>
    <m/>
  </r>
  <r>
    <n v="4388"/>
    <n v="50"/>
    <x v="1"/>
    <x v="4"/>
    <x v="19"/>
    <n v="10.5"/>
    <x v="2"/>
    <x v="1"/>
    <n v="4.5"/>
    <n v="26"/>
    <n v="8"/>
    <n v="14.189189189189189"/>
    <n v="3.6891891891891895"/>
    <x v="4"/>
    <m/>
  </r>
  <r>
    <n v="4389"/>
    <n v="63"/>
    <x v="1"/>
    <x v="5"/>
    <x v="25"/>
    <n v="2558.44"/>
    <x v="1"/>
    <x v="0"/>
    <n v="4.2"/>
    <n v="6"/>
    <n v="3"/>
    <n v="2721.744680851064"/>
    <n v="163.30468085106395"/>
    <x v="0"/>
    <m/>
  </r>
  <r>
    <n v="4390"/>
    <n v="58"/>
    <x v="0"/>
    <x v="8"/>
    <x v="14"/>
    <n v="32.71"/>
    <x v="1"/>
    <x v="1"/>
    <n v="3.4"/>
    <n v="17"/>
    <n v="6"/>
    <n v="39.409638554216869"/>
    <n v="6.6996385542168682"/>
    <x v="0"/>
    <m/>
  </r>
  <r>
    <n v="4391"/>
    <n v="25"/>
    <x v="1"/>
    <x v="2"/>
    <x v="2"/>
    <n v="203.65"/>
    <x v="3"/>
    <x v="0"/>
    <n v="4.7"/>
    <n v="26"/>
    <n v="13"/>
    <n v="275.20270270270271"/>
    <n v="71.552702702702703"/>
    <x v="5"/>
    <m/>
  </r>
  <r>
    <n v="4392"/>
    <n v="66"/>
    <x v="0"/>
    <x v="3"/>
    <x v="24"/>
    <n v="186.33"/>
    <x v="3"/>
    <x v="0"/>
    <n v="3.9"/>
    <n v="12"/>
    <n v="6"/>
    <n v="211.73863636363637"/>
    <n v="25.408636363636361"/>
    <x v="2"/>
    <m/>
  </r>
  <r>
    <n v="4393"/>
    <n v="63"/>
    <x v="0"/>
    <x v="2"/>
    <x v="10"/>
    <n v="154.41"/>
    <x v="0"/>
    <x v="0"/>
    <n v="3.5"/>
    <n v="16"/>
    <n v="3"/>
    <n v="183.82142857142858"/>
    <n v="29.411428571428587"/>
    <x v="0"/>
    <m/>
  </r>
  <r>
    <n v="4394"/>
    <n v="70"/>
    <x v="0"/>
    <x v="6"/>
    <x v="6"/>
    <n v="105.45"/>
    <x v="0"/>
    <x v="0"/>
    <n v="3.2"/>
    <n v="16"/>
    <n v="3"/>
    <n v="125.53571428571429"/>
    <n v="20.085714285714289"/>
    <x v="2"/>
    <m/>
  </r>
  <r>
    <n v="4395"/>
    <n v="28"/>
    <x v="0"/>
    <x v="4"/>
    <x v="4"/>
    <n v="71.260000000000005"/>
    <x v="0"/>
    <x v="0"/>
    <n v="3.6"/>
    <n v="11"/>
    <n v="3"/>
    <n v="80.067415730337089"/>
    <n v="8.8074157303370839"/>
    <x v="5"/>
    <m/>
  </r>
  <r>
    <n v="4396"/>
    <n v="28"/>
    <x v="0"/>
    <x v="7"/>
    <x v="13"/>
    <n v="210.09"/>
    <x v="3"/>
    <x v="0"/>
    <n v="4.4000000000000004"/>
    <n v="24"/>
    <n v="7"/>
    <n v="276.43421052631578"/>
    <n v="66.344210526315777"/>
    <x v="5"/>
    <m/>
  </r>
  <r>
    <n v="4397"/>
    <n v="36"/>
    <x v="0"/>
    <x v="6"/>
    <x v="6"/>
    <n v="28.51"/>
    <x v="1"/>
    <x v="0"/>
    <n v="2.9"/>
    <n v="16"/>
    <n v="3"/>
    <n v="33.940476190476197"/>
    <n v="5.4304761904761953"/>
    <x v="1"/>
    <m/>
  </r>
  <r>
    <n v="4398"/>
    <n v="47"/>
    <x v="0"/>
    <x v="6"/>
    <x v="27"/>
    <n v="108.76"/>
    <x v="1"/>
    <x v="0"/>
    <n v="3.7"/>
    <n v="6"/>
    <n v="3"/>
    <n v="115.70212765957449"/>
    <n v="6.9421276595744814"/>
    <x v="4"/>
    <m/>
  </r>
  <r>
    <n v="4399"/>
    <n v="25"/>
    <x v="0"/>
    <x v="7"/>
    <x v="13"/>
    <n v="248.94"/>
    <x v="0"/>
    <x v="0"/>
    <n v="2.5"/>
    <n v="18"/>
    <n v="4"/>
    <n v="303.58536585365852"/>
    <n v="54.645365853658518"/>
    <x v="5"/>
    <m/>
  </r>
  <r>
    <n v="4400"/>
    <n v="55"/>
    <x v="1"/>
    <x v="1"/>
    <x v="1"/>
    <n v="178.99"/>
    <x v="1"/>
    <x v="0"/>
    <n v="5"/>
    <n v="8"/>
    <n v="4"/>
    <n v="194.55434782608697"/>
    <n v="15.564347826086959"/>
    <x v="0"/>
    <m/>
  </r>
  <r>
    <n v="4401"/>
    <n v="22"/>
    <x v="0"/>
    <x v="4"/>
    <x v="4"/>
    <n v="64.91"/>
    <x v="1"/>
    <x v="1"/>
    <n v="2.9"/>
    <n v="15"/>
    <n v="5"/>
    <n v="76.364705882352936"/>
    <n v="11.45470588235294"/>
    <x v="3"/>
    <m/>
  </r>
  <r>
    <n v="4402"/>
    <n v="55"/>
    <x v="1"/>
    <x v="5"/>
    <x v="7"/>
    <n v="1774.32"/>
    <x v="3"/>
    <x v="0"/>
    <n v="4"/>
    <n v="26"/>
    <n v="8"/>
    <n v="2397.7297297297296"/>
    <n v="623.40972972972963"/>
    <x v="0"/>
    <m/>
  </r>
  <r>
    <n v="4403"/>
    <n v="25"/>
    <x v="1"/>
    <x v="1"/>
    <x v="1"/>
    <n v="173.88"/>
    <x v="1"/>
    <x v="0"/>
    <n v="4.4000000000000004"/>
    <n v="21"/>
    <n v="8"/>
    <n v="220.1012658227848"/>
    <n v="46.221265822784801"/>
    <x v="5"/>
    <m/>
  </r>
  <r>
    <n v="4404"/>
    <n v="34"/>
    <x v="1"/>
    <x v="2"/>
    <x v="12"/>
    <n v="130.83000000000001"/>
    <x v="1"/>
    <x v="0"/>
    <n v="3.6"/>
    <n v="20"/>
    <n v="5"/>
    <n v="163.53749999999999"/>
    <n v="32.707499999999982"/>
    <x v="5"/>
    <m/>
  </r>
  <r>
    <n v="4405"/>
    <n v="39"/>
    <x v="0"/>
    <x v="0"/>
    <x v="28"/>
    <n v="47.44"/>
    <x v="3"/>
    <x v="0"/>
    <n v="3.8"/>
    <n v="15"/>
    <n v="5"/>
    <n v="55.811764705882354"/>
    <n v="8.3717647058823559"/>
    <x v="1"/>
    <m/>
  </r>
  <r>
    <n v="4406"/>
    <n v="65"/>
    <x v="1"/>
    <x v="1"/>
    <x v="14"/>
    <n v="76.94"/>
    <x v="1"/>
    <x v="0"/>
    <n v="3.9"/>
    <n v="16"/>
    <n v="8"/>
    <n v="91.595238095238102"/>
    <n v="14.655238095238104"/>
    <x v="2"/>
    <m/>
  </r>
  <r>
    <n v="4407"/>
    <n v="51"/>
    <x v="0"/>
    <x v="7"/>
    <x v="13"/>
    <n v="79.66"/>
    <x v="0"/>
    <x v="0"/>
    <n v="3.8"/>
    <n v="2"/>
    <n v="1"/>
    <n v="81.285714285714278"/>
    <n v="1.625714285714281"/>
    <x v="4"/>
    <m/>
  </r>
  <r>
    <n v="4408"/>
    <n v="52"/>
    <x v="1"/>
    <x v="7"/>
    <x v="13"/>
    <n v="91.9"/>
    <x v="2"/>
    <x v="1"/>
    <n v="2.5"/>
    <n v="8"/>
    <n v="4"/>
    <n v="99.891304347826093"/>
    <n v="7.9913043478260875"/>
    <x v="4"/>
    <m/>
  </r>
  <r>
    <n v="4409"/>
    <n v="48"/>
    <x v="0"/>
    <x v="7"/>
    <x v="11"/>
    <n v="146.85"/>
    <x v="1"/>
    <x v="0"/>
    <n v="3.5"/>
    <n v="11"/>
    <n v="3"/>
    <n v="165"/>
    <n v="18.150000000000006"/>
    <x v="4"/>
    <m/>
  </r>
  <r>
    <n v="4410"/>
    <n v="25"/>
    <x v="0"/>
    <x v="0"/>
    <x v="0"/>
    <n v="100.99"/>
    <x v="0"/>
    <x v="0"/>
    <n v="3.5"/>
    <n v="19"/>
    <n v="7"/>
    <n v="124.679012345679"/>
    <n v="23.689012345679004"/>
    <x v="5"/>
    <m/>
  </r>
  <r>
    <n v="4411"/>
    <n v="35"/>
    <x v="1"/>
    <x v="5"/>
    <x v="21"/>
    <n v="2272.6999999999998"/>
    <x v="2"/>
    <x v="0"/>
    <n v="2.2999999999999998"/>
    <n v="14"/>
    <n v="7"/>
    <n v="2642.6744186046508"/>
    <n v="369.97441860465096"/>
    <x v="1"/>
    <m/>
  </r>
  <r>
    <n v="4412"/>
    <n v="42"/>
    <x v="1"/>
    <x v="5"/>
    <x v="5"/>
    <n v="783.29"/>
    <x v="2"/>
    <x v="0"/>
    <n v="3.6"/>
    <n v="20"/>
    <n v="5"/>
    <n v="979.11249999999995"/>
    <n v="195.82249999999999"/>
    <x v="1"/>
    <m/>
  </r>
  <r>
    <n v="4413"/>
    <n v="46"/>
    <x v="1"/>
    <x v="2"/>
    <x v="10"/>
    <n v="125.6"/>
    <x v="1"/>
    <x v="0"/>
    <n v="1.8"/>
    <n v="10"/>
    <n v="5"/>
    <n v="139.55555555555554"/>
    <n v="13.955555555555549"/>
    <x v="4"/>
    <m/>
  </r>
  <r>
    <n v="4414"/>
    <n v="21"/>
    <x v="1"/>
    <x v="7"/>
    <x v="8"/>
    <n v="151.15"/>
    <x v="3"/>
    <x v="0"/>
    <n v="4.2"/>
    <n v="9"/>
    <n v="2"/>
    <n v="166.09890109890111"/>
    <n v="14.948901098901104"/>
    <x v="3"/>
    <m/>
  </r>
  <r>
    <n v="4415"/>
    <n v="22"/>
    <x v="0"/>
    <x v="6"/>
    <x v="23"/>
    <n v="116.28"/>
    <x v="3"/>
    <x v="0"/>
    <n v="4.2"/>
    <n v="12"/>
    <n v="6"/>
    <n v="132.13636363636363"/>
    <n v="15.856363636363625"/>
    <x v="3"/>
    <m/>
  </r>
  <r>
    <n v="4416"/>
    <n v="53"/>
    <x v="0"/>
    <x v="4"/>
    <x v="4"/>
    <n v="46.85"/>
    <x v="2"/>
    <x v="1"/>
    <n v="3"/>
    <n v="18"/>
    <n v="4"/>
    <n v="57.134146341463413"/>
    <n v="10.284146341463412"/>
    <x v="4"/>
    <m/>
  </r>
  <r>
    <n v="4417"/>
    <n v="26"/>
    <x v="1"/>
    <x v="5"/>
    <x v="7"/>
    <n v="2162.23"/>
    <x v="1"/>
    <x v="0"/>
    <n v="4.0999999999999996"/>
    <n v="4"/>
    <n v="2"/>
    <n v="2252.322916666667"/>
    <n v="90.092916666666952"/>
    <x v="5"/>
    <m/>
  </r>
  <r>
    <n v="4418"/>
    <n v="29"/>
    <x v="1"/>
    <x v="1"/>
    <x v="20"/>
    <n v="99.56"/>
    <x v="1"/>
    <x v="0"/>
    <n v="3"/>
    <n v="20"/>
    <n v="5"/>
    <n v="124.45"/>
    <n v="24.89"/>
    <x v="5"/>
    <m/>
  </r>
  <r>
    <n v="4419"/>
    <n v="22"/>
    <x v="1"/>
    <x v="5"/>
    <x v="21"/>
    <n v="2633.36"/>
    <x v="1"/>
    <x v="0"/>
    <n v="4.2"/>
    <n v="18"/>
    <n v="4"/>
    <n v="3211.4146341463415"/>
    <n v="578.05463414634141"/>
    <x v="3"/>
    <m/>
  </r>
  <r>
    <n v="4420"/>
    <n v="63"/>
    <x v="0"/>
    <x v="0"/>
    <x v="22"/>
    <n v="132.84"/>
    <x v="0"/>
    <x v="0"/>
    <n v="4.0999999999999996"/>
    <n v="20"/>
    <n v="5"/>
    <n v="166.04999999999998"/>
    <n v="33.20999999999998"/>
    <x v="0"/>
    <m/>
  </r>
  <r>
    <n v="4421"/>
    <n v="20"/>
    <x v="0"/>
    <x v="7"/>
    <x v="11"/>
    <n v="161.07"/>
    <x v="1"/>
    <x v="0"/>
    <n v="3.7"/>
    <n v="8"/>
    <n v="4"/>
    <n v="175.07608695652172"/>
    <n v="14.006086956521727"/>
    <x v="3"/>
    <m/>
  </r>
  <r>
    <n v="4422"/>
    <n v="50"/>
    <x v="0"/>
    <x v="6"/>
    <x v="6"/>
    <n v="35.9"/>
    <x v="0"/>
    <x v="0"/>
    <n v="4.4000000000000004"/>
    <n v="18"/>
    <n v="9"/>
    <n v="43.780487804878042"/>
    <n v="7.8804878048780438"/>
    <x v="4"/>
    <m/>
  </r>
  <r>
    <n v="4423"/>
    <n v="54"/>
    <x v="0"/>
    <x v="8"/>
    <x v="18"/>
    <n v="41.24"/>
    <x v="0"/>
    <x v="1"/>
    <n v="3.4"/>
    <n v="19"/>
    <n v="7"/>
    <n v="50.913580246913583"/>
    <n v="9.6735802469135805"/>
    <x v="4"/>
    <m/>
  </r>
  <r>
    <n v="4424"/>
    <n v="45"/>
    <x v="1"/>
    <x v="2"/>
    <x v="12"/>
    <n v="160.08000000000001"/>
    <x v="3"/>
    <x v="0"/>
    <n v="3.9"/>
    <n v="17"/>
    <n v="6"/>
    <n v="192.8674698795181"/>
    <n v="32.787469879518085"/>
    <x v="4"/>
    <m/>
  </r>
  <r>
    <n v="4425"/>
    <n v="59"/>
    <x v="0"/>
    <x v="0"/>
    <x v="28"/>
    <n v="152.97"/>
    <x v="2"/>
    <x v="0"/>
    <n v="3.5"/>
    <n v="17"/>
    <n v="6"/>
    <n v="184.3012048192771"/>
    <n v="31.331204819277104"/>
    <x v="0"/>
    <m/>
  </r>
  <r>
    <n v="4426"/>
    <n v="43"/>
    <x v="0"/>
    <x v="8"/>
    <x v="16"/>
    <n v="71.83"/>
    <x v="3"/>
    <x v="1"/>
    <n v="4.0999999999999996"/>
    <n v="12"/>
    <n v="6"/>
    <n v="81.625"/>
    <n v="9.7950000000000017"/>
    <x v="1"/>
    <m/>
  </r>
  <r>
    <n v="4427"/>
    <n v="21"/>
    <x v="0"/>
    <x v="0"/>
    <x v="0"/>
    <n v="95.84"/>
    <x v="0"/>
    <x v="1"/>
    <n v="4.3"/>
    <n v="22"/>
    <n v="6"/>
    <n v="122.87179487179488"/>
    <n v="27.031794871794872"/>
    <x v="3"/>
    <m/>
  </r>
  <r>
    <n v="4428"/>
    <n v="62"/>
    <x v="1"/>
    <x v="3"/>
    <x v="3"/>
    <n v="38.659999999999997"/>
    <x v="2"/>
    <x v="1"/>
    <n v="3.6"/>
    <n v="8"/>
    <n v="4"/>
    <n v="42.021739130434774"/>
    <n v="3.3617391304347777"/>
    <x v="0"/>
    <m/>
  </r>
  <r>
    <n v="4429"/>
    <n v="44"/>
    <x v="1"/>
    <x v="5"/>
    <x v="7"/>
    <n v="1769.68"/>
    <x v="1"/>
    <x v="0"/>
    <n v="4.8"/>
    <n v="20"/>
    <n v="5"/>
    <n v="2212.1"/>
    <n v="442.41999999999985"/>
    <x v="1"/>
    <m/>
  </r>
  <r>
    <n v="4430"/>
    <n v="44"/>
    <x v="0"/>
    <x v="7"/>
    <x v="8"/>
    <n v="103.11"/>
    <x v="2"/>
    <x v="0"/>
    <n v="3.1"/>
    <n v="15"/>
    <n v="5"/>
    <n v="121.30588235294118"/>
    <n v="18.195882352941183"/>
    <x v="1"/>
    <m/>
  </r>
  <r>
    <n v="4431"/>
    <n v="45"/>
    <x v="0"/>
    <x v="7"/>
    <x v="8"/>
    <n v="118.28"/>
    <x v="2"/>
    <x v="0"/>
    <n v="4"/>
    <n v="10"/>
    <n v="5"/>
    <n v="131.42222222222222"/>
    <n v="13.142222222222216"/>
    <x v="4"/>
    <m/>
  </r>
  <r>
    <n v="4432"/>
    <n v="37"/>
    <x v="0"/>
    <x v="0"/>
    <x v="28"/>
    <n v="162.69999999999999"/>
    <x v="2"/>
    <x v="0"/>
    <n v="3.5"/>
    <n v="19"/>
    <n v="7"/>
    <n v="200.86419753086417"/>
    <n v="38.164197530864186"/>
    <x v="1"/>
    <m/>
  </r>
  <r>
    <n v="4433"/>
    <n v="49"/>
    <x v="1"/>
    <x v="2"/>
    <x v="10"/>
    <n v="75.760000000000005"/>
    <x v="3"/>
    <x v="1"/>
    <n v="4.5"/>
    <n v="15"/>
    <n v="5"/>
    <n v="89.129411764705893"/>
    <n v="13.369411764705887"/>
    <x v="4"/>
    <m/>
  </r>
  <r>
    <n v="4434"/>
    <n v="63"/>
    <x v="1"/>
    <x v="2"/>
    <x v="12"/>
    <n v="234.8"/>
    <x v="1"/>
    <x v="0"/>
    <n v="3.1"/>
    <n v="16"/>
    <n v="3"/>
    <n v="279.52380952380958"/>
    <n v="44.723809523809564"/>
    <x v="0"/>
    <m/>
  </r>
  <r>
    <n v="4435"/>
    <n v="25"/>
    <x v="0"/>
    <x v="7"/>
    <x v="11"/>
    <n v="107.61"/>
    <x v="3"/>
    <x v="0"/>
    <n v="4.8"/>
    <n v="17"/>
    <n v="6"/>
    <n v="129.65060240963857"/>
    <n v="22.040602409638566"/>
    <x v="5"/>
    <m/>
  </r>
  <r>
    <n v="4436"/>
    <n v="44"/>
    <x v="1"/>
    <x v="2"/>
    <x v="2"/>
    <n v="150.15"/>
    <x v="1"/>
    <x v="0"/>
    <n v="3.5"/>
    <n v="20"/>
    <n v="5"/>
    <n v="187.6875"/>
    <n v="37.537499999999994"/>
    <x v="1"/>
    <m/>
  </r>
  <r>
    <n v="4437"/>
    <n v="36"/>
    <x v="1"/>
    <x v="2"/>
    <x v="12"/>
    <n v="97.03"/>
    <x v="3"/>
    <x v="0"/>
    <n v="3.4"/>
    <n v="6"/>
    <n v="3"/>
    <n v="103.22340425531915"/>
    <n v="6.1934042553191517"/>
    <x v="1"/>
    <m/>
  </r>
  <r>
    <n v="4438"/>
    <n v="44"/>
    <x v="0"/>
    <x v="2"/>
    <x v="10"/>
    <n v="129.12"/>
    <x v="3"/>
    <x v="0"/>
    <n v="5"/>
    <n v="20"/>
    <n v="5"/>
    <n v="161.4"/>
    <n v="32.28"/>
    <x v="1"/>
    <m/>
  </r>
  <r>
    <n v="4439"/>
    <n v="31"/>
    <x v="0"/>
    <x v="7"/>
    <x v="11"/>
    <n v="75.930000000000007"/>
    <x v="0"/>
    <x v="0"/>
    <n v="3.5"/>
    <n v="18"/>
    <n v="4"/>
    <n v="92.597560975609753"/>
    <n v="16.667560975609746"/>
    <x v="5"/>
    <m/>
  </r>
  <r>
    <n v="4440"/>
    <n v="46"/>
    <x v="0"/>
    <x v="8"/>
    <x v="17"/>
    <n v="181.75"/>
    <x v="2"/>
    <x v="0"/>
    <n v="4.3"/>
    <n v="8"/>
    <n v="4"/>
    <n v="197.55434782608694"/>
    <n v="15.804347826086939"/>
    <x v="4"/>
    <m/>
  </r>
  <r>
    <n v="4441"/>
    <n v="43"/>
    <x v="1"/>
    <x v="5"/>
    <x v="5"/>
    <n v="1217.08"/>
    <x v="1"/>
    <x v="0"/>
    <n v="4.5999999999999996"/>
    <n v="20"/>
    <n v="5"/>
    <n v="1521.35"/>
    <n v="304.27"/>
    <x v="1"/>
    <m/>
  </r>
  <r>
    <n v="4442"/>
    <n v="23"/>
    <x v="0"/>
    <x v="7"/>
    <x v="13"/>
    <n v="241.42"/>
    <x v="1"/>
    <x v="0"/>
    <n v="5"/>
    <n v="8"/>
    <n v="4"/>
    <n v="262.41304347826082"/>
    <n v="20.99304347826083"/>
    <x v="3"/>
    <m/>
  </r>
  <r>
    <n v="4443"/>
    <n v="58"/>
    <x v="1"/>
    <x v="5"/>
    <x v="21"/>
    <n v="1944.24"/>
    <x v="1"/>
    <x v="0"/>
    <n v="2.7"/>
    <n v="22"/>
    <n v="6"/>
    <n v="2492.6153846153848"/>
    <n v="548.37538461538475"/>
    <x v="0"/>
    <m/>
  </r>
  <r>
    <n v="4444"/>
    <n v="22"/>
    <x v="1"/>
    <x v="2"/>
    <x v="10"/>
    <n v="48.39"/>
    <x v="3"/>
    <x v="1"/>
    <n v="4"/>
    <n v="4"/>
    <n v="2"/>
    <n v="50.40625"/>
    <n v="2.0162499999999994"/>
    <x v="3"/>
    <m/>
  </r>
  <r>
    <n v="4445"/>
    <n v="63"/>
    <x v="0"/>
    <x v="0"/>
    <x v="22"/>
    <n v="107.47"/>
    <x v="0"/>
    <x v="0"/>
    <n v="2.2000000000000002"/>
    <n v="12"/>
    <n v="1"/>
    <n v="122.125"/>
    <n v="14.655000000000001"/>
    <x v="0"/>
    <m/>
  </r>
  <r>
    <n v="4446"/>
    <n v="62"/>
    <x v="1"/>
    <x v="5"/>
    <x v="25"/>
    <n v="1763.47"/>
    <x v="0"/>
    <x v="0"/>
    <n v="4"/>
    <n v="20"/>
    <n v="5"/>
    <n v="2204.3375000000001"/>
    <n v="440.86750000000006"/>
    <x v="0"/>
    <m/>
  </r>
  <r>
    <n v="4447"/>
    <n v="69"/>
    <x v="0"/>
    <x v="8"/>
    <x v="18"/>
    <n v="159.97999999999999"/>
    <x v="2"/>
    <x v="0"/>
    <n v="2.9"/>
    <n v="24"/>
    <n v="7"/>
    <n v="210.49999999999997"/>
    <n v="50.519999999999982"/>
    <x v="2"/>
    <m/>
  </r>
  <r>
    <n v="4448"/>
    <n v="36"/>
    <x v="1"/>
    <x v="4"/>
    <x v="26"/>
    <n v="60.71"/>
    <x v="2"/>
    <x v="1"/>
    <n v="4.5"/>
    <n v="16"/>
    <n v="3"/>
    <n v="72.273809523809533"/>
    <n v="11.563809523809532"/>
    <x v="1"/>
    <m/>
  </r>
  <r>
    <n v="4449"/>
    <n v="46"/>
    <x v="0"/>
    <x v="3"/>
    <x v="15"/>
    <n v="118.81"/>
    <x v="0"/>
    <x v="0"/>
    <n v="4.0999999999999996"/>
    <n v="16"/>
    <n v="3"/>
    <n v="141.4404761904762"/>
    <n v="22.630476190476202"/>
    <x v="4"/>
    <m/>
  </r>
  <r>
    <n v="4450"/>
    <n v="53"/>
    <x v="1"/>
    <x v="2"/>
    <x v="2"/>
    <n v="115.93"/>
    <x v="3"/>
    <x v="0"/>
    <n v="3"/>
    <n v="6"/>
    <n v="3"/>
    <n v="123.32978723404257"/>
    <n v="7.399787234042563"/>
    <x v="4"/>
    <m/>
  </r>
  <r>
    <n v="4451"/>
    <n v="20"/>
    <x v="0"/>
    <x v="6"/>
    <x v="6"/>
    <n v="109.6"/>
    <x v="2"/>
    <x v="0"/>
    <n v="4.4000000000000004"/>
    <n v="16"/>
    <n v="8"/>
    <n v="130.47619047619048"/>
    <n v="20.876190476190487"/>
    <x v="3"/>
    <m/>
  </r>
  <r>
    <n v="4452"/>
    <n v="48"/>
    <x v="1"/>
    <x v="7"/>
    <x v="8"/>
    <n v="197.83"/>
    <x v="0"/>
    <x v="0"/>
    <n v="3.4"/>
    <n v="17"/>
    <n v="6"/>
    <n v="238.34939759036146"/>
    <n v="40.51939759036145"/>
    <x v="4"/>
    <m/>
  </r>
  <r>
    <n v="4453"/>
    <n v="29"/>
    <x v="0"/>
    <x v="7"/>
    <x v="13"/>
    <n v="68.819999999999993"/>
    <x v="3"/>
    <x v="0"/>
    <n v="3.6"/>
    <n v="0"/>
    <n v="0"/>
    <n v="68.819999999999993"/>
    <n v="0"/>
    <x v="5"/>
    <m/>
  </r>
  <r>
    <n v="4454"/>
    <n v="43"/>
    <x v="1"/>
    <x v="1"/>
    <x v="9"/>
    <n v="112.21"/>
    <x v="3"/>
    <x v="0"/>
    <n v="4.0999999999999996"/>
    <n v="12"/>
    <n v="6"/>
    <n v="127.51136363636363"/>
    <n v="15.301363636363632"/>
    <x v="1"/>
    <m/>
  </r>
  <r>
    <n v="4455"/>
    <n v="37"/>
    <x v="1"/>
    <x v="7"/>
    <x v="11"/>
    <n v="75.17"/>
    <x v="0"/>
    <x v="0"/>
    <n v="2.9"/>
    <n v="11"/>
    <n v="3"/>
    <n v="84.460674157303373"/>
    <n v="9.2906741573033713"/>
    <x v="1"/>
    <m/>
  </r>
  <r>
    <n v="4456"/>
    <n v="49"/>
    <x v="1"/>
    <x v="5"/>
    <x v="25"/>
    <n v="2429.83"/>
    <x v="2"/>
    <x v="0"/>
    <n v="2.9"/>
    <n v="18"/>
    <n v="9"/>
    <n v="2963.2073170731705"/>
    <n v="533.37731707317062"/>
    <x v="4"/>
    <m/>
  </r>
  <r>
    <n v="4457"/>
    <n v="38"/>
    <x v="1"/>
    <x v="5"/>
    <x v="25"/>
    <n v="1961.17"/>
    <x v="3"/>
    <x v="0"/>
    <n v="2.9"/>
    <n v="26"/>
    <n v="8"/>
    <n v="2650.22972972973"/>
    <n v="689.05972972972995"/>
    <x v="1"/>
    <m/>
  </r>
  <r>
    <n v="4458"/>
    <n v="41"/>
    <x v="0"/>
    <x v="7"/>
    <x v="11"/>
    <n v="119.89"/>
    <x v="2"/>
    <x v="0"/>
    <n v="3.6"/>
    <n v="11"/>
    <n v="3"/>
    <n v="134.70786516853931"/>
    <n v="14.817865168539313"/>
    <x v="1"/>
    <m/>
  </r>
  <r>
    <n v="4459"/>
    <n v="25"/>
    <x v="0"/>
    <x v="4"/>
    <x v="26"/>
    <n v="78.319999999999993"/>
    <x v="2"/>
    <x v="1"/>
    <n v="4.5999999999999996"/>
    <n v="24"/>
    <n v="7"/>
    <n v="103.05263157894736"/>
    <n v="24.732631578947363"/>
    <x v="5"/>
    <m/>
  </r>
  <r>
    <n v="4460"/>
    <n v="55"/>
    <x v="1"/>
    <x v="5"/>
    <x v="5"/>
    <n v="1710.6"/>
    <x v="0"/>
    <x v="0"/>
    <n v="4"/>
    <n v="16"/>
    <n v="3"/>
    <n v="2036.4285714285713"/>
    <n v="325.82857142857142"/>
    <x v="0"/>
    <m/>
  </r>
  <r>
    <n v="4461"/>
    <n v="47"/>
    <x v="0"/>
    <x v="7"/>
    <x v="11"/>
    <n v="148.86000000000001"/>
    <x v="0"/>
    <x v="0"/>
    <n v="3.4"/>
    <n v="16"/>
    <n v="3"/>
    <n v="177.21428571428575"/>
    <n v="28.354285714285737"/>
    <x v="4"/>
    <m/>
  </r>
  <r>
    <n v="4462"/>
    <n v="70"/>
    <x v="1"/>
    <x v="3"/>
    <x v="3"/>
    <n v="194.65"/>
    <x v="3"/>
    <x v="0"/>
    <n v="3.3"/>
    <n v="12"/>
    <n v="6"/>
    <n v="221.19318181818181"/>
    <n v="26.543181818181807"/>
    <x v="2"/>
    <m/>
  </r>
  <r>
    <n v="4463"/>
    <n v="59"/>
    <x v="0"/>
    <x v="6"/>
    <x v="6"/>
    <n v="58.65"/>
    <x v="0"/>
    <x v="1"/>
    <n v="3.3"/>
    <n v="12"/>
    <n v="6"/>
    <n v="66.647727272727266"/>
    <n v="7.9977272727272677"/>
    <x v="0"/>
    <m/>
  </r>
  <r>
    <n v="4464"/>
    <n v="21"/>
    <x v="0"/>
    <x v="7"/>
    <x v="11"/>
    <n v="228.61"/>
    <x v="0"/>
    <x v="0"/>
    <n v="2.5"/>
    <n v="10"/>
    <n v="5"/>
    <n v="254.01111111111112"/>
    <n v="25.401111111111106"/>
    <x v="3"/>
    <m/>
  </r>
  <r>
    <n v="4465"/>
    <n v="62"/>
    <x v="1"/>
    <x v="5"/>
    <x v="5"/>
    <n v="2057.65"/>
    <x v="1"/>
    <x v="0"/>
    <n v="4.0999999999999996"/>
    <n v="24"/>
    <n v="7"/>
    <n v="2707.4342105263158"/>
    <n v="649.78421052631575"/>
    <x v="0"/>
    <m/>
  </r>
  <r>
    <n v="4466"/>
    <n v="25"/>
    <x v="0"/>
    <x v="7"/>
    <x v="11"/>
    <n v="138.83000000000001"/>
    <x v="3"/>
    <x v="0"/>
    <n v="3.8"/>
    <n v="20"/>
    <n v="5"/>
    <n v="173.53749999999999"/>
    <n v="34.707499999999982"/>
    <x v="5"/>
    <m/>
  </r>
  <r>
    <n v="4467"/>
    <n v="23"/>
    <x v="1"/>
    <x v="1"/>
    <x v="1"/>
    <n v="106.76"/>
    <x v="3"/>
    <x v="0"/>
    <n v="4.5"/>
    <n v="20"/>
    <n v="5"/>
    <n v="133.44999999999999"/>
    <n v="26.689999999999984"/>
    <x v="3"/>
    <m/>
  </r>
  <r>
    <n v="4468"/>
    <n v="62"/>
    <x v="1"/>
    <x v="5"/>
    <x v="25"/>
    <n v="2593.67"/>
    <x v="0"/>
    <x v="0"/>
    <n v="2.9"/>
    <n v="10"/>
    <n v="5"/>
    <n v="2881.8555555555554"/>
    <n v="288.18555555555531"/>
    <x v="0"/>
    <m/>
  </r>
  <r>
    <n v="4469"/>
    <n v="30"/>
    <x v="1"/>
    <x v="1"/>
    <x v="20"/>
    <n v="195.55"/>
    <x v="1"/>
    <x v="0"/>
    <n v="3.9"/>
    <n v="18"/>
    <n v="4"/>
    <n v="238.47560975609755"/>
    <n v="42.925609756097543"/>
    <x v="5"/>
    <m/>
  </r>
  <r>
    <n v="4470"/>
    <n v="69"/>
    <x v="1"/>
    <x v="3"/>
    <x v="24"/>
    <n v="127.32"/>
    <x v="1"/>
    <x v="0"/>
    <n v="3.5"/>
    <n v="4"/>
    <n v="2"/>
    <n v="132.625"/>
    <n v="5.3050000000000068"/>
    <x v="2"/>
    <m/>
  </r>
  <r>
    <n v="4471"/>
    <n v="29"/>
    <x v="1"/>
    <x v="7"/>
    <x v="8"/>
    <n v="86.48"/>
    <x v="1"/>
    <x v="0"/>
    <n v="3.7"/>
    <n v="11"/>
    <n v="3"/>
    <n v="97.168539325842701"/>
    <n v="10.688539325842697"/>
    <x v="5"/>
    <m/>
  </r>
  <r>
    <n v="4472"/>
    <n v="21"/>
    <x v="0"/>
    <x v="6"/>
    <x v="27"/>
    <n v="109.66"/>
    <x v="2"/>
    <x v="0"/>
    <n v="3.5"/>
    <n v="16"/>
    <n v="8"/>
    <n v="130.54761904761904"/>
    <n v="20.88761904761904"/>
    <x v="3"/>
    <m/>
  </r>
  <r>
    <n v="4473"/>
    <n v="57"/>
    <x v="0"/>
    <x v="0"/>
    <x v="0"/>
    <n v="63.39"/>
    <x v="2"/>
    <x v="1"/>
    <n v="4"/>
    <n v="17"/>
    <n v="6"/>
    <n v="76.373493975903614"/>
    <n v="12.983493975903613"/>
    <x v="0"/>
    <m/>
  </r>
  <r>
    <n v="4474"/>
    <n v="61"/>
    <x v="0"/>
    <x v="8"/>
    <x v="17"/>
    <n v="198.86"/>
    <x v="2"/>
    <x v="0"/>
    <n v="3.5"/>
    <n v="15"/>
    <n v="5"/>
    <n v="233.9529411764706"/>
    <n v="35.092941176470589"/>
    <x v="0"/>
    <m/>
  </r>
  <r>
    <n v="4475"/>
    <n v="29"/>
    <x v="0"/>
    <x v="6"/>
    <x v="23"/>
    <n v="143.68"/>
    <x v="1"/>
    <x v="0"/>
    <n v="3.5"/>
    <n v="11"/>
    <n v="3"/>
    <n v="161.43820224719101"/>
    <n v="17.758202247191008"/>
    <x v="5"/>
    <m/>
  </r>
  <r>
    <n v="4476"/>
    <n v="44"/>
    <x v="1"/>
    <x v="5"/>
    <x v="5"/>
    <n v="605.67999999999995"/>
    <x v="3"/>
    <x v="0"/>
    <n v="3"/>
    <n v="20"/>
    <n v="5"/>
    <n v="757.09999999999991"/>
    <n v="151.41999999999996"/>
    <x v="1"/>
    <m/>
  </r>
  <r>
    <n v="4477"/>
    <n v="24"/>
    <x v="0"/>
    <x v="7"/>
    <x v="8"/>
    <n v="52.58"/>
    <x v="0"/>
    <x v="1"/>
    <n v="2.4"/>
    <n v="13"/>
    <n v="4"/>
    <n v="60.4367816091954"/>
    <n v="7.8567816091954015"/>
    <x v="3"/>
    <m/>
  </r>
  <r>
    <n v="4478"/>
    <n v="51"/>
    <x v="1"/>
    <x v="2"/>
    <x v="10"/>
    <n v="179.61"/>
    <x v="0"/>
    <x v="0"/>
    <n v="2.9"/>
    <n v="9"/>
    <n v="2"/>
    <n v="197.37362637362639"/>
    <n v="17.76362637362638"/>
    <x v="4"/>
    <m/>
  </r>
  <r>
    <n v="4479"/>
    <n v="35"/>
    <x v="0"/>
    <x v="8"/>
    <x v="18"/>
    <n v="170.61"/>
    <x v="1"/>
    <x v="0"/>
    <n v="4.3"/>
    <n v="24"/>
    <n v="7"/>
    <n v="224.48684210526318"/>
    <n v="53.876842105263165"/>
    <x v="1"/>
    <m/>
  </r>
  <r>
    <n v="4480"/>
    <n v="61"/>
    <x v="1"/>
    <x v="1"/>
    <x v="1"/>
    <n v="124.26"/>
    <x v="3"/>
    <x v="0"/>
    <n v="3.6"/>
    <n v="15"/>
    <n v="5"/>
    <n v="146.18823529411765"/>
    <n v="21.928235294117641"/>
    <x v="0"/>
    <m/>
  </r>
  <r>
    <n v="4481"/>
    <n v="54"/>
    <x v="0"/>
    <x v="8"/>
    <x v="17"/>
    <n v="102.38"/>
    <x v="0"/>
    <x v="0"/>
    <n v="4.8"/>
    <n v="6"/>
    <n v="3"/>
    <n v="108.91489361702128"/>
    <n v="6.5348936170212824"/>
    <x v="4"/>
    <m/>
  </r>
  <r>
    <n v="4482"/>
    <n v="31"/>
    <x v="1"/>
    <x v="1"/>
    <x v="14"/>
    <n v="129.77000000000001"/>
    <x v="0"/>
    <x v="0"/>
    <n v="3.3"/>
    <n v="11"/>
    <n v="3"/>
    <n v="145.80898876404495"/>
    <n v="16.038988764044944"/>
    <x v="5"/>
    <m/>
  </r>
  <r>
    <n v="4483"/>
    <n v="31"/>
    <x v="1"/>
    <x v="2"/>
    <x v="2"/>
    <n v="107.4"/>
    <x v="1"/>
    <x v="0"/>
    <n v="3.2"/>
    <n v="15"/>
    <n v="5"/>
    <n v="126.35294117647059"/>
    <n v="18.952941176470588"/>
    <x v="5"/>
    <m/>
  </r>
  <r>
    <n v="4484"/>
    <n v="56"/>
    <x v="1"/>
    <x v="5"/>
    <x v="5"/>
    <n v="1554.91"/>
    <x v="0"/>
    <x v="0"/>
    <n v="2.8"/>
    <n v="7"/>
    <n v="1"/>
    <n v="1671.9462365591401"/>
    <n v="117.03623655913998"/>
    <x v="0"/>
    <m/>
  </r>
  <r>
    <n v="4485"/>
    <n v="66"/>
    <x v="0"/>
    <x v="8"/>
    <x v="17"/>
    <n v="131.11000000000001"/>
    <x v="0"/>
    <x v="0"/>
    <n v="3"/>
    <n v="20"/>
    <n v="10"/>
    <n v="163.88750000000002"/>
    <n v="32.777500000000003"/>
    <x v="2"/>
    <m/>
  </r>
  <r>
    <n v="4486"/>
    <n v="38"/>
    <x v="1"/>
    <x v="1"/>
    <x v="20"/>
    <n v="52.09"/>
    <x v="2"/>
    <x v="0"/>
    <n v="4.2"/>
    <n v="14"/>
    <n v="2"/>
    <n v="60.569767441860471"/>
    <n v="8.4797674418604672"/>
    <x v="1"/>
    <m/>
  </r>
  <r>
    <n v="4487"/>
    <n v="25"/>
    <x v="1"/>
    <x v="2"/>
    <x v="12"/>
    <n v="130.22999999999999"/>
    <x v="3"/>
    <x v="0"/>
    <n v="4.7"/>
    <n v="16"/>
    <n v="3"/>
    <n v="155.03571428571428"/>
    <n v="24.805714285714288"/>
    <x v="5"/>
    <m/>
  </r>
  <r>
    <n v="4488"/>
    <n v="44"/>
    <x v="1"/>
    <x v="2"/>
    <x v="2"/>
    <n v="125.56"/>
    <x v="3"/>
    <x v="0"/>
    <n v="3.2"/>
    <n v="12"/>
    <n v="1"/>
    <n v="142.68181818181819"/>
    <n v="17.121818181818185"/>
    <x v="1"/>
    <m/>
  </r>
  <r>
    <n v="4489"/>
    <n v="60"/>
    <x v="0"/>
    <x v="7"/>
    <x v="13"/>
    <n v="76.16"/>
    <x v="2"/>
    <x v="0"/>
    <n v="4.7"/>
    <n v="13"/>
    <n v="4"/>
    <n v="87.540229885057471"/>
    <n v="11.380229885057474"/>
    <x v="0"/>
    <m/>
  </r>
  <r>
    <n v="4490"/>
    <n v="50"/>
    <x v="1"/>
    <x v="1"/>
    <x v="9"/>
    <n v="37.53"/>
    <x v="2"/>
    <x v="0"/>
    <n v="3.5"/>
    <n v="8"/>
    <n v="4"/>
    <n v="40.793478260869563"/>
    <n v="3.2634782608695616"/>
    <x v="4"/>
    <m/>
  </r>
  <r>
    <n v="4491"/>
    <n v="51"/>
    <x v="1"/>
    <x v="1"/>
    <x v="9"/>
    <n v="100.29"/>
    <x v="2"/>
    <x v="0"/>
    <n v="3.5"/>
    <n v="14"/>
    <n v="7"/>
    <n v="116.61627906976744"/>
    <n v="16.326279069767438"/>
    <x v="4"/>
    <m/>
  </r>
  <r>
    <n v="4492"/>
    <n v="26"/>
    <x v="1"/>
    <x v="5"/>
    <x v="21"/>
    <n v="1336.49"/>
    <x v="2"/>
    <x v="0"/>
    <n v="3.8"/>
    <n v="9"/>
    <n v="2"/>
    <n v="1468.6703296703297"/>
    <n v="132.18032967032968"/>
    <x v="5"/>
    <m/>
  </r>
  <r>
    <n v="4493"/>
    <n v="23"/>
    <x v="1"/>
    <x v="3"/>
    <x v="24"/>
    <n v="207.75"/>
    <x v="2"/>
    <x v="0"/>
    <n v="4.9000000000000004"/>
    <n v="17"/>
    <n v="6"/>
    <n v="250.30120481927713"/>
    <n v="42.551204819277132"/>
    <x v="3"/>
    <m/>
  </r>
  <r>
    <n v="4494"/>
    <n v="25"/>
    <x v="0"/>
    <x v="3"/>
    <x v="15"/>
    <n v="44.45"/>
    <x v="3"/>
    <x v="1"/>
    <n v="5"/>
    <n v="10"/>
    <n v="5"/>
    <n v="49.388888888888893"/>
    <n v="4.93888888888889"/>
    <x v="5"/>
    <m/>
  </r>
  <r>
    <n v="4495"/>
    <n v="34"/>
    <x v="0"/>
    <x v="3"/>
    <x v="24"/>
    <n v="228.41"/>
    <x v="2"/>
    <x v="0"/>
    <n v="3.5"/>
    <n v="8"/>
    <n v="4"/>
    <n v="248.27173913043478"/>
    <n v="19.861739130434785"/>
    <x v="5"/>
    <m/>
  </r>
  <r>
    <n v="4496"/>
    <n v="24"/>
    <x v="1"/>
    <x v="3"/>
    <x v="24"/>
    <n v="69.23"/>
    <x v="1"/>
    <x v="1"/>
    <n v="4.2"/>
    <n v="4"/>
    <n v="2"/>
    <n v="72.114583333333343"/>
    <n v="2.8845833333333388"/>
    <x v="3"/>
    <m/>
  </r>
  <r>
    <n v="4497"/>
    <n v="40"/>
    <x v="0"/>
    <x v="6"/>
    <x v="27"/>
    <n v="37.65"/>
    <x v="2"/>
    <x v="1"/>
    <n v="4.3"/>
    <n v="27"/>
    <n v="11"/>
    <n v="51.575342465753423"/>
    <n v="13.925342465753424"/>
    <x v="1"/>
    <m/>
  </r>
  <r>
    <n v="4498"/>
    <n v="23"/>
    <x v="1"/>
    <x v="5"/>
    <x v="21"/>
    <n v="1286.98"/>
    <x v="1"/>
    <x v="0"/>
    <n v="4"/>
    <n v="14"/>
    <n v="7"/>
    <n v="1496.4883720930234"/>
    <n v="209.50837209302335"/>
    <x v="3"/>
    <m/>
  </r>
  <r>
    <n v="4499"/>
    <n v="28"/>
    <x v="0"/>
    <x v="7"/>
    <x v="13"/>
    <n v="99.44"/>
    <x v="2"/>
    <x v="0"/>
    <n v="3.7"/>
    <n v="20"/>
    <n v="5"/>
    <n v="124.3"/>
    <n v="24.86"/>
    <x v="5"/>
    <m/>
  </r>
  <r>
    <n v="4500"/>
    <n v="22"/>
    <x v="1"/>
    <x v="2"/>
    <x v="2"/>
    <n v="215.07"/>
    <x v="2"/>
    <x v="0"/>
    <n v="2.5"/>
    <n v="24"/>
    <n v="7"/>
    <n v="282.98684210526312"/>
    <n v="67.916842105263129"/>
    <x v="3"/>
    <m/>
  </r>
  <r>
    <n v="4501"/>
    <n v="27"/>
    <x v="1"/>
    <x v="5"/>
    <x v="25"/>
    <n v="975.24"/>
    <x v="1"/>
    <x v="0"/>
    <n v="3.6"/>
    <n v="4"/>
    <n v="2"/>
    <n v="1015.875"/>
    <n v="40.634999999999991"/>
    <x v="5"/>
    <m/>
  </r>
  <r>
    <n v="4502"/>
    <n v="58"/>
    <x v="0"/>
    <x v="8"/>
    <x v="16"/>
    <n v="52.67"/>
    <x v="1"/>
    <x v="1"/>
    <n v="3.3"/>
    <n v="16"/>
    <n v="8"/>
    <n v="62.702380952380956"/>
    <n v="10.032380952380954"/>
    <x v="0"/>
    <m/>
  </r>
  <r>
    <n v="4503"/>
    <n v="49"/>
    <x v="1"/>
    <x v="5"/>
    <x v="25"/>
    <n v="2177.2800000000002"/>
    <x v="3"/>
    <x v="0"/>
    <n v="3.6"/>
    <n v="26"/>
    <n v="8"/>
    <n v="2942.2702702702704"/>
    <n v="764.99027027027023"/>
    <x v="4"/>
    <m/>
  </r>
  <r>
    <n v="4504"/>
    <n v="60"/>
    <x v="0"/>
    <x v="8"/>
    <x v="17"/>
    <n v="90.75"/>
    <x v="1"/>
    <x v="0"/>
    <n v="3.7"/>
    <n v="25"/>
    <n v="10"/>
    <n v="121"/>
    <n v="30.25"/>
    <x v="0"/>
    <m/>
  </r>
  <r>
    <n v="4505"/>
    <n v="23"/>
    <x v="0"/>
    <x v="7"/>
    <x v="13"/>
    <n v="200.4"/>
    <x v="0"/>
    <x v="0"/>
    <n v="3"/>
    <n v="19"/>
    <n v="7"/>
    <n v="247.40740740740739"/>
    <n v="47.007407407407385"/>
    <x v="3"/>
    <m/>
  </r>
  <r>
    <n v="4506"/>
    <n v="51"/>
    <x v="0"/>
    <x v="6"/>
    <x v="6"/>
    <n v="20.2"/>
    <x v="0"/>
    <x v="1"/>
    <n v="5"/>
    <n v="15"/>
    <n v="5"/>
    <n v="23.764705882352942"/>
    <n v="3.5647058823529427"/>
    <x v="4"/>
    <m/>
  </r>
  <r>
    <n v="4507"/>
    <n v="42"/>
    <x v="1"/>
    <x v="1"/>
    <x v="1"/>
    <n v="120.04"/>
    <x v="3"/>
    <x v="0"/>
    <n v="4.8"/>
    <n v="17"/>
    <n v="6"/>
    <n v="144.62650602409639"/>
    <n v="24.58650602409638"/>
    <x v="1"/>
    <m/>
  </r>
  <r>
    <n v="4508"/>
    <n v="63"/>
    <x v="0"/>
    <x v="6"/>
    <x v="27"/>
    <n v="64.58"/>
    <x v="0"/>
    <x v="0"/>
    <n v="3.5"/>
    <n v="6"/>
    <n v="3"/>
    <n v="68.702127659574472"/>
    <n v="4.122127659574474"/>
    <x v="0"/>
    <m/>
  </r>
  <r>
    <n v="4509"/>
    <n v="21"/>
    <x v="1"/>
    <x v="4"/>
    <x v="19"/>
    <n v="5.44"/>
    <x v="3"/>
    <x v="0"/>
    <n v="3.7"/>
    <n v="22"/>
    <n v="6"/>
    <n v="6.9743589743589745"/>
    <n v="1.5343589743589741"/>
    <x v="3"/>
    <m/>
  </r>
  <r>
    <n v="4510"/>
    <n v="52"/>
    <x v="1"/>
    <x v="5"/>
    <x v="5"/>
    <n v="1371.54"/>
    <x v="2"/>
    <x v="0"/>
    <n v="3.4"/>
    <n v="14"/>
    <n v="7"/>
    <n v="1594.8139534883721"/>
    <n v="223.27395348837217"/>
    <x v="4"/>
    <m/>
  </r>
  <r>
    <n v="4511"/>
    <n v="30"/>
    <x v="1"/>
    <x v="7"/>
    <x v="8"/>
    <n v="193.68"/>
    <x v="2"/>
    <x v="0"/>
    <n v="3.1"/>
    <n v="14"/>
    <n v="2"/>
    <n v="225.2093023255814"/>
    <n v="31.529302325581398"/>
    <x v="5"/>
    <m/>
  </r>
  <r>
    <n v="4512"/>
    <n v="70"/>
    <x v="0"/>
    <x v="8"/>
    <x v="14"/>
    <n v="142.97"/>
    <x v="2"/>
    <x v="0"/>
    <n v="4"/>
    <n v="17"/>
    <n v="6"/>
    <n v="172.25301204819277"/>
    <n v="29.283012048192774"/>
    <x v="2"/>
    <m/>
  </r>
  <r>
    <n v="4513"/>
    <n v="61"/>
    <x v="0"/>
    <x v="0"/>
    <x v="22"/>
    <n v="119.4"/>
    <x v="2"/>
    <x v="0"/>
    <n v="4.3"/>
    <n v="26"/>
    <n v="8"/>
    <n v="161.35135135135135"/>
    <n v="41.951351351351349"/>
    <x v="0"/>
    <m/>
  </r>
  <r>
    <n v="4514"/>
    <n v="55"/>
    <x v="0"/>
    <x v="8"/>
    <x v="17"/>
    <n v="178.14"/>
    <x v="0"/>
    <x v="0"/>
    <n v="4.7"/>
    <n v="16"/>
    <n v="3"/>
    <n v="212.07142857142856"/>
    <n v="33.931428571428569"/>
    <x v="0"/>
    <m/>
  </r>
  <r>
    <n v="4515"/>
    <n v="65"/>
    <x v="1"/>
    <x v="4"/>
    <x v="26"/>
    <n v="13.59"/>
    <x v="1"/>
    <x v="0"/>
    <n v="3.1"/>
    <n v="10"/>
    <n v="5"/>
    <n v="15.1"/>
    <n v="1.5099999999999998"/>
    <x v="2"/>
    <m/>
  </r>
  <r>
    <n v="4516"/>
    <n v="41"/>
    <x v="1"/>
    <x v="4"/>
    <x v="29"/>
    <n v="11.01"/>
    <x v="3"/>
    <x v="1"/>
    <n v="4.5999999999999996"/>
    <n v="13"/>
    <n v="4"/>
    <n v="12.655172413793103"/>
    <n v="1.6451724137931034"/>
    <x v="1"/>
    <m/>
  </r>
  <r>
    <n v="4517"/>
    <n v="35"/>
    <x v="1"/>
    <x v="2"/>
    <x v="10"/>
    <n v="156.76"/>
    <x v="2"/>
    <x v="0"/>
    <n v="3.3"/>
    <n v="6"/>
    <n v="3"/>
    <n v="166.7659574468085"/>
    <n v="10.005957446808509"/>
    <x v="1"/>
    <m/>
  </r>
  <r>
    <n v="4518"/>
    <n v="55"/>
    <x v="0"/>
    <x v="7"/>
    <x v="8"/>
    <n v="40.21"/>
    <x v="0"/>
    <x v="0"/>
    <n v="3.5"/>
    <n v="14"/>
    <n v="2"/>
    <n v="46.755813953488371"/>
    <n v="6.5458139534883699"/>
    <x v="0"/>
    <m/>
  </r>
  <r>
    <n v="4519"/>
    <n v="65"/>
    <x v="0"/>
    <x v="6"/>
    <x v="27"/>
    <n v="54.03"/>
    <x v="3"/>
    <x v="0"/>
    <n v="3.6"/>
    <n v="15"/>
    <n v="5"/>
    <n v="63.564705882352946"/>
    <n v="9.5347058823529451"/>
    <x v="2"/>
    <m/>
  </r>
  <r>
    <n v="4520"/>
    <n v="40"/>
    <x v="0"/>
    <x v="3"/>
    <x v="15"/>
    <n v="216.9"/>
    <x v="3"/>
    <x v="0"/>
    <n v="3.7"/>
    <n v="4"/>
    <n v="2"/>
    <n v="225.93750000000003"/>
    <n v="9.0375000000000227"/>
    <x v="1"/>
    <m/>
  </r>
  <r>
    <n v="4521"/>
    <n v="59"/>
    <x v="0"/>
    <x v="0"/>
    <x v="22"/>
    <n v="29.8"/>
    <x v="2"/>
    <x v="1"/>
    <n v="3.2"/>
    <n v="10"/>
    <n v="5"/>
    <n v="33.111111111111114"/>
    <n v="3.3111111111111136"/>
    <x v="0"/>
    <m/>
  </r>
  <r>
    <n v="4522"/>
    <n v="59"/>
    <x v="0"/>
    <x v="6"/>
    <x v="6"/>
    <n v="111.6"/>
    <x v="1"/>
    <x v="0"/>
    <n v="2.2000000000000002"/>
    <n v="4"/>
    <n v="2"/>
    <n v="116.25"/>
    <n v="4.6500000000000057"/>
    <x v="0"/>
    <m/>
  </r>
  <r>
    <n v="4523"/>
    <n v="70"/>
    <x v="0"/>
    <x v="8"/>
    <x v="17"/>
    <n v="161.66999999999999"/>
    <x v="2"/>
    <x v="0"/>
    <n v="3.8"/>
    <n v="17"/>
    <n v="6"/>
    <n v="194.78313253012047"/>
    <n v="33.113132530120481"/>
    <x v="2"/>
    <m/>
  </r>
  <r>
    <n v="4524"/>
    <n v="59"/>
    <x v="1"/>
    <x v="3"/>
    <x v="24"/>
    <n v="155.09"/>
    <x v="3"/>
    <x v="0"/>
    <n v="3.6"/>
    <n v="18"/>
    <n v="9"/>
    <n v="189.13414634146341"/>
    <n v="34.044146341463403"/>
    <x v="0"/>
    <m/>
  </r>
  <r>
    <n v="4525"/>
    <n v="61"/>
    <x v="0"/>
    <x v="2"/>
    <x v="2"/>
    <n v="140.07"/>
    <x v="3"/>
    <x v="0"/>
    <n v="4"/>
    <n v="10"/>
    <n v="5"/>
    <n v="155.63333333333333"/>
    <n v="15.563333333333333"/>
    <x v="0"/>
    <m/>
  </r>
  <r>
    <n v="4526"/>
    <n v="68"/>
    <x v="1"/>
    <x v="5"/>
    <x v="25"/>
    <n v="894.06"/>
    <x v="2"/>
    <x v="0"/>
    <n v="3.9"/>
    <n v="10"/>
    <n v="5"/>
    <n v="993.39999999999986"/>
    <n v="99.339999999999918"/>
    <x v="2"/>
    <m/>
  </r>
  <r>
    <n v="4527"/>
    <n v="45"/>
    <x v="0"/>
    <x v="7"/>
    <x v="8"/>
    <n v="232.18"/>
    <x v="2"/>
    <x v="0"/>
    <n v="4.5"/>
    <n v="20"/>
    <n v="5"/>
    <n v="290.22499999999997"/>
    <n v="58.044999999999959"/>
    <x v="4"/>
    <m/>
  </r>
  <r>
    <n v="4528"/>
    <n v="35"/>
    <x v="0"/>
    <x v="7"/>
    <x v="13"/>
    <n v="185.34"/>
    <x v="3"/>
    <x v="0"/>
    <n v="3.6"/>
    <n v="13"/>
    <n v="4"/>
    <n v="213.0344827586207"/>
    <n v="27.694482758620694"/>
    <x v="1"/>
    <m/>
  </r>
  <r>
    <n v="4529"/>
    <n v="54"/>
    <x v="1"/>
    <x v="2"/>
    <x v="12"/>
    <n v="245.45"/>
    <x v="3"/>
    <x v="0"/>
    <n v="3.6"/>
    <n v="8"/>
    <n v="4"/>
    <n v="266.79347826086956"/>
    <n v="21.343478260869574"/>
    <x v="4"/>
    <m/>
  </r>
  <r>
    <n v="4530"/>
    <n v="53"/>
    <x v="0"/>
    <x v="6"/>
    <x v="27"/>
    <n v="30.54"/>
    <x v="0"/>
    <x v="0"/>
    <n v="4"/>
    <n v="7"/>
    <n v="1"/>
    <n v="32.838709677419359"/>
    <n v="2.2987096774193603"/>
    <x v="4"/>
    <m/>
  </r>
  <r>
    <n v="4531"/>
    <n v="30"/>
    <x v="0"/>
    <x v="8"/>
    <x v="17"/>
    <n v="95.64"/>
    <x v="2"/>
    <x v="1"/>
    <n v="4.5"/>
    <n v="17"/>
    <n v="6"/>
    <n v="115.22891566265061"/>
    <n v="19.588915662650606"/>
    <x v="5"/>
    <m/>
  </r>
  <r>
    <n v="4532"/>
    <n v="52"/>
    <x v="1"/>
    <x v="1"/>
    <x v="1"/>
    <n v="134.28"/>
    <x v="2"/>
    <x v="0"/>
    <n v="3.1"/>
    <n v="8"/>
    <n v="4"/>
    <n v="145.95652173913044"/>
    <n v="11.676521739130436"/>
    <x v="4"/>
    <m/>
  </r>
  <r>
    <n v="4533"/>
    <n v="42"/>
    <x v="1"/>
    <x v="2"/>
    <x v="2"/>
    <n v="249.3"/>
    <x v="3"/>
    <x v="0"/>
    <n v="5"/>
    <n v="18"/>
    <n v="4"/>
    <n v="304.02439024390242"/>
    <n v="54.724390243902405"/>
    <x v="1"/>
    <m/>
  </r>
  <r>
    <n v="4534"/>
    <n v="44"/>
    <x v="1"/>
    <x v="7"/>
    <x v="13"/>
    <n v="55.33"/>
    <x v="3"/>
    <x v="0"/>
    <n v="4.5"/>
    <n v="28"/>
    <n v="9"/>
    <n v="76.847222222222229"/>
    <n v="21.51722222222223"/>
    <x v="1"/>
    <m/>
  </r>
  <r>
    <n v="4535"/>
    <n v="60"/>
    <x v="1"/>
    <x v="4"/>
    <x v="4"/>
    <n v="10.3"/>
    <x v="1"/>
    <x v="1"/>
    <n v="3.9"/>
    <n v="17"/>
    <n v="6"/>
    <n v="12.409638554216869"/>
    <n v="2.1096385542168683"/>
    <x v="0"/>
    <m/>
  </r>
  <r>
    <n v="4536"/>
    <n v="22"/>
    <x v="0"/>
    <x v="7"/>
    <x v="8"/>
    <n v="109.51"/>
    <x v="1"/>
    <x v="0"/>
    <n v="4.8"/>
    <n v="10"/>
    <n v="5"/>
    <n v="121.67777777777778"/>
    <n v="12.167777777777772"/>
    <x v="3"/>
    <m/>
  </r>
  <r>
    <n v="4537"/>
    <n v="31"/>
    <x v="1"/>
    <x v="5"/>
    <x v="7"/>
    <n v="1550.91"/>
    <x v="1"/>
    <x v="0"/>
    <n v="2.1"/>
    <n v="9"/>
    <n v="2"/>
    <n v="1704.2967032967033"/>
    <n v="153.38670329670322"/>
    <x v="5"/>
    <m/>
  </r>
  <r>
    <n v="4538"/>
    <n v="38"/>
    <x v="1"/>
    <x v="7"/>
    <x v="13"/>
    <n v="192.19"/>
    <x v="0"/>
    <x v="0"/>
    <n v="3.5"/>
    <n v="11"/>
    <n v="3"/>
    <n v="215.9438202247191"/>
    <n v="23.753820224719107"/>
    <x v="1"/>
    <m/>
  </r>
  <r>
    <n v="4539"/>
    <n v="49"/>
    <x v="1"/>
    <x v="5"/>
    <x v="7"/>
    <n v="2208.2199999999998"/>
    <x v="3"/>
    <x v="0"/>
    <n v="3.8"/>
    <n v="8"/>
    <n v="4"/>
    <n v="2400.2391304347825"/>
    <n v="192.01913043478271"/>
    <x v="4"/>
    <m/>
  </r>
  <r>
    <n v="4540"/>
    <n v="23"/>
    <x v="0"/>
    <x v="2"/>
    <x v="12"/>
    <n v="37.85"/>
    <x v="2"/>
    <x v="0"/>
    <n v="3.1"/>
    <n v="19"/>
    <n v="7"/>
    <n v="46.728395061728392"/>
    <n v="8.8783950617283907"/>
    <x v="3"/>
    <m/>
  </r>
  <r>
    <n v="4541"/>
    <n v="40"/>
    <x v="0"/>
    <x v="7"/>
    <x v="13"/>
    <n v="96.16"/>
    <x v="3"/>
    <x v="1"/>
    <n v="4.0999999999999996"/>
    <n v="14"/>
    <n v="2"/>
    <n v="111.81395348837209"/>
    <n v="15.653953488372096"/>
    <x v="1"/>
    <m/>
  </r>
  <r>
    <n v="4542"/>
    <n v="62"/>
    <x v="1"/>
    <x v="7"/>
    <x v="8"/>
    <n v="73.58"/>
    <x v="1"/>
    <x v="0"/>
    <n v="3.2"/>
    <n v="10"/>
    <n v="5"/>
    <n v="81.755555555555546"/>
    <n v="8.1755555555555475"/>
    <x v="0"/>
    <m/>
  </r>
  <r>
    <n v="4543"/>
    <n v="27"/>
    <x v="0"/>
    <x v="7"/>
    <x v="8"/>
    <n v="108.25"/>
    <x v="2"/>
    <x v="0"/>
    <n v="4.4000000000000004"/>
    <n v="15"/>
    <n v="5"/>
    <n v="127.35294117647059"/>
    <n v="19.102941176470594"/>
    <x v="5"/>
    <m/>
  </r>
  <r>
    <n v="4544"/>
    <n v="35"/>
    <x v="0"/>
    <x v="2"/>
    <x v="2"/>
    <n v="84.39"/>
    <x v="3"/>
    <x v="0"/>
    <n v="4.8"/>
    <n v="19"/>
    <n v="7"/>
    <n v="104.18518518518518"/>
    <n v="19.795185185185176"/>
    <x v="1"/>
    <m/>
  </r>
  <r>
    <n v="4545"/>
    <n v="21"/>
    <x v="1"/>
    <x v="5"/>
    <x v="21"/>
    <n v="2196.35"/>
    <x v="2"/>
    <x v="0"/>
    <n v="3.8"/>
    <n v="10"/>
    <n v="5"/>
    <n v="2440.3888888888887"/>
    <n v="244.03888888888878"/>
    <x v="3"/>
    <m/>
  </r>
  <r>
    <n v="4546"/>
    <n v="55"/>
    <x v="1"/>
    <x v="1"/>
    <x v="9"/>
    <n v="56.1"/>
    <x v="2"/>
    <x v="0"/>
    <n v="5"/>
    <n v="12"/>
    <n v="6"/>
    <n v="63.75"/>
    <n v="7.6499999999999986"/>
    <x v="0"/>
    <m/>
  </r>
  <r>
    <n v="4547"/>
    <n v="49"/>
    <x v="1"/>
    <x v="1"/>
    <x v="20"/>
    <n v="115.95"/>
    <x v="1"/>
    <x v="0"/>
    <n v="3.7"/>
    <n v="15"/>
    <n v="5"/>
    <n v="136.41176470588235"/>
    <n v="20.461764705882345"/>
    <x v="4"/>
    <m/>
  </r>
  <r>
    <n v="4548"/>
    <n v="60"/>
    <x v="1"/>
    <x v="2"/>
    <x v="2"/>
    <n v="122.97"/>
    <x v="0"/>
    <x v="0"/>
    <n v="3.8"/>
    <n v="9"/>
    <n v="2"/>
    <n v="135.13186813186812"/>
    <n v="12.161868131868118"/>
    <x v="0"/>
    <m/>
  </r>
  <r>
    <n v="4549"/>
    <n v="46"/>
    <x v="1"/>
    <x v="5"/>
    <x v="5"/>
    <n v="561.66"/>
    <x v="3"/>
    <x v="0"/>
    <n v="3.8"/>
    <n v="12"/>
    <n v="6"/>
    <n v="638.25"/>
    <n v="76.590000000000032"/>
    <x v="4"/>
    <m/>
  </r>
  <r>
    <n v="4550"/>
    <n v="69"/>
    <x v="0"/>
    <x v="8"/>
    <x v="17"/>
    <n v="73.88"/>
    <x v="3"/>
    <x v="0"/>
    <n v="4.3"/>
    <n v="17"/>
    <n v="6"/>
    <n v="89.01204819277109"/>
    <n v="15.132048192771094"/>
    <x v="2"/>
    <m/>
  </r>
  <r>
    <n v="4551"/>
    <n v="49"/>
    <x v="0"/>
    <x v="7"/>
    <x v="11"/>
    <n v="96.13"/>
    <x v="1"/>
    <x v="1"/>
    <n v="4"/>
    <n v="15"/>
    <n v="5"/>
    <n v="113.09411764705882"/>
    <n v="16.964117647058828"/>
    <x v="4"/>
    <m/>
  </r>
  <r>
    <n v="4552"/>
    <n v="58"/>
    <x v="1"/>
    <x v="1"/>
    <x v="9"/>
    <n v="128.34"/>
    <x v="1"/>
    <x v="0"/>
    <n v="3.6"/>
    <n v="22"/>
    <n v="6"/>
    <n v="164.53846153846155"/>
    <n v="36.198461538461544"/>
    <x v="0"/>
    <m/>
  </r>
  <r>
    <n v="4553"/>
    <n v="22"/>
    <x v="1"/>
    <x v="4"/>
    <x v="26"/>
    <n v="36.200000000000003"/>
    <x v="0"/>
    <x v="1"/>
    <n v="5"/>
    <n v="20"/>
    <n v="5"/>
    <n v="45.25"/>
    <n v="9.0499999999999972"/>
    <x v="3"/>
    <m/>
  </r>
  <r>
    <n v="4554"/>
    <n v="50"/>
    <x v="0"/>
    <x v="6"/>
    <x v="27"/>
    <n v="22.59"/>
    <x v="1"/>
    <x v="1"/>
    <n v="3.9"/>
    <n v="20"/>
    <n v="5"/>
    <n v="28.237499999999997"/>
    <n v="5.6474999999999973"/>
    <x v="4"/>
    <m/>
  </r>
  <r>
    <n v="4555"/>
    <n v="41"/>
    <x v="0"/>
    <x v="7"/>
    <x v="11"/>
    <n v="55.08"/>
    <x v="1"/>
    <x v="1"/>
    <n v="4"/>
    <n v="26"/>
    <n v="8"/>
    <n v="74.432432432432435"/>
    <n v="19.352432432432437"/>
    <x v="1"/>
    <m/>
  </r>
  <r>
    <n v="4556"/>
    <n v="68"/>
    <x v="0"/>
    <x v="0"/>
    <x v="28"/>
    <n v="121.36"/>
    <x v="2"/>
    <x v="0"/>
    <n v="2.7"/>
    <n v="15"/>
    <n v="5"/>
    <n v="142.7764705882353"/>
    <n v="21.416470588235299"/>
    <x v="2"/>
    <m/>
  </r>
  <r>
    <n v="4557"/>
    <n v="67"/>
    <x v="1"/>
    <x v="7"/>
    <x v="8"/>
    <n v="202.9"/>
    <x v="0"/>
    <x v="0"/>
    <n v="3.7"/>
    <n v="20"/>
    <n v="5"/>
    <n v="253.625"/>
    <n v="50.724999999999994"/>
    <x v="2"/>
    <m/>
  </r>
  <r>
    <n v="4558"/>
    <n v="67"/>
    <x v="1"/>
    <x v="1"/>
    <x v="14"/>
    <n v="185.7"/>
    <x v="0"/>
    <x v="0"/>
    <n v="3.1"/>
    <n v="2"/>
    <n v="1"/>
    <n v="189.48979591836735"/>
    <n v="3.7897959183673606"/>
    <x v="2"/>
    <m/>
  </r>
  <r>
    <n v="4559"/>
    <n v="24"/>
    <x v="1"/>
    <x v="1"/>
    <x v="14"/>
    <n v="156.16999999999999"/>
    <x v="1"/>
    <x v="0"/>
    <n v="4.0999999999999996"/>
    <n v="11"/>
    <n v="3"/>
    <n v="175.47191011235952"/>
    <n v="19.301910112359536"/>
    <x v="3"/>
    <m/>
  </r>
  <r>
    <n v="4560"/>
    <n v="56"/>
    <x v="0"/>
    <x v="6"/>
    <x v="6"/>
    <n v="32.07"/>
    <x v="3"/>
    <x v="0"/>
    <n v="3.7"/>
    <n v="34"/>
    <n v="12"/>
    <n v="48.590909090909101"/>
    <n v="16.5209090909091"/>
    <x v="0"/>
    <m/>
  </r>
  <r>
    <n v="4561"/>
    <n v="70"/>
    <x v="0"/>
    <x v="4"/>
    <x v="19"/>
    <n v="65.38"/>
    <x v="3"/>
    <x v="1"/>
    <n v="3.7"/>
    <n v="20"/>
    <n v="5"/>
    <n v="81.724999999999994"/>
    <n v="16.344999999999999"/>
    <x v="2"/>
    <m/>
  </r>
  <r>
    <n v="4562"/>
    <n v="62"/>
    <x v="0"/>
    <x v="7"/>
    <x v="8"/>
    <n v="48.76"/>
    <x v="0"/>
    <x v="0"/>
    <n v="3.4"/>
    <n v="10"/>
    <n v="5"/>
    <n v="54.177777777777777"/>
    <n v="5.4177777777777791"/>
    <x v="0"/>
    <m/>
  </r>
  <r>
    <n v="4563"/>
    <n v="55"/>
    <x v="0"/>
    <x v="7"/>
    <x v="11"/>
    <n v="133.82"/>
    <x v="1"/>
    <x v="0"/>
    <n v="4.5"/>
    <n v="17"/>
    <n v="6"/>
    <n v="161.22891566265059"/>
    <n v="27.4089156626506"/>
    <x v="0"/>
    <m/>
  </r>
  <r>
    <n v="4564"/>
    <n v="41"/>
    <x v="0"/>
    <x v="2"/>
    <x v="10"/>
    <n v="189.59"/>
    <x v="0"/>
    <x v="0"/>
    <n v="3"/>
    <n v="10"/>
    <n v="5"/>
    <n v="210.65555555555557"/>
    <n v="21.065555555555562"/>
    <x v="1"/>
    <m/>
  </r>
  <r>
    <n v="4565"/>
    <n v="64"/>
    <x v="0"/>
    <x v="0"/>
    <x v="0"/>
    <n v="129.44999999999999"/>
    <x v="0"/>
    <x v="0"/>
    <n v="3.9"/>
    <n v="13"/>
    <n v="4"/>
    <n v="148.79310344827584"/>
    <n v="19.343103448275855"/>
    <x v="0"/>
    <m/>
  </r>
  <r>
    <n v="4566"/>
    <n v="67"/>
    <x v="1"/>
    <x v="7"/>
    <x v="11"/>
    <n v="151.13"/>
    <x v="0"/>
    <x v="0"/>
    <n v="3.6"/>
    <n v="4"/>
    <n v="2"/>
    <n v="157.42708333333334"/>
    <n v="6.2970833333333474"/>
    <x v="2"/>
    <m/>
  </r>
  <r>
    <n v="4567"/>
    <n v="30"/>
    <x v="1"/>
    <x v="7"/>
    <x v="13"/>
    <n v="122.89"/>
    <x v="2"/>
    <x v="0"/>
    <n v="5"/>
    <n v="13"/>
    <n v="4"/>
    <n v="141.2528735632184"/>
    <n v="18.3628735632184"/>
    <x v="5"/>
    <m/>
  </r>
  <r>
    <n v="4568"/>
    <n v="70"/>
    <x v="1"/>
    <x v="7"/>
    <x v="11"/>
    <n v="112.06"/>
    <x v="1"/>
    <x v="0"/>
    <n v="5"/>
    <n v="25"/>
    <n v="10"/>
    <n v="149.41333333333333"/>
    <n v="37.353333333333325"/>
    <x v="2"/>
    <m/>
  </r>
  <r>
    <n v="4569"/>
    <n v="66"/>
    <x v="0"/>
    <x v="2"/>
    <x v="12"/>
    <n v="115.8"/>
    <x v="2"/>
    <x v="0"/>
    <n v="3.2"/>
    <n v="12"/>
    <n v="1"/>
    <n v="131.59090909090909"/>
    <n v="15.790909090909096"/>
    <x v="2"/>
    <m/>
  </r>
  <r>
    <n v="4570"/>
    <n v="55"/>
    <x v="0"/>
    <x v="4"/>
    <x v="19"/>
    <n v="68.87"/>
    <x v="0"/>
    <x v="1"/>
    <n v="4"/>
    <n v="6"/>
    <n v="3"/>
    <n v="73.265957446808514"/>
    <n v="4.3959574468085094"/>
    <x v="0"/>
    <m/>
  </r>
  <r>
    <n v="4571"/>
    <n v="63"/>
    <x v="1"/>
    <x v="1"/>
    <x v="14"/>
    <n v="99.6"/>
    <x v="0"/>
    <x v="1"/>
    <n v="4.5999999999999996"/>
    <n v="14"/>
    <n v="2"/>
    <n v="115.81395348837209"/>
    <n v="16.213953488372098"/>
    <x v="0"/>
    <m/>
  </r>
  <r>
    <n v="4572"/>
    <n v="65"/>
    <x v="1"/>
    <x v="2"/>
    <x v="10"/>
    <n v="112.71"/>
    <x v="2"/>
    <x v="0"/>
    <n v="4.7"/>
    <n v="25"/>
    <n v="10"/>
    <n v="150.28"/>
    <n v="37.570000000000007"/>
    <x v="2"/>
    <m/>
  </r>
  <r>
    <n v="4573"/>
    <n v="42"/>
    <x v="1"/>
    <x v="7"/>
    <x v="8"/>
    <n v="176.05"/>
    <x v="3"/>
    <x v="0"/>
    <n v="4.3"/>
    <n v="10"/>
    <n v="5"/>
    <n v="195.61111111111111"/>
    <n v="19.561111111111103"/>
    <x v="1"/>
    <m/>
  </r>
  <r>
    <n v="4574"/>
    <n v="53"/>
    <x v="1"/>
    <x v="2"/>
    <x v="2"/>
    <n v="122.14"/>
    <x v="3"/>
    <x v="0"/>
    <n v="4.7"/>
    <n v="17"/>
    <n v="6"/>
    <n v="147.15662650602411"/>
    <n v="25.01662650602411"/>
    <x v="4"/>
    <m/>
  </r>
  <r>
    <n v="4575"/>
    <n v="29"/>
    <x v="0"/>
    <x v="8"/>
    <x v="16"/>
    <n v="70.08"/>
    <x v="2"/>
    <x v="0"/>
    <n v="3.1"/>
    <n v="8"/>
    <n v="4"/>
    <n v="76.173913043478251"/>
    <n v="6.0939130434782527"/>
    <x v="5"/>
    <m/>
  </r>
  <r>
    <n v="4576"/>
    <n v="31"/>
    <x v="0"/>
    <x v="3"/>
    <x v="15"/>
    <n v="212.12"/>
    <x v="1"/>
    <x v="0"/>
    <n v="3.6"/>
    <n v="8"/>
    <n v="4"/>
    <n v="230.56521739130434"/>
    <n v="18.44521739130434"/>
    <x v="5"/>
    <m/>
  </r>
  <r>
    <n v="4577"/>
    <n v="22"/>
    <x v="1"/>
    <x v="1"/>
    <x v="9"/>
    <n v="132.21"/>
    <x v="1"/>
    <x v="0"/>
    <n v="4.2"/>
    <n v="12"/>
    <n v="6"/>
    <n v="150.23863636363637"/>
    <n v="18.028636363636366"/>
    <x v="3"/>
    <m/>
  </r>
  <r>
    <n v="4578"/>
    <n v="61"/>
    <x v="1"/>
    <x v="3"/>
    <x v="15"/>
    <n v="30.41"/>
    <x v="1"/>
    <x v="0"/>
    <n v="4.5"/>
    <n v="24"/>
    <n v="7"/>
    <n v="40.013157894736842"/>
    <n v="9.6031578947368423"/>
    <x v="0"/>
    <m/>
  </r>
  <r>
    <n v="4579"/>
    <n v="70"/>
    <x v="0"/>
    <x v="8"/>
    <x v="16"/>
    <n v="155.75"/>
    <x v="1"/>
    <x v="0"/>
    <n v="4.8"/>
    <n v="26"/>
    <n v="8"/>
    <n v="210.47297297297297"/>
    <n v="54.722972972972968"/>
    <x v="2"/>
    <m/>
  </r>
  <r>
    <n v="4580"/>
    <n v="23"/>
    <x v="0"/>
    <x v="8"/>
    <x v="17"/>
    <n v="139.63999999999999"/>
    <x v="3"/>
    <x v="0"/>
    <n v="3.2"/>
    <n v="13"/>
    <n v="4"/>
    <n v="160.50574712643677"/>
    <n v="20.865747126436787"/>
    <x v="3"/>
    <m/>
  </r>
  <r>
    <n v="4581"/>
    <n v="37"/>
    <x v="0"/>
    <x v="8"/>
    <x v="16"/>
    <n v="68.14"/>
    <x v="1"/>
    <x v="0"/>
    <n v="5"/>
    <n v="15"/>
    <n v="5"/>
    <n v="80.164705882352948"/>
    <n v="12.024705882352947"/>
    <x v="1"/>
    <m/>
  </r>
  <r>
    <n v="4582"/>
    <n v="46"/>
    <x v="0"/>
    <x v="6"/>
    <x v="27"/>
    <n v="90.16"/>
    <x v="0"/>
    <x v="1"/>
    <n v="3.4"/>
    <n v="8"/>
    <n v="4"/>
    <n v="97.999999999999986"/>
    <n v="7.8399999999999892"/>
    <x v="4"/>
    <m/>
  </r>
  <r>
    <n v="4583"/>
    <n v="30"/>
    <x v="1"/>
    <x v="4"/>
    <x v="29"/>
    <n v="31.14"/>
    <x v="3"/>
    <x v="1"/>
    <n v="4.3"/>
    <n v="22"/>
    <n v="6"/>
    <n v="39.92307692307692"/>
    <n v="8.7830769230769192"/>
    <x v="5"/>
    <m/>
  </r>
  <r>
    <n v="4584"/>
    <n v="40"/>
    <x v="0"/>
    <x v="6"/>
    <x v="6"/>
    <n v="58.36"/>
    <x v="2"/>
    <x v="1"/>
    <n v="3.4"/>
    <n v="16"/>
    <n v="3"/>
    <n v="69.476190476190482"/>
    <n v="11.116190476190482"/>
    <x v="1"/>
    <m/>
  </r>
  <r>
    <n v="4585"/>
    <n v="22"/>
    <x v="0"/>
    <x v="7"/>
    <x v="11"/>
    <n v="185.34"/>
    <x v="2"/>
    <x v="0"/>
    <n v="3.7"/>
    <n v="13"/>
    <n v="4"/>
    <n v="213.0344827586207"/>
    <n v="27.694482758620694"/>
    <x v="3"/>
    <m/>
  </r>
  <r>
    <n v="4586"/>
    <n v="36"/>
    <x v="0"/>
    <x v="7"/>
    <x v="13"/>
    <n v="195.92"/>
    <x v="1"/>
    <x v="0"/>
    <n v="3.3"/>
    <n v="8"/>
    <n v="4"/>
    <n v="212.95652173913041"/>
    <n v="17.036521739130421"/>
    <x v="1"/>
    <m/>
  </r>
  <r>
    <n v="4587"/>
    <n v="37"/>
    <x v="0"/>
    <x v="6"/>
    <x v="27"/>
    <n v="126.73"/>
    <x v="3"/>
    <x v="0"/>
    <n v="4.4000000000000004"/>
    <n v="18"/>
    <n v="4"/>
    <n v="154.54878048780486"/>
    <n v="27.818780487804858"/>
    <x v="1"/>
    <m/>
  </r>
  <r>
    <n v="4588"/>
    <n v="36"/>
    <x v="1"/>
    <x v="2"/>
    <x v="12"/>
    <n v="57.52"/>
    <x v="2"/>
    <x v="1"/>
    <n v="3.6"/>
    <n v="17"/>
    <n v="6"/>
    <n v="69.301204819277118"/>
    <n v="11.781204819277114"/>
    <x v="1"/>
    <m/>
  </r>
  <r>
    <n v="4589"/>
    <n v="63"/>
    <x v="0"/>
    <x v="2"/>
    <x v="10"/>
    <n v="50.03"/>
    <x v="3"/>
    <x v="1"/>
    <n v="4.9000000000000004"/>
    <n v="13"/>
    <n v="4"/>
    <n v="57.505747126436781"/>
    <n v="7.4757471264367794"/>
    <x v="0"/>
    <m/>
  </r>
  <r>
    <n v="4590"/>
    <n v="55"/>
    <x v="1"/>
    <x v="7"/>
    <x v="8"/>
    <n v="127.27"/>
    <x v="1"/>
    <x v="0"/>
    <n v="3.8"/>
    <n v="17"/>
    <n v="6"/>
    <n v="153.33734939759037"/>
    <n v="26.067349397590377"/>
    <x v="0"/>
    <m/>
  </r>
  <r>
    <n v="4591"/>
    <n v="59"/>
    <x v="1"/>
    <x v="7"/>
    <x v="11"/>
    <n v="146.82"/>
    <x v="0"/>
    <x v="0"/>
    <n v="2.8"/>
    <n v="9"/>
    <n v="2"/>
    <n v="161.34065934065933"/>
    <n v="14.520659340659336"/>
    <x v="0"/>
    <m/>
  </r>
  <r>
    <n v="4592"/>
    <n v="27"/>
    <x v="1"/>
    <x v="5"/>
    <x v="25"/>
    <n v="1476.44"/>
    <x v="0"/>
    <x v="0"/>
    <n v="5"/>
    <n v="16"/>
    <n v="3"/>
    <n v="1757.6666666666667"/>
    <n v="281.22666666666669"/>
    <x v="5"/>
    <m/>
  </r>
  <r>
    <n v="4593"/>
    <n v="40"/>
    <x v="0"/>
    <x v="3"/>
    <x v="24"/>
    <n v="67.92"/>
    <x v="1"/>
    <x v="0"/>
    <n v="4.5999999999999996"/>
    <n v="12"/>
    <n v="6"/>
    <n v="77.181818181818187"/>
    <n v="9.2618181818181853"/>
    <x v="1"/>
    <m/>
  </r>
  <r>
    <n v="4594"/>
    <n v="45"/>
    <x v="0"/>
    <x v="6"/>
    <x v="27"/>
    <n v="78.650000000000006"/>
    <x v="2"/>
    <x v="1"/>
    <n v="3.6"/>
    <n v="18"/>
    <n v="4"/>
    <n v="95.91463414634147"/>
    <n v="17.264634146341464"/>
    <x v="4"/>
    <m/>
  </r>
  <r>
    <n v="4595"/>
    <n v="64"/>
    <x v="1"/>
    <x v="1"/>
    <x v="20"/>
    <n v="158.12"/>
    <x v="3"/>
    <x v="0"/>
    <n v="3.9"/>
    <n v="4"/>
    <n v="2"/>
    <n v="164.70833333333334"/>
    <n v="6.5883333333333383"/>
    <x v="0"/>
    <m/>
  </r>
  <r>
    <n v="4596"/>
    <n v="44"/>
    <x v="0"/>
    <x v="0"/>
    <x v="22"/>
    <n v="92.21"/>
    <x v="1"/>
    <x v="0"/>
    <n v="2.9"/>
    <n v="15"/>
    <n v="5"/>
    <n v="108.48235294117647"/>
    <n v="16.272352941176479"/>
    <x v="1"/>
    <m/>
  </r>
  <r>
    <n v="4597"/>
    <n v="27"/>
    <x v="1"/>
    <x v="1"/>
    <x v="1"/>
    <n v="86.53"/>
    <x v="2"/>
    <x v="0"/>
    <n v="4.0999999999999996"/>
    <n v="5"/>
    <n v="0"/>
    <n v="91.0842105263158"/>
    <n v="4.5542105263157993"/>
    <x v="5"/>
    <m/>
  </r>
  <r>
    <n v="4598"/>
    <n v="64"/>
    <x v="0"/>
    <x v="7"/>
    <x v="8"/>
    <n v="233.47"/>
    <x v="0"/>
    <x v="0"/>
    <n v="4.8"/>
    <n v="6"/>
    <n v="3"/>
    <n v="248.37234042553192"/>
    <n v="14.902340425531918"/>
    <x v="0"/>
    <m/>
  </r>
  <r>
    <n v="4599"/>
    <n v="60"/>
    <x v="1"/>
    <x v="3"/>
    <x v="15"/>
    <n v="82.83"/>
    <x v="1"/>
    <x v="1"/>
    <n v="3.6"/>
    <n v="21"/>
    <n v="8"/>
    <n v="104.84810126582278"/>
    <n v="22.018101265822779"/>
    <x v="0"/>
    <m/>
  </r>
  <r>
    <n v="4600"/>
    <n v="60"/>
    <x v="0"/>
    <x v="2"/>
    <x v="2"/>
    <n v="217.78"/>
    <x v="2"/>
    <x v="0"/>
    <n v="4.8"/>
    <n v="18"/>
    <n v="4"/>
    <n v="265.58536585365852"/>
    <n v="47.805365853658515"/>
    <x v="0"/>
    <m/>
  </r>
  <r>
    <n v="4601"/>
    <n v="68"/>
    <x v="0"/>
    <x v="7"/>
    <x v="13"/>
    <n v="69.89"/>
    <x v="0"/>
    <x v="1"/>
    <n v="3.9"/>
    <n v="9"/>
    <n v="2"/>
    <n v="76.802197802197796"/>
    <n v="6.9121978021977952"/>
    <x v="2"/>
    <m/>
  </r>
  <r>
    <n v="4602"/>
    <n v="23"/>
    <x v="0"/>
    <x v="6"/>
    <x v="6"/>
    <n v="86.48"/>
    <x v="2"/>
    <x v="0"/>
    <n v="4.3"/>
    <n v="13"/>
    <n v="4"/>
    <n v="99.402298850574724"/>
    <n v="12.92229885057472"/>
    <x v="3"/>
    <m/>
  </r>
  <r>
    <n v="4603"/>
    <n v="63"/>
    <x v="1"/>
    <x v="2"/>
    <x v="10"/>
    <n v="29.89"/>
    <x v="0"/>
    <x v="1"/>
    <n v="3.9"/>
    <n v="14"/>
    <n v="7"/>
    <n v="34.755813953488371"/>
    <n v="4.8658139534883702"/>
    <x v="0"/>
    <m/>
  </r>
  <r>
    <n v="4604"/>
    <n v="25"/>
    <x v="1"/>
    <x v="2"/>
    <x v="12"/>
    <n v="30.91"/>
    <x v="0"/>
    <x v="1"/>
    <n v="3.9"/>
    <n v="22"/>
    <n v="6"/>
    <n v="39.628205128205124"/>
    <n v="8.7182051282051241"/>
    <x v="5"/>
    <m/>
  </r>
  <r>
    <n v="4605"/>
    <n v="44"/>
    <x v="0"/>
    <x v="6"/>
    <x v="27"/>
    <n v="138.36000000000001"/>
    <x v="2"/>
    <x v="0"/>
    <n v="4.4000000000000004"/>
    <n v="16"/>
    <n v="3"/>
    <n v="164.71428571428575"/>
    <n v="26.354285714285737"/>
    <x v="1"/>
    <m/>
  </r>
  <r>
    <n v="4606"/>
    <n v="48"/>
    <x v="0"/>
    <x v="8"/>
    <x v="18"/>
    <n v="42.2"/>
    <x v="2"/>
    <x v="1"/>
    <n v="3.1"/>
    <n v="16"/>
    <n v="3"/>
    <n v="50.238095238095241"/>
    <n v="8.038095238095238"/>
    <x v="4"/>
    <m/>
  </r>
  <r>
    <n v="4607"/>
    <n v="30"/>
    <x v="0"/>
    <x v="8"/>
    <x v="18"/>
    <n v="137.13"/>
    <x v="3"/>
    <x v="0"/>
    <n v="4.4000000000000004"/>
    <n v="16"/>
    <n v="3"/>
    <n v="163.25"/>
    <n v="26.120000000000005"/>
    <x v="5"/>
    <m/>
  </r>
  <r>
    <n v="4608"/>
    <n v="24"/>
    <x v="1"/>
    <x v="3"/>
    <x v="3"/>
    <n v="232.57"/>
    <x v="3"/>
    <x v="0"/>
    <n v="3.6"/>
    <n v="26"/>
    <n v="8"/>
    <n v="314.2837837837838"/>
    <n v="81.713783783783811"/>
    <x v="3"/>
    <m/>
  </r>
  <r>
    <n v="4609"/>
    <n v="25"/>
    <x v="0"/>
    <x v="0"/>
    <x v="0"/>
    <n v="22.59"/>
    <x v="2"/>
    <x v="1"/>
    <n v="2.9"/>
    <n v="12"/>
    <n v="6"/>
    <n v="25.670454545454547"/>
    <n v="3.0804545454545469"/>
    <x v="5"/>
    <m/>
  </r>
  <r>
    <n v="4610"/>
    <n v="50"/>
    <x v="1"/>
    <x v="5"/>
    <x v="7"/>
    <n v="2642.49"/>
    <x v="2"/>
    <x v="0"/>
    <n v="3.5"/>
    <n v="20"/>
    <n v="5"/>
    <n v="3303.1124999999997"/>
    <n v="660.62249999999995"/>
    <x v="4"/>
    <m/>
  </r>
  <r>
    <n v="4611"/>
    <n v="64"/>
    <x v="0"/>
    <x v="6"/>
    <x v="27"/>
    <n v="103.84"/>
    <x v="1"/>
    <x v="0"/>
    <n v="4.3"/>
    <n v="14"/>
    <n v="7"/>
    <n v="120.74418604651163"/>
    <n v="16.904186046511626"/>
    <x v="0"/>
    <m/>
  </r>
  <r>
    <n v="4612"/>
    <n v="28"/>
    <x v="0"/>
    <x v="6"/>
    <x v="6"/>
    <n v="107.9"/>
    <x v="3"/>
    <x v="0"/>
    <n v="3.2"/>
    <n v="11"/>
    <n v="3"/>
    <n v="121.23595505617978"/>
    <n v="13.33595505617977"/>
    <x v="5"/>
    <m/>
  </r>
  <r>
    <n v="4613"/>
    <n v="55"/>
    <x v="1"/>
    <x v="2"/>
    <x v="12"/>
    <n v="175.64"/>
    <x v="3"/>
    <x v="0"/>
    <n v="4.4000000000000004"/>
    <n v="18"/>
    <n v="9"/>
    <n v="214.19512195121948"/>
    <n v="38.55512195121949"/>
    <x v="0"/>
    <m/>
  </r>
  <r>
    <n v="4614"/>
    <n v="42"/>
    <x v="1"/>
    <x v="5"/>
    <x v="5"/>
    <n v="909.94"/>
    <x v="0"/>
    <x v="0"/>
    <n v="3.5"/>
    <n v="19"/>
    <n v="7"/>
    <n v="1123.3827160493827"/>
    <n v="213.44271604938262"/>
    <x v="1"/>
    <m/>
  </r>
  <r>
    <n v="4615"/>
    <n v="37"/>
    <x v="1"/>
    <x v="2"/>
    <x v="12"/>
    <n v="72.13"/>
    <x v="0"/>
    <x v="1"/>
    <n v="3.6"/>
    <n v="12"/>
    <n v="6"/>
    <n v="81.965909090909079"/>
    <n v="9.8359090909090838"/>
    <x v="1"/>
    <m/>
  </r>
  <r>
    <n v="4616"/>
    <n v="60"/>
    <x v="0"/>
    <x v="7"/>
    <x v="8"/>
    <n v="150.30000000000001"/>
    <x v="3"/>
    <x v="0"/>
    <n v="4.2"/>
    <n v="22"/>
    <n v="6"/>
    <n v="192.69230769230771"/>
    <n v="42.392307692307696"/>
    <x v="0"/>
    <m/>
  </r>
  <r>
    <n v="4617"/>
    <n v="32"/>
    <x v="1"/>
    <x v="2"/>
    <x v="2"/>
    <n v="59.98"/>
    <x v="0"/>
    <x v="1"/>
    <n v="4.4000000000000004"/>
    <n v="11"/>
    <n v="3"/>
    <n v="67.393258426966284"/>
    <n v="7.4132584269662871"/>
    <x v="5"/>
    <m/>
  </r>
  <r>
    <n v="4618"/>
    <n v="38"/>
    <x v="0"/>
    <x v="8"/>
    <x v="14"/>
    <n v="55.88"/>
    <x v="2"/>
    <x v="0"/>
    <n v="4.9000000000000004"/>
    <n v="18"/>
    <n v="9"/>
    <n v="68.146341463414629"/>
    <n v="12.266341463414626"/>
    <x v="1"/>
    <m/>
  </r>
  <r>
    <n v="4619"/>
    <n v="62"/>
    <x v="1"/>
    <x v="1"/>
    <x v="14"/>
    <n v="86.82"/>
    <x v="3"/>
    <x v="1"/>
    <n v="3"/>
    <n v="11"/>
    <n v="3"/>
    <n v="97.550561797752806"/>
    <n v="10.730561797752813"/>
    <x v="0"/>
    <m/>
  </r>
  <r>
    <n v="4620"/>
    <n v="58"/>
    <x v="1"/>
    <x v="2"/>
    <x v="2"/>
    <n v="88.53"/>
    <x v="2"/>
    <x v="0"/>
    <n v="3.5"/>
    <n v="13"/>
    <n v="4"/>
    <n v="101.75862068965517"/>
    <n v="13.228620689655173"/>
    <x v="0"/>
    <m/>
  </r>
  <r>
    <n v="4621"/>
    <n v="20"/>
    <x v="1"/>
    <x v="7"/>
    <x v="13"/>
    <n v="155.1"/>
    <x v="0"/>
    <x v="0"/>
    <n v="3.8"/>
    <n v="7"/>
    <n v="1"/>
    <n v="166.7741935483871"/>
    <n v="11.674193548387109"/>
    <x v="3"/>
    <m/>
  </r>
  <r>
    <n v="4622"/>
    <n v="43"/>
    <x v="0"/>
    <x v="6"/>
    <x v="6"/>
    <n v="79.400000000000006"/>
    <x v="2"/>
    <x v="1"/>
    <n v="4.3"/>
    <n v="21"/>
    <n v="8"/>
    <n v="100.50632911392405"/>
    <n v="21.106329113924048"/>
    <x v="1"/>
    <m/>
  </r>
  <r>
    <n v="4623"/>
    <n v="23"/>
    <x v="1"/>
    <x v="5"/>
    <x v="5"/>
    <n v="1000.65"/>
    <x v="1"/>
    <x v="0"/>
    <n v="3.6"/>
    <n v="19"/>
    <n v="7"/>
    <n v="1235.3703703703702"/>
    <n v="234.72037037037023"/>
    <x v="3"/>
    <m/>
  </r>
  <r>
    <n v="4624"/>
    <n v="34"/>
    <x v="1"/>
    <x v="5"/>
    <x v="5"/>
    <n v="654.41999999999996"/>
    <x v="3"/>
    <x v="0"/>
    <n v="5"/>
    <n v="13"/>
    <n v="4"/>
    <n v="752.20689655172407"/>
    <n v="97.786896551724112"/>
    <x v="5"/>
    <m/>
  </r>
  <r>
    <n v="4625"/>
    <n v="31"/>
    <x v="1"/>
    <x v="2"/>
    <x v="12"/>
    <n v="226.81"/>
    <x v="1"/>
    <x v="0"/>
    <n v="4.5"/>
    <n v="4"/>
    <n v="2"/>
    <n v="236.26041666666669"/>
    <n v="9.4504166666666833"/>
    <x v="5"/>
    <m/>
  </r>
  <r>
    <n v="4626"/>
    <n v="32"/>
    <x v="0"/>
    <x v="0"/>
    <x v="22"/>
    <n v="40.26"/>
    <x v="3"/>
    <x v="0"/>
    <n v="5"/>
    <n v="18"/>
    <n v="4"/>
    <n v="49.097560975609753"/>
    <n v="8.8375609756097546"/>
    <x v="5"/>
    <m/>
  </r>
  <r>
    <n v="4627"/>
    <n v="55"/>
    <x v="1"/>
    <x v="5"/>
    <x v="7"/>
    <n v="556.03"/>
    <x v="0"/>
    <x v="0"/>
    <n v="4.0999999999999996"/>
    <n v="12"/>
    <n v="6"/>
    <n v="631.85227272727275"/>
    <n v="75.822272727272775"/>
    <x v="0"/>
    <m/>
  </r>
  <r>
    <n v="4628"/>
    <n v="35"/>
    <x v="0"/>
    <x v="6"/>
    <x v="27"/>
    <n v="108.74"/>
    <x v="2"/>
    <x v="0"/>
    <n v="3.8"/>
    <n v="4"/>
    <n v="2"/>
    <n v="113.27083333333333"/>
    <n v="4.5308333333333337"/>
    <x v="1"/>
    <m/>
  </r>
  <r>
    <n v="4629"/>
    <n v="27"/>
    <x v="0"/>
    <x v="3"/>
    <x v="3"/>
    <n v="176.23"/>
    <x v="0"/>
    <x v="0"/>
    <n v="4.0999999999999996"/>
    <n v="20"/>
    <n v="5"/>
    <n v="220.28749999999997"/>
    <n v="44.057499999999976"/>
    <x v="5"/>
    <m/>
  </r>
  <r>
    <n v="4630"/>
    <n v="30"/>
    <x v="0"/>
    <x v="7"/>
    <x v="8"/>
    <n v="189.68"/>
    <x v="3"/>
    <x v="0"/>
    <n v="4"/>
    <n v="13"/>
    <n v="4"/>
    <n v="218.02298850574712"/>
    <n v="28.342988505747115"/>
    <x v="5"/>
    <m/>
  </r>
  <r>
    <n v="4631"/>
    <n v="34"/>
    <x v="0"/>
    <x v="2"/>
    <x v="10"/>
    <n v="196.56"/>
    <x v="3"/>
    <x v="0"/>
    <n v="3.8"/>
    <n v="14"/>
    <n v="7"/>
    <n v="228.55813953488374"/>
    <n v="31.998139534883734"/>
    <x v="5"/>
    <m/>
  </r>
  <r>
    <n v="4632"/>
    <n v="52"/>
    <x v="1"/>
    <x v="2"/>
    <x v="2"/>
    <n v="42.78"/>
    <x v="2"/>
    <x v="1"/>
    <n v="2.5"/>
    <n v="10"/>
    <n v="5"/>
    <n v="47.533333333333331"/>
    <n v="4.7533333333333303"/>
    <x v="4"/>
    <m/>
  </r>
  <r>
    <n v="4633"/>
    <n v="70"/>
    <x v="1"/>
    <x v="1"/>
    <x v="14"/>
    <n v="79.5"/>
    <x v="0"/>
    <x v="0"/>
    <n v="4.4000000000000004"/>
    <n v="13"/>
    <n v="4"/>
    <n v="91.379310344827587"/>
    <n v="11.879310344827587"/>
    <x v="2"/>
    <m/>
  </r>
  <r>
    <n v="4634"/>
    <n v="42"/>
    <x v="0"/>
    <x v="7"/>
    <x v="13"/>
    <n v="145.34"/>
    <x v="3"/>
    <x v="0"/>
    <n v="4.0999999999999996"/>
    <n v="6"/>
    <n v="3"/>
    <n v="154.61702127659575"/>
    <n v="9.2770212765957467"/>
    <x v="1"/>
    <m/>
  </r>
  <r>
    <n v="4635"/>
    <n v="29"/>
    <x v="1"/>
    <x v="5"/>
    <x v="21"/>
    <n v="1135.48"/>
    <x v="0"/>
    <x v="0"/>
    <n v="4.2"/>
    <n v="8"/>
    <n v="4"/>
    <n v="1234.2173913043478"/>
    <n v="98.737391304347739"/>
    <x v="5"/>
    <m/>
  </r>
  <r>
    <n v="4636"/>
    <n v="33"/>
    <x v="0"/>
    <x v="7"/>
    <x v="11"/>
    <n v="156.04"/>
    <x v="3"/>
    <x v="0"/>
    <n v="4.4000000000000004"/>
    <n v="20"/>
    <n v="5"/>
    <n v="195.04999999999998"/>
    <n v="39.009999999999991"/>
    <x v="5"/>
    <m/>
  </r>
  <r>
    <n v="4637"/>
    <n v="68"/>
    <x v="0"/>
    <x v="6"/>
    <x v="27"/>
    <n v="91.12"/>
    <x v="0"/>
    <x v="0"/>
    <n v="3.7"/>
    <n v="20"/>
    <n v="5"/>
    <n v="113.9"/>
    <n v="22.78"/>
    <x v="2"/>
    <m/>
  </r>
  <r>
    <n v="4638"/>
    <n v="47"/>
    <x v="0"/>
    <x v="6"/>
    <x v="23"/>
    <n v="125.68"/>
    <x v="3"/>
    <x v="0"/>
    <n v="4.9000000000000004"/>
    <n v="18"/>
    <n v="4"/>
    <n v="153.26829268292681"/>
    <n v="27.588292682926806"/>
    <x v="4"/>
    <m/>
  </r>
  <r>
    <n v="4639"/>
    <n v="59"/>
    <x v="1"/>
    <x v="7"/>
    <x v="13"/>
    <n v="118.38"/>
    <x v="0"/>
    <x v="0"/>
    <n v="4.3"/>
    <n v="17"/>
    <n v="6"/>
    <n v="142.62650602409639"/>
    <n v="24.246506024096391"/>
    <x v="0"/>
    <m/>
  </r>
  <r>
    <n v="4640"/>
    <n v="41"/>
    <x v="1"/>
    <x v="5"/>
    <x v="7"/>
    <n v="2452.5500000000002"/>
    <x v="2"/>
    <x v="0"/>
    <n v="4.4000000000000004"/>
    <n v="18"/>
    <n v="4"/>
    <n v="2990.9146341463415"/>
    <n v="538.36463414634136"/>
    <x v="1"/>
    <m/>
  </r>
  <r>
    <n v="4641"/>
    <n v="60"/>
    <x v="0"/>
    <x v="7"/>
    <x v="11"/>
    <n v="126.78"/>
    <x v="3"/>
    <x v="0"/>
    <n v="3.2"/>
    <n v="13"/>
    <n v="4"/>
    <n v="145.72413793103448"/>
    <n v="18.944137931034476"/>
    <x v="0"/>
    <m/>
  </r>
  <r>
    <n v="4642"/>
    <n v="20"/>
    <x v="1"/>
    <x v="2"/>
    <x v="12"/>
    <n v="167.57"/>
    <x v="3"/>
    <x v="0"/>
    <n v="2.7"/>
    <n v="13"/>
    <n v="4"/>
    <n v="192.60919540229884"/>
    <n v="25.039195402298844"/>
    <x v="3"/>
    <m/>
  </r>
  <r>
    <n v="4643"/>
    <n v="29"/>
    <x v="1"/>
    <x v="1"/>
    <x v="1"/>
    <n v="89.05"/>
    <x v="1"/>
    <x v="1"/>
    <n v="3.8"/>
    <n v="15"/>
    <n v="5"/>
    <n v="104.76470588235294"/>
    <n v="15.714705882352945"/>
    <x v="5"/>
    <m/>
  </r>
  <r>
    <n v="4644"/>
    <n v="41"/>
    <x v="0"/>
    <x v="7"/>
    <x v="8"/>
    <n v="83.85"/>
    <x v="0"/>
    <x v="1"/>
    <n v="4.4000000000000004"/>
    <n v="24"/>
    <n v="7"/>
    <n v="110.32894736842104"/>
    <n v="26.478947368421046"/>
    <x v="1"/>
    <m/>
  </r>
  <r>
    <n v="4645"/>
    <n v="22"/>
    <x v="0"/>
    <x v="8"/>
    <x v="16"/>
    <n v="73.430000000000007"/>
    <x v="0"/>
    <x v="0"/>
    <n v="3.9"/>
    <n v="18"/>
    <n v="4"/>
    <n v="89.548780487804876"/>
    <n v="16.118780487804869"/>
    <x v="3"/>
    <m/>
  </r>
  <r>
    <n v="4646"/>
    <n v="50"/>
    <x v="0"/>
    <x v="3"/>
    <x v="3"/>
    <n v="99.03"/>
    <x v="2"/>
    <x v="0"/>
    <n v="4.5999999999999996"/>
    <n v="17"/>
    <n v="6"/>
    <n v="119.31325301204819"/>
    <n v="20.283253012048192"/>
    <x v="4"/>
    <m/>
  </r>
  <r>
    <n v="4647"/>
    <n v="51"/>
    <x v="1"/>
    <x v="5"/>
    <x v="21"/>
    <n v="912.84"/>
    <x v="3"/>
    <x v="0"/>
    <n v="4.4000000000000004"/>
    <n v="18"/>
    <n v="9"/>
    <n v="1113.219512195122"/>
    <n v="200.37951219512195"/>
    <x v="4"/>
    <m/>
  </r>
  <r>
    <n v="4648"/>
    <n v="30"/>
    <x v="1"/>
    <x v="7"/>
    <x v="11"/>
    <n v="115.58"/>
    <x v="1"/>
    <x v="0"/>
    <n v="4.3"/>
    <n v="15"/>
    <n v="5"/>
    <n v="135.97647058823529"/>
    <n v="20.396470588235289"/>
    <x v="5"/>
    <m/>
  </r>
  <r>
    <n v="4649"/>
    <n v="47"/>
    <x v="1"/>
    <x v="1"/>
    <x v="9"/>
    <n v="93.05"/>
    <x v="2"/>
    <x v="1"/>
    <n v="3.6"/>
    <n v="15"/>
    <n v="5"/>
    <n v="109.47058823529412"/>
    <n v="16.420588235294119"/>
    <x v="4"/>
    <m/>
  </r>
  <r>
    <n v="4650"/>
    <n v="67"/>
    <x v="0"/>
    <x v="8"/>
    <x v="16"/>
    <n v="35.619999999999997"/>
    <x v="1"/>
    <x v="1"/>
    <n v="3.4"/>
    <n v="13"/>
    <n v="4"/>
    <n v="40.94252873563218"/>
    <n v="5.3225287356321829"/>
    <x v="2"/>
    <m/>
  </r>
  <r>
    <n v="4651"/>
    <n v="64"/>
    <x v="0"/>
    <x v="0"/>
    <x v="22"/>
    <n v="132.69"/>
    <x v="3"/>
    <x v="0"/>
    <n v="3.3"/>
    <n v="19"/>
    <n v="7"/>
    <n v="163.81481481481481"/>
    <n v="31.124814814814812"/>
    <x v="0"/>
    <m/>
  </r>
  <r>
    <n v="4652"/>
    <n v="25"/>
    <x v="1"/>
    <x v="1"/>
    <x v="9"/>
    <n v="170.07"/>
    <x v="1"/>
    <x v="0"/>
    <n v="3.6"/>
    <n v="9"/>
    <n v="2"/>
    <n v="186.89010989010987"/>
    <n v="16.820109890109876"/>
    <x v="5"/>
    <m/>
  </r>
  <r>
    <n v="4653"/>
    <n v="48"/>
    <x v="0"/>
    <x v="0"/>
    <x v="28"/>
    <n v="86.33"/>
    <x v="3"/>
    <x v="0"/>
    <n v="3.4"/>
    <n v="6"/>
    <n v="3"/>
    <n v="91.840425531914903"/>
    <n v="5.5104255319149047"/>
    <x v="4"/>
    <m/>
  </r>
  <r>
    <n v="4654"/>
    <n v="47"/>
    <x v="1"/>
    <x v="5"/>
    <x v="25"/>
    <n v="2683.15"/>
    <x v="0"/>
    <x v="0"/>
    <n v="3.3"/>
    <n v="11"/>
    <n v="3"/>
    <n v="3014.7752808988766"/>
    <n v="331.62528089887655"/>
    <x v="4"/>
    <m/>
  </r>
  <r>
    <n v="4655"/>
    <n v="64"/>
    <x v="1"/>
    <x v="5"/>
    <x v="7"/>
    <n v="1406.03"/>
    <x v="2"/>
    <x v="0"/>
    <n v="3.7"/>
    <n v="22"/>
    <n v="6"/>
    <n v="1802.602564102564"/>
    <n v="396.572564102564"/>
    <x v="0"/>
    <m/>
  </r>
  <r>
    <n v="4656"/>
    <n v="41"/>
    <x v="0"/>
    <x v="7"/>
    <x v="8"/>
    <n v="192.14"/>
    <x v="3"/>
    <x v="0"/>
    <n v="3.8"/>
    <n v="13"/>
    <n v="4"/>
    <n v="220.85057471264366"/>
    <n v="28.710574712643677"/>
    <x v="1"/>
    <m/>
  </r>
  <r>
    <n v="4657"/>
    <n v="56"/>
    <x v="0"/>
    <x v="7"/>
    <x v="11"/>
    <n v="234.23"/>
    <x v="1"/>
    <x v="0"/>
    <n v="4.7"/>
    <n v="13"/>
    <n v="4"/>
    <n v="269.22988505747128"/>
    <n v="34.999885057471289"/>
    <x v="0"/>
    <m/>
  </r>
  <r>
    <n v="4658"/>
    <n v="65"/>
    <x v="0"/>
    <x v="8"/>
    <x v="17"/>
    <n v="50.96"/>
    <x v="0"/>
    <x v="0"/>
    <n v="4"/>
    <n v="23"/>
    <n v="9"/>
    <n v="66.181818181818187"/>
    <n v="15.221818181818186"/>
    <x v="2"/>
    <m/>
  </r>
  <r>
    <n v="4659"/>
    <n v="62"/>
    <x v="0"/>
    <x v="7"/>
    <x v="13"/>
    <n v="50.04"/>
    <x v="1"/>
    <x v="1"/>
    <n v="2.5"/>
    <n v="19"/>
    <n v="7"/>
    <n v="61.777777777777771"/>
    <n v="11.737777777777772"/>
    <x v="0"/>
    <m/>
  </r>
  <r>
    <n v="4660"/>
    <n v="63"/>
    <x v="1"/>
    <x v="1"/>
    <x v="14"/>
    <n v="156.43"/>
    <x v="2"/>
    <x v="0"/>
    <n v="3.7"/>
    <n v="13"/>
    <n v="4"/>
    <n v="179.80459770114945"/>
    <n v="23.37459770114944"/>
    <x v="0"/>
    <m/>
  </r>
  <r>
    <n v="4661"/>
    <n v="32"/>
    <x v="0"/>
    <x v="7"/>
    <x v="8"/>
    <n v="44.71"/>
    <x v="2"/>
    <x v="1"/>
    <n v="3.8"/>
    <n v="18"/>
    <n v="4"/>
    <n v="54.524390243902438"/>
    <n v="9.8143902439024373"/>
    <x v="5"/>
    <m/>
  </r>
  <r>
    <n v="4662"/>
    <n v="42"/>
    <x v="1"/>
    <x v="7"/>
    <x v="8"/>
    <n v="220.57"/>
    <x v="1"/>
    <x v="0"/>
    <n v="2.4"/>
    <n v="15"/>
    <n v="5"/>
    <n v="259.49411764705883"/>
    <n v="38.924117647058836"/>
    <x v="1"/>
    <m/>
  </r>
  <r>
    <n v="4663"/>
    <n v="31"/>
    <x v="0"/>
    <x v="7"/>
    <x v="11"/>
    <n v="42.84"/>
    <x v="0"/>
    <x v="1"/>
    <n v="3.4"/>
    <n v="5"/>
    <n v="0"/>
    <n v="45.09473684210527"/>
    <n v="2.2547368421052667"/>
    <x v="5"/>
    <m/>
  </r>
  <r>
    <n v="4664"/>
    <n v="65"/>
    <x v="1"/>
    <x v="2"/>
    <x v="2"/>
    <n v="182.38"/>
    <x v="2"/>
    <x v="0"/>
    <n v="4.5999999999999996"/>
    <n v="11"/>
    <n v="3"/>
    <n v="204.92134831460675"/>
    <n v="22.541348314606751"/>
    <x v="2"/>
    <m/>
  </r>
  <r>
    <n v="4665"/>
    <n v="47"/>
    <x v="1"/>
    <x v="7"/>
    <x v="8"/>
    <n v="147.94"/>
    <x v="1"/>
    <x v="0"/>
    <n v="4.3"/>
    <n v="26"/>
    <n v="8"/>
    <n v="199.91891891891891"/>
    <n v="51.978918918918907"/>
    <x v="4"/>
    <m/>
  </r>
  <r>
    <n v="4666"/>
    <n v="55"/>
    <x v="1"/>
    <x v="1"/>
    <x v="14"/>
    <n v="178.41"/>
    <x v="0"/>
    <x v="0"/>
    <n v="4"/>
    <n v="11"/>
    <n v="3"/>
    <n v="200.46067415730337"/>
    <n v="22.050674157303376"/>
    <x v="0"/>
    <m/>
  </r>
  <r>
    <n v="4667"/>
    <n v="35"/>
    <x v="0"/>
    <x v="6"/>
    <x v="23"/>
    <n v="24.39"/>
    <x v="0"/>
    <x v="0"/>
    <n v="2.9"/>
    <n v="14"/>
    <n v="2"/>
    <n v="28.36046511627907"/>
    <n v="3.970465116279069"/>
    <x v="1"/>
    <m/>
  </r>
  <r>
    <n v="4668"/>
    <n v="42"/>
    <x v="0"/>
    <x v="6"/>
    <x v="6"/>
    <n v="94.95"/>
    <x v="2"/>
    <x v="0"/>
    <n v="3.6"/>
    <n v="9"/>
    <n v="2"/>
    <n v="104.34065934065934"/>
    <n v="9.3906593406593402"/>
    <x v="1"/>
    <m/>
  </r>
  <r>
    <n v="4669"/>
    <n v="60"/>
    <x v="0"/>
    <x v="2"/>
    <x v="10"/>
    <n v="119.16"/>
    <x v="3"/>
    <x v="0"/>
    <n v="4.3"/>
    <n v="5"/>
    <n v="0"/>
    <n v="125.43157894736842"/>
    <n v="6.2715789473684254"/>
    <x v="0"/>
    <m/>
  </r>
  <r>
    <n v="4670"/>
    <n v="66"/>
    <x v="0"/>
    <x v="6"/>
    <x v="6"/>
    <n v="102.5"/>
    <x v="3"/>
    <x v="0"/>
    <n v="3.1"/>
    <n v="10"/>
    <n v="5"/>
    <n v="113.88888888888889"/>
    <n v="11.388888888888886"/>
    <x v="2"/>
    <m/>
  </r>
  <r>
    <n v="4671"/>
    <n v="54"/>
    <x v="0"/>
    <x v="0"/>
    <x v="0"/>
    <n v="151.18"/>
    <x v="1"/>
    <x v="0"/>
    <n v="4.9000000000000004"/>
    <n v="11"/>
    <n v="3"/>
    <n v="169.86516853932585"/>
    <n v="18.685168539325844"/>
    <x v="4"/>
    <m/>
  </r>
  <r>
    <n v="4672"/>
    <n v="69"/>
    <x v="1"/>
    <x v="1"/>
    <x v="14"/>
    <n v="172.82"/>
    <x v="0"/>
    <x v="0"/>
    <n v="3.2"/>
    <n v="17"/>
    <n v="6"/>
    <n v="208.21686746987953"/>
    <n v="35.396867469879538"/>
    <x v="2"/>
    <m/>
  </r>
  <r>
    <n v="4673"/>
    <n v="59"/>
    <x v="1"/>
    <x v="2"/>
    <x v="12"/>
    <n v="181.52"/>
    <x v="1"/>
    <x v="0"/>
    <n v="4.4000000000000004"/>
    <n v="20"/>
    <n v="5"/>
    <n v="226.9"/>
    <n v="45.379999999999995"/>
    <x v="0"/>
    <m/>
  </r>
  <r>
    <n v="4674"/>
    <n v="23"/>
    <x v="0"/>
    <x v="0"/>
    <x v="0"/>
    <n v="120.86"/>
    <x v="1"/>
    <x v="0"/>
    <n v="3.9"/>
    <n v="8"/>
    <n v="4"/>
    <n v="131.36956521739131"/>
    <n v="10.509565217391312"/>
    <x v="3"/>
    <m/>
  </r>
  <r>
    <n v="4675"/>
    <n v="45"/>
    <x v="1"/>
    <x v="2"/>
    <x v="10"/>
    <n v="153.69999999999999"/>
    <x v="1"/>
    <x v="0"/>
    <n v="2.9"/>
    <n v="12"/>
    <n v="6"/>
    <n v="174.65909090909091"/>
    <n v="20.959090909090918"/>
    <x v="4"/>
    <m/>
  </r>
  <r>
    <n v="4676"/>
    <n v="55"/>
    <x v="0"/>
    <x v="7"/>
    <x v="13"/>
    <n v="220.12"/>
    <x v="1"/>
    <x v="0"/>
    <n v="3.7"/>
    <n v="15"/>
    <n v="5"/>
    <n v="258.96470588235297"/>
    <n v="38.844705882352969"/>
    <x v="0"/>
    <m/>
  </r>
  <r>
    <n v="4677"/>
    <n v="56"/>
    <x v="1"/>
    <x v="7"/>
    <x v="8"/>
    <n v="197.64"/>
    <x v="2"/>
    <x v="0"/>
    <n v="3.8"/>
    <n v="21"/>
    <n v="8"/>
    <n v="250.17721518987338"/>
    <n v="52.537215189873393"/>
    <x v="0"/>
    <m/>
  </r>
  <r>
    <n v="4678"/>
    <n v="37"/>
    <x v="0"/>
    <x v="0"/>
    <x v="22"/>
    <n v="172.67"/>
    <x v="0"/>
    <x v="0"/>
    <n v="3.4"/>
    <n v="11"/>
    <n v="3"/>
    <n v="194.01123595505615"/>
    <n v="21.341235955056163"/>
    <x v="1"/>
    <m/>
  </r>
  <r>
    <n v="4679"/>
    <n v="26"/>
    <x v="1"/>
    <x v="1"/>
    <x v="14"/>
    <n v="146.24"/>
    <x v="3"/>
    <x v="0"/>
    <n v="4.4000000000000004"/>
    <n v="23"/>
    <n v="9"/>
    <n v="189.92207792207793"/>
    <n v="43.682077922077923"/>
    <x v="5"/>
    <m/>
  </r>
  <r>
    <n v="4680"/>
    <n v="29"/>
    <x v="0"/>
    <x v="0"/>
    <x v="0"/>
    <n v="22.75"/>
    <x v="1"/>
    <x v="0"/>
    <n v="4.2"/>
    <n v="24"/>
    <n v="7"/>
    <n v="29.934210526315788"/>
    <n v="7.1842105263157876"/>
    <x v="5"/>
    <m/>
  </r>
  <r>
    <n v="4681"/>
    <n v="27"/>
    <x v="1"/>
    <x v="2"/>
    <x v="10"/>
    <n v="229.25"/>
    <x v="1"/>
    <x v="0"/>
    <n v="4.0999999999999996"/>
    <n v="30"/>
    <n v="10"/>
    <n v="327.5"/>
    <n v="98.25"/>
    <x v="5"/>
    <m/>
  </r>
  <r>
    <n v="4682"/>
    <n v="40"/>
    <x v="1"/>
    <x v="5"/>
    <x v="21"/>
    <n v="2163.41"/>
    <x v="1"/>
    <x v="0"/>
    <n v="3.9"/>
    <n v="11"/>
    <n v="3"/>
    <n v="2430.7977528089887"/>
    <n v="267.38775280898881"/>
    <x v="1"/>
    <m/>
  </r>
  <r>
    <n v="4683"/>
    <n v="42"/>
    <x v="0"/>
    <x v="7"/>
    <x v="13"/>
    <n v="222.57"/>
    <x v="2"/>
    <x v="0"/>
    <n v="3.3"/>
    <n v="12"/>
    <n v="6"/>
    <n v="252.92045454545453"/>
    <n v="30.350454545454539"/>
    <x v="1"/>
    <m/>
  </r>
  <r>
    <n v="4684"/>
    <n v="23"/>
    <x v="0"/>
    <x v="8"/>
    <x v="16"/>
    <n v="75.36"/>
    <x v="1"/>
    <x v="1"/>
    <n v="3.2"/>
    <n v="15"/>
    <n v="5"/>
    <n v="88.658823529411762"/>
    <n v="13.298823529411763"/>
    <x v="3"/>
    <m/>
  </r>
  <r>
    <n v="4685"/>
    <n v="68"/>
    <x v="1"/>
    <x v="5"/>
    <x v="7"/>
    <n v="1944.68"/>
    <x v="1"/>
    <x v="0"/>
    <n v="2.4"/>
    <n v="18"/>
    <n v="4"/>
    <n v="2371.560975609756"/>
    <n v="426.88097560975598"/>
    <x v="2"/>
    <m/>
  </r>
  <r>
    <n v="4686"/>
    <n v="22"/>
    <x v="1"/>
    <x v="2"/>
    <x v="10"/>
    <n v="40.119999999999997"/>
    <x v="3"/>
    <x v="1"/>
    <n v="4.2"/>
    <n v="9"/>
    <n v="2"/>
    <n v="44.08791208791208"/>
    <n v="3.9679120879120831"/>
    <x v="3"/>
    <m/>
  </r>
  <r>
    <n v="4687"/>
    <n v="54"/>
    <x v="0"/>
    <x v="2"/>
    <x v="10"/>
    <n v="48.75"/>
    <x v="2"/>
    <x v="1"/>
    <n v="3.8"/>
    <n v="18"/>
    <n v="4"/>
    <n v="59.451219512195117"/>
    <n v="10.701219512195117"/>
    <x v="4"/>
    <m/>
  </r>
  <r>
    <n v="4688"/>
    <n v="50"/>
    <x v="0"/>
    <x v="4"/>
    <x v="19"/>
    <n v="43.15"/>
    <x v="2"/>
    <x v="0"/>
    <n v="3.5"/>
    <n v="20"/>
    <n v="5"/>
    <n v="53.937499999999993"/>
    <n v="10.787499999999994"/>
    <x v="4"/>
    <m/>
  </r>
  <r>
    <n v="4689"/>
    <n v="34"/>
    <x v="1"/>
    <x v="2"/>
    <x v="2"/>
    <n v="246.17"/>
    <x v="2"/>
    <x v="0"/>
    <n v="3.1"/>
    <n v="17"/>
    <n v="6"/>
    <n v="296.59036144578312"/>
    <n v="50.420361445783129"/>
    <x v="5"/>
    <m/>
  </r>
  <r>
    <n v="4690"/>
    <n v="28"/>
    <x v="1"/>
    <x v="1"/>
    <x v="9"/>
    <n v="185.01"/>
    <x v="2"/>
    <x v="0"/>
    <n v="4.0999999999999996"/>
    <n v="13"/>
    <n v="4"/>
    <n v="212.65517241379308"/>
    <n v="27.645172413793091"/>
    <x v="5"/>
    <m/>
  </r>
  <r>
    <n v="4691"/>
    <n v="32"/>
    <x v="1"/>
    <x v="1"/>
    <x v="14"/>
    <n v="81.069999999999993"/>
    <x v="3"/>
    <x v="0"/>
    <n v="3.8"/>
    <n v="24"/>
    <n v="7"/>
    <n v="106.67105263157893"/>
    <n v="25.601052631578938"/>
    <x v="5"/>
    <m/>
  </r>
  <r>
    <n v="4692"/>
    <n v="50"/>
    <x v="1"/>
    <x v="1"/>
    <x v="9"/>
    <n v="108.87"/>
    <x v="1"/>
    <x v="0"/>
    <n v="4"/>
    <n v="12"/>
    <n v="6"/>
    <n v="123.71590909090909"/>
    <n v="14.845909090909089"/>
    <x v="4"/>
    <m/>
  </r>
  <r>
    <n v="4693"/>
    <n v="34"/>
    <x v="0"/>
    <x v="0"/>
    <x v="0"/>
    <n v="52.23"/>
    <x v="1"/>
    <x v="0"/>
    <n v="3.7"/>
    <n v="15"/>
    <n v="5"/>
    <n v="61.44705882352941"/>
    <n v="9.2170588235294133"/>
    <x v="5"/>
    <m/>
  </r>
  <r>
    <n v="4694"/>
    <n v="60"/>
    <x v="0"/>
    <x v="0"/>
    <x v="28"/>
    <n v="129.80000000000001"/>
    <x v="1"/>
    <x v="0"/>
    <n v="4"/>
    <n v="24"/>
    <n v="7"/>
    <n v="170.78947368421055"/>
    <n v="40.989473684210537"/>
    <x v="0"/>
    <m/>
  </r>
  <r>
    <n v="4695"/>
    <n v="59"/>
    <x v="1"/>
    <x v="1"/>
    <x v="20"/>
    <n v="115.65"/>
    <x v="2"/>
    <x v="0"/>
    <n v="4.8"/>
    <n v="15"/>
    <n v="5"/>
    <n v="136.05882352941177"/>
    <n v="20.408823529411762"/>
    <x v="0"/>
    <m/>
  </r>
  <r>
    <n v="4696"/>
    <n v="40"/>
    <x v="0"/>
    <x v="4"/>
    <x v="19"/>
    <n v="25.94"/>
    <x v="3"/>
    <x v="1"/>
    <n v="3.3"/>
    <n v="9"/>
    <n v="2"/>
    <n v="28.505494505494507"/>
    <n v="2.565494505494506"/>
    <x v="1"/>
    <m/>
  </r>
  <r>
    <n v="4697"/>
    <n v="66"/>
    <x v="0"/>
    <x v="8"/>
    <x v="17"/>
    <n v="101.87"/>
    <x v="1"/>
    <x v="0"/>
    <n v="3.3"/>
    <n v="11"/>
    <n v="3"/>
    <n v="114.46067415730337"/>
    <n v="12.590674157303368"/>
    <x v="2"/>
    <m/>
  </r>
  <r>
    <n v="4698"/>
    <n v="44"/>
    <x v="0"/>
    <x v="6"/>
    <x v="6"/>
    <n v="106.04"/>
    <x v="1"/>
    <x v="0"/>
    <n v="3.6"/>
    <n v="17"/>
    <n v="6"/>
    <n v="127.75903614457833"/>
    <n v="21.719036144578325"/>
    <x v="1"/>
    <m/>
  </r>
  <r>
    <n v="4699"/>
    <n v="43"/>
    <x v="0"/>
    <x v="7"/>
    <x v="13"/>
    <n v="200.13"/>
    <x v="0"/>
    <x v="0"/>
    <n v="4"/>
    <n v="17"/>
    <n v="6"/>
    <n v="241.12048192771084"/>
    <n v="40.990481927710846"/>
    <x v="1"/>
    <m/>
  </r>
  <r>
    <n v="4700"/>
    <n v="60"/>
    <x v="1"/>
    <x v="7"/>
    <x v="13"/>
    <n v="210.29"/>
    <x v="3"/>
    <x v="0"/>
    <n v="4.8"/>
    <n v="15"/>
    <n v="5"/>
    <n v="247.4"/>
    <n v="37.110000000000014"/>
    <x v="0"/>
    <m/>
  </r>
  <r>
    <n v="4701"/>
    <n v="41"/>
    <x v="0"/>
    <x v="8"/>
    <x v="14"/>
    <n v="41.5"/>
    <x v="2"/>
    <x v="0"/>
    <n v="4.0999999999999996"/>
    <n v="13"/>
    <n v="4"/>
    <n v="47.701149425287355"/>
    <n v="6.2011494252873547"/>
    <x v="1"/>
    <m/>
  </r>
  <r>
    <n v="4702"/>
    <n v="32"/>
    <x v="1"/>
    <x v="2"/>
    <x v="12"/>
    <n v="186.57"/>
    <x v="3"/>
    <x v="0"/>
    <n v="3.2"/>
    <n v="12"/>
    <n v="6"/>
    <n v="212.01136363636363"/>
    <n v="25.441363636363633"/>
    <x v="5"/>
    <m/>
  </r>
  <r>
    <n v="4703"/>
    <n v="42"/>
    <x v="1"/>
    <x v="1"/>
    <x v="9"/>
    <n v="189.79"/>
    <x v="2"/>
    <x v="0"/>
    <n v="3"/>
    <n v="14"/>
    <n v="7"/>
    <n v="220.68604651162789"/>
    <n v="30.896046511627901"/>
    <x v="1"/>
    <m/>
  </r>
  <r>
    <n v="4704"/>
    <n v="30"/>
    <x v="1"/>
    <x v="4"/>
    <x v="26"/>
    <n v="63.78"/>
    <x v="2"/>
    <x v="1"/>
    <n v="4.4000000000000004"/>
    <n v="21"/>
    <n v="8"/>
    <n v="80.734177215189874"/>
    <n v="16.954177215189873"/>
    <x v="5"/>
    <m/>
  </r>
  <r>
    <n v="4705"/>
    <n v="25"/>
    <x v="0"/>
    <x v="8"/>
    <x v="16"/>
    <n v="161.91"/>
    <x v="2"/>
    <x v="0"/>
    <n v="3.6"/>
    <n v="14"/>
    <n v="7"/>
    <n v="188.26744186046511"/>
    <n v="26.357441860465116"/>
    <x v="5"/>
    <m/>
  </r>
  <r>
    <n v="4706"/>
    <n v="54"/>
    <x v="1"/>
    <x v="5"/>
    <x v="25"/>
    <n v="2349.33"/>
    <x v="3"/>
    <x v="0"/>
    <n v="3.3"/>
    <n v="7"/>
    <n v="1"/>
    <n v="2526.161290322581"/>
    <n v="176.83129032258103"/>
    <x v="4"/>
    <m/>
  </r>
  <r>
    <n v="4707"/>
    <n v="70"/>
    <x v="0"/>
    <x v="8"/>
    <x v="14"/>
    <n v="61.86"/>
    <x v="3"/>
    <x v="0"/>
    <n v="2.9"/>
    <n v="17"/>
    <n v="6"/>
    <n v="74.53012048192771"/>
    <n v="12.670120481927711"/>
    <x v="2"/>
    <m/>
  </r>
  <r>
    <n v="4708"/>
    <n v="26"/>
    <x v="0"/>
    <x v="8"/>
    <x v="14"/>
    <n v="96.69"/>
    <x v="0"/>
    <x v="1"/>
    <n v="4.8"/>
    <n v="18"/>
    <n v="4"/>
    <n v="117.91463414634146"/>
    <n v="21.224634146341458"/>
    <x v="5"/>
    <m/>
  </r>
  <r>
    <n v="4709"/>
    <n v="57"/>
    <x v="1"/>
    <x v="2"/>
    <x v="10"/>
    <n v="126.2"/>
    <x v="0"/>
    <x v="0"/>
    <n v="5"/>
    <n v="11"/>
    <n v="3"/>
    <n v="141.79775280898878"/>
    <n v="15.597752808988773"/>
    <x v="0"/>
    <m/>
  </r>
  <r>
    <n v="4710"/>
    <n v="38"/>
    <x v="0"/>
    <x v="6"/>
    <x v="23"/>
    <n v="62.65"/>
    <x v="0"/>
    <x v="0"/>
    <n v="3.3"/>
    <n v="13"/>
    <n v="4"/>
    <n v="72.011494252873561"/>
    <n v="9.3614942528735625"/>
    <x v="1"/>
    <m/>
  </r>
  <r>
    <n v="4711"/>
    <n v="57"/>
    <x v="0"/>
    <x v="8"/>
    <x v="17"/>
    <n v="149.91"/>
    <x v="2"/>
    <x v="0"/>
    <n v="3.1"/>
    <n v="14"/>
    <n v="7"/>
    <n v="174.31395348837208"/>
    <n v="24.403953488372082"/>
    <x v="0"/>
    <m/>
  </r>
  <r>
    <n v="4712"/>
    <n v="68"/>
    <x v="0"/>
    <x v="4"/>
    <x v="29"/>
    <n v="54.83"/>
    <x v="2"/>
    <x v="1"/>
    <n v="3.5"/>
    <n v="12"/>
    <n v="6"/>
    <n v="62.30681818181818"/>
    <n v="7.4768181818181816"/>
    <x v="2"/>
    <m/>
  </r>
  <r>
    <n v="4713"/>
    <n v="26"/>
    <x v="1"/>
    <x v="5"/>
    <x v="25"/>
    <n v="733.03"/>
    <x v="1"/>
    <x v="0"/>
    <n v="3"/>
    <n v="13"/>
    <n v="4"/>
    <n v="842.56321839080454"/>
    <n v="109.53321839080456"/>
    <x v="5"/>
    <m/>
  </r>
  <r>
    <n v="4714"/>
    <n v="22"/>
    <x v="1"/>
    <x v="7"/>
    <x v="8"/>
    <n v="116.76"/>
    <x v="2"/>
    <x v="0"/>
    <n v="4.8"/>
    <n v="17"/>
    <n v="6"/>
    <n v="140.67469879518075"/>
    <n v="23.91469879518074"/>
    <x v="3"/>
    <m/>
  </r>
  <r>
    <n v="4715"/>
    <n v="38"/>
    <x v="1"/>
    <x v="7"/>
    <x v="13"/>
    <n v="139.77000000000001"/>
    <x v="2"/>
    <x v="0"/>
    <n v="5"/>
    <n v="8"/>
    <n v="4"/>
    <n v="151.92391304347828"/>
    <n v="12.153913043478269"/>
    <x v="1"/>
    <m/>
  </r>
  <r>
    <n v="4716"/>
    <n v="58"/>
    <x v="1"/>
    <x v="2"/>
    <x v="12"/>
    <n v="95.93"/>
    <x v="3"/>
    <x v="0"/>
    <n v="3.7"/>
    <n v="13"/>
    <n v="4"/>
    <n v="110.26436781609196"/>
    <n v="14.334367816091955"/>
    <x v="0"/>
    <m/>
  </r>
  <r>
    <n v="4717"/>
    <n v="66"/>
    <x v="1"/>
    <x v="2"/>
    <x v="2"/>
    <n v="51.77"/>
    <x v="3"/>
    <x v="1"/>
    <n v="5"/>
    <n v="17"/>
    <n v="6"/>
    <n v="62.373493975903621"/>
    <n v="10.603493975903618"/>
    <x v="2"/>
    <m/>
  </r>
  <r>
    <n v="4718"/>
    <n v="44"/>
    <x v="0"/>
    <x v="6"/>
    <x v="27"/>
    <n v="28.68"/>
    <x v="1"/>
    <x v="1"/>
    <n v="3.5"/>
    <n v="12"/>
    <n v="6"/>
    <n v="32.590909090909093"/>
    <n v="3.9109090909090938"/>
    <x v="1"/>
    <m/>
  </r>
  <r>
    <n v="4719"/>
    <n v="34"/>
    <x v="0"/>
    <x v="0"/>
    <x v="28"/>
    <n v="140.63"/>
    <x v="3"/>
    <x v="0"/>
    <n v="4.5"/>
    <n v="19"/>
    <n v="7"/>
    <n v="173.61728395061726"/>
    <n v="32.987283950617268"/>
    <x v="5"/>
    <m/>
  </r>
  <r>
    <n v="4720"/>
    <n v="25"/>
    <x v="1"/>
    <x v="2"/>
    <x v="2"/>
    <n v="27.85"/>
    <x v="2"/>
    <x v="0"/>
    <n v="3.5"/>
    <n v="2"/>
    <n v="1"/>
    <n v="28.418367346938776"/>
    <n v="0.56836734693877489"/>
    <x v="5"/>
    <m/>
  </r>
  <r>
    <n v="4721"/>
    <n v="49"/>
    <x v="1"/>
    <x v="5"/>
    <x v="5"/>
    <n v="2620.52"/>
    <x v="2"/>
    <x v="0"/>
    <n v="3.3"/>
    <n v="18"/>
    <n v="4"/>
    <n v="3195.7560975609754"/>
    <n v="575.2360975609754"/>
    <x v="4"/>
    <m/>
  </r>
  <r>
    <n v="4722"/>
    <n v="36"/>
    <x v="0"/>
    <x v="0"/>
    <x v="22"/>
    <n v="60.24"/>
    <x v="2"/>
    <x v="1"/>
    <n v="4.4000000000000004"/>
    <n v="6"/>
    <n v="3"/>
    <n v="64.085106382978722"/>
    <n v="3.8451063829787202"/>
    <x v="1"/>
    <m/>
  </r>
  <r>
    <n v="4723"/>
    <n v="24"/>
    <x v="1"/>
    <x v="2"/>
    <x v="10"/>
    <n v="89.29"/>
    <x v="2"/>
    <x v="0"/>
    <n v="3.8"/>
    <n v="0"/>
    <n v="0"/>
    <n v="89.29"/>
    <n v="0"/>
    <x v="3"/>
    <m/>
  </r>
  <r>
    <n v="4724"/>
    <n v="32"/>
    <x v="0"/>
    <x v="7"/>
    <x v="11"/>
    <n v="52.53"/>
    <x v="1"/>
    <x v="1"/>
    <n v="3.1"/>
    <n v="18"/>
    <n v="4"/>
    <n v="64.060975609756099"/>
    <n v="11.530975609756098"/>
    <x v="5"/>
    <m/>
  </r>
  <r>
    <n v="4725"/>
    <n v="62"/>
    <x v="0"/>
    <x v="6"/>
    <x v="6"/>
    <n v="93.41"/>
    <x v="2"/>
    <x v="1"/>
    <n v="4.0999999999999996"/>
    <n v="12"/>
    <n v="6"/>
    <n v="106.14772727272727"/>
    <n v="12.73772727272727"/>
    <x v="0"/>
    <m/>
  </r>
  <r>
    <n v="4726"/>
    <n v="48"/>
    <x v="0"/>
    <x v="6"/>
    <x v="23"/>
    <n v="96.12"/>
    <x v="0"/>
    <x v="0"/>
    <n v="3.8"/>
    <n v="22"/>
    <n v="11"/>
    <n v="123.23076923076923"/>
    <n v="27.110769230769222"/>
    <x v="4"/>
    <m/>
  </r>
  <r>
    <n v="4727"/>
    <n v="44"/>
    <x v="1"/>
    <x v="4"/>
    <x v="4"/>
    <n v="51.5"/>
    <x v="0"/>
    <x v="1"/>
    <n v="3.8"/>
    <n v="22"/>
    <n v="6"/>
    <n v="66.025641025641022"/>
    <n v="14.525641025641022"/>
    <x v="1"/>
    <m/>
  </r>
  <r>
    <n v="4728"/>
    <n v="58"/>
    <x v="1"/>
    <x v="2"/>
    <x v="2"/>
    <n v="147.1"/>
    <x v="3"/>
    <x v="0"/>
    <n v="4.0999999999999996"/>
    <n v="12"/>
    <n v="1"/>
    <n v="167.15909090909091"/>
    <n v="20.059090909090912"/>
    <x v="0"/>
    <m/>
  </r>
  <r>
    <n v="4729"/>
    <n v="59"/>
    <x v="1"/>
    <x v="7"/>
    <x v="13"/>
    <n v="208.77"/>
    <x v="1"/>
    <x v="0"/>
    <n v="4"/>
    <n v="12"/>
    <n v="6"/>
    <n v="237.23863636363637"/>
    <n v="28.468636363636364"/>
    <x v="0"/>
    <m/>
  </r>
  <r>
    <n v="4730"/>
    <n v="31"/>
    <x v="1"/>
    <x v="7"/>
    <x v="13"/>
    <n v="222.63"/>
    <x v="3"/>
    <x v="0"/>
    <n v="4.3"/>
    <n v="18"/>
    <n v="9"/>
    <n v="271.5"/>
    <n v="48.870000000000005"/>
    <x v="5"/>
    <m/>
  </r>
  <r>
    <n v="4731"/>
    <n v="37"/>
    <x v="0"/>
    <x v="8"/>
    <x v="16"/>
    <n v="56.66"/>
    <x v="0"/>
    <x v="0"/>
    <n v="5"/>
    <n v="14"/>
    <n v="7"/>
    <n v="65.883720930232556"/>
    <n v="9.2237209302325596"/>
    <x v="1"/>
    <m/>
  </r>
  <r>
    <n v="4732"/>
    <n v="32"/>
    <x v="1"/>
    <x v="2"/>
    <x v="12"/>
    <n v="46.9"/>
    <x v="1"/>
    <x v="1"/>
    <n v="3.4"/>
    <n v="17"/>
    <n v="6"/>
    <n v="56.506024096385545"/>
    <n v="9.6060240963855463"/>
    <x v="5"/>
    <m/>
  </r>
  <r>
    <n v="4733"/>
    <n v="69"/>
    <x v="1"/>
    <x v="5"/>
    <x v="7"/>
    <n v="771.91"/>
    <x v="0"/>
    <x v="0"/>
    <n v="4.8"/>
    <n v="14"/>
    <n v="7"/>
    <n v="897.56976744186045"/>
    <n v="125.65976744186048"/>
    <x v="2"/>
    <m/>
  </r>
  <r>
    <n v="4734"/>
    <n v="40"/>
    <x v="1"/>
    <x v="2"/>
    <x v="10"/>
    <n v="122.71"/>
    <x v="0"/>
    <x v="0"/>
    <n v="2.8"/>
    <n v="13"/>
    <n v="4"/>
    <n v="141.04597701149424"/>
    <n v="18.335977011494251"/>
    <x v="1"/>
    <m/>
  </r>
  <r>
    <n v="4735"/>
    <n v="21"/>
    <x v="0"/>
    <x v="8"/>
    <x v="14"/>
    <n v="195.09"/>
    <x v="2"/>
    <x v="0"/>
    <n v="4.4000000000000004"/>
    <n v="20"/>
    <n v="5"/>
    <n v="243.86249999999998"/>
    <n v="48.77249999999998"/>
    <x v="3"/>
    <m/>
  </r>
  <r>
    <n v="4736"/>
    <n v="60"/>
    <x v="0"/>
    <x v="6"/>
    <x v="6"/>
    <n v="80.38"/>
    <x v="1"/>
    <x v="0"/>
    <n v="3.6"/>
    <n v="14"/>
    <n v="7"/>
    <n v="93.465116279069761"/>
    <n v="13.085116279069766"/>
    <x v="0"/>
    <m/>
  </r>
  <r>
    <n v="4737"/>
    <n v="66"/>
    <x v="0"/>
    <x v="8"/>
    <x v="17"/>
    <n v="109.58"/>
    <x v="3"/>
    <x v="0"/>
    <n v="4.3"/>
    <n v="26"/>
    <n v="8"/>
    <n v="148.08108108108107"/>
    <n v="38.501081081081068"/>
    <x v="2"/>
    <m/>
  </r>
  <r>
    <n v="4738"/>
    <n v="42"/>
    <x v="0"/>
    <x v="6"/>
    <x v="23"/>
    <n v="133.84"/>
    <x v="3"/>
    <x v="0"/>
    <n v="3.3"/>
    <n v="14"/>
    <n v="7"/>
    <n v="155.62790697674419"/>
    <n v="21.787906976744182"/>
    <x v="1"/>
    <m/>
  </r>
  <r>
    <n v="4739"/>
    <n v="28"/>
    <x v="1"/>
    <x v="1"/>
    <x v="9"/>
    <n v="37.090000000000003"/>
    <x v="3"/>
    <x v="0"/>
    <n v="4.4000000000000004"/>
    <n v="22"/>
    <n v="6"/>
    <n v="47.551282051282051"/>
    <n v="10.461282051282048"/>
    <x v="5"/>
    <m/>
  </r>
  <r>
    <n v="4740"/>
    <n v="50"/>
    <x v="1"/>
    <x v="4"/>
    <x v="19"/>
    <n v="19.579999999999998"/>
    <x v="2"/>
    <x v="0"/>
    <n v="3.3"/>
    <n v="19"/>
    <n v="7"/>
    <n v="24.172839506172835"/>
    <n v="4.5928395061728366"/>
    <x v="4"/>
    <m/>
  </r>
  <r>
    <n v="4741"/>
    <n v="65"/>
    <x v="1"/>
    <x v="4"/>
    <x v="19"/>
    <n v="13.95"/>
    <x v="3"/>
    <x v="0"/>
    <n v="4.0999999999999996"/>
    <n v="21"/>
    <n v="8"/>
    <n v="17.658227848101266"/>
    <n v="3.7082278481012665"/>
    <x v="2"/>
    <m/>
  </r>
  <r>
    <n v="4742"/>
    <n v="48"/>
    <x v="1"/>
    <x v="2"/>
    <x v="12"/>
    <n v="147.08000000000001"/>
    <x v="3"/>
    <x v="0"/>
    <n v="3.4"/>
    <n v="20"/>
    <n v="5"/>
    <n v="183.85"/>
    <n v="36.769999999999982"/>
    <x v="4"/>
    <m/>
  </r>
  <r>
    <n v="4743"/>
    <n v="56"/>
    <x v="0"/>
    <x v="8"/>
    <x v="16"/>
    <n v="172.44"/>
    <x v="3"/>
    <x v="0"/>
    <n v="3.7"/>
    <n v="18"/>
    <n v="4"/>
    <n v="210.29268292682926"/>
    <n v="37.85268292682926"/>
    <x v="0"/>
    <m/>
  </r>
  <r>
    <n v="4744"/>
    <n v="41"/>
    <x v="1"/>
    <x v="2"/>
    <x v="12"/>
    <n v="179"/>
    <x v="0"/>
    <x v="0"/>
    <n v="4.9000000000000004"/>
    <n v="8"/>
    <n v="4"/>
    <n v="194.56521739130434"/>
    <n v="15.565217391304344"/>
    <x v="1"/>
    <m/>
  </r>
  <r>
    <n v="4745"/>
    <n v="26"/>
    <x v="0"/>
    <x v="7"/>
    <x v="11"/>
    <n v="104.75"/>
    <x v="2"/>
    <x v="0"/>
    <n v="4.0999999999999996"/>
    <n v="6"/>
    <n v="3"/>
    <n v="111.43617021276596"/>
    <n v="6.6861702127659584"/>
    <x v="5"/>
    <m/>
  </r>
  <r>
    <n v="4746"/>
    <n v="61"/>
    <x v="1"/>
    <x v="2"/>
    <x v="2"/>
    <n v="216.67"/>
    <x v="0"/>
    <x v="0"/>
    <n v="4.4000000000000004"/>
    <n v="13"/>
    <n v="4"/>
    <n v="249.04597701149424"/>
    <n v="32.375977011494257"/>
    <x v="0"/>
    <m/>
  </r>
  <r>
    <n v="4747"/>
    <n v="54"/>
    <x v="1"/>
    <x v="5"/>
    <x v="21"/>
    <n v="572.52"/>
    <x v="0"/>
    <x v="0"/>
    <n v="3.7"/>
    <n v="11"/>
    <n v="3"/>
    <n v="643.28089887640442"/>
    <n v="70.76089887640444"/>
    <x v="4"/>
    <m/>
  </r>
  <r>
    <n v="4748"/>
    <n v="45"/>
    <x v="0"/>
    <x v="7"/>
    <x v="13"/>
    <n v="198.44"/>
    <x v="2"/>
    <x v="0"/>
    <n v="2.6"/>
    <n v="18"/>
    <n v="4"/>
    <n v="241.99999999999997"/>
    <n v="43.559999999999974"/>
    <x v="4"/>
    <m/>
  </r>
  <r>
    <n v="4749"/>
    <n v="66"/>
    <x v="1"/>
    <x v="2"/>
    <x v="10"/>
    <n v="32.81"/>
    <x v="0"/>
    <x v="1"/>
    <n v="3.6"/>
    <n v="16"/>
    <n v="3"/>
    <n v="39.05952380952381"/>
    <n v="6.2495238095238079"/>
    <x v="2"/>
    <m/>
  </r>
  <r>
    <n v="4750"/>
    <n v="29"/>
    <x v="1"/>
    <x v="7"/>
    <x v="8"/>
    <n v="218.6"/>
    <x v="3"/>
    <x v="0"/>
    <n v="2.2999999999999998"/>
    <n v="8"/>
    <n v="4"/>
    <n v="237.60869565217391"/>
    <n v="19.008695652173913"/>
    <x v="5"/>
    <m/>
  </r>
  <r>
    <n v="4751"/>
    <n v="27"/>
    <x v="1"/>
    <x v="2"/>
    <x v="2"/>
    <n v="96.93"/>
    <x v="0"/>
    <x v="1"/>
    <n v="3.2"/>
    <n v="8"/>
    <n v="4"/>
    <n v="105.35869565217392"/>
    <n v="8.4286956521739143"/>
    <x v="5"/>
    <m/>
  </r>
  <r>
    <n v="4752"/>
    <n v="29"/>
    <x v="1"/>
    <x v="5"/>
    <x v="25"/>
    <n v="2817.6"/>
    <x v="0"/>
    <x v="0"/>
    <n v="4.0999999999999996"/>
    <n v="14"/>
    <n v="2"/>
    <n v="3276.2790697674418"/>
    <n v="458.67906976744189"/>
    <x v="5"/>
    <m/>
  </r>
  <r>
    <n v="4753"/>
    <n v="24"/>
    <x v="0"/>
    <x v="3"/>
    <x v="3"/>
    <n v="209.24"/>
    <x v="0"/>
    <x v="0"/>
    <n v="3.1"/>
    <n v="6"/>
    <n v="3"/>
    <n v="222.59574468085108"/>
    <n v="13.355744680851075"/>
    <x v="3"/>
    <m/>
  </r>
  <r>
    <n v="4754"/>
    <n v="65"/>
    <x v="1"/>
    <x v="3"/>
    <x v="24"/>
    <n v="205.4"/>
    <x v="3"/>
    <x v="0"/>
    <n v="3.8"/>
    <n v="8"/>
    <n v="4"/>
    <n v="223.26086956521738"/>
    <n v="17.860869565217371"/>
    <x v="2"/>
    <m/>
  </r>
  <r>
    <n v="4755"/>
    <n v="50"/>
    <x v="0"/>
    <x v="7"/>
    <x v="8"/>
    <n v="69.78"/>
    <x v="2"/>
    <x v="0"/>
    <n v="3.1"/>
    <n v="13"/>
    <n v="4"/>
    <n v="80.206896551724142"/>
    <n v="10.426896551724141"/>
    <x v="4"/>
    <m/>
  </r>
  <r>
    <n v="4756"/>
    <n v="28"/>
    <x v="0"/>
    <x v="6"/>
    <x v="23"/>
    <n v="133.09"/>
    <x v="2"/>
    <x v="0"/>
    <n v="4.4000000000000004"/>
    <n v="17"/>
    <n v="6"/>
    <n v="160.34939759036146"/>
    <n v="27.259397590361459"/>
    <x v="5"/>
    <m/>
  </r>
  <r>
    <n v="4757"/>
    <n v="26"/>
    <x v="1"/>
    <x v="3"/>
    <x v="3"/>
    <n v="239.79"/>
    <x v="1"/>
    <x v="0"/>
    <n v="3.5"/>
    <n v="8"/>
    <n v="4"/>
    <n v="260.64130434782606"/>
    <n v="20.851304347826073"/>
    <x v="5"/>
    <m/>
  </r>
  <r>
    <n v="4758"/>
    <n v="33"/>
    <x v="0"/>
    <x v="7"/>
    <x v="8"/>
    <n v="226.44"/>
    <x v="3"/>
    <x v="0"/>
    <n v="4.5"/>
    <n v="8"/>
    <n v="4"/>
    <n v="246.13043478260869"/>
    <n v="19.690434782608691"/>
    <x v="5"/>
    <m/>
  </r>
  <r>
    <n v="4759"/>
    <n v="69"/>
    <x v="1"/>
    <x v="3"/>
    <x v="24"/>
    <n v="232.66"/>
    <x v="1"/>
    <x v="0"/>
    <n v="3.7"/>
    <n v="26"/>
    <n v="8"/>
    <n v="314.40540540540542"/>
    <n v="81.745405405405421"/>
    <x v="2"/>
    <m/>
  </r>
  <r>
    <n v="4760"/>
    <n v="31"/>
    <x v="0"/>
    <x v="8"/>
    <x v="16"/>
    <n v="158.41999999999999"/>
    <x v="1"/>
    <x v="0"/>
    <n v="3.3"/>
    <n v="15"/>
    <n v="5"/>
    <n v="186.37647058823529"/>
    <n v="27.956470588235305"/>
    <x v="5"/>
    <m/>
  </r>
  <r>
    <n v="4761"/>
    <n v="59"/>
    <x v="0"/>
    <x v="4"/>
    <x v="29"/>
    <n v="23.69"/>
    <x v="0"/>
    <x v="1"/>
    <n v="3.5"/>
    <n v="14"/>
    <n v="2"/>
    <n v="27.54651162790698"/>
    <n v="3.8565116279069791"/>
    <x v="0"/>
    <m/>
  </r>
  <r>
    <n v="4762"/>
    <n v="34"/>
    <x v="1"/>
    <x v="1"/>
    <x v="1"/>
    <n v="174.51"/>
    <x v="1"/>
    <x v="0"/>
    <n v="2.6"/>
    <n v="12"/>
    <n v="6"/>
    <n v="198.30681818181816"/>
    <n v="23.796818181818168"/>
    <x v="5"/>
    <m/>
  </r>
  <r>
    <n v="4763"/>
    <n v="36"/>
    <x v="1"/>
    <x v="2"/>
    <x v="12"/>
    <n v="189.27"/>
    <x v="0"/>
    <x v="0"/>
    <n v="2.4"/>
    <n v="16"/>
    <n v="3"/>
    <n v="225.32142857142858"/>
    <n v="36.051428571428573"/>
    <x v="1"/>
    <m/>
  </r>
  <r>
    <n v="4764"/>
    <n v="22"/>
    <x v="0"/>
    <x v="6"/>
    <x v="23"/>
    <n v="28.45"/>
    <x v="2"/>
    <x v="1"/>
    <n v="3.6"/>
    <n v="15"/>
    <n v="5"/>
    <n v="33.470588235294116"/>
    <n v="5.0205882352941167"/>
    <x v="3"/>
    <m/>
  </r>
  <r>
    <n v="4765"/>
    <n v="42"/>
    <x v="0"/>
    <x v="0"/>
    <x v="0"/>
    <n v="103.25"/>
    <x v="3"/>
    <x v="0"/>
    <n v="4.0999999999999996"/>
    <n v="15"/>
    <n v="5"/>
    <n v="121.47058823529412"/>
    <n v="18.220588235294116"/>
    <x v="1"/>
    <m/>
  </r>
  <r>
    <n v="4766"/>
    <n v="32"/>
    <x v="1"/>
    <x v="5"/>
    <x v="5"/>
    <n v="2817.12"/>
    <x v="0"/>
    <x v="0"/>
    <n v="2.6"/>
    <n v="12"/>
    <n v="6"/>
    <n v="3201.272727272727"/>
    <n v="384.15272727272713"/>
    <x v="5"/>
    <m/>
  </r>
  <r>
    <n v="4767"/>
    <n v="45"/>
    <x v="1"/>
    <x v="7"/>
    <x v="13"/>
    <n v="239.66"/>
    <x v="1"/>
    <x v="0"/>
    <n v="4.7"/>
    <n v="12"/>
    <n v="6"/>
    <n v="272.34090909090907"/>
    <n v="32.680909090909068"/>
    <x v="4"/>
    <m/>
  </r>
  <r>
    <n v="4768"/>
    <n v="30"/>
    <x v="1"/>
    <x v="1"/>
    <x v="9"/>
    <n v="56.45"/>
    <x v="2"/>
    <x v="0"/>
    <n v="3.7"/>
    <n v="24"/>
    <n v="7"/>
    <n v="74.276315789473685"/>
    <n v="17.826315789473682"/>
    <x v="5"/>
    <m/>
  </r>
  <r>
    <n v="4769"/>
    <n v="69"/>
    <x v="0"/>
    <x v="7"/>
    <x v="8"/>
    <n v="114.1"/>
    <x v="2"/>
    <x v="0"/>
    <n v="3.4"/>
    <n v="28"/>
    <n v="9"/>
    <n v="158.47222222222223"/>
    <n v="44.372222222222234"/>
    <x v="2"/>
    <m/>
  </r>
  <r>
    <n v="4770"/>
    <n v="48"/>
    <x v="0"/>
    <x v="8"/>
    <x v="16"/>
    <n v="180.95"/>
    <x v="0"/>
    <x v="0"/>
    <n v="4"/>
    <n v="10"/>
    <n v="5"/>
    <n v="201.05555555555554"/>
    <n v="20.105555555555554"/>
    <x v="4"/>
    <m/>
  </r>
  <r>
    <n v="4771"/>
    <n v="44"/>
    <x v="0"/>
    <x v="8"/>
    <x v="14"/>
    <n v="45.18"/>
    <x v="1"/>
    <x v="0"/>
    <n v="4.4000000000000004"/>
    <n v="15"/>
    <n v="5"/>
    <n v="53.152941176470591"/>
    <n v="7.9729411764705915"/>
    <x v="1"/>
    <m/>
  </r>
  <r>
    <n v="4772"/>
    <n v="30"/>
    <x v="1"/>
    <x v="7"/>
    <x v="8"/>
    <n v="243.11"/>
    <x v="2"/>
    <x v="0"/>
    <n v="3.4"/>
    <n v="18"/>
    <n v="9"/>
    <n v="296.47560975609758"/>
    <n v="53.36560975609757"/>
    <x v="5"/>
    <m/>
  </r>
  <r>
    <n v="4773"/>
    <n v="66"/>
    <x v="1"/>
    <x v="7"/>
    <x v="11"/>
    <n v="200.45"/>
    <x v="1"/>
    <x v="0"/>
    <n v="4.4000000000000004"/>
    <n v="18"/>
    <n v="4"/>
    <n v="244.45121951219508"/>
    <n v="44.001219512195092"/>
    <x v="2"/>
    <m/>
  </r>
  <r>
    <n v="4774"/>
    <n v="33"/>
    <x v="0"/>
    <x v="6"/>
    <x v="27"/>
    <n v="121.83"/>
    <x v="2"/>
    <x v="0"/>
    <n v="4.4000000000000004"/>
    <n v="8"/>
    <n v="4"/>
    <n v="132.42391304347825"/>
    <n v="10.593913043478253"/>
    <x v="5"/>
    <m/>
  </r>
  <r>
    <n v="4775"/>
    <n v="41"/>
    <x v="0"/>
    <x v="4"/>
    <x v="19"/>
    <n v="28.73"/>
    <x v="3"/>
    <x v="0"/>
    <n v="3.9"/>
    <n v="6"/>
    <n v="3"/>
    <n v="30.563829787234045"/>
    <n v="1.8338297872340448"/>
    <x v="1"/>
    <m/>
  </r>
  <r>
    <n v="4776"/>
    <n v="27"/>
    <x v="0"/>
    <x v="7"/>
    <x v="8"/>
    <n v="117.43"/>
    <x v="1"/>
    <x v="0"/>
    <n v="3.4"/>
    <n v="10"/>
    <n v="5"/>
    <n v="130.47777777777779"/>
    <n v="13.047777777777782"/>
    <x v="5"/>
    <m/>
  </r>
  <r>
    <n v="4777"/>
    <n v="57"/>
    <x v="1"/>
    <x v="5"/>
    <x v="25"/>
    <n v="1597.87"/>
    <x v="0"/>
    <x v="0"/>
    <n v="4.2"/>
    <n v="19"/>
    <n v="7"/>
    <n v="1972.6790123456788"/>
    <n v="374.80901234567887"/>
    <x v="0"/>
    <m/>
  </r>
  <r>
    <n v="4778"/>
    <n v="48"/>
    <x v="1"/>
    <x v="2"/>
    <x v="10"/>
    <n v="137.63"/>
    <x v="0"/>
    <x v="0"/>
    <n v="3.5"/>
    <n v="8"/>
    <n v="4"/>
    <n v="149.5978260869565"/>
    <n v="11.967826086956507"/>
    <x v="4"/>
    <m/>
  </r>
  <r>
    <n v="4779"/>
    <n v="67"/>
    <x v="0"/>
    <x v="8"/>
    <x v="16"/>
    <n v="134.72999999999999"/>
    <x v="2"/>
    <x v="0"/>
    <n v="3.9"/>
    <n v="13"/>
    <n v="4"/>
    <n v="154.86206896551724"/>
    <n v="20.132068965517249"/>
    <x v="2"/>
    <m/>
  </r>
  <r>
    <n v="4780"/>
    <n v="59"/>
    <x v="0"/>
    <x v="6"/>
    <x v="27"/>
    <n v="42.19"/>
    <x v="3"/>
    <x v="0"/>
    <n v="2.2000000000000002"/>
    <n v="11"/>
    <n v="3"/>
    <n v="47.40449438202247"/>
    <n v="5.2144943820224725"/>
    <x v="0"/>
    <m/>
  </r>
  <r>
    <n v="4781"/>
    <n v="66"/>
    <x v="1"/>
    <x v="4"/>
    <x v="26"/>
    <n v="44.99"/>
    <x v="0"/>
    <x v="1"/>
    <n v="4.3"/>
    <n v="19"/>
    <n v="7"/>
    <n v="55.543209876543209"/>
    <n v="10.553209876543207"/>
    <x v="2"/>
    <m/>
  </r>
  <r>
    <n v="4782"/>
    <n v="60"/>
    <x v="1"/>
    <x v="4"/>
    <x v="29"/>
    <n v="5.98"/>
    <x v="3"/>
    <x v="1"/>
    <n v="3.7"/>
    <n v="15"/>
    <n v="5"/>
    <n v="7.0352941176470596"/>
    <n v="1.0552941176470592"/>
    <x v="0"/>
    <m/>
  </r>
  <r>
    <n v="4783"/>
    <n v="50"/>
    <x v="0"/>
    <x v="8"/>
    <x v="18"/>
    <n v="90.5"/>
    <x v="0"/>
    <x v="1"/>
    <n v="3.6"/>
    <n v="19"/>
    <n v="7"/>
    <n v="111.72839506172839"/>
    <n v="21.228395061728392"/>
    <x v="4"/>
    <m/>
  </r>
  <r>
    <n v="4784"/>
    <n v="67"/>
    <x v="0"/>
    <x v="8"/>
    <x v="14"/>
    <n v="61.64"/>
    <x v="1"/>
    <x v="1"/>
    <n v="3.8"/>
    <n v="14"/>
    <n v="2"/>
    <n v="71.674418604651166"/>
    <n v="10.034418604651165"/>
    <x v="2"/>
    <m/>
  </r>
  <r>
    <n v="4785"/>
    <n v="21"/>
    <x v="1"/>
    <x v="1"/>
    <x v="9"/>
    <n v="30.63"/>
    <x v="2"/>
    <x v="0"/>
    <n v="3.2"/>
    <n v="15"/>
    <n v="5"/>
    <n v="36.035294117647055"/>
    <n v="5.4052941176470561"/>
    <x v="3"/>
    <m/>
  </r>
  <r>
    <n v="4786"/>
    <n v="31"/>
    <x v="1"/>
    <x v="2"/>
    <x v="12"/>
    <n v="82.96"/>
    <x v="1"/>
    <x v="0"/>
    <n v="3.2"/>
    <n v="13"/>
    <n v="4"/>
    <n v="95.356321839080451"/>
    <n v="12.396321839080457"/>
    <x v="5"/>
    <m/>
  </r>
  <r>
    <n v="4787"/>
    <n v="43"/>
    <x v="0"/>
    <x v="3"/>
    <x v="3"/>
    <n v="162.78"/>
    <x v="0"/>
    <x v="0"/>
    <n v="3.3"/>
    <n v="12"/>
    <n v="1"/>
    <n v="184.97727272727272"/>
    <n v="22.197272727272718"/>
    <x v="1"/>
    <m/>
  </r>
  <r>
    <n v="4788"/>
    <n v="20"/>
    <x v="1"/>
    <x v="2"/>
    <x v="12"/>
    <n v="173.24"/>
    <x v="1"/>
    <x v="0"/>
    <n v="2.9"/>
    <n v="10"/>
    <n v="5"/>
    <n v="192.48888888888888"/>
    <n v="19.248888888888871"/>
    <x v="3"/>
    <m/>
  </r>
  <r>
    <n v="4789"/>
    <n v="58"/>
    <x v="1"/>
    <x v="5"/>
    <x v="25"/>
    <n v="1498.26"/>
    <x v="1"/>
    <x v="0"/>
    <n v="4.2"/>
    <n v="8"/>
    <n v="4"/>
    <n v="1628.5434782608695"/>
    <n v="130.28347826086951"/>
    <x v="0"/>
    <m/>
  </r>
  <r>
    <n v="4790"/>
    <n v="68"/>
    <x v="0"/>
    <x v="0"/>
    <x v="22"/>
    <n v="124.8"/>
    <x v="1"/>
    <x v="0"/>
    <n v="4.0999999999999996"/>
    <n v="11"/>
    <n v="3"/>
    <n v="140.22471910112358"/>
    <n v="15.424719101123586"/>
    <x v="2"/>
    <m/>
  </r>
  <r>
    <n v="4791"/>
    <n v="57"/>
    <x v="1"/>
    <x v="4"/>
    <x v="29"/>
    <n v="45.07"/>
    <x v="0"/>
    <x v="1"/>
    <n v="4.5"/>
    <n v="9"/>
    <n v="2"/>
    <n v="49.527472527472526"/>
    <n v="4.4574725274725253"/>
    <x v="0"/>
    <m/>
  </r>
  <r>
    <n v="4792"/>
    <n v="66"/>
    <x v="0"/>
    <x v="8"/>
    <x v="18"/>
    <n v="121.66"/>
    <x v="2"/>
    <x v="0"/>
    <n v="3.9"/>
    <n v="24"/>
    <n v="7"/>
    <n v="160.07894736842104"/>
    <n v="38.418947368421044"/>
    <x v="2"/>
    <m/>
  </r>
  <r>
    <n v="4793"/>
    <n v="55"/>
    <x v="1"/>
    <x v="1"/>
    <x v="1"/>
    <n v="63.17"/>
    <x v="2"/>
    <x v="1"/>
    <n v="2.9"/>
    <n v="12"/>
    <n v="6"/>
    <n v="71.784090909090907"/>
    <n v="8.6140909090909048"/>
    <x v="0"/>
    <m/>
  </r>
  <r>
    <n v="4794"/>
    <n v="37"/>
    <x v="1"/>
    <x v="1"/>
    <x v="20"/>
    <n v="34.630000000000003"/>
    <x v="3"/>
    <x v="1"/>
    <n v="2.9"/>
    <n v="10"/>
    <n v="0"/>
    <n v="38.477777777777781"/>
    <n v="3.8477777777777789"/>
    <x v="1"/>
    <m/>
  </r>
  <r>
    <n v="4795"/>
    <n v="24"/>
    <x v="0"/>
    <x v="8"/>
    <x v="17"/>
    <n v="59.95"/>
    <x v="2"/>
    <x v="0"/>
    <n v="3.3"/>
    <n v="14"/>
    <n v="2"/>
    <n v="69.709302325581405"/>
    <n v="9.7593023255814018"/>
    <x v="3"/>
    <m/>
  </r>
  <r>
    <n v="4796"/>
    <n v="65"/>
    <x v="0"/>
    <x v="0"/>
    <x v="28"/>
    <n v="177.54"/>
    <x v="2"/>
    <x v="0"/>
    <n v="2.8"/>
    <n v="18"/>
    <n v="4"/>
    <n v="216.51219512195118"/>
    <n v="38.972195121951188"/>
    <x v="2"/>
    <m/>
  </r>
  <r>
    <n v="4797"/>
    <n v="66"/>
    <x v="1"/>
    <x v="2"/>
    <x v="10"/>
    <n v="97.98"/>
    <x v="0"/>
    <x v="1"/>
    <n v="3.3"/>
    <n v="18"/>
    <n v="9"/>
    <n v="119.48780487804878"/>
    <n v="21.507804878048773"/>
    <x v="2"/>
    <m/>
  </r>
  <r>
    <n v="4798"/>
    <n v="56"/>
    <x v="0"/>
    <x v="0"/>
    <x v="28"/>
    <n v="62.19"/>
    <x v="2"/>
    <x v="1"/>
    <n v="4.4000000000000004"/>
    <n v="7"/>
    <n v="1"/>
    <n v="66.870967741935488"/>
    <n v="4.6809677419354898"/>
    <x v="0"/>
    <m/>
  </r>
  <r>
    <n v="4799"/>
    <n v="65"/>
    <x v="0"/>
    <x v="2"/>
    <x v="2"/>
    <n v="36.71"/>
    <x v="0"/>
    <x v="1"/>
    <n v="3.5"/>
    <n v="23"/>
    <n v="9"/>
    <n v="47.675324675324674"/>
    <n v="10.965324675324673"/>
    <x v="2"/>
    <m/>
  </r>
  <r>
    <n v="4800"/>
    <n v="50"/>
    <x v="0"/>
    <x v="2"/>
    <x v="10"/>
    <n v="34.659999999999997"/>
    <x v="3"/>
    <x v="0"/>
    <n v="2.8"/>
    <n v="12"/>
    <n v="6"/>
    <n v="39.386363636363633"/>
    <n v="4.7263636363636365"/>
    <x v="4"/>
    <m/>
  </r>
  <r>
    <n v="4801"/>
    <n v="22"/>
    <x v="0"/>
    <x v="2"/>
    <x v="10"/>
    <n v="136.51"/>
    <x v="1"/>
    <x v="0"/>
    <n v="4.5"/>
    <n v="22"/>
    <n v="6"/>
    <n v="175.0128205128205"/>
    <n v="38.502820512820506"/>
    <x v="3"/>
    <m/>
  </r>
  <r>
    <n v="4802"/>
    <n v="67"/>
    <x v="0"/>
    <x v="8"/>
    <x v="18"/>
    <n v="81.05"/>
    <x v="1"/>
    <x v="1"/>
    <n v="4.5999999999999996"/>
    <n v="14"/>
    <n v="7"/>
    <n v="94.244186046511629"/>
    <n v="13.194186046511632"/>
    <x v="2"/>
    <m/>
  </r>
  <r>
    <n v="4803"/>
    <n v="44"/>
    <x v="0"/>
    <x v="2"/>
    <x v="10"/>
    <n v="49.34"/>
    <x v="3"/>
    <x v="1"/>
    <n v="3.3"/>
    <n v="7"/>
    <n v="1"/>
    <n v="53.053763440860223"/>
    <n v="3.7137634408602196"/>
    <x v="1"/>
    <m/>
  </r>
  <r>
    <n v="4804"/>
    <n v="31"/>
    <x v="1"/>
    <x v="2"/>
    <x v="10"/>
    <n v="83.98"/>
    <x v="2"/>
    <x v="1"/>
    <n v="4.0999999999999996"/>
    <n v="26"/>
    <n v="8"/>
    <n v="113.4864864864865"/>
    <n v="29.506486486486494"/>
    <x v="5"/>
    <m/>
  </r>
  <r>
    <n v="4805"/>
    <n v="46"/>
    <x v="0"/>
    <x v="8"/>
    <x v="14"/>
    <n v="48.2"/>
    <x v="1"/>
    <x v="1"/>
    <n v="4.0999999999999996"/>
    <n v="12"/>
    <n v="6"/>
    <n v="54.772727272727273"/>
    <n v="6.5727272727272705"/>
    <x v="4"/>
    <m/>
  </r>
  <r>
    <n v="4806"/>
    <n v="57"/>
    <x v="0"/>
    <x v="4"/>
    <x v="19"/>
    <n v="44.59"/>
    <x v="1"/>
    <x v="1"/>
    <n v="4.5"/>
    <n v="12"/>
    <n v="6"/>
    <n v="50.670454545454547"/>
    <n v="6.0804545454545433"/>
    <x v="0"/>
    <m/>
  </r>
  <r>
    <n v="4807"/>
    <n v="35"/>
    <x v="0"/>
    <x v="0"/>
    <x v="22"/>
    <n v="99.42"/>
    <x v="1"/>
    <x v="0"/>
    <n v="4.3"/>
    <n v="8"/>
    <n v="4"/>
    <n v="108.06521739130434"/>
    <n v="8.6452173913043424"/>
    <x v="1"/>
    <m/>
  </r>
  <r>
    <n v="4808"/>
    <n v="47"/>
    <x v="1"/>
    <x v="1"/>
    <x v="9"/>
    <n v="149.88999999999999"/>
    <x v="1"/>
    <x v="0"/>
    <n v="3.7"/>
    <n v="8"/>
    <n v="4"/>
    <n v="162.92391304347825"/>
    <n v="13.033913043478265"/>
    <x v="4"/>
    <m/>
  </r>
  <r>
    <n v="4809"/>
    <n v="51"/>
    <x v="1"/>
    <x v="2"/>
    <x v="2"/>
    <n v="223.89"/>
    <x v="2"/>
    <x v="0"/>
    <n v="3.3"/>
    <n v="15"/>
    <n v="5"/>
    <n v="263.39999999999998"/>
    <n v="39.509999999999991"/>
    <x v="4"/>
    <m/>
  </r>
  <r>
    <n v="4810"/>
    <n v="43"/>
    <x v="0"/>
    <x v="8"/>
    <x v="16"/>
    <n v="163.6"/>
    <x v="3"/>
    <x v="0"/>
    <n v="2.6"/>
    <n v="15"/>
    <n v="5"/>
    <n v="192.47058823529412"/>
    <n v="28.870588235294122"/>
    <x v="1"/>
    <m/>
  </r>
  <r>
    <n v="4811"/>
    <n v="27"/>
    <x v="1"/>
    <x v="4"/>
    <x v="29"/>
    <n v="54.58"/>
    <x v="0"/>
    <x v="0"/>
    <n v="3.1"/>
    <n v="10"/>
    <n v="5"/>
    <n v="60.644444444444439"/>
    <n v="6.0644444444444403"/>
    <x v="5"/>
    <m/>
  </r>
  <r>
    <n v="4812"/>
    <n v="34"/>
    <x v="1"/>
    <x v="7"/>
    <x v="13"/>
    <n v="107.13"/>
    <x v="2"/>
    <x v="0"/>
    <n v="3.4"/>
    <n v="26"/>
    <n v="8"/>
    <n v="144.77027027027026"/>
    <n v="37.640270270270264"/>
    <x v="5"/>
    <m/>
  </r>
  <r>
    <n v="4813"/>
    <n v="55"/>
    <x v="0"/>
    <x v="7"/>
    <x v="11"/>
    <n v="105.16"/>
    <x v="3"/>
    <x v="0"/>
    <n v="3.9"/>
    <n v="20"/>
    <n v="5"/>
    <n v="131.44999999999999"/>
    <n v="26.289999999999992"/>
    <x v="0"/>
    <m/>
  </r>
  <r>
    <n v="4814"/>
    <n v="30"/>
    <x v="1"/>
    <x v="5"/>
    <x v="7"/>
    <n v="1843.94"/>
    <x v="0"/>
    <x v="0"/>
    <n v="3.5"/>
    <n v="9"/>
    <n v="2"/>
    <n v="2026.3076923076924"/>
    <n v="182.36769230769232"/>
    <x v="5"/>
    <m/>
  </r>
  <r>
    <n v="4815"/>
    <n v="58"/>
    <x v="1"/>
    <x v="7"/>
    <x v="11"/>
    <n v="64.59"/>
    <x v="2"/>
    <x v="0"/>
    <n v="4.0999999999999996"/>
    <n v="19"/>
    <n v="7"/>
    <n v="79.740740740740733"/>
    <n v="15.15074074074073"/>
    <x v="0"/>
    <m/>
  </r>
  <r>
    <n v="4816"/>
    <n v="67"/>
    <x v="1"/>
    <x v="5"/>
    <x v="5"/>
    <n v="2035.13"/>
    <x v="1"/>
    <x v="0"/>
    <n v="3.7"/>
    <n v="13"/>
    <n v="4"/>
    <n v="2339.2298850574716"/>
    <n v="304.09988505747151"/>
    <x v="2"/>
    <m/>
  </r>
  <r>
    <n v="4817"/>
    <n v="26"/>
    <x v="1"/>
    <x v="4"/>
    <x v="19"/>
    <n v="42.57"/>
    <x v="0"/>
    <x v="0"/>
    <n v="4.0999999999999996"/>
    <n v="9"/>
    <n v="2"/>
    <n v="46.780219780219781"/>
    <n v="4.2102197802197807"/>
    <x v="5"/>
    <m/>
  </r>
  <r>
    <n v="4818"/>
    <n v="31"/>
    <x v="1"/>
    <x v="5"/>
    <x v="5"/>
    <n v="2124.87"/>
    <x v="2"/>
    <x v="0"/>
    <n v="3.4"/>
    <n v="13"/>
    <n v="4"/>
    <n v="2442.3793103448274"/>
    <n v="317.50931034482755"/>
    <x v="5"/>
    <m/>
  </r>
  <r>
    <n v="4819"/>
    <n v="58"/>
    <x v="1"/>
    <x v="5"/>
    <x v="7"/>
    <n v="1687.48"/>
    <x v="3"/>
    <x v="0"/>
    <n v="3.8"/>
    <n v="13"/>
    <n v="4"/>
    <n v="1939.632183908046"/>
    <n v="252.15218390804603"/>
    <x v="0"/>
    <m/>
  </r>
  <r>
    <n v="4820"/>
    <n v="38"/>
    <x v="1"/>
    <x v="5"/>
    <x v="5"/>
    <n v="1951.27"/>
    <x v="0"/>
    <x v="0"/>
    <n v="4.5999999999999996"/>
    <n v="6"/>
    <n v="3"/>
    <n v="2075.8191489361702"/>
    <n v="124.54914893617024"/>
    <x v="1"/>
    <m/>
  </r>
  <r>
    <n v="4821"/>
    <n v="37"/>
    <x v="1"/>
    <x v="1"/>
    <x v="14"/>
    <n v="159.61000000000001"/>
    <x v="1"/>
    <x v="0"/>
    <n v="3.7"/>
    <n v="20"/>
    <n v="5"/>
    <n v="199.51250000000002"/>
    <n v="39.902500000000003"/>
    <x v="1"/>
    <m/>
  </r>
  <r>
    <n v="4822"/>
    <n v="28"/>
    <x v="1"/>
    <x v="2"/>
    <x v="2"/>
    <n v="178.42"/>
    <x v="1"/>
    <x v="0"/>
    <n v="4.0999999999999996"/>
    <n v="22"/>
    <n v="6"/>
    <n v="228.74358974358972"/>
    <n v="50.323589743589736"/>
    <x v="5"/>
    <m/>
  </r>
  <r>
    <n v="4823"/>
    <n v="48"/>
    <x v="1"/>
    <x v="7"/>
    <x v="11"/>
    <n v="92.46"/>
    <x v="1"/>
    <x v="0"/>
    <n v="3.3"/>
    <n v="14"/>
    <n v="7"/>
    <n v="107.51162790697674"/>
    <n v="15.051627906976748"/>
    <x v="4"/>
    <m/>
  </r>
  <r>
    <n v="4824"/>
    <n v="36"/>
    <x v="0"/>
    <x v="0"/>
    <x v="28"/>
    <n v="35.9"/>
    <x v="1"/>
    <x v="1"/>
    <n v="4.2"/>
    <n v="11"/>
    <n v="3"/>
    <n v="40.337078651685388"/>
    <n v="4.4370786516853897"/>
    <x v="1"/>
    <m/>
  </r>
  <r>
    <n v="4825"/>
    <n v="57"/>
    <x v="1"/>
    <x v="2"/>
    <x v="12"/>
    <n v="235.27"/>
    <x v="2"/>
    <x v="0"/>
    <n v="3.9"/>
    <n v="18"/>
    <n v="4"/>
    <n v="286.91463414634143"/>
    <n v="51.644634146341417"/>
    <x v="0"/>
    <m/>
  </r>
  <r>
    <n v="4826"/>
    <n v="42"/>
    <x v="1"/>
    <x v="4"/>
    <x v="26"/>
    <n v="76.87"/>
    <x v="0"/>
    <x v="1"/>
    <n v="4.5"/>
    <n v="9"/>
    <n v="2"/>
    <n v="84.472527472527474"/>
    <n v="7.6025274725274699"/>
    <x v="1"/>
    <m/>
  </r>
  <r>
    <n v="4827"/>
    <n v="47"/>
    <x v="1"/>
    <x v="5"/>
    <x v="7"/>
    <n v="692.45"/>
    <x v="3"/>
    <x v="0"/>
    <n v="4.3"/>
    <n v="9"/>
    <n v="2"/>
    <n v="760.93406593406598"/>
    <n v="68.484065934065939"/>
    <x v="4"/>
    <m/>
  </r>
  <r>
    <n v="4828"/>
    <n v="56"/>
    <x v="0"/>
    <x v="8"/>
    <x v="14"/>
    <n v="128.72999999999999"/>
    <x v="3"/>
    <x v="0"/>
    <n v="4.9000000000000004"/>
    <n v="12"/>
    <n v="6"/>
    <n v="146.28409090909091"/>
    <n v="17.554090909090917"/>
    <x v="0"/>
    <m/>
  </r>
  <r>
    <n v="4829"/>
    <n v="30"/>
    <x v="0"/>
    <x v="6"/>
    <x v="27"/>
    <n v="97.03"/>
    <x v="2"/>
    <x v="1"/>
    <n v="4.0999999999999996"/>
    <n v="19"/>
    <n v="7"/>
    <n v="119.79012345679011"/>
    <n v="22.760123456790112"/>
    <x v="5"/>
    <m/>
  </r>
  <r>
    <n v="4830"/>
    <n v="24"/>
    <x v="0"/>
    <x v="0"/>
    <x v="28"/>
    <n v="156.83000000000001"/>
    <x v="3"/>
    <x v="0"/>
    <n v="2.8"/>
    <n v="8"/>
    <n v="4"/>
    <n v="170.46739130434784"/>
    <n v="13.63739130434783"/>
    <x v="3"/>
    <m/>
  </r>
  <r>
    <n v="4831"/>
    <n v="35"/>
    <x v="0"/>
    <x v="7"/>
    <x v="8"/>
    <n v="233.18"/>
    <x v="1"/>
    <x v="0"/>
    <n v="3.1"/>
    <n v="11"/>
    <n v="3"/>
    <n v="262"/>
    <n v="28.819999999999993"/>
    <x v="1"/>
    <m/>
  </r>
  <r>
    <n v="4832"/>
    <n v="52"/>
    <x v="0"/>
    <x v="2"/>
    <x v="10"/>
    <n v="65.760000000000005"/>
    <x v="2"/>
    <x v="1"/>
    <n v="3.5"/>
    <n v="32"/>
    <n v="11"/>
    <n v="96.705882352941188"/>
    <n v="30.945882352941183"/>
    <x v="4"/>
    <m/>
  </r>
  <r>
    <n v="4833"/>
    <n v="55"/>
    <x v="1"/>
    <x v="2"/>
    <x v="2"/>
    <n v="245.22"/>
    <x v="3"/>
    <x v="0"/>
    <n v="5"/>
    <n v="22"/>
    <n v="11"/>
    <n v="314.38461538461536"/>
    <n v="69.16461538461536"/>
    <x v="0"/>
    <m/>
  </r>
  <r>
    <n v="4834"/>
    <n v="27"/>
    <x v="1"/>
    <x v="5"/>
    <x v="5"/>
    <n v="540.45000000000005"/>
    <x v="1"/>
    <x v="0"/>
    <n v="3.5"/>
    <n v="20"/>
    <n v="5"/>
    <n v="675.5625"/>
    <n v="135.11249999999995"/>
    <x v="5"/>
    <m/>
  </r>
  <r>
    <n v="4835"/>
    <n v="50"/>
    <x v="0"/>
    <x v="6"/>
    <x v="27"/>
    <n v="55.69"/>
    <x v="0"/>
    <x v="0"/>
    <n v="3.7"/>
    <n v="11"/>
    <n v="3"/>
    <n v="62.573033707865164"/>
    <n v="6.8830337078651667"/>
    <x v="4"/>
    <m/>
  </r>
  <r>
    <n v="4836"/>
    <n v="62"/>
    <x v="0"/>
    <x v="7"/>
    <x v="13"/>
    <n v="204.43"/>
    <x v="0"/>
    <x v="0"/>
    <n v="4.5"/>
    <n v="14"/>
    <n v="7"/>
    <n v="237.7093023255814"/>
    <n v="33.279302325581398"/>
    <x v="0"/>
    <m/>
  </r>
  <r>
    <n v="4837"/>
    <n v="64"/>
    <x v="1"/>
    <x v="1"/>
    <x v="20"/>
    <n v="187.34"/>
    <x v="1"/>
    <x v="0"/>
    <n v="3.8"/>
    <n v="16"/>
    <n v="3"/>
    <n v="223.02380952380955"/>
    <n v="35.683809523809543"/>
    <x v="0"/>
    <m/>
  </r>
  <r>
    <n v="4838"/>
    <n v="70"/>
    <x v="0"/>
    <x v="6"/>
    <x v="6"/>
    <n v="119.95"/>
    <x v="3"/>
    <x v="0"/>
    <n v="4.2"/>
    <n v="22"/>
    <n v="6"/>
    <n v="153.78205128205127"/>
    <n v="33.832051282051268"/>
    <x v="2"/>
    <m/>
  </r>
  <r>
    <n v="4839"/>
    <n v="38"/>
    <x v="1"/>
    <x v="1"/>
    <x v="9"/>
    <n v="90.72"/>
    <x v="0"/>
    <x v="1"/>
    <n v="4.4000000000000004"/>
    <n v="22"/>
    <n v="6"/>
    <n v="116.30769230769231"/>
    <n v="25.587692307692308"/>
    <x v="1"/>
    <m/>
  </r>
  <r>
    <n v="4840"/>
    <n v="24"/>
    <x v="0"/>
    <x v="4"/>
    <x v="26"/>
    <n v="42.23"/>
    <x v="1"/>
    <x v="1"/>
    <n v="3.8"/>
    <n v="20"/>
    <n v="5"/>
    <n v="52.787499999999994"/>
    <n v="10.557499999999997"/>
    <x v="3"/>
    <m/>
  </r>
  <r>
    <n v="4841"/>
    <n v="26"/>
    <x v="1"/>
    <x v="5"/>
    <x v="7"/>
    <n v="1499.25"/>
    <x v="1"/>
    <x v="0"/>
    <n v="3.3"/>
    <n v="15"/>
    <n v="5"/>
    <n v="1763.8235294117646"/>
    <n v="264.57352941176464"/>
    <x v="5"/>
    <m/>
  </r>
  <r>
    <n v="4842"/>
    <n v="46"/>
    <x v="1"/>
    <x v="1"/>
    <x v="20"/>
    <n v="166.99"/>
    <x v="0"/>
    <x v="0"/>
    <n v="3.3"/>
    <n v="26"/>
    <n v="8"/>
    <n v="225.66216216216219"/>
    <n v="58.672162162162181"/>
    <x v="4"/>
    <m/>
  </r>
  <r>
    <n v="4843"/>
    <n v="36"/>
    <x v="1"/>
    <x v="7"/>
    <x v="8"/>
    <n v="205.73"/>
    <x v="3"/>
    <x v="0"/>
    <n v="4.5999999999999996"/>
    <n v="11"/>
    <n v="3"/>
    <n v="231.15730337078651"/>
    <n v="25.427303370786518"/>
    <x v="1"/>
    <m/>
  </r>
  <r>
    <n v="4844"/>
    <n v="36"/>
    <x v="0"/>
    <x v="3"/>
    <x v="15"/>
    <n v="279.89999999999998"/>
    <x v="0"/>
    <x v="0"/>
    <n v="4.4000000000000004"/>
    <n v="24"/>
    <n v="7"/>
    <n v="368.28947368421052"/>
    <n v="88.389473684210543"/>
    <x v="1"/>
    <m/>
  </r>
  <r>
    <n v="4845"/>
    <n v="65"/>
    <x v="1"/>
    <x v="5"/>
    <x v="7"/>
    <n v="1117.23"/>
    <x v="1"/>
    <x v="0"/>
    <n v="3.8"/>
    <n v="22"/>
    <n v="6"/>
    <n v="1432.3461538461538"/>
    <n v="315.11615384615379"/>
    <x v="2"/>
    <m/>
  </r>
  <r>
    <n v="4846"/>
    <n v="51"/>
    <x v="0"/>
    <x v="8"/>
    <x v="18"/>
    <n v="75.540000000000006"/>
    <x v="3"/>
    <x v="0"/>
    <n v="4.2"/>
    <n v="11"/>
    <n v="3"/>
    <n v="84.876404494382029"/>
    <n v="9.3364044943820232"/>
    <x v="4"/>
    <m/>
  </r>
  <r>
    <n v="4847"/>
    <n v="21"/>
    <x v="0"/>
    <x v="0"/>
    <x v="22"/>
    <n v="31.69"/>
    <x v="2"/>
    <x v="1"/>
    <n v="2.6"/>
    <n v="20"/>
    <n v="5"/>
    <n v="39.612499999999997"/>
    <n v="7.9224999999999959"/>
    <x v="3"/>
    <m/>
  </r>
  <r>
    <n v="4848"/>
    <n v="48"/>
    <x v="0"/>
    <x v="6"/>
    <x v="27"/>
    <n v="125.13"/>
    <x v="3"/>
    <x v="0"/>
    <n v="3.6"/>
    <n v="18"/>
    <n v="4"/>
    <n v="152.59756097560975"/>
    <n v="27.467560975609757"/>
    <x v="4"/>
    <m/>
  </r>
  <r>
    <n v="4849"/>
    <n v="51"/>
    <x v="1"/>
    <x v="7"/>
    <x v="8"/>
    <n v="188.35"/>
    <x v="0"/>
    <x v="0"/>
    <n v="4.5999999999999996"/>
    <n v="16"/>
    <n v="8"/>
    <n v="224.22619047619048"/>
    <n v="35.876190476190487"/>
    <x v="4"/>
    <m/>
  </r>
  <r>
    <n v="4850"/>
    <n v="46"/>
    <x v="0"/>
    <x v="0"/>
    <x v="28"/>
    <n v="72.39"/>
    <x v="0"/>
    <x v="1"/>
    <n v="4.5999999999999996"/>
    <n v="16"/>
    <n v="3"/>
    <n v="86.178571428571431"/>
    <n v="13.78857142857143"/>
    <x v="4"/>
    <m/>
  </r>
  <r>
    <n v="4851"/>
    <n v="46"/>
    <x v="1"/>
    <x v="3"/>
    <x v="24"/>
    <n v="237.02"/>
    <x v="0"/>
    <x v="0"/>
    <n v="4.0999999999999996"/>
    <n v="12"/>
    <n v="6"/>
    <n v="269.34090909090912"/>
    <n v="32.320909090909112"/>
    <x v="4"/>
    <m/>
  </r>
  <r>
    <n v="4852"/>
    <n v="52"/>
    <x v="0"/>
    <x v="8"/>
    <x v="14"/>
    <n v="177.68"/>
    <x v="1"/>
    <x v="0"/>
    <n v="3.8"/>
    <n v="6"/>
    <n v="3"/>
    <n v="189.02127659574469"/>
    <n v="11.341276595744688"/>
    <x v="4"/>
    <m/>
  </r>
  <r>
    <n v="4853"/>
    <n v="67"/>
    <x v="1"/>
    <x v="5"/>
    <x v="21"/>
    <n v="1464.98"/>
    <x v="2"/>
    <x v="0"/>
    <n v="3.8"/>
    <n v="22"/>
    <n v="11"/>
    <n v="1878.1794871794871"/>
    <n v="413.19948717948705"/>
    <x v="2"/>
    <m/>
  </r>
  <r>
    <n v="4854"/>
    <n v="36"/>
    <x v="1"/>
    <x v="7"/>
    <x v="8"/>
    <n v="236.57"/>
    <x v="0"/>
    <x v="0"/>
    <n v="3.2"/>
    <n v="22"/>
    <n v="6"/>
    <n v="303.29487179487177"/>
    <n v="66.724871794871774"/>
    <x v="1"/>
    <m/>
  </r>
  <r>
    <n v="4855"/>
    <n v="38"/>
    <x v="1"/>
    <x v="3"/>
    <x v="15"/>
    <n v="109.44"/>
    <x v="0"/>
    <x v="0"/>
    <n v="2.7"/>
    <n v="10"/>
    <n v="0"/>
    <n v="121.6"/>
    <n v="12.159999999999997"/>
    <x v="1"/>
    <m/>
  </r>
  <r>
    <n v="4856"/>
    <n v="45"/>
    <x v="1"/>
    <x v="3"/>
    <x v="15"/>
    <n v="220.75"/>
    <x v="3"/>
    <x v="0"/>
    <n v="4"/>
    <n v="8"/>
    <n v="4"/>
    <n v="239.94565217391303"/>
    <n v="19.195652173913032"/>
    <x v="4"/>
    <m/>
  </r>
  <r>
    <n v="4857"/>
    <n v="22"/>
    <x v="0"/>
    <x v="8"/>
    <x v="16"/>
    <n v="171.72"/>
    <x v="2"/>
    <x v="0"/>
    <n v="3.9"/>
    <n v="12"/>
    <n v="6"/>
    <n v="195.13636363636363"/>
    <n v="23.416363636363627"/>
    <x v="3"/>
    <m/>
  </r>
  <r>
    <n v="4858"/>
    <n v="33"/>
    <x v="0"/>
    <x v="0"/>
    <x v="0"/>
    <n v="83.46"/>
    <x v="3"/>
    <x v="1"/>
    <n v="3.7"/>
    <n v="25"/>
    <n v="10"/>
    <n v="111.27999999999999"/>
    <n v="27.819999999999993"/>
    <x v="5"/>
    <m/>
  </r>
  <r>
    <n v="4859"/>
    <n v="60"/>
    <x v="1"/>
    <x v="2"/>
    <x v="2"/>
    <n v="224.01"/>
    <x v="1"/>
    <x v="0"/>
    <n v="3.2"/>
    <n v="23"/>
    <n v="9"/>
    <n v="290.9220779220779"/>
    <n v="66.912077922077913"/>
    <x v="0"/>
    <m/>
  </r>
  <r>
    <n v="4860"/>
    <n v="38"/>
    <x v="0"/>
    <x v="7"/>
    <x v="13"/>
    <n v="211.8"/>
    <x v="2"/>
    <x v="0"/>
    <n v="3.6"/>
    <n v="15"/>
    <n v="5"/>
    <n v="249.1764705882353"/>
    <n v="37.376470588235293"/>
    <x v="1"/>
    <m/>
  </r>
  <r>
    <n v="4861"/>
    <n v="57"/>
    <x v="0"/>
    <x v="0"/>
    <x v="22"/>
    <n v="97.86"/>
    <x v="3"/>
    <x v="0"/>
    <n v="4.2"/>
    <n v="16"/>
    <n v="8"/>
    <n v="116.5"/>
    <n v="18.64"/>
    <x v="0"/>
    <m/>
  </r>
  <r>
    <n v="4862"/>
    <n v="61"/>
    <x v="1"/>
    <x v="2"/>
    <x v="12"/>
    <n v="166.73"/>
    <x v="1"/>
    <x v="0"/>
    <n v="3.5"/>
    <n v="12"/>
    <n v="1"/>
    <n v="189.46590909090907"/>
    <n v="22.735909090909075"/>
    <x v="0"/>
    <m/>
  </r>
  <r>
    <n v="4863"/>
    <n v="45"/>
    <x v="1"/>
    <x v="5"/>
    <x v="5"/>
    <n v="2482.54"/>
    <x v="3"/>
    <x v="0"/>
    <n v="4.0999999999999996"/>
    <n v="4"/>
    <n v="2"/>
    <n v="2585.9791666666665"/>
    <n v="103.43916666666655"/>
    <x v="4"/>
    <m/>
  </r>
  <r>
    <n v="4864"/>
    <n v="26"/>
    <x v="1"/>
    <x v="2"/>
    <x v="10"/>
    <n v="125.43"/>
    <x v="1"/>
    <x v="0"/>
    <n v="2.5"/>
    <n v="18"/>
    <n v="4"/>
    <n v="152.96341463414635"/>
    <n v="27.533414634146339"/>
    <x v="5"/>
    <m/>
  </r>
  <r>
    <n v="4865"/>
    <n v="25"/>
    <x v="0"/>
    <x v="6"/>
    <x v="27"/>
    <n v="62.35"/>
    <x v="1"/>
    <x v="1"/>
    <n v="4"/>
    <n v="18"/>
    <n v="9"/>
    <n v="76.036585365853654"/>
    <n v="13.686585365853652"/>
    <x v="5"/>
    <m/>
  </r>
  <r>
    <n v="4866"/>
    <n v="22"/>
    <x v="0"/>
    <x v="6"/>
    <x v="23"/>
    <n v="93.53"/>
    <x v="0"/>
    <x v="0"/>
    <n v="3.3"/>
    <n v="10"/>
    <n v="5"/>
    <n v="103.92222222222222"/>
    <n v="10.392222222222216"/>
    <x v="3"/>
    <m/>
  </r>
  <r>
    <n v="4867"/>
    <n v="61"/>
    <x v="1"/>
    <x v="2"/>
    <x v="2"/>
    <n v="193.47"/>
    <x v="3"/>
    <x v="0"/>
    <n v="4.0999999999999996"/>
    <n v="15"/>
    <n v="5"/>
    <n v="227.61176470588236"/>
    <n v="34.141764705882366"/>
    <x v="0"/>
    <m/>
  </r>
  <r>
    <n v="4868"/>
    <n v="34"/>
    <x v="0"/>
    <x v="8"/>
    <x v="14"/>
    <n v="86.21"/>
    <x v="2"/>
    <x v="1"/>
    <n v="3.5"/>
    <n v="24"/>
    <n v="7"/>
    <n v="113.43421052631578"/>
    <n v="27.224210526315787"/>
    <x v="5"/>
    <m/>
  </r>
  <r>
    <n v="4869"/>
    <n v="56"/>
    <x v="1"/>
    <x v="2"/>
    <x v="12"/>
    <n v="184.93"/>
    <x v="3"/>
    <x v="0"/>
    <n v="4.0999999999999996"/>
    <n v="12"/>
    <n v="6"/>
    <n v="210.14772727272728"/>
    <n v="25.217727272727274"/>
    <x v="0"/>
    <m/>
  </r>
  <r>
    <n v="4870"/>
    <n v="53"/>
    <x v="1"/>
    <x v="1"/>
    <x v="9"/>
    <n v="162.06"/>
    <x v="3"/>
    <x v="0"/>
    <n v="5"/>
    <n v="20"/>
    <n v="5"/>
    <n v="202.57499999999999"/>
    <n v="40.514999999999986"/>
    <x v="4"/>
    <m/>
  </r>
  <r>
    <n v="4871"/>
    <n v="34"/>
    <x v="1"/>
    <x v="2"/>
    <x v="10"/>
    <n v="75.709999999999994"/>
    <x v="1"/>
    <x v="1"/>
    <n v="4.3"/>
    <n v="26"/>
    <n v="8"/>
    <n v="102.31081081081081"/>
    <n v="26.600810810810813"/>
    <x v="5"/>
    <m/>
  </r>
  <r>
    <n v="4872"/>
    <n v="20"/>
    <x v="1"/>
    <x v="4"/>
    <x v="4"/>
    <n v="59.59"/>
    <x v="3"/>
    <x v="0"/>
    <n v="4.8"/>
    <n v="14"/>
    <n v="2"/>
    <n v="69.29069767441861"/>
    <n v="9.7006976744186062"/>
    <x v="3"/>
    <m/>
  </r>
  <r>
    <n v="4873"/>
    <n v="30"/>
    <x v="1"/>
    <x v="7"/>
    <x v="11"/>
    <n v="113.81"/>
    <x v="1"/>
    <x v="0"/>
    <n v="3.6"/>
    <n v="13"/>
    <n v="4"/>
    <n v="130.81609195402299"/>
    <n v="17.006091954022992"/>
    <x v="5"/>
    <m/>
  </r>
  <r>
    <n v="4874"/>
    <n v="28"/>
    <x v="1"/>
    <x v="1"/>
    <x v="9"/>
    <n v="109.99"/>
    <x v="1"/>
    <x v="0"/>
    <n v="4.5999999999999996"/>
    <n v="19"/>
    <n v="7"/>
    <n v="135.7901234567901"/>
    <n v="25.800123456790104"/>
    <x v="5"/>
    <m/>
  </r>
  <r>
    <n v="4875"/>
    <n v="27"/>
    <x v="0"/>
    <x v="0"/>
    <x v="22"/>
    <n v="161.53"/>
    <x v="3"/>
    <x v="0"/>
    <n v="3.8"/>
    <n v="12"/>
    <n v="1"/>
    <n v="183.55681818181819"/>
    <n v="22.026818181818186"/>
    <x v="5"/>
    <m/>
  </r>
  <r>
    <n v="4876"/>
    <n v="38"/>
    <x v="0"/>
    <x v="7"/>
    <x v="11"/>
    <n v="78.34"/>
    <x v="2"/>
    <x v="0"/>
    <n v="3.7"/>
    <n v="15"/>
    <n v="5"/>
    <n v="92.164705882352948"/>
    <n v="13.824705882352944"/>
    <x v="1"/>
    <m/>
  </r>
  <r>
    <n v="4877"/>
    <n v="48"/>
    <x v="1"/>
    <x v="7"/>
    <x v="11"/>
    <n v="228.07"/>
    <x v="0"/>
    <x v="0"/>
    <n v="3.4"/>
    <n v="21"/>
    <n v="8"/>
    <n v="288.69620253164555"/>
    <n v="60.626202531645561"/>
    <x v="4"/>
    <m/>
  </r>
  <r>
    <n v="4878"/>
    <n v="30"/>
    <x v="0"/>
    <x v="6"/>
    <x v="6"/>
    <n v="45.1"/>
    <x v="1"/>
    <x v="0"/>
    <n v="3.1"/>
    <n v="26"/>
    <n v="8"/>
    <n v="60.945945945945951"/>
    <n v="15.84594594594595"/>
    <x v="5"/>
    <m/>
  </r>
  <r>
    <n v="4879"/>
    <n v="50"/>
    <x v="0"/>
    <x v="8"/>
    <x v="18"/>
    <n v="177.6"/>
    <x v="3"/>
    <x v="0"/>
    <n v="3.1"/>
    <n v="8"/>
    <n v="4"/>
    <n v="193.04347826086956"/>
    <n v="15.443478260869568"/>
    <x v="4"/>
    <m/>
  </r>
  <r>
    <n v="4880"/>
    <n v="45"/>
    <x v="1"/>
    <x v="5"/>
    <x v="5"/>
    <n v="1054.2"/>
    <x v="0"/>
    <x v="0"/>
    <n v="4.5999999999999996"/>
    <n v="10"/>
    <n v="5"/>
    <n v="1171.3333333333333"/>
    <n v="117.13333333333321"/>
    <x v="4"/>
    <m/>
  </r>
  <r>
    <n v="4881"/>
    <n v="67"/>
    <x v="1"/>
    <x v="7"/>
    <x v="11"/>
    <n v="86.51"/>
    <x v="3"/>
    <x v="1"/>
    <n v="4"/>
    <n v="10"/>
    <n v="5"/>
    <n v="96.12222222222222"/>
    <n v="9.6122222222222149"/>
    <x v="2"/>
    <m/>
  </r>
  <r>
    <n v="4882"/>
    <n v="48"/>
    <x v="1"/>
    <x v="5"/>
    <x v="5"/>
    <n v="2184.4"/>
    <x v="0"/>
    <x v="0"/>
    <n v="4"/>
    <n v="8"/>
    <n v="4"/>
    <n v="2374.3478260869565"/>
    <n v="189.94782608695641"/>
    <x v="4"/>
    <m/>
  </r>
  <r>
    <n v="4883"/>
    <n v="42"/>
    <x v="0"/>
    <x v="0"/>
    <x v="0"/>
    <n v="128.68"/>
    <x v="1"/>
    <x v="0"/>
    <n v="5"/>
    <n v="19"/>
    <n v="7"/>
    <n v="158.8641975308642"/>
    <n v="30.184197530864196"/>
    <x v="1"/>
    <m/>
  </r>
  <r>
    <n v="4884"/>
    <n v="26"/>
    <x v="0"/>
    <x v="6"/>
    <x v="27"/>
    <n v="104.48"/>
    <x v="0"/>
    <x v="0"/>
    <n v="4.2"/>
    <n v="20"/>
    <n v="5"/>
    <n v="130.6"/>
    <n v="26.11999999999999"/>
    <x v="5"/>
    <m/>
  </r>
  <r>
    <n v="4885"/>
    <n v="47"/>
    <x v="1"/>
    <x v="1"/>
    <x v="9"/>
    <n v="77.72"/>
    <x v="0"/>
    <x v="0"/>
    <n v="4.4000000000000004"/>
    <n v="20"/>
    <n v="5"/>
    <n v="97.149999999999991"/>
    <n v="19.429999999999993"/>
    <x v="4"/>
    <m/>
  </r>
  <r>
    <n v="4886"/>
    <n v="65"/>
    <x v="0"/>
    <x v="0"/>
    <x v="28"/>
    <n v="44.5"/>
    <x v="1"/>
    <x v="1"/>
    <n v="3.9"/>
    <n v="14"/>
    <n v="2"/>
    <n v="51.744186046511629"/>
    <n v="7.2441860465116292"/>
    <x v="2"/>
    <m/>
  </r>
  <r>
    <n v="4887"/>
    <n v="67"/>
    <x v="1"/>
    <x v="1"/>
    <x v="20"/>
    <n v="194.11"/>
    <x v="1"/>
    <x v="0"/>
    <n v="3.6"/>
    <n v="16"/>
    <n v="3"/>
    <n v="231.08333333333337"/>
    <n v="36.973333333333358"/>
    <x v="2"/>
    <m/>
  </r>
  <r>
    <n v="4888"/>
    <n v="42"/>
    <x v="0"/>
    <x v="6"/>
    <x v="27"/>
    <n v="125.66"/>
    <x v="3"/>
    <x v="0"/>
    <n v="3.6"/>
    <n v="12"/>
    <n v="6"/>
    <n v="142.79545454545453"/>
    <n v="17.135454545454536"/>
    <x v="1"/>
    <m/>
  </r>
  <r>
    <n v="4889"/>
    <n v="57"/>
    <x v="0"/>
    <x v="6"/>
    <x v="6"/>
    <n v="35.130000000000003"/>
    <x v="1"/>
    <x v="0"/>
    <n v="3.8"/>
    <n v="11"/>
    <n v="3"/>
    <n v="39.471910112359552"/>
    <n v="4.3419101123595496"/>
    <x v="0"/>
    <m/>
  </r>
  <r>
    <n v="4890"/>
    <n v="37"/>
    <x v="1"/>
    <x v="7"/>
    <x v="11"/>
    <n v="62.42"/>
    <x v="0"/>
    <x v="1"/>
    <n v="3.7"/>
    <n v="12"/>
    <n v="6"/>
    <n v="70.931818181818187"/>
    <n v="8.5118181818181853"/>
    <x v="1"/>
    <m/>
  </r>
  <r>
    <n v="4891"/>
    <n v="61"/>
    <x v="0"/>
    <x v="0"/>
    <x v="0"/>
    <n v="148.01"/>
    <x v="0"/>
    <x v="0"/>
    <n v="3.5"/>
    <n v="10"/>
    <n v="5"/>
    <n v="164.45555555555555"/>
    <n v="16.445555555555558"/>
    <x v="0"/>
    <m/>
  </r>
  <r>
    <n v="4892"/>
    <n v="55"/>
    <x v="0"/>
    <x v="2"/>
    <x v="2"/>
    <n v="121.55"/>
    <x v="0"/>
    <x v="0"/>
    <n v="3.5"/>
    <n v="22"/>
    <n v="6"/>
    <n v="155.83333333333331"/>
    <n v="34.283333333333317"/>
    <x v="0"/>
    <m/>
  </r>
  <r>
    <n v="4893"/>
    <n v="70"/>
    <x v="0"/>
    <x v="2"/>
    <x v="2"/>
    <n v="126.71"/>
    <x v="2"/>
    <x v="0"/>
    <n v="4.2"/>
    <n v="14"/>
    <n v="7"/>
    <n v="147.33720930232559"/>
    <n v="20.627209302325596"/>
    <x v="2"/>
    <m/>
  </r>
  <r>
    <n v="4894"/>
    <n v="47"/>
    <x v="1"/>
    <x v="2"/>
    <x v="2"/>
    <n v="187.3"/>
    <x v="1"/>
    <x v="0"/>
    <n v="5"/>
    <n v="24"/>
    <n v="7"/>
    <n v="246.44736842105263"/>
    <n v="59.147368421052619"/>
    <x v="4"/>
    <m/>
  </r>
  <r>
    <n v="4895"/>
    <n v="31"/>
    <x v="0"/>
    <x v="8"/>
    <x v="16"/>
    <n v="128.52000000000001"/>
    <x v="2"/>
    <x v="0"/>
    <n v="3.2"/>
    <n v="10"/>
    <n v="5"/>
    <n v="142.80000000000001"/>
    <n v="14.280000000000001"/>
    <x v="5"/>
    <m/>
  </r>
  <r>
    <n v="4896"/>
    <n v="40"/>
    <x v="0"/>
    <x v="6"/>
    <x v="27"/>
    <n v="125.95"/>
    <x v="0"/>
    <x v="0"/>
    <n v="4.0999999999999996"/>
    <n v="15"/>
    <n v="5"/>
    <n v="148.1764705882353"/>
    <n v="22.226470588235301"/>
    <x v="1"/>
    <m/>
  </r>
  <r>
    <n v="4897"/>
    <n v="64"/>
    <x v="1"/>
    <x v="2"/>
    <x v="2"/>
    <n v="131.15"/>
    <x v="2"/>
    <x v="0"/>
    <n v="3.8"/>
    <n v="18"/>
    <n v="4"/>
    <n v="159.9390243902439"/>
    <n v="28.789024390243895"/>
    <x v="0"/>
    <m/>
  </r>
  <r>
    <n v="4898"/>
    <n v="57"/>
    <x v="0"/>
    <x v="8"/>
    <x v="16"/>
    <n v="128.19999999999999"/>
    <x v="0"/>
    <x v="0"/>
    <n v="4.2"/>
    <n v="30"/>
    <n v="10"/>
    <n v="183.14285714285714"/>
    <n v="54.94285714285715"/>
    <x v="0"/>
    <m/>
  </r>
  <r>
    <n v="4899"/>
    <n v="55"/>
    <x v="1"/>
    <x v="5"/>
    <x v="5"/>
    <n v="1091.19"/>
    <x v="3"/>
    <x v="0"/>
    <n v="4.7"/>
    <n v="16"/>
    <n v="3"/>
    <n v="1299.0357142857144"/>
    <n v="207.84571428571439"/>
    <x v="0"/>
    <m/>
  </r>
  <r>
    <n v="4900"/>
    <n v="48"/>
    <x v="1"/>
    <x v="3"/>
    <x v="3"/>
    <n v="212.33"/>
    <x v="0"/>
    <x v="0"/>
    <n v="3.7"/>
    <n v="12"/>
    <n v="6"/>
    <n v="241.28409090909093"/>
    <n v="28.954090909090922"/>
    <x v="4"/>
    <m/>
  </r>
  <r>
    <n v="4901"/>
    <n v="29"/>
    <x v="1"/>
    <x v="5"/>
    <x v="7"/>
    <n v="2200.34"/>
    <x v="0"/>
    <x v="0"/>
    <n v="4.8"/>
    <n v="19"/>
    <n v="7"/>
    <n v="2716.4691358024693"/>
    <n v="516.12913580246914"/>
    <x v="5"/>
    <m/>
  </r>
  <r>
    <n v="4902"/>
    <n v="69"/>
    <x v="1"/>
    <x v="5"/>
    <x v="5"/>
    <n v="2612.62"/>
    <x v="3"/>
    <x v="0"/>
    <n v="4.4000000000000004"/>
    <n v="26"/>
    <n v="8"/>
    <n v="3530.5675675675675"/>
    <n v="917.9475675675676"/>
    <x v="2"/>
    <m/>
  </r>
  <r>
    <n v="4903"/>
    <n v="23"/>
    <x v="0"/>
    <x v="7"/>
    <x v="11"/>
    <n v="115.83"/>
    <x v="1"/>
    <x v="0"/>
    <n v="5"/>
    <n v="14"/>
    <n v="2"/>
    <n v="134.68604651162789"/>
    <n v="18.856046511627895"/>
    <x v="3"/>
    <m/>
  </r>
  <r>
    <n v="4904"/>
    <n v="23"/>
    <x v="1"/>
    <x v="1"/>
    <x v="1"/>
    <n v="75.36"/>
    <x v="3"/>
    <x v="0"/>
    <n v="4.2"/>
    <n v="17"/>
    <n v="6"/>
    <n v="90.795180722891573"/>
    <n v="15.435180722891573"/>
    <x v="3"/>
    <m/>
  </r>
  <r>
    <n v="4905"/>
    <n v="30"/>
    <x v="0"/>
    <x v="6"/>
    <x v="23"/>
    <n v="54.87"/>
    <x v="3"/>
    <x v="1"/>
    <n v="4.0999999999999996"/>
    <n v="6"/>
    <n v="3"/>
    <n v="58.372340425531917"/>
    <n v="3.5023404255319193"/>
    <x v="5"/>
    <m/>
  </r>
  <r>
    <n v="4906"/>
    <n v="41"/>
    <x v="0"/>
    <x v="3"/>
    <x v="15"/>
    <n v="151.15"/>
    <x v="2"/>
    <x v="0"/>
    <n v="3.2"/>
    <n v="8"/>
    <n v="4"/>
    <n v="164.29347826086956"/>
    <n v="13.143478260869557"/>
    <x v="1"/>
    <m/>
  </r>
  <r>
    <n v="4907"/>
    <n v="69"/>
    <x v="0"/>
    <x v="4"/>
    <x v="29"/>
    <n v="13.72"/>
    <x v="2"/>
    <x v="1"/>
    <n v="3.5"/>
    <n v="17"/>
    <n v="6"/>
    <n v="16.530120481927714"/>
    <n v="2.8101204819277132"/>
    <x v="2"/>
    <m/>
  </r>
  <r>
    <n v="4908"/>
    <n v="36"/>
    <x v="0"/>
    <x v="7"/>
    <x v="11"/>
    <n v="46.3"/>
    <x v="1"/>
    <x v="0"/>
    <n v="4.0999999999999996"/>
    <n v="32"/>
    <n v="11"/>
    <n v="68.088235294117652"/>
    <n v="21.788235294117655"/>
    <x v="1"/>
    <m/>
  </r>
  <r>
    <n v="4909"/>
    <n v="68"/>
    <x v="0"/>
    <x v="0"/>
    <x v="0"/>
    <n v="133.47"/>
    <x v="3"/>
    <x v="0"/>
    <n v="4"/>
    <n v="26"/>
    <n v="8"/>
    <n v="180.36486486486487"/>
    <n v="46.894864864864871"/>
    <x v="2"/>
    <m/>
  </r>
  <r>
    <n v="4910"/>
    <n v="47"/>
    <x v="0"/>
    <x v="2"/>
    <x v="10"/>
    <n v="61.86"/>
    <x v="2"/>
    <x v="0"/>
    <n v="4.2"/>
    <n v="8"/>
    <n v="4"/>
    <n v="67.239130434782609"/>
    <n v="5.3791304347826099"/>
    <x v="4"/>
    <m/>
  </r>
  <r>
    <n v="4911"/>
    <n v="26"/>
    <x v="0"/>
    <x v="2"/>
    <x v="10"/>
    <n v="72.040000000000006"/>
    <x v="1"/>
    <x v="0"/>
    <n v="3.7"/>
    <n v="18"/>
    <n v="4"/>
    <n v="87.853658536585371"/>
    <n v="15.813658536585365"/>
    <x v="5"/>
    <m/>
  </r>
  <r>
    <n v="4912"/>
    <n v="62"/>
    <x v="1"/>
    <x v="1"/>
    <x v="1"/>
    <n v="84.61"/>
    <x v="0"/>
    <x v="0"/>
    <n v="3.9"/>
    <n v="19"/>
    <n v="7"/>
    <n v="104.45679012345678"/>
    <n v="19.846790123456785"/>
    <x v="0"/>
    <m/>
  </r>
  <r>
    <n v="4913"/>
    <n v="30"/>
    <x v="1"/>
    <x v="1"/>
    <x v="14"/>
    <n v="123.73"/>
    <x v="0"/>
    <x v="0"/>
    <n v="2.1"/>
    <n v="11"/>
    <n v="3"/>
    <n v="139.02247191011236"/>
    <n v="15.292471910112354"/>
    <x v="5"/>
    <m/>
  </r>
  <r>
    <n v="4914"/>
    <n v="44"/>
    <x v="1"/>
    <x v="7"/>
    <x v="8"/>
    <n v="114.66"/>
    <x v="3"/>
    <x v="0"/>
    <n v="4"/>
    <n v="22"/>
    <n v="6"/>
    <n v="147"/>
    <n v="32.340000000000003"/>
    <x v="1"/>
    <m/>
  </r>
  <r>
    <n v="4915"/>
    <n v="44"/>
    <x v="0"/>
    <x v="7"/>
    <x v="11"/>
    <n v="235.77"/>
    <x v="0"/>
    <x v="0"/>
    <n v="2"/>
    <n v="12"/>
    <n v="6"/>
    <n v="267.92045454545456"/>
    <n v="32.150454545454551"/>
    <x v="1"/>
    <m/>
  </r>
  <r>
    <n v="4916"/>
    <n v="44"/>
    <x v="0"/>
    <x v="4"/>
    <x v="26"/>
    <n v="62.94"/>
    <x v="3"/>
    <x v="1"/>
    <n v="3.6"/>
    <n v="2"/>
    <n v="1"/>
    <n v="64.224489795918373"/>
    <n v="1.2844897959183754"/>
    <x v="1"/>
    <m/>
  </r>
  <r>
    <n v="4917"/>
    <n v="39"/>
    <x v="0"/>
    <x v="4"/>
    <x v="26"/>
    <n v="70.150000000000006"/>
    <x v="0"/>
    <x v="1"/>
    <n v="4.0999999999999996"/>
    <n v="14"/>
    <n v="2"/>
    <n v="81.569767441860478"/>
    <n v="11.419767441860472"/>
    <x v="1"/>
    <m/>
  </r>
  <r>
    <n v="4918"/>
    <n v="35"/>
    <x v="0"/>
    <x v="4"/>
    <x v="4"/>
    <n v="69.099999999999994"/>
    <x v="0"/>
    <x v="0"/>
    <n v="4.3"/>
    <n v="22"/>
    <n v="6"/>
    <n v="88.589743589743577"/>
    <n v="19.489743589743583"/>
    <x v="1"/>
    <m/>
  </r>
  <r>
    <n v="4919"/>
    <n v="43"/>
    <x v="0"/>
    <x v="7"/>
    <x v="13"/>
    <n v="63.79"/>
    <x v="1"/>
    <x v="1"/>
    <n v="4.0999999999999996"/>
    <n v="14"/>
    <n v="7"/>
    <n v="74.174418604651166"/>
    <n v="10.384418604651167"/>
    <x v="1"/>
    <m/>
  </r>
  <r>
    <n v="4920"/>
    <n v="44"/>
    <x v="0"/>
    <x v="8"/>
    <x v="14"/>
    <n v="47.12"/>
    <x v="0"/>
    <x v="1"/>
    <n v="2.2999999999999998"/>
    <n v="9"/>
    <n v="2"/>
    <n v="51.780219780219774"/>
    <n v="4.6602197802197765"/>
    <x v="1"/>
    <m/>
  </r>
  <r>
    <n v="4921"/>
    <n v="69"/>
    <x v="1"/>
    <x v="2"/>
    <x v="2"/>
    <n v="205.85"/>
    <x v="2"/>
    <x v="0"/>
    <n v="3.3"/>
    <n v="16"/>
    <n v="3"/>
    <n v="245.05952380952382"/>
    <n v="39.20952380952383"/>
    <x v="2"/>
    <m/>
  </r>
  <r>
    <n v="4922"/>
    <n v="25"/>
    <x v="0"/>
    <x v="0"/>
    <x v="22"/>
    <n v="33.380000000000003"/>
    <x v="0"/>
    <x v="0"/>
    <n v="3.5"/>
    <n v="8"/>
    <n v="4"/>
    <n v="36.282608695652172"/>
    <n v="2.9026086956521695"/>
    <x v="5"/>
    <m/>
  </r>
  <r>
    <n v="4923"/>
    <n v="24"/>
    <x v="1"/>
    <x v="4"/>
    <x v="26"/>
    <n v="60.32"/>
    <x v="2"/>
    <x v="1"/>
    <n v="2.7"/>
    <n v="12"/>
    <n v="6"/>
    <n v="68.545454545454547"/>
    <n v="8.2254545454545465"/>
    <x v="3"/>
    <m/>
  </r>
  <r>
    <n v="4924"/>
    <n v="45"/>
    <x v="1"/>
    <x v="2"/>
    <x v="12"/>
    <n v="82.4"/>
    <x v="1"/>
    <x v="0"/>
    <n v="3.4"/>
    <n v="10"/>
    <n v="5"/>
    <n v="91.555555555555557"/>
    <n v="9.1555555555555515"/>
    <x v="4"/>
    <m/>
  </r>
  <r>
    <n v="4925"/>
    <n v="55"/>
    <x v="1"/>
    <x v="4"/>
    <x v="4"/>
    <n v="32.01"/>
    <x v="2"/>
    <x v="0"/>
    <n v="3.7"/>
    <n v="15"/>
    <n v="5"/>
    <n v="37.658823529411762"/>
    <n v="5.6488235294117644"/>
    <x v="0"/>
    <m/>
  </r>
  <r>
    <n v="4926"/>
    <n v="33"/>
    <x v="1"/>
    <x v="2"/>
    <x v="12"/>
    <n v="40.549999999999997"/>
    <x v="2"/>
    <x v="1"/>
    <n v="4.5999999999999996"/>
    <n v="4"/>
    <n v="2"/>
    <n v="42.239583333333329"/>
    <n v="1.6895833333333314"/>
    <x v="5"/>
    <m/>
  </r>
  <r>
    <n v="4927"/>
    <n v="47"/>
    <x v="0"/>
    <x v="6"/>
    <x v="23"/>
    <n v="100.37"/>
    <x v="1"/>
    <x v="0"/>
    <n v="3"/>
    <n v="4"/>
    <n v="2"/>
    <n v="104.55208333333334"/>
    <n v="4.1820833333333383"/>
    <x v="4"/>
    <m/>
  </r>
  <r>
    <n v="4928"/>
    <n v="67"/>
    <x v="1"/>
    <x v="5"/>
    <x v="5"/>
    <n v="1360.46"/>
    <x v="3"/>
    <x v="0"/>
    <n v="5"/>
    <n v="24"/>
    <n v="7"/>
    <n v="1790.078947368421"/>
    <n v="429.618947368421"/>
    <x v="2"/>
    <m/>
  </r>
  <r>
    <n v="4929"/>
    <n v="36"/>
    <x v="0"/>
    <x v="0"/>
    <x v="22"/>
    <n v="141.63"/>
    <x v="0"/>
    <x v="0"/>
    <n v="4.4000000000000004"/>
    <n v="17"/>
    <n v="6"/>
    <n v="170.63855421686748"/>
    <n v="29.008554216867481"/>
    <x v="1"/>
    <m/>
  </r>
  <r>
    <n v="4930"/>
    <n v="30"/>
    <x v="1"/>
    <x v="7"/>
    <x v="8"/>
    <n v="131.47"/>
    <x v="3"/>
    <x v="0"/>
    <n v="3.9"/>
    <n v="18"/>
    <n v="4"/>
    <n v="160.32926829268291"/>
    <n v="28.859268292682913"/>
    <x v="5"/>
    <m/>
  </r>
  <r>
    <n v="4931"/>
    <n v="36"/>
    <x v="1"/>
    <x v="1"/>
    <x v="14"/>
    <n v="106.54"/>
    <x v="2"/>
    <x v="0"/>
    <n v="5"/>
    <n v="22"/>
    <n v="6"/>
    <n v="136.58974358974359"/>
    <n v="30.049743589743585"/>
    <x v="1"/>
    <m/>
  </r>
  <r>
    <n v="4932"/>
    <n v="21"/>
    <x v="1"/>
    <x v="5"/>
    <x v="5"/>
    <n v="845.23"/>
    <x v="2"/>
    <x v="0"/>
    <n v="3.7"/>
    <n v="16"/>
    <n v="8"/>
    <n v="1006.2261904761905"/>
    <n v="160.99619047619046"/>
    <x v="3"/>
    <m/>
  </r>
  <r>
    <n v="4933"/>
    <n v="49"/>
    <x v="1"/>
    <x v="5"/>
    <x v="5"/>
    <n v="2662.07"/>
    <x v="2"/>
    <x v="0"/>
    <n v="4.7"/>
    <n v="20"/>
    <n v="5"/>
    <n v="3327.5875000000001"/>
    <n v="665.51749999999993"/>
    <x v="4"/>
    <m/>
  </r>
  <r>
    <n v="4934"/>
    <n v="50"/>
    <x v="1"/>
    <x v="2"/>
    <x v="12"/>
    <n v="186.83"/>
    <x v="1"/>
    <x v="0"/>
    <n v="3"/>
    <n v="11"/>
    <n v="3"/>
    <n v="209.92134831460675"/>
    <n v="23.091348314606734"/>
    <x v="4"/>
    <m/>
  </r>
  <r>
    <n v="4935"/>
    <n v="66"/>
    <x v="0"/>
    <x v="0"/>
    <x v="0"/>
    <n v="143.75"/>
    <x v="0"/>
    <x v="0"/>
    <n v="3.7"/>
    <n v="20"/>
    <n v="5"/>
    <n v="179.6875"/>
    <n v="35.9375"/>
    <x v="2"/>
    <m/>
  </r>
  <r>
    <n v="4936"/>
    <n v="23"/>
    <x v="1"/>
    <x v="5"/>
    <x v="5"/>
    <n v="2876.27"/>
    <x v="1"/>
    <x v="0"/>
    <n v="3"/>
    <n v="16"/>
    <n v="3"/>
    <n v="3424.1309523809523"/>
    <n v="547.86095238095231"/>
    <x v="3"/>
    <m/>
  </r>
  <r>
    <n v="4937"/>
    <n v="31"/>
    <x v="1"/>
    <x v="5"/>
    <x v="21"/>
    <n v="2686.88"/>
    <x v="2"/>
    <x v="0"/>
    <n v="3.3"/>
    <n v="9"/>
    <n v="2"/>
    <n v="2952.6153846153848"/>
    <n v="265.73538461538465"/>
    <x v="5"/>
    <m/>
  </r>
  <r>
    <n v="4938"/>
    <n v="54"/>
    <x v="0"/>
    <x v="8"/>
    <x v="14"/>
    <n v="35.299999999999997"/>
    <x v="0"/>
    <x v="0"/>
    <n v="3.6"/>
    <n v="26"/>
    <n v="8"/>
    <n v="47.702702702702702"/>
    <n v="12.402702702702705"/>
    <x v="4"/>
    <m/>
  </r>
  <r>
    <n v="4939"/>
    <n v="64"/>
    <x v="1"/>
    <x v="5"/>
    <x v="25"/>
    <n v="2546.2600000000002"/>
    <x v="0"/>
    <x v="0"/>
    <n v="4.9000000000000004"/>
    <n v="15"/>
    <n v="5"/>
    <n v="2995.6000000000004"/>
    <n v="449.34000000000015"/>
    <x v="0"/>
    <m/>
  </r>
  <r>
    <n v="4940"/>
    <n v="31"/>
    <x v="1"/>
    <x v="7"/>
    <x v="11"/>
    <n v="248.37"/>
    <x v="3"/>
    <x v="0"/>
    <n v="4.4000000000000004"/>
    <n v="20"/>
    <n v="5"/>
    <n v="310.46249999999998"/>
    <n v="62.092499999999973"/>
    <x v="5"/>
    <m/>
  </r>
  <r>
    <n v="4941"/>
    <n v="31"/>
    <x v="0"/>
    <x v="6"/>
    <x v="6"/>
    <n v="45.08"/>
    <x v="2"/>
    <x v="1"/>
    <n v="4.0999999999999996"/>
    <n v="22"/>
    <n v="6"/>
    <n v="57.794871794871788"/>
    <n v="12.71487179487179"/>
    <x v="5"/>
    <m/>
  </r>
  <r>
    <n v="4942"/>
    <n v="22"/>
    <x v="1"/>
    <x v="2"/>
    <x v="10"/>
    <n v="193.77"/>
    <x v="0"/>
    <x v="0"/>
    <n v="4.9000000000000004"/>
    <n v="14"/>
    <n v="7"/>
    <n v="225.31395348837211"/>
    <n v="31.543953488372097"/>
    <x v="3"/>
    <m/>
  </r>
  <r>
    <n v="4943"/>
    <n v="40"/>
    <x v="0"/>
    <x v="6"/>
    <x v="6"/>
    <n v="98.85"/>
    <x v="0"/>
    <x v="0"/>
    <n v="4.7"/>
    <n v="16"/>
    <n v="3"/>
    <n v="117.67857142857143"/>
    <n v="18.828571428571436"/>
    <x v="1"/>
    <m/>
  </r>
  <r>
    <n v="4944"/>
    <n v="28"/>
    <x v="1"/>
    <x v="7"/>
    <x v="13"/>
    <n v="216.39"/>
    <x v="0"/>
    <x v="0"/>
    <n v="1.5"/>
    <n v="7"/>
    <n v="1"/>
    <n v="232.67741935483872"/>
    <n v="16.287419354838732"/>
    <x v="5"/>
    <m/>
  </r>
  <r>
    <n v="4945"/>
    <n v="64"/>
    <x v="0"/>
    <x v="7"/>
    <x v="11"/>
    <n v="197.46"/>
    <x v="0"/>
    <x v="0"/>
    <n v="4.4000000000000004"/>
    <n v="10"/>
    <n v="5"/>
    <n v="219.4"/>
    <n v="21.939999999999998"/>
    <x v="0"/>
    <m/>
  </r>
  <r>
    <n v="4946"/>
    <n v="48"/>
    <x v="0"/>
    <x v="4"/>
    <x v="19"/>
    <n v="75.400000000000006"/>
    <x v="1"/>
    <x v="0"/>
    <n v="3.7"/>
    <n v="8"/>
    <n v="4"/>
    <n v="81.956521739130437"/>
    <n v="6.5565217391304316"/>
    <x v="4"/>
    <m/>
  </r>
  <r>
    <n v="4947"/>
    <n v="24"/>
    <x v="0"/>
    <x v="6"/>
    <x v="27"/>
    <n v="78.11"/>
    <x v="3"/>
    <x v="1"/>
    <n v="3.6"/>
    <n v="12"/>
    <n v="6"/>
    <n v="88.76136363636364"/>
    <n v="10.651363636363641"/>
    <x v="3"/>
    <m/>
  </r>
  <r>
    <n v="4948"/>
    <n v="20"/>
    <x v="0"/>
    <x v="6"/>
    <x v="27"/>
    <n v="32.659999999999997"/>
    <x v="1"/>
    <x v="1"/>
    <n v="2.9"/>
    <n v="8"/>
    <n v="4"/>
    <n v="35.499999999999993"/>
    <n v="2.8399999999999963"/>
    <x v="3"/>
    <m/>
  </r>
  <r>
    <n v="4949"/>
    <n v="21"/>
    <x v="0"/>
    <x v="7"/>
    <x v="8"/>
    <n v="91.71"/>
    <x v="0"/>
    <x v="1"/>
    <n v="3"/>
    <n v="8"/>
    <n v="4"/>
    <n v="99.684782608695642"/>
    <n v="7.9747826086956479"/>
    <x v="3"/>
    <m/>
  </r>
  <r>
    <n v="4950"/>
    <n v="70"/>
    <x v="0"/>
    <x v="6"/>
    <x v="27"/>
    <n v="70.739999999999995"/>
    <x v="0"/>
    <x v="1"/>
    <n v="4.7"/>
    <n v="28"/>
    <n v="9"/>
    <n v="98.25"/>
    <n v="27.510000000000005"/>
    <x v="2"/>
    <m/>
  </r>
  <r>
    <n v="4951"/>
    <n v="39"/>
    <x v="0"/>
    <x v="7"/>
    <x v="11"/>
    <n v="92.58"/>
    <x v="3"/>
    <x v="0"/>
    <n v="3.6"/>
    <n v="11"/>
    <n v="3"/>
    <n v="104.02247191011236"/>
    <n v="11.44247191011236"/>
    <x v="1"/>
    <m/>
  </r>
  <r>
    <n v="4952"/>
    <n v="53"/>
    <x v="0"/>
    <x v="6"/>
    <x v="23"/>
    <n v="92.62"/>
    <x v="3"/>
    <x v="0"/>
    <n v="4.9000000000000004"/>
    <n v="11"/>
    <n v="3"/>
    <n v="104.06741573033709"/>
    <n v="11.447415730337084"/>
    <x v="4"/>
    <m/>
  </r>
  <r>
    <n v="4953"/>
    <n v="24"/>
    <x v="1"/>
    <x v="7"/>
    <x v="13"/>
    <n v="201.33"/>
    <x v="2"/>
    <x v="0"/>
    <n v="3.4"/>
    <n v="0"/>
    <n v="0"/>
    <n v="201.33"/>
    <n v="0"/>
    <x v="3"/>
    <m/>
  </r>
  <r>
    <n v="4954"/>
    <n v="22"/>
    <x v="0"/>
    <x v="8"/>
    <x v="16"/>
    <n v="107.7"/>
    <x v="0"/>
    <x v="0"/>
    <n v="3.2"/>
    <n v="28"/>
    <n v="9"/>
    <n v="149.58333333333334"/>
    <n v="41.88333333333334"/>
    <x v="3"/>
    <m/>
  </r>
  <r>
    <n v="4955"/>
    <n v="29"/>
    <x v="1"/>
    <x v="2"/>
    <x v="2"/>
    <n v="48.66"/>
    <x v="1"/>
    <x v="0"/>
    <n v="3.5"/>
    <n v="4"/>
    <n v="2"/>
    <n v="50.6875"/>
    <n v="2.0275000000000034"/>
    <x v="5"/>
    <m/>
  </r>
  <r>
    <n v="4956"/>
    <n v="37"/>
    <x v="1"/>
    <x v="4"/>
    <x v="19"/>
    <n v="43.47"/>
    <x v="0"/>
    <x v="1"/>
    <n v="4.0999999999999996"/>
    <n v="16"/>
    <n v="3"/>
    <n v="51.75"/>
    <n v="8.2800000000000011"/>
    <x v="1"/>
    <m/>
  </r>
  <r>
    <n v="4957"/>
    <n v="47"/>
    <x v="1"/>
    <x v="1"/>
    <x v="14"/>
    <n v="179.91"/>
    <x v="3"/>
    <x v="0"/>
    <n v="4.4000000000000004"/>
    <n v="12"/>
    <n v="6"/>
    <n v="204.44318181818181"/>
    <n v="24.533181818181816"/>
    <x v="4"/>
    <m/>
  </r>
  <r>
    <n v="4958"/>
    <n v="69"/>
    <x v="1"/>
    <x v="4"/>
    <x v="29"/>
    <n v="60.23"/>
    <x v="0"/>
    <x v="1"/>
    <n v="3.3"/>
    <n v="14"/>
    <n v="7"/>
    <n v="70.034883720930225"/>
    <n v="9.8048837209302278"/>
    <x v="2"/>
    <m/>
  </r>
  <r>
    <n v="4959"/>
    <n v="36"/>
    <x v="0"/>
    <x v="4"/>
    <x v="29"/>
    <n v="33.119999999999997"/>
    <x v="1"/>
    <x v="0"/>
    <n v="4.3"/>
    <n v="15"/>
    <n v="5"/>
    <n v="38.964705882352938"/>
    <n v="5.8447058823529403"/>
    <x v="1"/>
    <m/>
  </r>
  <r>
    <n v="4960"/>
    <n v="42"/>
    <x v="1"/>
    <x v="5"/>
    <x v="5"/>
    <n v="2340.63"/>
    <x v="0"/>
    <x v="0"/>
    <n v="3.1"/>
    <n v="9"/>
    <n v="2"/>
    <n v="2572.1208791208792"/>
    <n v="231.49087912087907"/>
    <x v="1"/>
    <m/>
  </r>
  <r>
    <n v="4961"/>
    <n v="23"/>
    <x v="0"/>
    <x v="2"/>
    <x v="12"/>
    <n v="124.64"/>
    <x v="1"/>
    <x v="0"/>
    <n v="4.9000000000000004"/>
    <n v="20"/>
    <n v="5"/>
    <n v="155.79999999999998"/>
    <n v="31.159999999999982"/>
    <x v="3"/>
    <m/>
  </r>
  <r>
    <n v="4962"/>
    <n v="52"/>
    <x v="1"/>
    <x v="4"/>
    <x v="4"/>
    <n v="69.010000000000005"/>
    <x v="3"/>
    <x v="1"/>
    <n v="3.6"/>
    <n v="8"/>
    <n v="4"/>
    <n v="75.010869565217391"/>
    <n v="6.0008695652173856"/>
    <x v="4"/>
    <m/>
  </r>
  <r>
    <n v="4963"/>
    <n v="59"/>
    <x v="0"/>
    <x v="0"/>
    <x v="22"/>
    <n v="67.83"/>
    <x v="2"/>
    <x v="1"/>
    <n v="2.7"/>
    <n v="13"/>
    <n v="4"/>
    <n v="77.965517241379303"/>
    <n v="10.135517241379304"/>
    <x v="0"/>
    <m/>
  </r>
  <r>
    <n v="4964"/>
    <n v="21"/>
    <x v="1"/>
    <x v="1"/>
    <x v="9"/>
    <n v="80.010000000000005"/>
    <x v="1"/>
    <x v="0"/>
    <n v="4.5"/>
    <n v="19"/>
    <n v="7"/>
    <n v="98.777777777777771"/>
    <n v="18.767777777777766"/>
    <x v="3"/>
    <m/>
  </r>
  <r>
    <n v="4965"/>
    <n v="50"/>
    <x v="1"/>
    <x v="2"/>
    <x v="10"/>
    <n v="65.650000000000006"/>
    <x v="0"/>
    <x v="1"/>
    <n v="4"/>
    <n v="16"/>
    <n v="8"/>
    <n v="78.154761904761912"/>
    <n v="12.504761904761907"/>
    <x v="4"/>
    <m/>
  </r>
  <r>
    <n v="4966"/>
    <n v="50"/>
    <x v="1"/>
    <x v="7"/>
    <x v="8"/>
    <n v="64.930000000000007"/>
    <x v="1"/>
    <x v="0"/>
    <n v="4.4000000000000004"/>
    <n v="9"/>
    <n v="2"/>
    <n v="71.35164835164835"/>
    <n v="6.4216483516483436"/>
    <x v="4"/>
    <m/>
  </r>
  <r>
    <n v="4967"/>
    <n v="57"/>
    <x v="1"/>
    <x v="1"/>
    <x v="14"/>
    <n v="185.82"/>
    <x v="1"/>
    <x v="0"/>
    <n v="3.6"/>
    <n v="17"/>
    <n v="6"/>
    <n v="223.87951807228916"/>
    <n v="38.059518072289166"/>
    <x v="0"/>
    <m/>
  </r>
  <r>
    <n v="4968"/>
    <n v="58"/>
    <x v="0"/>
    <x v="0"/>
    <x v="0"/>
    <n v="60.51"/>
    <x v="3"/>
    <x v="0"/>
    <n v="3.9"/>
    <n v="8"/>
    <n v="4"/>
    <n v="65.771739130434781"/>
    <n v="5.2617391304347834"/>
    <x v="0"/>
    <m/>
  </r>
  <r>
    <n v="4969"/>
    <n v="34"/>
    <x v="1"/>
    <x v="3"/>
    <x v="15"/>
    <n v="34.950000000000003"/>
    <x v="2"/>
    <x v="1"/>
    <n v="3.6"/>
    <n v="8"/>
    <n v="4"/>
    <n v="37.989130434782609"/>
    <n v="3.0391304347826065"/>
    <x v="5"/>
    <m/>
  </r>
  <r>
    <n v="4970"/>
    <n v="41"/>
    <x v="1"/>
    <x v="5"/>
    <x v="21"/>
    <n v="2442.98"/>
    <x v="1"/>
    <x v="0"/>
    <n v="4.8"/>
    <n v="10"/>
    <n v="5"/>
    <n v="2714.422222222222"/>
    <n v="271.44222222222197"/>
    <x v="1"/>
    <m/>
  </r>
  <r>
    <n v="4971"/>
    <n v="52"/>
    <x v="0"/>
    <x v="0"/>
    <x v="28"/>
    <n v="177.26"/>
    <x v="3"/>
    <x v="0"/>
    <n v="3.3"/>
    <n v="16"/>
    <n v="3"/>
    <n v="211.02380952380952"/>
    <n v="33.763809523809527"/>
    <x v="4"/>
    <m/>
  </r>
  <r>
    <n v="4972"/>
    <n v="24"/>
    <x v="1"/>
    <x v="1"/>
    <x v="20"/>
    <n v="161.44"/>
    <x v="2"/>
    <x v="0"/>
    <n v="3.7"/>
    <n v="16"/>
    <n v="3"/>
    <n v="192.1904761904762"/>
    <n v="30.750476190476206"/>
    <x v="3"/>
    <m/>
  </r>
  <r>
    <n v="4973"/>
    <n v="42"/>
    <x v="0"/>
    <x v="6"/>
    <x v="6"/>
    <n v="106.4"/>
    <x v="0"/>
    <x v="0"/>
    <n v="3.4"/>
    <n v="6"/>
    <n v="3"/>
    <n v="113.19148936170214"/>
    <n v="6.7914893617021335"/>
    <x v="1"/>
    <m/>
  </r>
  <r>
    <n v="4974"/>
    <n v="53"/>
    <x v="1"/>
    <x v="2"/>
    <x v="2"/>
    <n v="130.37"/>
    <x v="1"/>
    <x v="0"/>
    <n v="4.5"/>
    <n v="6"/>
    <n v="3"/>
    <n v="138.69148936170214"/>
    <n v="8.3214893617021346"/>
    <x v="4"/>
    <m/>
  </r>
  <r>
    <n v="4975"/>
    <n v="50"/>
    <x v="0"/>
    <x v="7"/>
    <x v="13"/>
    <n v="243.99"/>
    <x v="1"/>
    <x v="0"/>
    <n v="3.7"/>
    <n v="18"/>
    <n v="4"/>
    <n v="297.54878048780489"/>
    <n v="53.558780487804881"/>
    <x v="4"/>
    <m/>
  </r>
  <r>
    <n v="4976"/>
    <n v="47"/>
    <x v="0"/>
    <x v="0"/>
    <x v="0"/>
    <n v="162.51"/>
    <x v="3"/>
    <x v="0"/>
    <n v="5"/>
    <n v="22"/>
    <n v="6"/>
    <n v="208.34615384615384"/>
    <n v="45.836153846153849"/>
    <x v="4"/>
    <m/>
  </r>
  <r>
    <n v="4977"/>
    <n v="32"/>
    <x v="1"/>
    <x v="2"/>
    <x v="10"/>
    <n v="49.17"/>
    <x v="0"/>
    <x v="0"/>
    <n v="4.0999999999999996"/>
    <n v="10"/>
    <n v="5"/>
    <n v="54.633333333333333"/>
    <n v="5.4633333333333312"/>
    <x v="5"/>
    <m/>
  </r>
  <r>
    <n v="4978"/>
    <n v="28"/>
    <x v="0"/>
    <x v="7"/>
    <x v="13"/>
    <n v="46.58"/>
    <x v="3"/>
    <x v="1"/>
    <n v="4.3"/>
    <n v="15"/>
    <n v="5"/>
    <n v="54.8"/>
    <n v="8.2199999999999989"/>
    <x v="5"/>
    <m/>
  </r>
  <r>
    <n v="4979"/>
    <n v="48"/>
    <x v="1"/>
    <x v="5"/>
    <x v="5"/>
    <n v="1886.39"/>
    <x v="1"/>
    <x v="0"/>
    <n v="4.2"/>
    <n v="22"/>
    <n v="6"/>
    <n v="2418.4487179487178"/>
    <n v="532.05871794871769"/>
    <x v="4"/>
    <m/>
  </r>
  <r>
    <n v="4980"/>
    <n v="65"/>
    <x v="0"/>
    <x v="8"/>
    <x v="14"/>
    <n v="150.06"/>
    <x v="2"/>
    <x v="0"/>
    <n v="3.4"/>
    <n v="12"/>
    <n v="6"/>
    <n v="170.52272727272728"/>
    <n v="20.462727272727278"/>
    <x v="2"/>
    <m/>
  </r>
  <r>
    <n v="4981"/>
    <n v="58"/>
    <x v="0"/>
    <x v="6"/>
    <x v="23"/>
    <n v="21.63"/>
    <x v="0"/>
    <x v="0"/>
    <n v="3.8"/>
    <n v="18"/>
    <n v="4"/>
    <n v="26.378048780487802"/>
    <n v="4.7480487804878031"/>
    <x v="0"/>
    <m/>
  </r>
  <r>
    <n v="4982"/>
    <n v="31"/>
    <x v="0"/>
    <x v="7"/>
    <x v="13"/>
    <n v="180.25"/>
    <x v="3"/>
    <x v="0"/>
    <n v="5"/>
    <n v="29"/>
    <n v="12"/>
    <n v="253.87323943661974"/>
    <n v="73.623239436619741"/>
    <x v="5"/>
    <m/>
  </r>
  <r>
    <n v="4983"/>
    <n v="31"/>
    <x v="1"/>
    <x v="5"/>
    <x v="7"/>
    <n v="2163.69"/>
    <x v="3"/>
    <x v="0"/>
    <n v="4.0999999999999996"/>
    <n v="10"/>
    <n v="5"/>
    <n v="2404.1"/>
    <n v="240.40999999999985"/>
    <x v="5"/>
    <m/>
  </r>
  <r>
    <n v="4984"/>
    <n v="47"/>
    <x v="0"/>
    <x v="7"/>
    <x v="8"/>
    <n v="231.35"/>
    <x v="1"/>
    <x v="0"/>
    <n v="2.7"/>
    <n v="16"/>
    <n v="3"/>
    <n v="275.41666666666669"/>
    <n v="44.066666666666691"/>
    <x v="4"/>
    <m/>
  </r>
  <r>
    <n v="4985"/>
    <n v="50"/>
    <x v="1"/>
    <x v="2"/>
    <x v="10"/>
    <n v="133.91"/>
    <x v="0"/>
    <x v="0"/>
    <n v="5"/>
    <n v="12"/>
    <n v="6"/>
    <n v="152.17045454545453"/>
    <n v="18.260454545454536"/>
    <x v="4"/>
    <m/>
  </r>
  <r>
    <n v="4986"/>
    <n v="22"/>
    <x v="0"/>
    <x v="7"/>
    <x v="13"/>
    <n v="158.22999999999999"/>
    <x v="3"/>
    <x v="0"/>
    <n v="3.7"/>
    <n v="9"/>
    <n v="2"/>
    <n v="173.87912087912088"/>
    <n v="15.649120879120886"/>
    <x v="3"/>
    <m/>
  </r>
  <r>
    <n v="4987"/>
    <n v="29"/>
    <x v="1"/>
    <x v="1"/>
    <x v="20"/>
    <n v="62.95"/>
    <x v="2"/>
    <x v="1"/>
    <n v="5"/>
    <n v="22"/>
    <n v="6"/>
    <n v="80.705128205128204"/>
    <n v="17.755128205128202"/>
    <x v="5"/>
    <m/>
  </r>
  <r>
    <n v="4988"/>
    <n v="45"/>
    <x v="1"/>
    <x v="7"/>
    <x v="8"/>
    <n v="214.69"/>
    <x v="3"/>
    <x v="0"/>
    <n v="4.5"/>
    <n v="20"/>
    <n v="5"/>
    <n v="268.36249999999995"/>
    <n v="53.672499999999957"/>
    <x v="4"/>
    <m/>
  </r>
  <r>
    <n v="4989"/>
    <n v="69"/>
    <x v="1"/>
    <x v="7"/>
    <x v="8"/>
    <n v="172.99"/>
    <x v="1"/>
    <x v="0"/>
    <n v="3.9"/>
    <n v="2"/>
    <n v="1"/>
    <n v="176.52040816326533"/>
    <n v="3.5304081632653208"/>
    <x v="2"/>
    <m/>
  </r>
  <r>
    <n v="4990"/>
    <n v="39"/>
    <x v="0"/>
    <x v="0"/>
    <x v="22"/>
    <n v="147.24"/>
    <x v="2"/>
    <x v="0"/>
    <n v="3.7"/>
    <n v="4"/>
    <n v="2"/>
    <n v="153.37500000000003"/>
    <n v="6.1350000000000193"/>
    <x v="1"/>
    <m/>
  </r>
  <r>
    <n v="4991"/>
    <n v="28"/>
    <x v="0"/>
    <x v="4"/>
    <x v="4"/>
    <n v="55.74"/>
    <x v="2"/>
    <x v="0"/>
    <n v="2.6"/>
    <n v="24"/>
    <n v="7"/>
    <n v="73.34210526315789"/>
    <n v="17.602105263157888"/>
    <x v="5"/>
    <m/>
  </r>
  <r>
    <n v="4992"/>
    <n v="41"/>
    <x v="1"/>
    <x v="2"/>
    <x v="2"/>
    <n v="167.22"/>
    <x v="3"/>
    <x v="0"/>
    <n v="3"/>
    <n v="11"/>
    <n v="3"/>
    <n v="187.88764044943821"/>
    <n v="20.66764044943821"/>
    <x v="1"/>
    <m/>
  </r>
  <r>
    <n v="4993"/>
    <n v="48"/>
    <x v="1"/>
    <x v="2"/>
    <x v="2"/>
    <n v="152.94"/>
    <x v="2"/>
    <x v="0"/>
    <n v="4.7"/>
    <n v="12"/>
    <n v="6"/>
    <n v="173.79545454545453"/>
    <n v="20.855454545454535"/>
    <x v="4"/>
    <m/>
  </r>
  <r>
    <n v="4994"/>
    <n v="69"/>
    <x v="0"/>
    <x v="8"/>
    <x v="14"/>
    <n v="63.26"/>
    <x v="0"/>
    <x v="1"/>
    <n v="3.2"/>
    <n v="28"/>
    <n v="9"/>
    <n v="87.861111111111114"/>
    <n v="24.601111111111116"/>
    <x v="2"/>
    <m/>
  </r>
  <r>
    <n v="4995"/>
    <n v="20"/>
    <x v="1"/>
    <x v="2"/>
    <x v="12"/>
    <n v="124.24"/>
    <x v="1"/>
    <x v="0"/>
    <n v="4.4000000000000004"/>
    <n v="14"/>
    <n v="2"/>
    <n v="144.46511627906978"/>
    <n v="20.22511627906978"/>
    <x v="3"/>
    <m/>
  </r>
  <r>
    <n v="4996"/>
    <n v="44"/>
    <x v="0"/>
    <x v="0"/>
    <x v="22"/>
    <n v="172.64"/>
    <x v="2"/>
    <x v="0"/>
    <n v="3.6"/>
    <n v="20"/>
    <n v="5"/>
    <n v="215.79999999999998"/>
    <n v="43.16"/>
    <x v="1"/>
    <m/>
  </r>
  <r>
    <n v="4997"/>
    <n v="59"/>
    <x v="1"/>
    <x v="4"/>
    <x v="29"/>
    <n v="54"/>
    <x v="1"/>
    <x v="1"/>
    <n v="3.8"/>
    <n v="14"/>
    <n v="2"/>
    <n v="62.790697674418603"/>
    <n v="8.7906976744186025"/>
    <x v="0"/>
    <m/>
  </r>
  <r>
    <n v="4998"/>
    <n v="41"/>
    <x v="0"/>
    <x v="0"/>
    <x v="0"/>
    <n v="159.33000000000001"/>
    <x v="0"/>
    <x v="0"/>
    <n v="4.3"/>
    <n v="26"/>
    <n v="8"/>
    <n v="215.31081081081084"/>
    <n v="55.980810810810823"/>
    <x v="1"/>
    <m/>
  </r>
  <r>
    <n v="4999"/>
    <n v="63"/>
    <x v="0"/>
    <x v="8"/>
    <x v="16"/>
    <n v="173.82"/>
    <x v="0"/>
    <x v="0"/>
    <n v="4.8"/>
    <n v="26"/>
    <n v="8"/>
    <n v="234.89189189189187"/>
    <n v="61.07189189189188"/>
    <x v="0"/>
    <m/>
  </r>
  <r>
    <n v="5000"/>
    <n v="41"/>
    <x v="0"/>
    <x v="7"/>
    <x v="11"/>
    <n v="55.39"/>
    <x v="0"/>
    <x v="1"/>
    <n v="4.0999999999999996"/>
    <n v="19"/>
    <n v="7"/>
    <n v="68.382716049382708"/>
    <n v="12.992716049382707"/>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62EEC1-BFC7-5B44-8643-EBF4CC064F5E}" name="PivotTable1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6" firstHeaderRow="1" firstDataRow="1" firstDataCol="1"/>
  <pivotFields count="15">
    <pivotField showAll="0"/>
    <pivotField showAll="0"/>
    <pivotField axis="axisRow" showAll="0">
      <items count="3">
        <item x="0"/>
        <item x="1"/>
        <item t="default"/>
      </items>
    </pivotField>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dataField="1" numFmtId="2" showAll="0"/>
    <pivotField numFmtId="2" showAll="0"/>
    <pivotField showAll="0"/>
    <pivotField showAll="0"/>
  </pivotFields>
  <rowFields count="1">
    <field x="2"/>
  </rowFields>
  <rowItems count="3">
    <i>
      <x/>
    </i>
    <i>
      <x v="1"/>
    </i>
    <i t="grand">
      <x/>
    </i>
  </rowItems>
  <colItems count="1">
    <i/>
  </colItems>
  <dataFields count="1">
    <dataField name="Sum of Original_Amount" fld="11"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0557C-4EA3-1743-B206-9DB882B539B5}" name="PivotTable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1:Q37" firstHeaderRow="0" firstDataRow="1" firstDataCol="1"/>
  <pivotFields count="15">
    <pivotField showAll="0"/>
    <pivotField showAll="0"/>
    <pivotField showAll="0"/>
    <pivotField showAll="0"/>
    <pivotField axis="axisRow" showAll="0" measureFilter="1" sortType="ascending">
      <items count="31">
        <item x="29"/>
        <item x="26"/>
        <item x="3"/>
        <item x="18"/>
        <item x="12"/>
        <item x="2"/>
        <item x="8"/>
        <item x="0"/>
        <item x="25"/>
        <item x="20"/>
        <item x="14"/>
        <item x="24"/>
        <item x="15"/>
        <item x="21"/>
        <item x="23"/>
        <item x="5"/>
        <item x="6"/>
        <item x="19"/>
        <item x="11"/>
        <item x="1"/>
        <item x="27"/>
        <item x="16"/>
        <item x="7"/>
        <item x="4"/>
        <item x="13"/>
        <item x="22"/>
        <item x="9"/>
        <item x="17"/>
        <item x="28"/>
        <item x="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showAll="0"/>
    <pivotField showAll="0"/>
    <pivotField numFmtId="2" showAll="0"/>
    <pivotField numFmtId="2" showAll="0"/>
    <pivotField showAll="0"/>
    <pivotField showAll="0"/>
  </pivotFields>
  <rowFields count="1">
    <field x="4"/>
  </rowFields>
  <rowItems count="6">
    <i>
      <x v="14"/>
    </i>
    <i>
      <x v="4"/>
    </i>
    <i>
      <x v="22"/>
    </i>
    <i>
      <x v="1"/>
    </i>
    <i>
      <x v="9"/>
    </i>
    <i t="grand">
      <x/>
    </i>
  </rowItems>
  <colFields count="1">
    <field x="-2"/>
  </colFields>
  <colItems count="2">
    <i>
      <x/>
    </i>
    <i i="1">
      <x v="1"/>
    </i>
  </colItems>
  <dataFields count="2">
    <dataField name="Average of ItemRating" fld="8" subtotal="average" baseField="0" baseItem="0" numFmtId="2"/>
    <dataField name="Sum of Amount" fld="5"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04790-40C5-4C4C-8E64-3C691B72D276}" name="PivotTable1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H8" firstHeaderRow="1" firstDataRow="1" firstDataCol="1"/>
  <pivotFields count="15">
    <pivotField showAll="0"/>
    <pivotField showAll="0"/>
    <pivotField showAll="0">
      <items count="3">
        <item x="0"/>
        <item x="1"/>
        <item t="default"/>
      </items>
    </pivotField>
    <pivotField showAll="0"/>
    <pivotField showAll="0"/>
    <pivotField dataField="1" showAll="0"/>
    <pivotField axis="axisRow" showAll="0">
      <items count="5">
        <item x="0"/>
        <item x="1"/>
        <item x="3"/>
        <item x="2"/>
        <item t="default"/>
      </items>
    </pivotField>
    <pivotField showAll="0">
      <items count="3">
        <item x="0"/>
        <item x="1"/>
        <item t="default"/>
      </items>
    </pivotField>
    <pivotField showAll="0"/>
    <pivotField showAll="0"/>
    <pivotField showAll="0"/>
    <pivotField numFmtId="2" showAll="0"/>
    <pivotField numFmtId="2" showAll="0"/>
    <pivotField showAll="0"/>
    <pivotField showAll="0"/>
  </pivotFields>
  <rowFields count="1">
    <field x="6"/>
  </rowFields>
  <rowItems count="5">
    <i>
      <x/>
    </i>
    <i>
      <x v="1"/>
    </i>
    <i>
      <x v="2"/>
    </i>
    <i>
      <x v="3"/>
    </i>
    <i t="grand">
      <x/>
    </i>
  </rowItems>
  <colItems count="1">
    <i/>
  </colItems>
  <dataFields count="1">
    <dataField name="Sum of 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6324D-D0F6-5043-A753-2911DB07F0E6}"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2:Q28" firstHeaderRow="0" firstDataRow="1" firstDataCol="1"/>
  <pivotFields count="15">
    <pivotField showAll="0"/>
    <pivotField showAll="0"/>
    <pivotField showAll="0"/>
    <pivotField showAll="0"/>
    <pivotField axis="axisRow" showAll="0" measureFilter="1" sortType="descending">
      <items count="31">
        <item x="29"/>
        <item x="26"/>
        <item x="3"/>
        <item x="18"/>
        <item x="12"/>
        <item x="2"/>
        <item x="8"/>
        <item x="0"/>
        <item x="25"/>
        <item x="20"/>
        <item x="14"/>
        <item x="24"/>
        <item x="15"/>
        <item x="21"/>
        <item x="23"/>
        <item x="5"/>
        <item x="6"/>
        <item x="19"/>
        <item x="11"/>
        <item x="1"/>
        <item x="27"/>
        <item x="16"/>
        <item x="7"/>
        <item x="4"/>
        <item x="13"/>
        <item x="22"/>
        <item x="9"/>
        <item x="17"/>
        <item x="28"/>
        <item x="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showAll="0"/>
    <pivotField showAll="0"/>
    <pivotField numFmtId="2" showAll="0"/>
    <pivotField numFmtId="2" showAll="0"/>
    <pivotField showAll="0"/>
    <pivotField showAll="0"/>
  </pivotFields>
  <rowFields count="1">
    <field x="4"/>
  </rowFields>
  <rowItems count="6">
    <i>
      <x v="26"/>
    </i>
    <i>
      <x v="15"/>
    </i>
    <i>
      <x v="20"/>
    </i>
    <i>
      <x v="17"/>
    </i>
    <i>
      <x v="16"/>
    </i>
    <i t="grand">
      <x/>
    </i>
  </rowItems>
  <colFields count="1">
    <field x="-2"/>
  </colFields>
  <colItems count="2">
    <i>
      <x/>
    </i>
    <i i="1">
      <x v="1"/>
    </i>
  </colItems>
  <dataFields count="2">
    <dataField name="Average of ItemRating" fld="8" subtotal="average" baseField="0" baseItem="0" numFmtId="2"/>
    <dataField name="Sum of Amount" fld="5"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FE20CD-3214-6343-B0ED-DB7A86081F89}" name="PivotTable1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9" firstHeaderRow="1" firstDataRow="1" firstDataCol="1"/>
  <pivotFields count="15">
    <pivotField showAll="0"/>
    <pivotField showAll="0"/>
    <pivotField showAll="0">
      <items count="3">
        <item x="0"/>
        <item x="1"/>
        <item t="default"/>
      </items>
    </pivotField>
    <pivotField showAll="0"/>
    <pivotField axis="axisRow" showAll="0" measureFilter="1" sortType="descending">
      <items count="31">
        <item x="29"/>
        <item x="26"/>
        <item x="3"/>
        <item x="18"/>
        <item x="12"/>
        <item x="2"/>
        <item x="8"/>
        <item x="0"/>
        <item x="25"/>
        <item x="20"/>
        <item x="14"/>
        <item x="24"/>
        <item x="15"/>
        <item x="21"/>
        <item x="23"/>
        <item x="5"/>
        <item x="6"/>
        <item x="19"/>
        <item x="11"/>
        <item x="1"/>
        <item x="27"/>
        <item x="16"/>
        <item x="7"/>
        <item x="4"/>
        <item x="13"/>
        <item x="22"/>
        <item x="9"/>
        <item x="17"/>
        <item x="28"/>
        <item x="10"/>
        <item t="default"/>
      </items>
      <autoSortScope>
        <pivotArea dataOnly="0" outline="0" fieldPosition="0">
          <references count="1">
            <reference field="4294967294" count="1" selected="0">
              <x v="0"/>
            </reference>
          </references>
        </pivotArea>
      </autoSortScope>
    </pivotField>
    <pivotField dataField="1" showAll="0"/>
    <pivotField showAll="0">
      <items count="5">
        <item x="0"/>
        <item x="1"/>
        <item x="3"/>
        <item x="2"/>
        <item t="default"/>
      </items>
    </pivotField>
    <pivotField showAll="0">
      <items count="3">
        <item x="0"/>
        <item x="1"/>
        <item t="default"/>
      </items>
    </pivotField>
    <pivotField showAll="0"/>
    <pivotField showAll="0"/>
    <pivotField showAll="0"/>
    <pivotField numFmtId="2" showAll="0"/>
    <pivotField numFmtId="2" showAll="0"/>
    <pivotField showAll="0"/>
    <pivotField showAll="0"/>
  </pivotFields>
  <rowFields count="1">
    <field x="4"/>
  </rowFields>
  <rowItems count="6">
    <i>
      <x v="13"/>
    </i>
    <i>
      <x v="15"/>
    </i>
    <i>
      <x v="8"/>
    </i>
    <i>
      <x v="22"/>
    </i>
    <i>
      <x v="24"/>
    </i>
    <i t="grand">
      <x/>
    </i>
  </rowItems>
  <colItems count="1">
    <i/>
  </colItems>
  <dataFields count="1">
    <dataField name="Sum of 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00C23-C67A-3D42-B170-2AAE47F4074F}"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M53" firstHeaderRow="1" firstDataRow="1" firstDataCol="1"/>
  <pivotFields count="15">
    <pivotField showAll="0"/>
    <pivotField showAll="0"/>
    <pivotField showAll="0"/>
    <pivotField showAll="0"/>
    <pivotField axis="axisRow" showAll="0" sortType="descending">
      <items count="31">
        <item x="29"/>
        <item x="26"/>
        <item x="3"/>
        <item x="18"/>
        <item x="12"/>
        <item x="2"/>
        <item x="8"/>
        <item x="0"/>
        <item x="25"/>
        <item x="20"/>
        <item x="14"/>
        <item x="24"/>
        <item x="15"/>
        <item x="21"/>
        <item x="23"/>
        <item x="5"/>
        <item x="6"/>
        <item x="19"/>
        <item x="11"/>
        <item x="1"/>
        <item x="27"/>
        <item x="16"/>
        <item x="7"/>
        <item x="4"/>
        <item x="13"/>
        <item x="22"/>
        <item x="9"/>
        <item x="17"/>
        <item x="2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numFmtId="2" showAll="0"/>
    <pivotField numFmtId="2" showAll="0"/>
    <pivotField showAll="0"/>
    <pivotField showAll="0"/>
  </pivotFields>
  <rowFields count="1">
    <field x="4"/>
  </rowFields>
  <rowItems count="31">
    <i>
      <x v="26"/>
    </i>
    <i>
      <x v="15"/>
    </i>
    <i>
      <x v="20"/>
    </i>
    <i>
      <x v="17"/>
    </i>
    <i>
      <x v="16"/>
    </i>
    <i>
      <x v="7"/>
    </i>
    <i>
      <x/>
    </i>
    <i>
      <x v="2"/>
    </i>
    <i>
      <x v="18"/>
    </i>
    <i>
      <x v="23"/>
    </i>
    <i>
      <x v="12"/>
    </i>
    <i>
      <x v="13"/>
    </i>
    <i>
      <x v="3"/>
    </i>
    <i>
      <x v="24"/>
    </i>
    <i>
      <x v="5"/>
    </i>
    <i>
      <x v="11"/>
    </i>
    <i>
      <x v="10"/>
    </i>
    <i>
      <x v="6"/>
    </i>
    <i>
      <x v="21"/>
    </i>
    <i>
      <x v="19"/>
    </i>
    <i>
      <x v="27"/>
    </i>
    <i>
      <x v="28"/>
    </i>
    <i>
      <x v="8"/>
    </i>
    <i>
      <x v="29"/>
    </i>
    <i>
      <x v="25"/>
    </i>
    <i>
      <x v="9"/>
    </i>
    <i>
      <x v="1"/>
    </i>
    <i>
      <x v="22"/>
    </i>
    <i>
      <x v="4"/>
    </i>
    <i>
      <x v="14"/>
    </i>
    <i t="grand">
      <x/>
    </i>
  </rowItems>
  <colItems count="1">
    <i/>
  </colItems>
  <dataFields count="1">
    <dataField name="Average of ItemRating" fld="8"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E0594F-515A-DC46-8FD6-CBC74826A7AD}" name="PivotTable8"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2:T29" firstHeaderRow="1" firstDataRow="1" firstDataCol="1"/>
  <pivotFields count="15">
    <pivotField showAll="0"/>
    <pivotField showAll="0"/>
    <pivotField showAll="0"/>
    <pivotField showAll="0"/>
    <pivotField showAll="0"/>
    <pivotField dataField="1" showAll="0"/>
    <pivotField showAll="0"/>
    <pivotField showAll="0"/>
    <pivotField showAll="0"/>
    <pivotField showAll="0"/>
    <pivotField showAll="0"/>
    <pivotField numFmtId="2" showAll="0"/>
    <pivotField numFmtId="2" showAll="0"/>
    <pivotField axis="axisRow" showAll="0">
      <items count="7">
        <item x="3"/>
        <item x="5"/>
        <item x="1"/>
        <item x="4"/>
        <item x="0"/>
        <item x="2"/>
        <item t="default"/>
      </items>
    </pivotField>
    <pivotField showAll="0"/>
  </pivotFields>
  <rowFields count="1">
    <field x="13"/>
  </rowFields>
  <rowItems count="7">
    <i>
      <x/>
    </i>
    <i>
      <x v="1"/>
    </i>
    <i>
      <x v="2"/>
    </i>
    <i>
      <x v="3"/>
    </i>
    <i>
      <x v="4"/>
    </i>
    <i>
      <x v="5"/>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CCA7B1-FC1A-2745-8BF5-24B46B2F9D6E}"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6" firstHeaderRow="0" firstDataRow="1" firstDataCol="1"/>
  <pivotFields count="15">
    <pivotField dataField="1"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 numFmtId="2" showAll="0"/>
    <pivotField numFmtId="2" showAll="0"/>
    <pivotField showAll="0"/>
    <pivotField showAll="0"/>
  </pivotFields>
  <rowFields count="1">
    <field x="2"/>
  </rowFields>
  <rowItems count="3">
    <i>
      <x/>
    </i>
    <i>
      <x v="1"/>
    </i>
    <i t="grand">
      <x/>
    </i>
  </rowItems>
  <colFields count="1">
    <field x="-2"/>
  </colFields>
  <colItems count="3">
    <i>
      <x/>
    </i>
    <i i="1">
      <x v="1"/>
    </i>
    <i i="2">
      <x v="2"/>
    </i>
  </colItems>
  <dataFields count="3">
    <dataField name="Count of CustomerID" fld="0" subtotal="count" baseField="0" baseItem="0"/>
    <dataField name="Count of CustomerID2" fld="0" subtotal="count" showDataAs="percentOfTotal" baseField="0" baseItem="0" numFmtId="10"/>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F1DCBF-12C1-4C4C-801C-B151F3CF8D27}" name="PivotTable1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15">
    <pivotField showAll="0"/>
    <pivotField showAll="0"/>
    <pivotField showAll="0">
      <items count="3">
        <item x="0"/>
        <item x="1"/>
        <item t="default"/>
      </items>
    </pivotField>
    <pivotField axis="axisRow" showAll="0" sortType="descending">
      <items count="10">
        <item x="0"/>
        <item x="6"/>
        <item x="5"/>
        <item x="7"/>
        <item x="4"/>
        <item x="3"/>
        <item x="1"/>
        <item x="2"/>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5">
        <item x="0"/>
        <item x="1"/>
        <item x="3"/>
        <item x="2"/>
        <item t="default"/>
      </items>
    </pivotField>
    <pivotField showAll="0">
      <items count="3">
        <item x="0"/>
        <item x="1"/>
        <item t="default"/>
      </items>
    </pivotField>
    <pivotField showAll="0"/>
    <pivotField showAll="0"/>
    <pivotField showAll="0"/>
    <pivotField numFmtId="2" showAll="0"/>
    <pivotField numFmtId="2" showAll="0"/>
    <pivotField showAll="0"/>
    <pivotField showAll="0"/>
  </pivotFields>
  <rowFields count="1">
    <field x="3"/>
  </rowFields>
  <rowItems count="10">
    <i>
      <x v="2"/>
    </i>
    <i>
      <x v="3"/>
    </i>
    <i>
      <x v="7"/>
    </i>
    <i>
      <x v="8"/>
    </i>
    <i>
      <x v="6"/>
    </i>
    <i>
      <x/>
    </i>
    <i>
      <x v="5"/>
    </i>
    <i>
      <x v="1"/>
    </i>
    <i>
      <x v="4"/>
    </i>
    <i t="grand">
      <x/>
    </i>
  </rowItems>
  <colItems count="1">
    <i/>
  </colItems>
  <dataFields count="1">
    <dataField name="Sum of 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EFCA3A-BADF-9C48-9C2D-735C67D0F8B1}" name="PivotTable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J55" firstHeaderRow="0" firstDataRow="1" firstDataCol="1"/>
  <pivotFields count="15">
    <pivotField showAll="0"/>
    <pivotField showAll="0"/>
    <pivotField showAll="0"/>
    <pivotField showAll="0"/>
    <pivotField showAll="0"/>
    <pivotField dataField="1" showAll="0"/>
    <pivotField showAll="0"/>
    <pivotField showAll="0"/>
    <pivotField showAll="0"/>
    <pivotField axis="axisRow" showAll="0">
      <items count="33">
        <item x="29"/>
        <item x="15"/>
        <item x="17"/>
        <item x="26"/>
        <item x="16"/>
        <item x="23"/>
        <item x="5"/>
        <item x="13"/>
        <item x="7"/>
        <item x="2"/>
        <item x="8"/>
        <item x="1"/>
        <item x="4"/>
        <item x="19"/>
        <item x="6"/>
        <item x="14"/>
        <item x="0"/>
        <item x="12"/>
        <item x="3"/>
        <item x="21"/>
        <item x="10"/>
        <item x="22"/>
        <item x="18"/>
        <item x="27"/>
        <item x="11"/>
        <item x="9"/>
        <item x="24"/>
        <item x="28"/>
        <item x="25"/>
        <item x="20"/>
        <item x="30"/>
        <item x="31"/>
        <item t="default"/>
      </items>
    </pivotField>
    <pivotField showAll="0"/>
    <pivotField numFmtId="2" showAll="0"/>
    <pivotField numFmtId="2" showAll="0"/>
    <pivotField showAll="0"/>
    <pivotField showAll="0"/>
  </pivotFields>
  <rowFields count="1">
    <field x="9"/>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Average of Amount" fld="5" subtotal="average" baseField="0" baseItem="0" numFmtId="2"/>
    <dataField name="Count of Amount" fld="5" subtotal="count" baseField="0" baseItem="0" numFmtId="1"/>
  </dataFields>
  <formats count="2">
    <format dxfId="4">
      <pivotArea outline="0" collapsedLevelsAreSubtotals="1" fieldPosition="0"/>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9BAEB2-635E-544D-B94C-2E82DEC18D13}" name="PivotTable6" cacheId="7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R3:U10" firstHeaderRow="0" firstDataRow="1" firstDataCol="1"/>
  <pivotFields count="15">
    <pivotField dataField="1" showAll="0"/>
    <pivotField showAll="0"/>
    <pivotField showAll="0"/>
    <pivotField showAll="0"/>
    <pivotField showAll="0"/>
    <pivotField dataField="1" showAll="0"/>
    <pivotField showAll="0"/>
    <pivotField showAll="0"/>
    <pivotField showAll="0"/>
    <pivotField showAll="0"/>
    <pivotField showAll="0"/>
    <pivotField numFmtId="2" showAll="0"/>
    <pivotField numFmtId="2" showAll="0"/>
    <pivotField axis="axisRow" showAll="0">
      <items count="7">
        <item x="5"/>
        <item x="1"/>
        <item x="4"/>
        <item x="0"/>
        <item x="2"/>
        <item x="3"/>
        <item t="default"/>
      </items>
    </pivotField>
    <pivotField showAll="0"/>
  </pivotFields>
  <rowFields count="1">
    <field x="13"/>
  </rowFields>
  <rowItems count="7">
    <i>
      <x/>
    </i>
    <i>
      <x v="1"/>
    </i>
    <i>
      <x v="2"/>
    </i>
    <i>
      <x v="3"/>
    </i>
    <i>
      <x v="4"/>
    </i>
    <i>
      <x v="5"/>
    </i>
    <i t="grand">
      <x/>
    </i>
  </rowItems>
  <colFields count="1">
    <field x="-2"/>
  </colFields>
  <colItems count="3">
    <i>
      <x/>
    </i>
    <i i="1">
      <x v="1"/>
    </i>
    <i i="2">
      <x v="2"/>
    </i>
  </colItems>
  <dataFields count="3">
    <dataField name="Count of CustomerID" fld="0" subtotal="count" baseField="0" baseItem="0"/>
    <dataField name="Count of CustomerID2" fld="0" subtotal="count" showDataAs="percentOfTotal" baseField="0" baseItem="0" numFmtId="10"/>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50F98A-4C29-CE49-ABE9-C69FBDFBDAB5}"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F54" firstHeaderRow="1" firstDataRow="2" firstDataCol="1"/>
  <pivotFields count="15">
    <pivotField showAll="0"/>
    <pivotField showAll="0"/>
    <pivotField showAll="0"/>
    <pivotField showAll="0"/>
    <pivotField axis="axisRow" showAll="0" sortType="ascending">
      <items count="31">
        <item x="29"/>
        <item x="26"/>
        <item x="3"/>
        <item x="18"/>
        <item x="12"/>
        <item x="2"/>
        <item x="8"/>
        <item x="0"/>
        <item x="25"/>
        <item x="20"/>
        <item x="14"/>
        <item x="24"/>
        <item x="15"/>
        <item x="21"/>
        <item x="23"/>
        <item x="5"/>
        <item x="6"/>
        <item x="19"/>
        <item x="11"/>
        <item x="1"/>
        <item x="27"/>
        <item x="16"/>
        <item x="7"/>
        <item x="4"/>
        <item x="13"/>
        <item x="22"/>
        <item x="9"/>
        <item x="17"/>
        <item x="28"/>
        <item x="10"/>
        <item t="default"/>
      </items>
      <autoSortScope>
        <pivotArea dataOnly="0" outline="0" fieldPosition="0">
          <references count="1">
            <reference field="4294967294" count="1" selected="0">
              <x v="0"/>
            </reference>
          </references>
        </pivotArea>
      </autoSortScope>
    </pivotField>
    <pivotField dataField="1" showAll="0"/>
    <pivotField axis="axisCol"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showAll="0"/>
    <pivotField showAll="0"/>
  </pivotFields>
  <rowFields count="1">
    <field x="4"/>
  </rowFields>
  <rowItems count="31">
    <i>
      <x/>
    </i>
    <i>
      <x v="17"/>
    </i>
    <i>
      <x v="23"/>
    </i>
    <i>
      <x v="1"/>
    </i>
    <i>
      <x v="16"/>
    </i>
    <i>
      <x v="11"/>
    </i>
    <i>
      <x v="3"/>
    </i>
    <i>
      <x v="25"/>
    </i>
    <i>
      <x v="19"/>
    </i>
    <i>
      <x v="14"/>
    </i>
    <i>
      <x v="26"/>
    </i>
    <i>
      <x v="7"/>
    </i>
    <i>
      <x v="21"/>
    </i>
    <i>
      <x v="12"/>
    </i>
    <i>
      <x v="20"/>
    </i>
    <i>
      <x v="9"/>
    </i>
    <i>
      <x v="2"/>
    </i>
    <i>
      <x v="28"/>
    </i>
    <i>
      <x v="27"/>
    </i>
    <i>
      <x v="10"/>
    </i>
    <i>
      <x v="5"/>
    </i>
    <i>
      <x v="29"/>
    </i>
    <i>
      <x v="4"/>
    </i>
    <i>
      <x v="18"/>
    </i>
    <i>
      <x v="6"/>
    </i>
    <i>
      <x v="24"/>
    </i>
    <i>
      <x v="22"/>
    </i>
    <i>
      <x v="8"/>
    </i>
    <i>
      <x v="15"/>
    </i>
    <i>
      <x v="13"/>
    </i>
    <i t="grand">
      <x/>
    </i>
  </rowItems>
  <colFields count="1">
    <field x="6"/>
  </colFields>
  <colItems count="5">
    <i>
      <x/>
    </i>
    <i>
      <x v="2"/>
    </i>
    <i>
      <x v="3"/>
    </i>
    <i>
      <x v="1"/>
    </i>
    <i t="grand">
      <x/>
    </i>
  </colItems>
  <dataFields count="1">
    <dataField name="Sum of Amount" fld="5" baseField="0" baseItem="0"/>
  </dataFields>
  <formats count="4">
    <format dxfId="8">
      <pivotArea field="4" grandCol="1" collapsedLevelsAreSubtotals="1" axis="axisRow" fieldPosition="0">
        <references count="1">
          <reference field="4" count="1">
            <x v="23"/>
          </reference>
        </references>
      </pivotArea>
    </format>
    <format dxfId="7">
      <pivotArea field="4" grandCol="1" collapsedLevelsAreSubtotals="1" axis="axisRow" fieldPosition="0">
        <references count="1">
          <reference field="4" count="1">
            <x v="27"/>
          </reference>
        </references>
      </pivotArea>
    </format>
    <format dxfId="6">
      <pivotArea field="4" grandCol="1" collapsedLevelsAreSubtotals="1" axis="axisRow" fieldPosition="0">
        <references count="1">
          <reference field="4" count="1">
            <x v="10"/>
          </reference>
        </references>
      </pivotArea>
    </format>
    <format dxfId="5">
      <pivotArea collapsedLevelsAreSubtotals="1" fieldPosition="0">
        <references count="2">
          <reference field="4" count="1">
            <x v="23"/>
          </reference>
          <reference field="6" count="2" selected="0">
            <x v="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593547-5357-F145-8B71-E90FD76BDE0E}" autoFormatId="16" applyNumberFormats="0" applyBorderFormats="0" applyFontFormats="0" applyPatternFormats="0" applyAlignmentFormats="0" applyWidthHeightFormats="0">
  <queryTableRefresh nextId="20">
    <queryTableFields count="14">
      <queryTableField id="1" name="CustomerID" tableColumnId="1"/>
      <queryTableField id="2" name="Age" tableColumnId="2"/>
      <queryTableField id="3" name="Gender" tableColumnId="3"/>
      <queryTableField id="4" name="Category" tableColumnId="4"/>
      <queryTableField id="5" name="ItemPurchased" tableColumnId="5"/>
      <queryTableField id="6" name="Amount" tableColumnId="6"/>
      <queryTableField id="7" name="Season" tableColumnId="7"/>
      <queryTableField id="8" name="PaymentMethod" tableColumnId="8"/>
      <queryTableField id="9" name="ItemRating" tableColumnId="9"/>
      <queryTableField id="10" name="DiscountApplied(%)" tableColumnId="10"/>
      <queryTableField id="11" name="PreviousPurchases" tableColumnId="11"/>
      <queryTableField id="16" name="Original_Amount" tableColumnId="16"/>
      <queryTableField id="17" name="Discount_Value" tableColumnId="17"/>
      <queryTableField id="15" name="Age_Group"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1E0559-F353-D345-88CF-DC8362DB1DA7}" sourceName="Gender">
  <pivotTables>
    <pivotTable tabId="10" name="PivotTable13"/>
    <pivotTable tabId="10" name="PivotTable14"/>
    <pivotTable tabId="10" name="PivotTable15"/>
    <pivotTable tabId="10" name="PivotTable16"/>
  </pivotTables>
  <data>
    <tabular pivotCacheId="7047474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2E24782-85E6-B44C-9BEA-7B502F74DD19}" sourceName="Season">
  <pivotTables>
    <pivotTable tabId="10" name="PivotTable13"/>
    <pivotTable tabId="10" name="PivotTable14"/>
    <pivotTable tabId="10" name="PivotTable15"/>
    <pivotTable tabId="10" name="PivotTable16"/>
  </pivotTables>
  <data>
    <tabular pivotCacheId="704747457">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DA98BA1-5C6F-594E-A359-B078FDEE2E31}" sourceName="PaymentMethod">
  <pivotTables>
    <pivotTable tabId="10" name="PivotTable13"/>
    <pivotTable tabId="10" name="PivotTable14"/>
    <pivotTable tabId="10" name="PivotTable15"/>
    <pivotTable tabId="10" name="PivotTable16"/>
  </pivotTables>
  <data>
    <tabular pivotCacheId="7047474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2D613A9-C321-D645-A441-ABA5B0B7849B}" cache="Slicer_Gender" caption="Gender" rowHeight="251883"/>
  <slicer name="Season" xr10:uid="{07AE3F0A-3094-9441-952B-CB911BFA4EDD}" cache="Slicer_Season" caption="Season" rowHeight="251883"/>
  <slicer name="PaymentMethod" xr10:uid="{B9EE67C2-C54D-4747-A7D2-2F7E5CF1EE84}" cache="Slicer_PaymentMethod" caption="PaymentMethod"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EA07C5-8CE4-7B42-A68D-9902468D27A5}" name="store_sales" displayName="store_sales" ref="A1:N5002" tableType="queryTable" totalsRowCount="1">
  <autoFilter ref="A1:N5001" xr:uid="{82EA07C5-8CE4-7B42-A68D-9902468D27A5}"/>
  <tableColumns count="14">
    <tableColumn id="1" xr3:uid="{E7AF0C03-DE8A-E049-A94E-B0EEE4D347C1}" uniqueName="1" name="CustomerID" queryTableFieldId="1"/>
    <tableColumn id="2" xr3:uid="{E6AC284E-13F8-C648-90E9-486FA11CB84B}" uniqueName="2" name="Age" queryTableFieldId="2"/>
    <tableColumn id="3" xr3:uid="{C0079C9E-3491-F041-84AC-1845C2D6E649}" uniqueName="3" name="Gender" queryTableFieldId="3" dataDxfId="20" totalsRowDxfId="19"/>
    <tableColumn id="4" xr3:uid="{B86BF0F0-FFFB-FE48-AC52-A5DB89C173DA}" uniqueName="4" name="Category" queryTableFieldId="4" dataDxfId="18" totalsRowDxfId="17"/>
    <tableColumn id="5" xr3:uid="{B530B519-AAEC-4F4A-9BE2-03AF817EA70F}" uniqueName="5" name="ItemPurchased" queryTableFieldId="5" dataDxfId="16" totalsRowDxfId="15"/>
    <tableColumn id="6" xr3:uid="{BBA87F8F-AF56-7F49-8943-370895EB68BF}" uniqueName="6" name="Amount" queryTableFieldId="6"/>
    <tableColumn id="7" xr3:uid="{3B912FCD-D344-8F4F-89D1-D6FBB59E5218}" uniqueName="7" name="Season" queryTableFieldId="7" dataDxfId="14" totalsRowDxfId="13"/>
    <tableColumn id="8" xr3:uid="{B6ABF473-F942-0F4E-8604-71C672AD517E}" uniqueName="8" name="PaymentMethod" queryTableFieldId="8" dataDxfId="12" totalsRowDxfId="11"/>
    <tableColumn id="9" xr3:uid="{9FEA6A1C-033F-154F-95EF-AE2985CFEC9B}" uniqueName="9" name="ItemRating" queryTableFieldId="9"/>
    <tableColumn id="10" xr3:uid="{E925190D-318E-2440-BAB5-3835FE85B2E7}" uniqueName="10" name="DiscountApplied(%)" queryTableFieldId="10"/>
    <tableColumn id="11" xr3:uid="{432E8E15-F1C2-6049-875E-15758D07241D}" uniqueName="11" name="PreviousPurchases" queryTableFieldId="11"/>
    <tableColumn id="16" xr3:uid="{CF612AC6-08F3-5444-BF6A-BF1FA88A8A43}" uniqueName="16" name="Original_Amount" queryTableFieldId="16" dataDxfId="10"/>
    <tableColumn id="17" xr3:uid="{7DDFBA6E-FEBB-BD40-86FC-A14687842670}" uniqueName="17" name="Discount_Value" queryTableFieldId="17" dataDxfId="9"/>
    <tableColumn id="15" xr3:uid="{0079DD58-EE00-7340-81BA-E1990D7989CA}" uniqueName="15" name="Age_Group"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91B67-6084-9543-AC84-FE3FC3014A18}">
  <dimension ref="A1:N5001"/>
  <sheetViews>
    <sheetView workbookViewId="0">
      <selection activeCell="Q14" sqref="Q14"/>
    </sheetView>
  </sheetViews>
  <sheetFormatPr baseColWidth="10" defaultRowHeight="16"/>
  <cols>
    <col min="1" max="1" width="13.83203125" bestFit="1" customWidth="1"/>
    <col min="2" max="2" width="6.83203125" bestFit="1" customWidth="1"/>
    <col min="3" max="3" width="9.6640625" bestFit="1" customWidth="1"/>
    <col min="4" max="4" width="15.33203125" bestFit="1" customWidth="1"/>
    <col min="5" max="5" width="16.33203125" bestFit="1" customWidth="1"/>
    <col min="6" max="6" width="10.1640625" bestFit="1" customWidth="1"/>
    <col min="7" max="7" width="9.6640625" bestFit="1" customWidth="1"/>
    <col min="8" max="8" width="17.1640625" bestFit="1" customWidth="1"/>
    <col min="9" max="9" width="12.83203125" bestFit="1" customWidth="1"/>
    <col min="10" max="10" width="20.33203125" bestFit="1" customWidth="1"/>
    <col min="11" max="11" width="19.83203125" bestFit="1" customWidth="1"/>
    <col min="12" max="12" width="17.5" bestFit="1" customWidth="1"/>
    <col min="13" max="13" width="16.6640625" bestFit="1" customWidth="1"/>
    <col min="14" max="14" width="12.6640625" bestFit="1" customWidth="1"/>
    <col min="15" max="15" width="11.83203125" bestFit="1" customWidth="1"/>
    <col min="16" max="16" width="14.5" bestFit="1" customWidth="1"/>
    <col min="17" max="17" width="15.83203125" bestFit="1" customWidth="1"/>
  </cols>
  <sheetData>
    <row r="1" spans="1:14">
      <c r="A1" t="s">
        <v>0</v>
      </c>
      <c r="B1" t="s">
        <v>1</v>
      </c>
      <c r="C1" t="s">
        <v>2</v>
      </c>
      <c r="D1" t="s">
        <v>3</v>
      </c>
      <c r="E1" t="s">
        <v>4</v>
      </c>
      <c r="F1" t="s">
        <v>5</v>
      </c>
      <c r="G1" t="s">
        <v>6</v>
      </c>
      <c r="H1" t="s">
        <v>7</v>
      </c>
      <c r="I1" t="s">
        <v>8</v>
      </c>
      <c r="J1" t="s">
        <v>9</v>
      </c>
      <c r="K1" t="s">
        <v>10</v>
      </c>
      <c r="L1" t="s">
        <v>61</v>
      </c>
      <c r="M1" t="s">
        <v>62</v>
      </c>
      <c r="N1" t="s">
        <v>64</v>
      </c>
    </row>
    <row r="2" spans="1:14">
      <c r="A2">
        <v>1</v>
      </c>
      <c r="B2">
        <v>58</v>
      </c>
      <c r="C2" t="s">
        <v>11</v>
      </c>
      <c r="D2" t="s">
        <v>12</v>
      </c>
      <c r="E2" t="s">
        <v>13</v>
      </c>
      <c r="F2">
        <v>115.5</v>
      </c>
      <c r="G2" t="s">
        <v>14</v>
      </c>
      <c r="H2" t="s">
        <v>15</v>
      </c>
      <c r="I2">
        <v>3.5</v>
      </c>
      <c r="J2">
        <v>18</v>
      </c>
      <c r="K2">
        <v>4</v>
      </c>
      <c r="L2" s="4">
        <v>140.85365853658536</v>
      </c>
      <c r="M2" s="4">
        <v>25.353658536585357</v>
      </c>
      <c r="N2" t="s">
        <v>94</v>
      </c>
    </row>
    <row r="3" spans="1:14">
      <c r="A3">
        <v>2</v>
      </c>
      <c r="B3">
        <v>40</v>
      </c>
      <c r="C3" t="s">
        <v>16</v>
      </c>
      <c r="D3" t="s">
        <v>17</v>
      </c>
      <c r="E3" t="s">
        <v>18</v>
      </c>
      <c r="F3">
        <v>103.43</v>
      </c>
      <c r="G3" t="s">
        <v>19</v>
      </c>
      <c r="H3" t="s">
        <v>15</v>
      </c>
      <c r="I3">
        <v>4.0999999999999996</v>
      </c>
      <c r="J3">
        <v>13</v>
      </c>
      <c r="K3">
        <v>4</v>
      </c>
      <c r="L3" s="4">
        <v>118.88505747126437</v>
      </c>
      <c r="M3" s="4">
        <v>15.455057471264368</v>
      </c>
      <c r="N3" t="s">
        <v>92</v>
      </c>
    </row>
    <row r="4" spans="1:14">
      <c r="A4">
        <v>3</v>
      </c>
      <c r="B4">
        <v>66</v>
      </c>
      <c r="C4" t="s">
        <v>11</v>
      </c>
      <c r="D4" t="s">
        <v>20</v>
      </c>
      <c r="E4" t="s">
        <v>21</v>
      </c>
      <c r="F4">
        <v>35.450000000000003</v>
      </c>
      <c r="G4" t="s">
        <v>19</v>
      </c>
      <c r="H4" t="s">
        <v>15</v>
      </c>
      <c r="I4">
        <v>3.3</v>
      </c>
      <c r="J4">
        <v>11</v>
      </c>
      <c r="K4">
        <v>3</v>
      </c>
      <c r="L4" s="4">
        <v>39.831460674157306</v>
      </c>
      <c r="M4" s="4">
        <v>4.381460674157303</v>
      </c>
      <c r="N4" t="s">
        <v>95</v>
      </c>
    </row>
    <row r="5" spans="1:14">
      <c r="A5">
        <v>4</v>
      </c>
      <c r="B5">
        <v>39</v>
      </c>
      <c r="C5" t="s">
        <v>11</v>
      </c>
      <c r="D5" t="s">
        <v>12</v>
      </c>
      <c r="E5" t="s">
        <v>13</v>
      </c>
      <c r="F5">
        <v>153.31</v>
      </c>
      <c r="G5" t="s">
        <v>19</v>
      </c>
      <c r="H5" t="s">
        <v>15</v>
      </c>
      <c r="I5">
        <v>4.4000000000000004</v>
      </c>
      <c r="J5">
        <v>13</v>
      </c>
      <c r="K5">
        <v>4</v>
      </c>
      <c r="L5" s="4">
        <v>176.2183908045977</v>
      </c>
      <c r="M5" s="4">
        <v>22.908390804597701</v>
      </c>
      <c r="N5" t="s">
        <v>92</v>
      </c>
    </row>
    <row r="6" spans="1:14">
      <c r="A6">
        <v>5</v>
      </c>
      <c r="B6">
        <v>23</v>
      </c>
      <c r="C6" t="s">
        <v>11</v>
      </c>
      <c r="D6" t="s">
        <v>22</v>
      </c>
      <c r="E6" t="s">
        <v>23</v>
      </c>
      <c r="F6">
        <v>151.43</v>
      </c>
      <c r="G6" t="s">
        <v>24</v>
      </c>
      <c r="H6" t="s">
        <v>15</v>
      </c>
      <c r="I6">
        <v>4.0999999999999996</v>
      </c>
      <c r="J6">
        <v>20</v>
      </c>
      <c r="K6">
        <v>10</v>
      </c>
      <c r="L6" s="4">
        <v>189.28749999999999</v>
      </c>
      <c r="M6" s="4">
        <v>37.857499999999987</v>
      </c>
      <c r="N6" t="s">
        <v>100</v>
      </c>
    </row>
    <row r="7" spans="1:14">
      <c r="A7">
        <v>6</v>
      </c>
      <c r="B7">
        <v>48</v>
      </c>
      <c r="C7" t="s">
        <v>16</v>
      </c>
      <c r="D7" t="s">
        <v>25</v>
      </c>
      <c r="E7" t="s">
        <v>26</v>
      </c>
      <c r="F7">
        <v>36.76</v>
      </c>
      <c r="G7" t="s">
        <v>14</v>
      </c>
      <c r="H7" t="s">
        <v>15</v>
      </c>
      <c r="I7">
        <v>2.5</v>
      </c>
      <c r="J7">
        <v>14</v>
      </c>
      <c r="K7">
        <v>2</v>
      </c>
      <c r="L7" s="4">
        <v>42.744186046511629</v>
      </c>
      <c r="M7" s="4">
        <v>5.9841860465116312</v>
      </c>
      <c r="N7" t="s">
        <v>93</v>
      </c>
    </row>
    <row r="8" spans="1:14">
      <c r="A8">
        <v>7</v>
      </c>
      <c r="B8">
        <v>54</v>
      </c>
      <c r="C8" t="s">
        <v>16</v>
      </c>
      <c r="D8" t="s">
        <v>27</v>
      </c>
      <c r="E8" t="s">
        <v>28</v>
      </c>
      <c r="F8">
        <v>1396.16</v>
      </c>
      <c r="G8" t="s">
        <v>14</v>
      </c>
      <c r="H8" t="s">
        <v>15</v>
      </c>
      <c r="I8">
        <v>4.7</v>
      </c>
      <c r="J8">
        <v>18</v>
      </c>
      <c r="K8">
        <v>4</v>
      </c>
      <c r="L8" s="4">
        <v>1702.6341463414633</v>
      </c>
      <c r="M8" s="4">
        <v>306.47414634146321</v>
      </c>
      <c r="N8" t="s">
        <v>93</v>
      </c>
    </row>
    <row r="9" spans="1:14">
      <c r="A9">
        <v>8</v>
      </c>
      <c r="B9">
        <v>59</v>
      </c>
      <c r="C9" t="s">
        <v>11</v>
      </c>
      <c r="D9" t="s">
        <v>29</v>
      </c>
      <c r="E9" t="s">
        <v>30</v>
      </c>
      <c r="F9">
        <v>35.549999999999997</v>
      </c>
      <c r="G9" t="s">
        <v>31</v>
      </c>
      <c r="H9" t="s">
        <v>15</v>
      </c>
      <c r="I9">
        <v>4.5999999999999996</v>
      </c>
      <c r="J9">
        <v>14</v>
      </c>
      <c r="K9">
        <v>7</v>
      </c>
      <c r="L9" s="4">
        <v>41.337209302325576</v>
      </c>
      <c r="M9" s="4">
        <v>5.7872093023255786</v>
      </c>
      <c r="N9" t="s">
        <v>94</v>
      </c>
    </row>
    <row r="10" spans="1:14">
      <c r="A10">
        <v>9</v>
      </c>
      <c r="B10">
        <v>51</v>
      </c>
      <c r="C10" t="s">
        <v>16</v>
      </c>
      <c r="D10" t="s">
        <v>27</v>
      </c>
      <c r="E10" t="s">
        <v>32</v>
      </c>
      <c r="F10">
        <v>2238.79</v>
      </c>
      <c r="G10" t="s">
        <v>19</v>
      </c>
      <c r="H10" t="s">
        <v>15</v>
      </c>
      <c r="I10">
        <v>4.3</v>
      </c>
      <c r="J10">
        <v>20</v>
      </c>
      <c r="K10">
        <v>5</v>
      </c>
      <c r="L10" s="4">
        <v>2798.4874999999997</v>
      </c>
      <c r="M10" s="4">
        <v>559.69749999999976</v>
      </c>
      <c r="N10" t="s">
        <v>93</v>
      </c>
    </row>
    <row r="11" spans="1:14">
      <c r="A11">
        <v>10</v>
      </c>
      <c r="B11">
        <v>47</v>
      </c>
      <c r="C11" t="s">
        <v>11</v>
      </c>
      <c r="D11" t="s">
        <v>33</v>
      </c>
      <c r="E11" t="s">
        <v>34</v>
      </c>
      <c r="F11">
        <v>225.49</v>
      </c>
      <c r="G11" t="s">
        <v>19</v>
      </c>
      <c r="H11" t="s">
        <v>15</v>
      </c>
      <c r="I11">
        <v>4.7</v>
      </c>
      <c r="J11">
        <v>18</v>
      </c>
      <c r="K11">
        <v>4</v>
      </c>
      <c r="L11" s="4">
        <v>274.98780487804879</v>
      </c>
      <c r="M11" s="4">
        <v>49.497804878048782</v>
      </c>
      <c r="N11" t="s">
        <v>93</v>
      </c>
    </row>
    <row r="12" spans="1:14">
      <c r="A12">
        <v>11</v>
      </c>
      <c r="B12">
        <v>32</v>
      </c>
      <c r="C12" t="s">
        <v>16</v>
      </c>
      <c r="D12" t="s">
        <v>17</v>
      </c>
      <c r="E12" t="s">
        <v>35</v>
      </c>
      <c r="F12">
        <v>120.8</v>
      </c>
      <c r="G12" t="s">
        <v>19</v>
      </c>
      <c r="H12" t="s">
        <v>15</v>
      </c>
      <c r="I12">
        <v>3.2</v>
      </c>
      <c r="J12">
        <v>8</v>
      </c>
      <c r="K12">
        <v>4</v>
      </c>
      <c r="L12" s="4">
        <v>131.30434782608694</v>
      </c>
      <c r="M12" s="4">
        <v>10.504347826086942</v>
      </c>
      <c r="N12" t="s">
        <v>91</v>
      </c>
    </row>
    <row r="13" spans="1:14">
      <c r="A13">
        <v>12</v>
      </c>
      <c r="B13">
        <v>31</v>
      </c>
      <c r="C13" t="s">
        <v>11</v>
      </c>
      <c r="D13" t="s">
        <v>12</v>
      </c>
      <c r="E13" t="s">
        <v>13</v>
      </c>
      <c r="F13">
        <v>43.69</v>
      </c>
      <c r="G13" t="s">
        <v>31</v>
      </c>
      <c r="H13" t="s">
        <v>15</v>
      </c>
      <c r="I13">
        <v>3.6</v>
      </c>
      <c r="J13">
        <v>8</v>
      </c>
      <c r="K13">
        <v>4</v>
      </c>
      <c r="L13" s="4">
        <v>47.489130434782602</v>
      </c>
      <c r="M13" s="4">
        <v>3.7991304347826045</v>
      </c>
      <c r="N13" t="s">
        <v>91</v>
      </c>
    </row>
    <row r="14" spans="1:14">
      <c r="A14">
        <v>13</v>
      </c>
      <c r="B14">
        <v>21</v>
      </c>
      <c r="C14" t="s">
        <v>16</v>
      </c>
      <c r="D14" t="s">
        <v>20</v>
      </c>
      <c r="E14" t="s">
        <v>36</v>
      </c>
      <c r="F14">
        <v>79.459999999999994</v>
      </c>
      <c r="G14" t="s">
        <v>24</v>
      </c>
      <c r="H14" t="s">
        <v>37</v>
      </c>
      <c r="I14">
        <v>3.8</v>
      </c>
      <c r="J14">
        <v>16</v>
      </c>
      <c r="K14">
        <v>8</v>
      </c>
      <c r="L14" s="4">
        <v>94.595238095238088</v>
      </c>
      <c r="M14" s="4">
        <v>15.135238095238094</v>
      </c>
      <c r="N14" t="s">
        <v>100</v>
      </c>
    </row>
    <row r="15" spans="1:14">
      <c r="A15">
        <v>14</v>
      </c>
      <c r="B15">
        <v>22</v>
      </c>
      <c r="C15" t="s">
        <v>11</v>
      </c>
      <c r="D15" t="s">
        <v>33</v>
      </c>
      <c r="E15" t="s">
        <v>38</v>
      </c>
      <c r="F15">
        <v>189.34</v>
      </c>
      <c r="G15" t="s">
        <v>31</v>
      </c>
      <c r="H15" t="s">
        <v>15</v>
      </c>
      <c r="I15">
        <v>2.9</v>
      </c>
      <c r="J15">
        <v>10</v>
      </c>
      <c r="K15">
        <v>5</v>
      </c>
      <c r="L15" s="4">
        <v>210.37777777777777</v>
      </c>
      <c r="M15" s="4">
        <v>21.037777777777762</v>
      </c>
      <c r="N15" t="s">
        <v>100</v>
      </c>
    </row>
    <row r="16" spans="1:14">
      <c r="A16">
        <v>15</v>
      </c>
      <c r="B16">
        <v>47</v>
      </c>
      <c r="C16" t="s">
        <v>16</v>
      </c>
      <c r="D16" t="s">
        <v>20</v>
      </c>
      <c r="E16" t="s">
        <v>39</v>
      </c>
      <c r="F16">
        <v>222.4</v>
      </c>
      <c r="G16" t="s">
        <v>24</v>
      </c>
      <c r="H16" t="s">
        <v>15</v>
      </c>
      <c r="I16">
        <v>3.9</v>
      </c>
      <c r="J16">
        <v>12</v>
      </c>
      <c r="K16">
        <v>6</v>
      </c>
      <c r="L16" s="4">
        <v>252.72727272727272</v>
      </c>
      <c r="M16" s="4">
        <v>30.327272727272714</v>
      </c>
      <c r="N16" t="s">
        <v>93</v>
      </c>
    </row>
    <row r="17" spans="1:14">
      <c r="A17">
        <v>16</v>
      </c>
      <c r="B17">
        <v>60</v>
      </c>
      <c r="C17" t="s">
        <v>16</v>
      </c>
      <c r="D17" t="s">
        <v>20</v>
      </c>
      <c r="E17" t="s">
        <v>39</v>
      </c>
      <c r="F17">
        <v>217.67</v>
      </c>
      <c r="G17" t="s">
        <v>19</v>
      </c>
      <c r="H17" t="s">
        <v>15</v>
      </c>
      <c r="I17">
        <v>4.5999999999999996</v>
      </c>
      <c r="J17">
        <v>27</v>
      </c>
      <c r="K17">
        <v>11</v>
      </c>
      <c r="L17" s="4">
        <v>298.17808219178079</v>
      </c>
      <c r="M17" s="4">
        <v>80.508082191780801</v>
      </c>
      <c r="N17" t="s">
        <v>94</v>
      </c>
    </row>
    <row r="18" spans="1:14">
      <c r="A18">
        <v>17</v>
      </c>
      <c r="B18">
        <v>54</v>
      </c>
      <c r="C18" t="s">
        <v>11</v>
      </c>
      <c r="D18" t="s">
        <v>33</v>
      </c>
      <c r="E18" t="s">
        <v>40</v>
      </c>
      <c r="F18">
        <v>43.8</v>
      </c>
      <c r="G18" t="s">
        <v>19</v>
      </c>
      <c r="H18" t="s">
        <v>37</v>
      </c>
      <c r="I18">
        <v>2.9</v>
      </c>
      <c r="J18">
        <v>20</v>
      </c>
      <c r="K18">
        <v>5</v>
      </c>
      <c r="L18" s="4">
        <v>54.749999999999993</v>
      </c>
      <c r="M18" s="4">
        <v>10.949999999999996</v>
      </c>
      <c r="N18" t="s">
        <v>93</v>
      </c>
    </row>
    <row r="19" spans="1:14">
      <c r="A19">
        <v>18</v>
      </c>
      <c r="B19">
        <v>57</v>
      </c>
      <c r="C19" t="s">
        <v>11</v>
      </c>
      <c r="D19" t="s">
        <v>41</v>
      </c>
      <c r="E19" t="s">
        <v>42</v>
      </c>
      <c r="F19">
        <v>137.29</v>
      </c>
      <c r="G19" t="s">
        <v>14</v>
      </c>
      <c r="H19" t="s">
        <v>15</v>
      </c>
      <c r="I19">
        <v>3.4</v>
      </c>
      <c r="J19">
        <v>22</v>
      </c>
      <c r="K19">
        <v>6</v>
      </c>
      <c r="L19" s="4">
        <v>176.0128205128205</v>
      </c>
      <c r="M19" s="4">
        <v>38.722820512820505</v>
      </c>
      <c r="N19" t="s">
        <v>94</v>
      </c>
    </row>
    <row r="20" spans="1:14">
      <c r="A20">
        <v>19</v>
      </c>
      <c r="B20">
        <v>68</v>
      </c>
      <c r="C20" t="s">
        <v>11</v>
      </c>
      <c r="D20" t="s">
        <v>22</v>
      </c>
      <c r="E20" t="s">
        <v>43</v>
      </c>
      <c r="F20">
        <v>105.48</v>
      </c>
      <c r="G20" t="s">
        <v>14</v>
      </c>
      <c r="H20" t="s">
        <v>15</v>
      </c>
      <c r="I20">
        <v>4.5</v>
      </c>
      <c r="J20">
        <v>14</v>
      </c>
      <c r="K20">
        <v>7</v>
      </c>
      <c r="L20" s="4">
        <v>122.65116279069768</v>
      </c>
      <c r="M20" s="4">
        <v>17.171162790697679</v>
      </c>
      <c r="N20" t="s">
        <v>95</v>
      </c>
    </row>
    <row r="21" spans="1:14">
      <c r="A21">
        <v>20</v>
      </c>
      <c r="B21">
        <v>22</v>
      </c>
      <c r="C21" t="s">
        <v>11</v>
      </c>
      <c r="D21" t="s">
        <v>41</v>
      </c>
      <c r="E21" t="s">
        <v>44</v>
      </c>
      <c r="F21">
        <v>173.52</v>
      </c>
      <c r="G21" t="s">
        <v>31</v>
      </c>
      <c r="H21" t="s">
        <v>15</v>
      </c>
      <c r="I21">
        <v>3.6</v>
      </c>
      <c r="J21">
        <v>18</v>
      </c>
      <c r="K21">
        <v>4</v>
      </c>
      <c r="L21" s="4">
        <v>211.60975609756096</v>
      </c>
      <c r="M21" s="4">
        <v>38.089756097560951</v>
      </c>
      <c r="N21" t="s">
        <v>100</v>
      </c>
    </row>
    <row r="22" spans="1:14">
      <c r="A22">
        <v>21</v>
      </c>
      <c r="B22">
        <v>61</v>
      </c>
      <c r="C22" t="s">
        <v>11</v>
      </c>
      <c r="D22" t="s">
        <v>33</v>
      </c>
      <c r="E22" t="s">
        <v>40</v>
      </c>
      <c r="F22">
        <v>68.69</v>
      </c>
      <c r="G22" t="s">
        <v>14</v>
      </c>
      <c r="H22" t="s">
        <v>15</v>
      </c>
      <c r="I22">
        <v>4.9000000000000004</v>
      </c>
      <c r="J22">
        <v>22</v>
      </c>
      <c r="K22">
        <v>6</v>
      </c>
      <c r="L22" s="4">
        <v>88.064102564102555</v>
      </c>
      <c r="M22" s="4">
        <v>19.374102564102557</v>
      </c>
      <c r="N22" t="s">
        <v>94</v>
      </c>
    </row>
    <row r="23" spans="1:14">
      <c r="A23">
        <v>22</v>
      </c>
      <c r="B23">
        <v>65</v>
      </c>
      <c r="C23" t="s">
        <v>11</v>
      </c>
      <c r="D23" t="s">
        <v>20</v>
      </c>
      <c r="E23" t="s">
        <v>39</v>
      </c>
      <c r="F23">
        <v>31.21</v>
      </c>
      <c r="G23" t="s">
        <v>19</v>
      </c>
      <c r="H23" t="s">
        <v>37</v>
      </c>
      <c r="I23">
        <v>3.8</v>
      </c>
      <c r="J23">
        <v>14</v>
      </c>
      <c r="K23">
        <v>7</v>
      </c>
      <c r="L23" s="4">
        <v>36.29069767441861</v>
      </c>
      <c r="M23" s="4">
        <v>5.0806976744186088</v>
      </c>
      <c r="N23" t="s">
        <v>95</v>
      </c>
    </row>
    <row r="24" spans="1:14">
      <c r="A24">
        <v>23</v>
      </c>
      <c r="B24">
        <v>25</v>
      </c>
      <c r="C24" t="s">
        <v>16</v>
      </c>
      <c r="D24" t="s">
        <v>20</v>
      </c>
      <c r="E24" t="s">
        <v>21</v>
      </c>
      <c r="F24">
        <v>142.5</v>
      </c>
      <c r="G24" t="s">
        <v>14</v>
      </c>
      <c r="H24" t="s">
        <v>15</v>
      </c>
      <c r="I24">
        <v>5</v>
      </c>
      <c r="J24">
        <v>13</v>
      </c>
      <c r="K24">
        <v>4</v>
      </c>
      <c r="L24" s="4">
        <v>163.79310344827587</v>
      </c>
      <c r="M24" s="4">
        <v>21.293103448275872</v>
      </c>
      <c r="N24" t="s">
        <v>91</v>
      </c>
    </row>
    <row r="25" spans="1:14">
      <c r="A25">
        <v>24</v>
      </c>
      <c r="B25">
        <v>35</v>
      </c>
      <c r="C25" t="s">
        <v>16</v>
      </c>
      <c r="D25" t="s">
        <v>17</v>
      </c>
      <c r="E25" t="s">
        <v>42</v>
      </c>
      <c r="F25">
        <v>36.979999999999997</v>
      </c>
      <c r="G25" t="s">
        <v>31</v>
      </c>
      <c r="H25" t="s">
        <v>15</v>
      </c>
      <c r="I25">
        <v>4.2</v>
      </c>
      <c r="J25">
        <v>13</v>
      </c>
      <c r="K25">
        <v>4</v>
      </c>
      <c r="L25" s="4">
        <v>42.505747126436781</v>
      </c>
      <c r="M25" s="4">
        <v>5.5257471264367837</v>
      </c>
      <c r="N25" t="s">
        <v>92</v>
      </c>
    </row>
    <row r="26" spans="1:14">
      <c r="A26">
        <v>25</v>
      </c>
      <c r="B26">
        <v>28</v>
      </c>
      <c r="C26" t="s">
        <v>11</v>
      </c>
      <c r="D26" t="s">
        <v>41</v>
      </c>
      <c r="E26" t="s">
        <v>45</v>
      </c>
      <c r="F26">
        <v>56.59</v>
      </c>
      <c r="G26" t="s">
        <v>24</v>
      </c>
      <c r="H26" t="s">
        <v>15</v>
      </c>
      <c r="I26">
        <v>4.0999999999999996</v>
      </c>
      <c r="J26">
        <v>26</v>
      </c>
      <c r="K26">
        <v>8</v>
      </c>
      <c r="L26" s="4">
        <v>76.472972972972983</v>
      </c>
      <c r="M26" s="4">
        <v>19.882972972972979</v>
      </c>
      <c r="N26" t="s">
        <v>91</v>
      </c>
    </row>
    <row r="27" spans="1:14">
      <c r="A27">
        <v>26</v>
      </c>
      <c r="B27">
        <v>41</v>
      </c>
      <c r="C27" t="s">
        <v>16</v>
      </c>
      <c r="D27" t="s">
        <v>20</v>
      </c>
      <c r="E27" t="s">
        <v>21</v>
      </c>
      <c r="F27">
        <v>46.19</v>
      </c>
      <c r="G27" t="s">
        <v>24</v>
      </c>
      <c r="H27" t="s">
        <v>37</v>
      </c>
      <c r="I27">
        <v>3.3</v>
      </c>
      <c r="J27">
        <v>11</v>
      </c>
      <c r="K27">
        <v>3</v>
      </c>
      <c r="L27" s="4">
        <v>51.898876404494381</v>
      </c>
      <c r="M27" s="4">
        <v>5.7088764044943829</v>
      </c>
      <c r="N27" t="s">
        <v>92</v>
      </c>
    </row>
    <row r="28" spans="1:14">
      <c r="A28">
        <v>27</v>
      </c>
      <c r="B28">
        <v>58</v>
      </c>
      <c r="C28" t="s">
        <v>11</v>
      </c>
      <c r="D28" t="s">
        <v>22</v>
      </c>
      <c r="E28" t="s">
        <v>43</v>
      </c>
      <c r="F28">
        <v>137.6</v>
      </c>
      <c r="G28" t="s">
        <v>14</v>
      </c>
      <c r="H28" t="s">
        <v>15</v>
      </c>
      <c r="I28">
        <v>3.7</v>
      </c>
      <c r="J28">
        <v>11</v>
      </c>
      <c r="K28">
        <v>3</v>
      </c>
      <c r="L28" s="4">
        <v>154.6067415730337</v>
      </c>
      <c r="M28" s="4">
        <v>17.006741573033707</v>
      </c>
      <c r="N28" t="s">
        <v>94</v>
      </c>
    </row>
    <row r="29" spans="1:14">
      <c r="A29">
        <v>28</v>
      </c>
      <c r="B29">
        <v>24</v>
      </c>
      <c r="C29" t="s">
        <v>16</v>
      </c>
      <c r="D29" t="s">
        <v>20</v>
      </c>
      <c r="E29" t="s">
        <v>36</v>
      </c>
      <c r="F29">
        <v>30.97</v>
      </c>
      <c r="G29" t="s">
        <v>14</v>
      </c>
      <c r="H29" t="s">
        <v>15</v>
      </c>
      <c r="I29">
        <v>4.4000000000000004</v>
      </c>
      <c r="J29">
        <v>20</v>
      </c>
      <c r="K29">
        <v>10</v>
      </c>
      <c r="L29" s="4">
        <v>38.712499999999999</v>
      </c>
      <c r="M29" s="4">
        <v>7.7424999999999997</v>
      </c>
      <c r="N29" t="s">
        <v>100</v>
      </c>
    </row>
    <row r="30" spans="1:14">
      <c r="A30">
        <v>29</v>
      </c>
      <c r="B30">
        <v>50</v>
      </c>
      <c r="C30" t="s">
        <v>11</v>
      </c>
      <c r="D30" t="s">
        <v>20</v>
      </c>
      <c r="E30" t="s">
        <v>36</v>
      </c>
      <c r="F30">
        <v>178.68</v>
      </c>
      <c r="G30" t="s">
        <v>19</v>
      </c>
      <c r="H30" t="s">
        <v>15</v>
      </c>
      <c r="I30">
        <v>3.7</v>
      </c>
      <c r="J30">
        <v>11</v>
      </c>
      <c r="K30">
        <v>3</v>
      </c>
      <c r="L30" s="4">
        <v>200.76404494382024</v>
      </c>
      <c r="M30" s="4">
        <v>22.084044943820231</v>
      </c>
      <c r="N30" t="s">
        <v>93</v>
      </c>
    </row>
    <row r="31" spans="1:14">
      <c r="A31">
        <v>30</v>
      </c>
      <c r="B31">
        <v>69</v>
      </c>
      <c r="C31" t="s">
        <v>16</v>
      </c>
      <c r="D31" t="s">
        <v>20</v>
      </c>
      <c r="E31" t="s">
        <v>21</v>
      </c>
      <c r="F31">
        <v>205.78</v>
      </c>
      <c r="G31" t="s">
        <v>14</v>
      </c>
      <c r="H31" t="s">
        <v>15</v>
      </c>
      <c r="I31">
        <v>2.7</v>
      </c>
      <c r="J31">
        <v>22</v>
      </c>
      <c r="K31">
        <v>6</v>
      </c>
      <c r="L31" s="4">
        <v>263.82051282051282</v>
      </c>
      <c r="M31" s="4">
        <v>58.040512820512816</v>
      </c>
      <c r="N31" t="s">
        <v>95</v>
      </c>
    </row>
    <row r="32" spans="1:14">
      <c r="A32">
        <v>31</v>
      </c>
      <c r="B32">
        <v>43</v>
      </c>
      <c r="C32" t="s">
        <v>16</v>
      </c>
      <c r="D32" t="s">
        <v>27</v>
      </c>
      <c r="E32" t="s">
        <v>32</v>
      </c>
      <c r="F32">
        <v>1572.49</v>
      </c>
      <c r="G32" t="s">
        <v>14</v>
      </c>
      <c r="H32" t="s">
        <v>15</v>
      </c>
      <c r="I32">
        <v>3.5</v>
      </c>
      <c r="J32">
        <v>14</v>
      </c>
      <c r="K32">
        <v>7</v>
      </c>
      <c r="L32" s="4">
        <v>1828.4767441860465</v>
      </c>
      <c r="M32" s="4">
        <v>255.98674418604651</v>
      </c>
      <c r="N32" t="s">
        <v>92</v>
      </c>
    </row>
    <row r="33" spans="1:14">
      <c r="A33">
        <v>32</v>
      </c>
      <c r="B33">
        <v>33</v>
      </c>
      <c r="C33" t="s">
        <v>16</v>
      </c>
      <c r="D33" t="s">
        <v>33</v>
      </c>
      <c r="E33" t="s">
        <v>34</v>
      </c>
      <c r="F33">
        <v>172.69</v>
      </c>
      <c r="G33" t="s">
        <v>19</v>
      </c>
      <c r="H33" t="s">
        <v>15</v>
      </c>
      <c r="I33">
        <v>4.5999999999999996</v>
      </c>
      <c r="J33">
        <v>19</v>
      </c>
      <c r="K33">
        <v>7</v>
      </c>
      <c r="L33" s="4">
        <v>213.19753086419752</v>
      </c>
      <c r="M33" s="4">
        <v>40.50753086419752</v>
      </c>
      <c r="N33" t="s">
        <v>91</v>
      </c>
    </row>
    <row r="34" spans="1:14">
      <c r="A34">
        <v>33</v>
      </c>
      <c r="B34">
        <v>58</v>
      </c>
      <c r="C34" t="s">
        <v>11</v>
      </c>
      <c r="D34" t="s">
        <v>29</v>
      </c>
      <c r="E34" t="s">
        <v>30</v>
      </c>
      <c r="F34">
        <v>135.4</v>
      </c>
      <c r="G34" t="s">
        <v>19</v>
      </c>
      <c r="H34" t="s">
        <v>15</v>
      </c>
      <c r="I34">
        <v>3.7</v>
      </c>
      <c r="J34">
        <v>9</v>
      </c>
      <c r="K34">
        <v>2</v>
      </c>
      <c r="L34" s="4">
        <v>148.79120879120879</v>
      </c>
      <c r="M34" s="4">
        <v>13.391208791208783</v>
      </c>
      <c r="N34" t="s">
        <v>94</v>
      </c>
    </row>
    <row r="35" spans="1:14">
      <c r="A35">
        <v>34</v>
      </c>
      <c r="B35">
        <v>26</v>
      </c>
      <c r="C35" t="s">
        <v>11</v>
      </c>
      <c r="D35" t="s">
        <v>41</v>
      </c>
      <c r="E35" t="s">
        <v>46</v>
      </c>
      <c r="F35">
        <v>169.72</v>
      </c>
      <c r="G35" t="s">
        <v>14</v>
      </c>
      <c r="H35" t="s">
        <v>15</v>
      </c>
      <c r="I35">
        <v>3.8</v>
      </c>
      <c r="J35">
        <v>14</v>
      </c>
      <c r="K35">
        <v>2</v>
      </c>
      <c r="L35" s="4">
        <v>197.34883720930233</v>
      </c>
      <c r="M35" s="4">
        <v>27.628837209302333</v>
      </c>
      <c r="N35" t="s">
        <v>91</v>
      </c>
    </row>
    <row r="36" spans="1:14">
      <c r="A36">
        <v>35</v>
      </c>
      <c r="B36">
        <v>67</v>
      </c>
      <c r="C36" t="s">
        <v>16</v>
      </c>
      <c r="D36" t="s">
        <v>20</v>
      </c>
      <c r="E36" t="s">
        <v>21</v>
      </c>
      <c r="F36">
        <v>238.13</v>
      </c>
      <c r="G36" t="s">
        <v>24</v>
      </c>
      <c r="H36" t="s">
        <v>15</v>
      </c>
      <c r="I36">
        <v>3.3</v>
      </c>
      <c r="J36">
        <v>17</v>
      </c>
      <c r="K36">
        <v>6</v>
      </c>
      <c r="L36" s="4">
        <v>286.90361445783134</v>
      </c>
      <c r="M36" s="4">
        <v>48.773614457831343</v>
      </c>
      <c r="N36" t="s">
        <v>95</v>
      </c>
    </row>
    <row r="37" spans="1:14">
      <c r="A37">
        <v>36</v>
      </c>
      <c r="B37">
        <v>32</v>
      </c>
      <c r="C37" t="s">
        <v>11</v>
      </c>
      <c r="D37" t="s">
        <v>41</v>
      </c>
      <c r="E37" t="s">
        <v>42</v>
      </c>
      <c r="F37">
        <v>50.2</v>
      </c>
      <c r="G37" t="s">
        <v>24</v>
      </c>
      <c r="H37" t="s">
        <v>37</v>
      </c>
      <c r="I37">
        <v>2.4</v>
      </c>
      <c r="J37">
        <v>12</v>
      </c>
      <c r="K37">
        <v>6</v>
      </c>
      <c r="L37" s="4">
        <v>57.045454545454547</v>
      </c>
      <c r="M37" s="4">
        <v>6.8454545454545439</v>
      </c>
      <c r="N37" t="s">
        <v>91</v>
      </c>
    </row>
    <row r="38" spans="1:14">
      <c r="A38">
        <v>37</v>
      </c>
      <c r="B38">
        <v>25</v>
      </c>
      <c r="C38" t="s">
        <v>11</v>
      </c>
      <c r="D38" t="s">
        <v>25</v>
      </c>
      <c r="E38" t="s">
        <v>47</v>
      </c>
      <c r="F38">
        <v>29.2</v>
      </c>
      <c r="G38" t="s">
        <v>31</v>
      </c>
      <c r="H38" t="s">
        <v>37</v>
      </c>
      <c r="I38">
        <v>5</v>
      </c>
      <c r="J38">
        <v>8</v>
      </c>
      <c r="K38">
        <v>4</v>
      </c>
      <c r="L38" s="4">
        <v>31.739130434782606</v>
      </c>
      <c r="M38" s="4">
        <v>2.5391304347826065</v>
      </c>
      <c r="N38" t="s">
        <v>91</v>
      </c>
    </row>
    <row r="39" spans="1:14">
      <c r="A39">
        <v>38</v>
      </c>
      <c r="B39">
        <v>50</v>
      </c>
      <c r="C39" t="s">
        <v>16</v>
      </c>
      <c r="D39" t="s">
        <v>17</v>
      </c>
      <c r="E39" t="s">
        <v>48</v>
      </c>
      <c r="F39">
        <v>183.2</v>
      </c>
      <c r="G39" t="s">
        <v>14</v>
      </c>
      <c r="H39" t="s">
        <v>15</v>
      </c>
      <c r="I39">
        <v>3.9</v>
      </c>
      <c r="J39">
        <v>8</v>
      </c>
      <c r="K39">
        <v>4</v>
      </c>
      <c r="L39" s="4">
        <v>199.13043478260869</v>
      </c>
      <c r="M39" s="4">
        <v>15.9304347826087</v>
      </c>
      <c r="N39" t="s">
        <v>93</v>
      </c>
    </row>
    <row r="40" spans="1:14">
      <c r="A40">
        <v>39</v>
      </c>
      <c r="B40">
        <v>47</v>
      </c>
      <c r="C40" t="s">
        <v>11</v>
      </c>
      <c r="D40" t="s">
        <v>41</v>
      </c>
      <c r="E40" t="s">
        <v>42</v>
      </c>
      <c r="F40">
        <v>129.22</v>
      </c>
      <c r="G40" t="s">
        <v>24</v>
      </c>
      <c r="H40" t="s">
        <v>15</v>
      </c>
      <c r="I40">
        <v>3.7</v>
      </c>
      <c r="J40">
        <v>14</v>
      </c>
      <c r="K40">
        <v>7</v>
      </c>
      <c r="L40" s="4">
        <v>150.25581395348837</v>
      </c>
      <c r="M40" s="4">
        <v>21.035813953488372</v>
      </c>
      <c r="N40" t="s">
        <v>93</v>
      </c>
    </row>
    <row r="41" spans="1:14">
      <c r="A41">
        <v>40</v>
      </c>
      <c r="B41">
        <v>66</v>
      </c>
      <c r="C41" t="s">
        <v>16</v>
      </c>
      <c r="D41" t="s">
        <v>20</v>
      </c>
      <c r="E41" t="s">
        <v>36</v>
      </c>
      <c r="F41">
        <v>219.86</v>
      </c>
      <c r="G41" t="s">
        <v>19</v>
      </c>
      <c r="H41" t="s">
        <v>15</v>
      </c>
      <c r="I41">
        <v>4</v>
      </c>
      <c r="J41">
        <v>2</v>
      </c>
      <c r="K41">
        <v>1</v>
      </c>
      <c r="L41" s="4">
        <v>224.34693877551021</v>
      </c>
      <c r="M41" s="4">
        <v>4.4869387755101968</v>
      </c>
      <c r="N41" t="s">
        <v>95</v>
      </c>
    </row>
    <row r="42" spans="1:14">
      <c r="A42">
        <v>41</v>
      </c>
      <c r="B42">
        <v>20</v>
      </c>
      <c r="C42" t="s">
        <v>11</v>
      </c>
      <c r="D42" t="s">
        <v>29</v>
      </c>
      <c r="E42" t="s">
        <v>30</v>
      </c>
      <c r="F42">
        <v>97.24</v>
      </c>
      <c r="G42" t="s">
        <v>19</v>
      </c>
      <c r="H42" t="s">
        <v>15</v>
      </c>
      <c r="I42">
        <v>4.0999999999999996</v>
      </c>
      <c r="J42">
        <v>19</v>
      </c>
      <c r="K42">
        <v>7</v>
      </c>
      <c r="L42" s="4">
        <v>120.04938271604937</v>
      </c>
      <c r="M42" s="4">
        <v>22.80938271604937</v>
      </c>
      <c r="N42" t="s">
        <v>100</v>
      </c>
    </row>
    <row r="43" spans="1:14">
      <c r="A43">
        <v>42</v>
      </c>
      <c r="B43">
        <v>22</v>
      </c>
      <c r="C43" t="s">
        <v>16</v>
      </c>
      <c r="D43" t="s">
        <v>27</v>
      </c>
      <c r="E43" t="s">
        <v>49</v>
      </c>
      <c r="F43">
        <v>2392.6999999999998</v>
      </c>
      <c r="G43" t="s">
        <v>24</v>
      </c>
      <c r="H43" t="s">
        <v>15</v>
      </c>
      <c r="I43">
        <v>5</v>
      </c>
      <c r="J43">
        <v>6</v>
      </c>
      <c r="K43">
        <v>3</v>
      </c>
      <c r="L43" s="4">
        <v>2545.4255319148938</v>
      </c>
      <c r="M43" s="4">
        <v>152.72553191489396</v>
      </c>
      <c r="N43" t="s">
        <v>100</v>
      </c>
    </row>
    <row r="44" spans="1:14">
      <c r="A44">
        <v>43</v>
      </c>
      <c r="B44">
        <v>23</v>
      </c>
      <c r="C44" t="s">
        <v>11</v>
      </c>
      <c r="D44" t="s">
        <v>33</v>
      </c>
      <c r="E44" t="s">
        <v>34</v>
      </c>
      <c r="F44">
        <v>115.21</v>
      </c>
      <c r="G44" t="s">
        <v>31</v>
      </c>
      <c r="H44" t="s">
        <v>15</v>
      </c>
      <c r="I44">
        <v>4.2</v>
      </c>
      <c r="J44">
        <v>19</v>
      </c>
      <c r="K44">
        <v>7</v>
      </c>
      <c r="L44" s="4">
        <v>142.23456790123456</v>
      </c>
      <c r="M44" s="4">
        <v>27.024567901234562</v>
      </c>
      <c r="N44" t="s">
        <v>100</v>
      </c>
    </row>
    <row r="45" spans="1:14">
      <c r="A45">
        <v>44</v>
      </c>
      <c r="B45">
        <v>66</v>
      </c>
      <c r="C45" t="s">
        <v>16</v>
      </c>
      <c r="D45" t="s">
        <v>27</v>
      </c>
      <c r="E45" t="s">
        <v>28</v>
      </c>
      <c r="F45">
        <v>2260.1999999999998</v>
      </c>
      <c r="G45" t="s">
        <v>19</v>
      </c>
      <c r="H45" t="s">
        <v>15</v>
      </c>
      <c r="I45">
        <v>4.5999999999999996</v>
      </c>
      <c r="J45">
        <v>9</v>
      </c>
      <c r="K45">
        <v>2</v>
      </c>
      <c r="L45" s="4">
        <v>2483.7362637362635</v>
      </c>
      <c r="M45" s="4">
        <v>223.53626373626366</v>
      </c>
      <c r="N45" t="s">
        <v>95</v>
      </c>
    </row>
    <row r="46" spans="1:14">
      <c r="A46">
        <v>45</v>
      </c>
      <c r="B46">
        <v>53</v>
      </c>
      <c r="C46" t="s">
        <v>11</v>
      </c>
      <c r="D46" t="s">
        <v>12</v>
      </c>
      <c r="E46" t="s">
        <v>50</v>
      </c>
      <c r="F46">
        <v>164.67</v>
      </c>
      <c r="G46" t="s">
        <v>14</v>
      </c>
      <c r="H46" t="s">
        <v>15</v>
      </c>
      <c r="I46">
        <v>2.6</v>
      </c>
      <c r="J46">
        <v>14</v>
      </c>
      <c r="K46">
        <v>7</v>
      </c>
      <c r="L46" s="4">
        <v>191.47674418604649</v>
      </c>
      <c r="M46" s="4">
        <v>26.806744186046501</v>
      </c>
      <c r="N46" t="s">
        <v>93</v>
      </c>
    </row>
    <row r="47" spans="1:14">
      <c r="A47">
        <v>46</v>
      </c>
      <c r="B47">
        <v>24</v>
      </c>
      <c r="C47" t="s">
        <v>11</v>
      </c>
      <c r="D47" t="s">
        <v>41</v>
      </c>
      <c r="E47" t="s">
        <v>46</v>
      </c>
      <c r="F47">
        <v>65.55</v>
      </c>
      <c r="G47" t="s">
        <v>14</v>
      </c>
      <c r="H47" t="s">
        <v>15</v>
      </c>
      <c r="I47">
        <v>3.7</v>
      </c>
      <c r="J47">
        <v>14</v>
      </c>
      <c r="K47">
        <v>7</v>
      </c>
      <c r="L47" s="4">
        <v>76.220930232558132</v>
      </c>
      <c r="M47" s="4">
        <v>10.670930232558135</v>
      </c>
      <c r="N47" t="s">
        <v>100</v>
      </c>
    </row>
    <row r="48" spans="1:14">
      <c r="A48">
        <v>47</v>
      </c>
      <c r="B48">
        <v>22</v>
      </c>
      <c r="C48" t="s">
        <v>16</v>
      </c>
      <c r="D48" t="s">
        <v>17</v>
      </c>
      <c r="E48" t="s">
        <v>18</v>
      </c>
      <c r="F48">
        <v>62.69</v>
      </c>
      <c r="G48" t="s">
        <v>24</v>
      </c>
      <c r="H48" t="s">
        <v>15</v>
      </c>
      <c r="I48">
        <v>3.6</v>
      </c>
      <c r="J48">
        <v>4</v>
      </c>
      <c r="K48">
        <v>2</v>
      </c>
      <c r="L48" s="4">
        <v>65.302083333333329</v>
      </c>
      <c r="M48" s="4">
        <v>2.6120833333333309</v>
      </c>
      <c r="N48" t="s">
        <v>100</v>
      </c>
    </row>
    <row r="49" spans="1:14">
      <c r="A49">
        <v>48</v>
      </c>
      <c r="B49">
        <v>31</v>
      </c>
      <c r="C49" t="s">
        <v>11</v>
      </c>
      <c r="D49" t="s">
        <v>29</v>
      </c>
      <c r="E49" t="s">
        <v>51</v>
      </c>
      <c r="F49">
        <v>62.91</v>
      </c>
      <c r="G49" t="s">
        <v>14</v>
      </c>
      <c r="H49" t="s">
        <v>15</v>
      </c>
      <c r="I49">
        <v>3.5</v>
      </c>
      <c r="J49">
        <v>18</v>
      </c>
      <c r="K49">
        <v>4</v>
      </c>
      <c r="L49" s="4">
        <v>76.719512195121936</v>
      </c>
      <c r="M49" s="4">
        <v>13.80951219512194</v>
      </c>
      <c r="N49" t="s">
        <v>91</v>
      </c>
    </row>
    <row r="50" spans="1:14">
      <c r="A50">
        <v>49</v>
      </c>
      <c r="B50">
        <v>36</v>
      </c>
      <c r="C50" t="s">
        <v>11</v>
      </c>
      <c r="D50" t="s">
        <v>33</v>
      </c>
      <c r="E50" t="s">
        <v>40</v>
      </c>
      <c r="F50">
        <v>165.43</v>
      </c>
      <c r="G50" t="s">
        <v>31</v>
      </c>
      <c r="H50" t="s">
        <v>15</v>
      </c>
      <c r="I50">
        <v>4.5999999999999996</v>
      </c>
      <c r="J50">
        <v>24</v>
      </c>
      <c r="K50">
        <v>7</v>
      </c>
      <c r="L50" s="4">
        <v>217.67105263157896</v>
      </c>
      <c r="M50" s="4">
        <v>52.241052631578953</v>
      </c>
      <c r="N50" t="s">
        <v>92</v>
      </c>
    </row>
    <row r="51" spans="1:14">
      <c r="A51">
        <v>50</v>
      </c>
      <c r="B51">
        <v>42</v>
      </c>
      <c r="C51" t="s">
        <v>11</v>
      </c>
      <c r="D51" t="s">
        <v>33</v>
      </c>
      <c r="E51" t="s">
        <v>40</v>
      </c>
      <c r="F51">
        <v>222.12</v>
      </c>
      <c r="G51" t="s">
        <v>24</v>
      </c>
      <c r="H51" t="s">
        <v>15</v>
      </c>
      <c r="I51">
        <v>3.2</v>
      </c>
      <c r="J51">
        <v>18</v>
      </c>
      <c r="K51">
        <v>4</v>
      </c>
      <c r="L51" s="4">
        <v>270.8780487804878</v>
      </c>
      <c r="M51" s="4">
        <v>48.758048780487798</v>
      </c>
      <c r="N51" t="s">
        <v>92</v>
      </c>
    </row>
    <row r="52" spans="1:14">
      <c r="A52">
        <v>51</v>
      </c>
      <c r="B52">
        <v>36</v>
      </c>
      <c r="C52" t="s">
        <v>16</v>
      </c>
      <c r="D52" t="s">
        <v>22</v>
      </c>
      <c r="E52" t="s">
        <v>43</v>
      </c>
      <c r="F52">
        <v>270.44</v>
      </c>
      <c r="G52" t="s">
        <v>24</v>
      </c>
      <c r="H52" t="s">
        <v>15</v>
      </c>
      <c r="I52">
        <v>2.2999999999999998</v>
      </c>
      <c r="J52">
        <v>12</v>
      </c>
      <c r="K52">
        <v>6</v>
      </c>
      <c r="L52" s="4">
        <v>307.31818181818181</v>
      </c>
      <c r="M52" s="4">
        <v>36.878181818181815</v>
      </c>
      <c r="N52" t="s">
        <v>92</v>
      </c>
    </row>
    <row r="53" spans="1:14">
      <c r="A53">
        <v>52</v>
      </c>
      <c r="B53">
        <v>25</v>
      </c>
      <c r="C53" t="s">
        <v>11</v>
      </c>
      <c r="D53" t="s">
        <v>41</v>
      </c>
      <c r="E53" t="s">
        <v>44</v>
      </c>
      <c r="F53">
        <v>90.54</v>
      </c>
      <c r="G53" t="s">
        <v>14</v>
      </c>
      <c r="H53" t="s">
        <v>37</v>
      </c>
      <c r="I53">
        <v>4.5999999999999996</v>
      </c>
      <c r="J53">
        <v>18</v>
      </c>
      <c r="K53">
        <v>4</v>
      </c>
      <c r="L53" s="4">
        <v>110.41463414634146</v>
      </c>
      <c r="M53" s="4">
        <v>19.87463414634145</v>
      </c>
      <c r="N53" t="s">
        <v>91</v>
      </c>
    </row>
    <row r="54" spans="1:14">
      <c r="A54">
        <v>53</v>
      </c>
      <c r="B54">
        <v>49</v>
      </c>
      <c r="C54" t="s">
        <v>16</v>
      </c>
      <c r="D54" t="s">
        <v>22</v>
      </c>
      <c r="E54" t="s">
        <v>52</v>
      </c>
      <c r="F54">
        <v>45.03</v>
      </c>
      <c r="G54" t="s">
        <v>31</v>
      </c>
      <c r="H54" t="s">
        <v>37</v>
      </c>
      <c r="I54">
        <v>3.9</v>
      </c>
      <c r="J54">
        <v>4</v>
      </c>
      <c r="K54">
        <v>2</v>
      </c>
      <c r="L54" s="4">
        <v>46.90625</v>
      </c>
      <c r="M54" s="4">
        <v>1.8762499999999989</v>
      </c>
      <c r="N54" t="s">
        <v>93</v>
      </c>
    </row>
    <row r="55" spans="1:14">
      <c r="A55">
        <v>54</v>
      </c>
      <c r="B55">
        <v>25</v>
      </c>
      <c r="C55" t="s">
        <v>11</v>
      </c>
      <c r="D55" t="s">
        <v>33</v>
      </c>
      <c r="E55" t="s">
        <v>34</v>
      </c>
      <c r="F55">
        <v>180.42</v>
      </c>
      <c r="G55" t="s">
        <v>14</v>
      </c>
      <c r="H55" t="s">
        <v>15</v>
      </c>
      <c r="I55">
        <v>3.9</v>
      </c>
      <c r="J55">
        <v>22</v>
      </c>
      <c r="K55">
        <v>6</v>
      </c>
      <c r="L55" s="4">
        <v>231.30769230769229</v>
      </c>
      <c r="M55" s="4">
        <v>50.887692307692305</v>
      </c>
      <c r="N55" t="s">
        <v>91</v>
      </c>
    </row>
    <row r="56" spans="1:14">
      <c r="A56">
        <v>55</v>
      </c>
      <c r="B56">
        <v>52</v>
      </c>
      <c r="C56" t="s">
        <v>11</v>
      </c>
      <c r="D56" t="s">
        <v>12</v>
      </c>
      <c r="E56" t="s">
        <v>13</v>
      </c>
      <c r="F56">
        <v>117.7</v>
      </c>
      <c r="G56" t="s">
        <v>24</v>
      </c>
      <c r="H56" t="s">
        <v>15</v>
      </c>
      <c r="I56">
        <v>3.1</v>
      </c>
      <c r="J56">
        <v>8</v>
      </c>
      <c r="K56">
        <v>4</v>
      </c>
      <c r="L56" s="4">
        <v>127.93478260869566</v>
      </c>
      <c r="M56" s="4">
        <v>10.234782608695653</v>
      </c>
      <c r="N56" t="s">
        <v>93</v>
      </c>
    </row>
    <row r="57" spans="1:14">
      <c r="A57">
        <v>56</v>
      </c>
      <c r="B57">
        <v>42</v>
      </c>
      <c r="C57" t="s">
        <v>11</v>
      </c>
      <c r="D57" t="s">
        <v>29</v>
      </c>
      <c r="E57" t="s">
        <v>51</v>
      </c>
      <c r="F57">
        <v>31.42</v>
      </c>
      <c r="G57" t="s">
        <v>31</v>
      </c>
      <c r="H57" t="s">
        <v>15</v>
      </c>
      <c r="I57">
        <v>2</v>
      </c>
      <c r="J57">
        <v>2</v>
      </c>
      <c r="K57">
        <v>1</v>
      </c>
      <c r="L57" s="4">
        <v>32.061224489795919</v>
      </c>
      <c r="M57" s="4">
        <v>0.64122448979591695</v>
      </c>
      <c r="N57" t="s">
        <v>92</v>
      </c>
    </row>
    <row r="58" spans="1:14">
      <c r="A58">
        <v>57</v>
      </c>
      <c r="B58">
        <v>43</v>
      </c>
      <c r="C58" t="s">
        <v>11</v>
      </c>
      <c r="D58" t="s">
        <v>41</v>
      </c>
      <c r="E58" t="s">
        <v>44</v>
      </c>
      <c r="F58">
        <v>188.02</v>
      </c>
      <c r="G58" t="s">
        <v>14</v>
      </c>
      <c r="H58" t="s">
        <v>15</v>
      </c>
      <c r="I58">
        <v>4.2</v>
      </c>
      <c r="J58">
        <v>17</v>
      </c>
      <c r="K58">
        <v>6</v>
      </c>
      <c r="L58" s="4">
        <v>226.53012048192772</v>
      </c>
      <c r="M58" s="4">
        <v>38.510120481927714</v>
      </c>
      <c r="N58" t="s">
        <v>92</v>
      </c>
    </row>
    <row r="59" spans="1:14">
      <c r="A59">
        <v>58</v>
      </c>
      <c r="B59">
        <v>49</v>
      </c>
      <c r="C59" t="s">
        <v>16</v>
      </c>
      <c r="D59" t="s">
        <v>25</v>
      </c>
      <c r="E59" t="s">
        <v>26</v>
      </c>
      <c r="F59">
        <v>54.89</v>
      </c>
      <c r="G59" t="s">
        <v>31</v>
      </c>
      <c r="H59" t="s">
        <v>15</v>
      </c>
      <c r="I59">
        <v>4.4000000000000004</v>
      </c>
      <c r="J59">
        <v>19</v>
      </c>
      <c r="K59">
        <v>7</v>
      </c>
      <c r="L59" s="4">
        <v>67.76543209876543</v>
      </c>
      <c r="M59" s="4">
        <v>12.87543209876543</v>
      </c>
      <c r="N59" t="s">
        <v>93</v>
      </c>
    </row>
    <row r="60" spans="1:14">
      <c r="A60">
        <v>59</v>
      </c>
      <c r="B60">
        <v>34</v>
      </c>
      <c r="C60" t="s">
        <v>16</v>
      </c>
      <c r="D60" t="s">
        <v>27</v>
      </c>
      <c r="E60" t="s">
        <v>53</v>
      </c>
      <c r="F60">
        <v>1459.73</v>
      </c>
      <c r="G60" t="s">
        <v>19</v>
      </c>
      <c r="H60" t="s">
        <v>15</v>
      </c>
      <c r="I60">
        <v>4</v>
      </c>
      <c r="J60">
        <v>24</v>
      </c>
      <c r="K60">
        <v>7</v>
      </c>
      <c r="L60" s="4">
        <v>1920.6973684210527</v>
      </c>
      <c r="M60" s="4">
        <v>460.9673684210527</v>
      </c>
      <c r="N60" t="s">
        <v>91</v>
      </c>
    </row>
    <row r="61" spans="1:14">
      <c r="A61">
        <v>60</v>
      </c>
      <c r="B61">
        <v>58</v>
      </c>
      <c r="C61" t="s">
        <v>16</v>
      </c>
      <c r="D61" t="s">
        <v>17</v>
      </c>
      <c r="E61" t="s">
        <v>18</v>
      </c>
      <c r="F61">
        <v>82.99</v>
      </c>
      <c r="G61" t="s">
        <v>19</v>
      </c>
      <c r="H61" t="s">
        <v>37</v>
      </c>
      <c r="I61">
        <v>4.4000000000000004</v>
      </c>
      <c r="J61">
        <v>9</v>
      </c>
      <c r="K61">
        <v>2</v>
      </c>
      <c r="L61" s="4">
        <v>91.19780219780219</v>
      </c>
      <c r="M61" s="4">
        <v>8.2078021978021951</v>
      </c>
      <c r="N61" t="s">
        <v>94</v>
      </c>
    </row>
    <row r="62" spans="1:14">
      <c r="A62">
        <v>61</v>
      </c>
      <c r="B62">
        <v>24</v>
      </c>
      <c r="C62" t="s">
        <v>16</v>
      </c>
      <c r="D62" t="s">
        <v>17</v>
      </c>
      <c r="E62" t="s">
        <v>42</v>
      </c>
      <c r="F62">
        <v>121.2</v>
      </c>
      <c r="G62" t="s">
        <v>31</v>
      </c>
      <c r="H62" t="s">
        <v>15</v>
      </c>
      <c r="I62">
        <v>4.3</v>
      </c>
      <c r="J62">
        <v>12</v>
      </c>
      <c r="K62">
        <v>6</v>
      </c>
      <c r="L62" s="4">
        <v>137.72727272727272</v>
      </c>
      <c r="M62" s="4">
        <v>16.527272727272717</v>
      </c>
      <c r="N62" t="s">
        <v>100</v>
      </c>
    </row>
    <row r="63" spans="1:14">
      <c r="A63">
        <v>62</v>
      </c>
      <c r="B63">
        <v>55</v>
      </c>
      <c r="C63" t="s">
        <v>11</v>
      </c>
      <c r="D63" t="s">
        <v>12</v>
      </c>
      <c r="E63" t="s">
        <v>13</v>
      </c>
      <c r="F63">
        <v>152.29</v>
      </c>
      <c r="G63" t="s">
        <v>24</v>
      </c>
      <c r="H63" t="s">
        <v>15</v>
      </c>
      <c r="I63">
        <v>4.7</v>
      </c>
      <c r="J63">
        <v>15</v>
      </c>
      <c r="K63">
        <v>5</v>
      </c>
      <c r="L63" s="4">
        <v>179.16470588235293</v>
      </c>
      <c r="M63" s="4">
        <v>26.874705882352941</v>
      </c>
      <c r="N63" t="s">
        <v>94</v>
      </c>
    </row>
    <row r="64" spans="1:14">
      <c r="A64">
        <v>63</v>
      </c>
      <c r="B64">
        <v>59</v>
      </c>
      <c r="C64" t="s">
        <v>11</v>
      </c>
      <c r="D64" t="s">
        <v>25</v>
      </c>
      <c r="E64" t="s">
        <v>26</v>
      </c>
      <c r="F64">
        <v>59.46</v>
      </c>
      <c r="G64" t="s">
        <v>24</v>
      </c>
      <c r="H64" t="s">
        <v>37</v>
      </c>
      <c r="I64">
        <v>4</v>
      </c>
      <c r="J64">
        <v>18</v>
      </c>
      <c r="K64">
        <v>4</v>
      </c>
      <c r="L64" s="4">
        <v>72.512195121951208</v>
      </c>
      <c r="M64" s="4">
        <v>13.052195121951208</v>
      </c>
      <c r="N64" t="s">
        <v>94</v>
      </c>
    </row>
    <row r="65" spans="1:14">
      <c r="A65">
        <v>64</v>
      </c>
      <c r="B65">
        <v>70</v>
      </c>
      <c r="C65" t="s">
        <v>16</v>
      </c>
      <c r="D65" t="s">
        <v>25</v>
      </c>
      <c r="E65" t="s">
        <v>54</v>
      </c>
      <c r="F65">
        <v>73.3</v>
      </c>
      <c r="G65" t="s">
        <v>24</v>
      </c>
      <c r="H65" t="s">
        <v>15</v>
      </c>
      <c r="I65">
        <v>2.9</v>
      </c>
      <c r="J65">
        <v>9</v>
      </c>
      <c r="K65">
        <v>2</v>
      </c>
      <c r="L65" s="4">
        <v>80.54945054945054</v>
      </c>
      <c r="M65" s="4">
        <v>7.2494505494505432</v>
      </c>
      <c r="N65" t="s">
        <v>95</v>
      </c>
    </row>
    <row r="66" spans="1:14">
      <c r="A66">
        <v>65</v>
      </c>
      <c r="B66">
        <v>20</v>
      </c>
      <c r="C66" t="s">
        <v>16</v>
      </c>
      <c r="D66" t="s">
        <v>33</v>
      </c>
      <c r="E66" t="s">
        <v>38</v>
      </c>
      <c r="F66">
        <v>123.79</v>
      </c>
      <c r="G66" t="s">
        <v>19</v>
      </c>
      <c r="H66" t="s">
        <v>15</v>
      </c>
      <c r="I66">
        <v>3.5</v>
      </c>
      <c r="J66">
        <v>6</v>
      </c>
      <c r="K66">
        <v>3</v>
      </c>
      <c r="L66" s="4">
        <v>131.69148936170214</v>
      </c>
      <c r="M66" s="4">
        <v>7.9014893617021329</v>
      </c>
      <c r="N66" t="s">
        <v>100</v>
      </c>
    </row>
    <row r="67" spans="1:14">
      <c r="A67">
        <v>66</v>
      </c>
      <c r="B67">
        <v>30</v>
      </c>
      <c r="C67" t="s">
        <v>11</v>
      </c>
      <c r="D67" t="s">
        <v>41</v>
      </c>
      <c r="E67" t="s">
        <v>44</v>
      </c>
      <c r="F67">
        <v>155.38</v>
      </c>
      <c r="G67" t="s">
        <v>31</v>
      </c>
      <c r="H67" t="s">
        <v>15</v>
      </c>
      <c r="I67">
        <v>3</v>
      </c>
      <c r="J67">
        <v>6</v>
      </c>
      <c r="K67">
        <v>3</v>
      </c>
      <c r="L67" s="4">
        <v>165.29787234042553</v>
      </c>
      <c r="M67" s="4">
        <v>9.9178723404255322</v>
      </c>
      <c r="N67" t="s">
        <v>91</v>
      </c>
    </row>
    <row r="68" spans="1:14">
      <c r="A68">
        <v>67</v>
      </c>
      <c r="B68">
        <v>25</v>
      </c>
      <c r="C68" t="s">
        <v>16</v>
      </c>
      <c r="D68" t="s">
        <v>27</v>
      </c>
      <c r="E68" t="s">
        <v>49</v>
      </c>
      <c r="F68">
        <v>1951.47</v>
      </c>
      <c r="G68" t="s">
        <v>14</v>
      </c>
      <c r="H68" t="s">
        <v>15</v>
      </c>
      <c r="I68">
        <v>3.8</v>
      </c>
      <c r="J68">
        <v>14</v>
      </c>
      <c r="K68">
        <v>2</v>
      </c>
      <c r="L68" s="4">
        <v>2269.1511627906975</v>
      </c>
      <c r="M68" s="4">
        <v>317.6811627906975</v>
      </c>
      <c r="N68" t="s">
        <v>91</v>
      </c>
    </row>
    <row r="69" spans="1:14">
      <c r="A69">
        <v>68</v>
      </c>
      <c r="B69">
        <v>41</v>
      </c>
      <c r="C69" t="s">
        <v>11</v>
      </c>
      <c r="D69" t="s">
        <v>33</v>
      </c>
      <c r="E69" t="s">
        <v>40</v>
      </c>
      <c r="F69">
        <v>102.92</v>
      </c>
      <c r="G69" t="s">
        <v>19</v>
      </c>
      <c r="H69" t="s">
        <v>15</v>
      </c>
      <c r="I69">
        <v>4</v>
      </c>
      <c r="J69">
        <v>12</v>
      </c>
      <c r="K69">
        <v>6</v>
      </c>
      <c r="L69" s="4">
        <v>116.95454545454545</v>
      </c>
      <c r="M69" s="4">
        <v>14.034545454545452</v>
      </c>
      <c r="N69" t="s">
        <v>92</v>
      </c>
    </row>
    <row r="70" spans="1:14">
      <c r="A70">
        <v>69</v>
      </c>
      <c r="B70">
        <v>35</v>
      </c>
      <c r="C70" t="s">
        <v>11</v>
      </c>
      <c r="D70" t="s">
        <v>29</v>
      </c>
      <c r="E70" t="s">
        <v>51</v>
      </c>
      <c r="F70">
        <v>112.83</v>
      </c>
      <c r="G70" t="s">
        <v>19</v>
      </c>
      <c r="H70" t="s">
        <v>15</v>
      </c>
      <c r="I70">
        <v>3.8</v>
      </c>
      <c r="J70">
        <v>10</v>
      </c>
      <c r="K70">
        <v>5</v>
      </c>
      <c r="L70" s="4">
        <v>125.36666666666666</v>
      </c>
      <c r="M70" s="4">
        <v>12.536666666666662</v>
      </c>
      <c r="N70" t="s">
        <v>92</v>
      </c>
    </row>
    <row r="71" spans="1:14">
      <c r="A71">
        <v>70</v>
      </c>
      <c r="B71">
        <v>29</v>
      </c>
      <c r="C71" t="s">
        <v>16</v>
      </c>
      <c r="D71" t="s">
        <v>20</v>
      </c>
      <c r="E71" t="s">
        <v>21</v>
      </c>
      <c r="F71">
        <v>30.71</v>
      </c>
      <c r="G71" t="s">
        <v>14</v>
      </c>
      <c r="H71" t="s">
        <v>15</v>
      </c>
      <c r="I71">
        <v>3.7</v>
      </c>
      <c r="J71">
        <v>16</v>
      </c>
      <c r="K71">
        <v>3</v>
      </c>
      <c r="L71" s="4">
        <v>36.55952380952381</v>
      </c>
      <c r="M71" s="4">
        <v>5.8495238095238093</v>
      </c>
      <c r="N71" t="s">
        <v>91</v>
      </c>
    </row>
    <row r="72" spans="1:14">
      <c r="A72">
        <v>71</v>
      </c>
      <c r="B72">
        <v>42</v>
      </c>
      <c r="C72" t="s">
        <v>16</v>
      </c>
      <c r="D72" t="s">
        <v>20</v>
      </c>
      <c r="E72" t="s">
        <v>36</v>
      </c>
      <c r="F72">
        <v>101.34</v>
      </c>
      <c r="G72" t="s">
        <v>19</v>
      </c>
      <c r="H72" t="s">
        <v>15</v>
      </c>
      <c r="I72">
        <v>3</v>
      </c>
      <c r="J72">
        <v>32</v>
      </c>
      <c r="K72">
        <v>11</v>
      </c>
      <c r="L72" s="4">
        <v>149.02941176470591</v>
      </c>
      <c r="M72" s="4">
        <v>47.689411764705909</v>
      </c>
      <c r="N72" t="s">
        <v>92</v>
      </c>
    </row>
    <row r="73" spans="1:14">
      <c r="A73">
        <v>72</v>
      </c>
      <c r="B73">
        <v>20</v>
      </c>
      <c r="C73" t="s">
        <v>16</v>
      </c>
      <c r="D73" t="s">
        <v>33</v>
      </c>
      <c r="E73" t="s">
        <v>34</v>
      </c>
      <c r="F73">
        <v>213.27</v>
      </c>
      <c r="G73" t="s">
        <v>24</v>
      </c>
      <c r="H73" t="s">
        <v>15</v>
      </c>
      <c r="I73">
        <v>5</v>
      </c>
      <c r="J73">
        <v>11</v>
      </c>
      <c r="K73">
        <v>3</v>
      </c>
      <c r="L73" s="4">
        <v>239.62921348314609</v>
      </c>
      <c r="M73" s="4">
        <v>26.359213483146078</v>
      </c>
      <c r="N73" t="s">
        <v>100</v>
      </c>
    </row>
    <row r="74" spans="1:14">
      <c r="A74">
        <v>73</v>
      </c>
      <c r="B74">
        <v>53</v>
      </c>
      <c r="C74" t="s">
        <v>16</v>
      </c>
      <c r="D74" t="s">
        <v>20</v>
      </c>
      <c r="E74" t="s">
        <v>36</v>
      </c>
      <c r="F74">
        <v>196.81</v>
      </c>
      <c r="G74" t="s">
        <v>24</v>
      </c>
      <c r="H74" t="s">
        <v>15</v>
      </c>
      <c r="I74">
        <v>4.4000000000000004</v>
      </c>
      <c r="J74">
        <v>17</v>
      </c>
      <c r="K74">
        <v>6</v>
      </c>
      <c r="L74" s="4">
        <v>237.12048192771087</v>
      </c>
      <c r="M74" s="4">
        <v>40.310481927710867</v>
      </c>
      <c r="N74" t="s">
        <v>93</v>
      </c>
    </row>
    <row r="75" spans="1:14">
      <c r="A75">
        <v>74</v>
      </c>
      <c r="B75">
        <v>58</v>
      </c>
      <c r="C75" t="s">
        <v>16</v>
      </c>
      <c r="D75" t="s">
        <v>20</v>
      </c>
      <c r="E75" t="s">
        <v>36</v>
      </c>
      <c r="F75">
        <v>246.49</v>
      </c>
      <c r="G75" t="s">
        <v>14</v>
      </c>
      <c r="H75" t="s">
        <v>15</v>
      </c>
      <c r="I75">
        <v>4.5</v>
      </c>
      <c r="J75">
        <v>11</v>
      </c>
      <c r="K75">
        <v>3</v>
      </c>
      <c r="L75" s="4">
        <v>276.95505617977528</v>
      </c>
      <c r="M75" s="4">
        <v>30.465056179775274</v>
      </c>
      <c r="N75" t="s">
        <v>94</v>
      </c>
    </row>
    <row r="76" spans="1:14">
      <c r="A76">
        <v>75</v>
      </c>
      <c r="B76">
        <v>40</v>
      </c>
      <c r="C76" t="s">
        <v>11</v>
      </c>
      <c r="D76" t="s">
        <v>41</v>
      </c>
      <c r="E76" t="s">
        <v>45</v>
      </c>
      <c r="F76">
        <v>124.21</v>
      </c>
      <c r="G76" t="s">
        <v>31</v>
      </c>
      <c r="H76" t="s">
        <v>15</v>
      </c>
      <c r="I76">
        <v>3</v>
      </c>
      <c r="J76">
        <v>6</v>
      </c>
      <c r="K76">
        <v>3</v>
      </c>
      <c r="L76" s="4">
        <v>132.13829787234042</v>
      </c>
      <c r="M76" s="4">
        <v>7.9282978723404227</v>
      </c>
      <c r="N76" t="s">
        <v>92</v>
      </c>
    </row>
    <row r="77" spans="1:14">
      <c r="A77">
        <v>76</v>
      </c>
      <c r="B77">
        <v>59</v>
      </c>
      <c r="C77" t="s">
        <v>11</v>
      </c>
      <c r="D77" t="s">
        <v>29</v>
      </c>
      <c r="E77" t="s">
        <v>55</v>
      </c>
      <c r="F77">
        <v>42.8</v>
      </c>
      <c r="G77" t="s">
        <v>24</v>
      </c>
      <c r="H77" t="s">
        <v>15</v>
      </c>
      <c r="I77">
        <v>3.1</v>
      </c>
      <c r="J77">
        <v>13</v>
      </c>
      <c r="K77">
        <v>4</v>
      </c>
      <c r="L77" s="4">
        <v>49.195402298850574</v>
      </c>
      <c r="M77" s="4">
        <v>6.395402298850577</v>
      </c>
      <c r="N77" t="s">
        <v>94</v>
      </c>
    </row>
    <row r="78" spans="1:14">
      <c r="A78">
        <v>77</v>
      </c>
      <c r="B78">
        <v>70</v>
      </c>
      <c r="C78" t="s">
        <v>16</v>
      </c>
      <c r="D78" t="s">
        <v>17</v>
      </c>
      <c r="E78" t="s">
        <v>18</v>
      </c>
      <c r="F78">
        <v>96.18</v>
      </c>
      <c r="G78" t="s">
        <v>14</v>
      </c>
      <c r="H78" t="s">
        <v>15</v>
      </c>
      <c r="I78">
        <v>2.7</v>
      </c>
      <c r="J78">
        <v>20</v>
      </c>
      <c r="K78">
        <v>5</v>
      </c>
      <c r="L78" s="4">
        <v>120.22500000000001</v>
      </c>
      <c r="M78" s="4">
        <v>24.045000000000002</v>
      </c>
      <c r="N78" t="s">
        <v>95</v>
      </c>
    </row>
    <row r="79" spans="1:14">
      <c r="A79">
        <v>78</v>
      </c>
      <c r="B79">
        <v>38</v>
      </c>
      <c r="C79" t="s">
        <v>16</v>
      </c>
      <c r="D79" t="s">
        <v>27</v>
      </c>
      <c r="E79" t="s">
        <v>28</v>
      </c>
      <c r="F79">
        <v>2888.09</v>
      </c>
      <c r="G79" t="s">
        <v>24</v>
      </c>
      <c r="H79" t="s">
        <v>15</v>
      </c>
      <c r="I79">
        <v>3.6</v>
      </c>
      <c r="J79">
        <v>8</v>
      </c>
      <c r="K79">
        <v>4</v>
      </c>
      <c r="L79" s="4">
        <v>3139.228260869565</v>
      </c>
      <c r="M79" s="4">
        <v>251.13826086956487</v>
      </c>
      <c r="N79" t="s">
        <v>92</v>
      </c>
    </row>
    <row r="80" spans="1:14">
      <c r="A80">
        <v>79</v>
      </c>
      <c r="B80">
        <v>62</v>
      </c>
      <c r="C80" t="s">
        <v>11</v>
      </c>
      <c r="D80" t="s">
        <v>12</v>
      </c>
      <c r="E80" t="s">
        <v>50</v>
      </c>
      <c r="F80">
        <v>151.06</v>
      </c>
      <c r="G80" t="s">
        <v>14</v>
      </c>
      <c r="H80" t="s">
        <v>15</v>
      </c>
      <c r="I80">
        <v>4.0999999999999996</v>
      </c>
      <c r="J80">
        <v>20</v>
      </c>
      <c r="K80">
        <v>5</v>
      </c>
      <c r="L80" s="4">
        <v>188.82499999999999</v>
      </c>
      <c r="M80" s="4">
        <v>37.764999999999986</v>
      </c>
      <c r="N80" t="s">
        <v>94</v>
      </c>
    </row>
    <row r="81" spans="1:14">
      <c r="A81">
        <v>80</v>
      </c>
      <c r="B81">
        <v>35</v>
      </c>
      <c r="C81" t="s">
        <v>11</v>
      </c>
      <c r="D81" t="s">
        <v>12</v>
      </c>
      <c r="E81" t="s">
        <v>13</v>
      </c>
      <c r="F81">
        <v>141.44999999999999</v>
      </c>
      <c r="G81" t="s">
        <v>14</v>
      </c>
      <c r="H81" t="s">
        <v>15</v>
      </c>
      <c r="I81">
        <v>5</v>
      </c>
      <c r="J81">
        <v>19</v>
      </c>
      <c r="K81">
        <v>7</v>
      </c>
      <c r="L81" s="4">
        <v>174.62962962962959</v>
      </c>
      <c r="M81" s="4">
        <v>33.179629629629602</v>
      </c>
      <c r="N81" t="s">
        <v>92</v>
      </c>
    </row>
    <row r="82" spans="1:14">
      <c r="A82">
        <v>81</v>
      </c>
      <c r="B82">
        <v>26</v>
      </c>
      <c r="C82" t="s">
        <v>16</v>
      </c>
      <c r="D82" t="s">
        <v>25</v>
      </c>
      <c r="E82" t="s">
        <v>54</v>
      </c>
      <c r="F82">
        <v>73.66</v>
      </c>
      <c r="G82" t="s">
        <v>19</v>
      </c>
      <c r="H82" t="s">
        <v>15</v>
      </c>
      <c r="I82">
        <v>4.7</v>
      </c>
      <c r="J82">
        <v>11</v>
      </c>
      <c r="K82">
        <v>3</v>
      </c>
      <c r="L82" s="4">
        <v>82.764044943820224</v>
      </c>
      <c r="M82" s="4">
        <v>9.1040449438202273</v>
      </c>
      <c r="N82" t="s">
        <v>91</v>
      </c>
    </row>
    <row r="83" spans="1:14">
      <c r="A83">
        <v>82</v>
      </c>
      <c r="B83">
        <v>58</v>
      </c>
      <c r="C83" t="s">
        <v>16</v>
      </c>
      <c r="D83" t="s">
        <v>17</v>
      </c>
      <c r="E83" t="s">
        <v>48</v>
      </c>
      <c r="F83">
        <v>36.29</v>
      </c>
      <c r="G83" t="s">
        <v>14</v>
      </c>
      <c r="H83" t="s">
        <v>15</v>
      </c>
      <c r="I83">
        <v>3.4</v>
      </c>
      <c r="J83">
        <v>6</v>
      </c>
      <c r="K83">
        <v>3</v>
      </c>
      <c r="L83" s="4">
        <v>38.606382978723403</v>
      </c>
      <c r="M83" s="4">
        <v>2.3163829787234036</v>
      </c>
      <c r="N83" t="s">
        <v>94</v>
      </c>
    </row>
    <row r="84" spans="1:14">
      <c r="A84">
        <v>83</v>
      </c>
      <c r="B84">
        <v>45</v>
      </c>
      <c r="C84" t="s">
        <v>16</v>
      </c>
      <c r="D84" t="s">
        <v>33</v>
      </c>
      <c r="E84" t="s">
        <v>38</v>
      </c>
      <c r="F84">
        <v>208.84</v>
      </c>
      <c r="G84" t="s">
        <v>31</v>
      </c>
      <c r="H84" t="s">
        <v>15</v>
      </c>
      <c r="I84">
        <v>4.4000000000000004</v>
      </c>
      <c r="J84">
        <v>18</v>
      </c>
      <c r="K84">
        <v>9</v>
      </c>
      <c r="L84" s="4">
        <v>254.68292682926827</v>
      </c>
      <c r="M84" s="4">
        <v>45.842926829268265</v>
      </c>
      <c r="N84" t="s">
        <v>93</v>
      </c>
    </row>
    <row r="85" spans="1:14">
      <c r="A85">
        <v>84</v>
      </c>
      <c r="B85">
        <v>58</v>
      </c>
      <c r="C85" t="s">
        <v>11</v>
      </c>
      <c r="D85" t="s">
        <v>41</v>
      </c>
      <c r="E85" t="s">
        <v>46</v>
      </c>
      <c r="F85">
        <v>98.33</v>
      </c>
      <c r="G85" t="s">
        <v>19</v>
      </c>
      <c r="H85" t="s">
        <v>15</v>
      </c>
      <c r="I85">
        <v>4.0999999999999996</v>
      </c>
      <c r="J85">
        <v>26</v>
      </c>
      <c r="K85">
        <v>8</v>
      </c>
      <c r="L85" s="4">
        <v>132.87837837837839</v>
      </c>
      <c r="M85" s="4">
        <v>34.548378378378388</v>
      </c>
      <c r="N85" t="s">
        <v>94</v>
      </c>
    </row>
    <row r="86" spans="1:14">
      <c r="A86">
        <v>85</v>
      </c>
      <c r="B86">
        <v>49</v>
      </c>
      <c r="C86" t="s">
        <v>11</v>
      </c>
      <c r="D86" t="s">
        <v>41</v>
      </c>
      <c r="E86" t="s">
        <v>46</v>
      </c>
      <c r="F86">
        <v>37.159999999999997</v>
      </c>
      <c r="G86" t="s">
        <v>31</v>
      </c>
      <c r="H86" t="s">
        <v>37</v>
      </c>
      <c r="I86">
        <v>3.7</v>
      </c>
      <c r="J86">
        <v>16</v>
      </c>
      <c r="K86">
        <v>3</v>
      </c>
      <c r="L86" s="4">
        <v>44.238095238095234</v>
      </c>
      <c r="M86" s="4">
        <v>7.0780952380952371</v>
      </c>
      <c r="N86" t="s">
        <v>93</v>
      </c>
    </row>
    <row r="87" spans="1:14">
      <c r="A87">
        <v>86</v>
      </c>
      <c r="B87">
        <v>65</v>
      </c>
      <c r="C87" t="s">
        <v>11</v>
      </c>
      <c r="D87" t="s">
        <v>29</v>
      </c>
      <c r="E87" t="s">
        <v>51</v>
      </c>
      <c r="F87">
        <v>41.71</v>
      </c>
      <c r="G87" t="s">
        <v>24</v>
      </c>
      <c r="H87" t="s">
        <v>15</v>
      </c>
      <c r="I87">
        <v>3.3</v>
      </c>
      <c r="J87">
        <v>19</v>
      </c>
      <c r="K87">
        <v>7</v>
      </c>
      <c r="L87" s="4">
        <v>51.493827160493822</v>
      </c>
      <c r="M87" s="4">
        <v>9.7838271604938214</v>
      </c>
      <c r="N87" t="s">
        <v>95</v>
      </c>
    </row>
    <row r="88" spans="1:14">
      <c r="A88">
        <v>87</v>
      </c>
      <c r="B88">
        <v>22</v>
      </c>
      <c r="C88" t="s">
        <v>11</v>
      </c>
      <c r="D88" t="s">
        <v>29</v>
      </c>
      <c r="E88" t="s">
        <v>51</v>
      </c>
      <c r="F88">
        <v>145.97999999999999</v>
      </c>
      <c r="G88" t="s">
        <v>31</v>
      </c>
      <c r="H88" t="s">
        <v>15</v>
      </c>
      <c r="I88">
        <v>3.5</v>
      </c>
      <c r="J88">
        <v>24</v>
      </c>
      <c r="K88">
        <v>7</v>
      </c>
      <c r="L88" s="4">
        <v>192.07894736842104</v>
      </c>
      <c r="M88" s="4">
        <v>46.098947368421051</v>
      </c>
      <c r="N88" t="s">
        <v>100</v>
      </c>
    </row>
    <row r="89" spans="1:14">
      <c r="A89">
        <v>88</v>
      </c>
      <c r="B89">
        <v>44</v>
      </c>
      <c r="C89" t="s">
        <v>16</v>
      </c>
      <c r="D89" t="s">
        <v>27</v>
      </c>
      <c r="E89" t="s">
        <v>28</v>
      </c>
      <c r="F89">
        <v>1643.58</v>
      </c>
      <c r="G89" t="s">
        <v>14</v>
      </c>
      <c r="H89" t="s">
        <v>15</v>
      </c>
      <c r="I89">
        <v>3.2</v>
      </c>
      <c r="J89">
        <v>11</v>
      </c>
      <c r="K89">
        <v>3</v>
      </c>
      <c r="L89" s="4">
        <v>1846.7191011235955</v>
      </c>
      <c r="M89" s="4">
        <v>203.13910112359554</v>
      </c>
      <c r="N89" t="s">
        <v>92</v>
      </c>
    </row>
    <row r="90" spans="1:14">
      <c r="A90">
        <v>89</v>
      </c>
      <c r="B90">
        <v>61</v>
      </c>
      <c r="C90" t="s">
        <v>16</v>
      </c>
      <c r="D90" t="s">
        <v>27</v>
      </c>
      <c r="E90" t="s">
        <v>49</v>
      </c>
      <c r="F90">
        <v>2338.0300000000002</v>
      </c>
      <c r="G90" t="s">
        <v>19</v>
      </c>
      <c r="H90" t="s">
        <v>15</v>
      </c>
      <c r="I90">
        <v>3.8</v>
      </c>
      <c r="J90">
        <v>14</v>
      </c>
      <c r="K90">
        <v>2</v>
      </c>
      <c r="L90" s="4">
        <v>2718.6395348837214</v>
      </c>
      <c r="M90" s="4">
        <v>380.60953488372115</v>
      </c>
      <c r="N90" t="s">
        <v>94</v>
      </c>
    </row>
    <row r="91" spans="1:14">
      <c r="A91">
        <v>90</v>
      </c>
      <c r="B91">
        <v>56</v>
      </c>
      <c r="C91" t="s">
        <v>11</v>
      </c>
      <c r="D91" t="s">
        <v>25</v>
      </c>
      <c r="E91" t="s">
        <v>47</v>
      </c>
      <c r="F91">
        <v>68.84</v>
      </c>
      <c r="G91" t="s">
        <v>31</v>
      </c>
      <c r="H91" t="s">
        <v>37</v>
      </c>
      <c r="I91">
        <v>5</v>
      </c>
      <c r="J91">
        <v>19</v>
      </c>
      <c r="K91">
        <v>7</v>
      </c>
      <c r="L91" s="4">
        <v>84.987654320987659</v>
      </c>
      <c r="M91" s="4">
        <v>16.147654320987655</v>
      </c>
      <c r="N91" t="s">
        <v>94</v>
      </c>
    </row>
    <row r="92" spans="1:14">
      <c r="A92">
        <v>91</v>
      </c>
      <c r="B92">
        <v>35</v>
      </c>
      <c r="C92" t="s">
        <v>11</v>
      </c>
      <c r="D92" t="s">
        <v>12</v>
      </c>
      <c r="E92" t="s">
        <v>50</v>
      </c>
      <c r="F92">
        <v>45.66</v>
      </c>
      <c r="G92" t="s">
        <v>19</v>
      </c>
      <c r="H92" t="s">
        <v>37</v>
      </c>
      <c r="I92">
        <v>4.5999999999999996</v>
      </c>
      <c r="J92">
        <v>18</v>
      </c>
      <c r="K92">
        <v>4</v>
      </c>
      <c r="L92" s="4">
        <v>55.682926829268283</v>
      </c>
      <c r="M92" s="4">
        <v>10.022926829268286</v>
      </c>
      <c r="N92" t="s">
        <v>92</v>
      </c>
    </row>
    <row r="93" spans="1:14">
      <c r="A93">
        <v>92</v>
      </c>
      <c r="B93">
        <v>51</v>
      </c>
      <c r="C93" t="s">
        <v>16</v>
      </c>
      <c r="D93" t="s">
        <v>33</v>
      </c>
      <c r="E93" t="s">
        <v>38</v>
      </c>
      <c r="F93">
        <v>40.24</v>
      </c>
      <c r="G93" t="s">
        <v>24</v>
      </c>
      <c r="H93" t="s">
        <v>15</v>
      </c>
      <c r="I93">
        <v>3.8</v>
      </c>
      <c r="J93">
        <v>18</v>
      </c>
      <c r="K93">
        <v>4</v>
      </c>
      <c r="L93" s="4">
        <v>49.073170731707314</v>
      </c>
      <c r="M93" s="4">
        <v>8.8331707317073125</v>
      </c>
      <c r="N93" t="s">
        <v>93</v>
      </c>
    </row>
    <row r="94" spans="1:14">
      <c r="A94">
        <v>93</v>
      </c>
      <c r="B94">
        <v>36</v>
      </c>
      <c r="C94" t="s">
        <v>11</v>
      </c>
      <c r="D94" t="s">
        <v>33</v>
      </c>
      <c r="E94" t="s">
        <v>40</v>
      </c>
      <c r="F94">
        <v>203.77</v>
      </c>
      <c r="G94" t="s">
        <v>19</v>
      </c>
      <c r="H94" t="s">
        <v>15</v>
      </c>
      <c r="I94">
        <v>4.4000000000000004</v>
      </c>
      <c r="J94">
        <v>19</v>
      </c>
      <c r="K94">
        <v>7</v>
      </c>
      <c r="L94" s="4">
        <v>251.5679012345679</v>
      </c>
      <c r="M94" s="4">
        <v>47.797901234567888</v>
      </c>
      <c r="N94" t="s">
        <v>92</v>
      </c>
    </row>
    <row r="95" spans="1:14">
      <c r="A95">
        <v>94</v>
      </c>
      <c r="B95">
        <v>20</v>
      </c>
      <c r="C95" t="s">
        <v>11</v>
      </c>
      <c r="D95" t="s">
        <v>12</v>
      </c>
      <c r="E95" t="s">
        <v>56</v>
      </c>
      <c r="F95">
        <v>159.44999999999999</v>
      </c>
      <c r="G95" t="s">
        <v>24</v>
      </c>
      <c r="H95" t="s">
        <v>15</v>
      </c>
      <c r="I95">
        <v>4.5999999999999996</v>
      </c>
      <c r="J95">
        <v>20</v>
      </c>
      <c r="K95">
        <v>5</v>
      </c>
      <c r="L95" s="4">
        <v>199.31249999999997</v>
      </c>
      <c r="M95" s="4">
        <v>39.862499999999983</v>
      </c>
      <c r="N95" t="s">
        <v>100</v>
      </c>
    </row>
    <row r="96" spans="1:14">
      <c r="A96">
        <v>95</v>
      </c>
      <c r="B96">
        <v>25</v>
      </c>
      <c r="C96" t="s">
        <v>16</v>
      </c>
      <c r="D96" t="s">
        <v>33</v>
      </c>
      <c r="E96" t="s">
        <v>38</v>
      </c>
      <c r="F96">
        <v>183.49</v>
      </c>
      <c r="G96" t="s">
        <v>14</v>
      </c>
      <c r="H96" t="s">
        <v>15</v>
      </c>
      <c r="I96">
        <v>3.5</v>
      </c>
      <c r="J96">
        <v>20</v>
      </c>
      <c r="K96">
        <v>5</v>
      </c>
      <c r="L96" s="4">
        <v>229.36250000000001</v>
      </c>
      <c r="M96" s="4">
        <v>45.872500000000002</v>
      </c>
      <c r="N96" t="s">
        <v>91</v>
      </c>
    </row>
    <row r="97" spans="1:14">
      <c r="A97">
        <v>96</v>
      </c>
      <c r="B97">
        <v>21</v>
      </c>
      <c r="C97" t="s">
        <v>16</v>
      </c>
      <c r="D97" t="s">
        <v>17</v>
      </c>
      <c r="E97" t="s">
        <v>48</v>
      </c>
      <c r="F97">
        <v>76.45</v>
      </c>
      <c r="G97" t="s">
        <v>31</v>
      </c>
      <c r="H97" t="s">
        <v>15</v>
      </c>
      <c r="I97">
        <v>4.4000000000000004</v>
      </c>
      <c r="J97">
        <v>12</v>
      </c>
      <c r="K97">
        <v>6</v>
      </c>
      <c r="L97" s="4">
        <v>86.875</v>
      </c>
      <c r="M97" s="4">
        <v>10.424999999999997</v>
      </c>
      <c r="N97" t="s">
        <v>100</v>
      </c>
    </row>
    <row r="98" spans="1:14">
      <c r="A98">
        <v>97</v>
      </c>
      <c r="B98">
        <v>20</v>
      </c>
      <c r="C98" t="s">
        <v>11</v>
      </c>
      <c r="D98" t="s">
        <v>12</v>
      </c>
      <c r="E98" t="s">
        <v>56</v>
      </c>
      <c r="F98">
        <v>54.1</v>
      </c>
      <c r="G98" t="s">
        <v>31</v>
      </c>
      <c r="H98" t="s">
        <v>15</v>
      </c>
      <c r="I98">
        <v>4.0999999999999996</v>
      </c>
      <c r="J98">
        <v>16</v>
      </c>
      <c r="K98">
        <v>3</v>
      </c>
      <c r="L98" s="4">
        <v>64.404761904761912</v>
      </c>
      <c r="M98" s="4">
        <v>10.304761904761911</v>
      </c>
      <c r="N98" t="s">
        <v>100</v>
      </c>
    </row>
    <row r="99" spans="1:14">
      <c r="A99">
        <v>98</v>
      </c>
      <c r="B99">
        <v>65</v>
      </c>
      <c r="C99" t="s">
        <v>11</v>
      </c>
      <c r="D99" t="s">
        <v>12</v>
      </c>
      <c r="E99" t="s">
        <v>13</v>
      </c>
      <c r="F99">
        <v>41</v>
      </c>
      <c r="G99" t="s">
        <v>14</v>
      </c>
      <c r="H99" t="s">
        <v>37</v>
      </c>
      <c r="I99">
        <v>4</v>
      </c>
      <c r="J99">
        <v>10</v>
      </c>
      <c r="K99">
        <v>5</v>
      </c>
      <c r="L99" s="4">
        <v>45.555555555555557</v>
      </c>
      <c r="M99" s="4">
        <v>4.5555555555555571</v>
      </c>
      <c r="N99" t="s">
        <v>95</v>
      </c>
    </row>
    <row r="100" spans="1:14">
      <c r="A100">
        <v>99</v>
      </c>
      <c r="B100">
        <v>39</v>
      </c>
      <c r="C100" t="s">
        <v>11</v>
      </c>
      <c r="D100" t="s">
        <v>33</v>
      </c>
      <c r="E100" t="s">
        <v>40</v>
      </c>
      <c r="F100">
        <v>73.77</v>
      </c>
      <c r="G100" t="s">
        <v>19</v>
      </c>
      <c r="H100" t="s">
        <v>15</v>
      </c>
      <c r="I100">
        <v>3.5</v>
      </c>
      <c r="J100">
        <v>17</v>
      </c>
      <c r="K100">
        <v>6</v>
      </c>
      <c r="L100" s="4">
        <v>88.879518072289159</v>
      </c>
      <c r="M100" s="4">
        <v>15.109518072289163</v>
      </c>
      <c r="N100" t="s">
        <v>92</v>
      </c>
    </row>
    <row r="101" spans="1:14">
      <c r="A101">
        <v>100</v>
      </c>
      <c r="B101">
        <v>51</v>
      </c>
      <c r="C101" t="s">
        <v>16</v>
      </c>
      <c r="D101" t="s">
        <v>27</v>
      </c>
      <c r="E101" t="s">
        <v>32</v>
      </c>
      <c r="F101">
        <v>2449.63</v>
      </c>
      <c r="G101" t="s">
        <v>14</v>
      </c>
      <c r="H101" t="s">
        <v>15</v>
      </c>
      <c r="I101">
        <v>1.9</v>
      </c>
      <c r="J101">
        <v>4</v>
      </c>
      <c r="K101">
        <v>2</v>
      </c>
      <c r="L101" s="4">
        <v>2551.697916666667</v>
      </c>
      <c r="M101" s="4">
        <v>102.06791666666686</v>
      </c>
      <c r="N101" t="s">
        <v>93</v>
      </c>
    </row>
    <row r="102" spans="1:14">
      <c r="A102">
        <v>101</v>
      </c>
      <c r="B102">
        <v>65</v>
      </c>
      <c r="C102" t="s">
        <v>11</v>
      </c>
      <c r="D102" t="s">
        <v>22</v>
      </c>
      <c r="E102" t="s">
        <v>23</v>
      </c>
      <c r="F102">
        <v>86.79</v>
      </c>
      <c r="G102" t="s">
        <v>19</v>
      </c>
      <c r="H102" t="s">
        <v>37</v>
      </c>
      <c r="I102">
        <v>3.6</v>
      </c>
      <c r="J102">
        <v>12</v>
      </c>
      <c r="K102">
        <v>6</v>
      </c>
      <c r="L102" s="4">
        <v>98.625</v>
      </c>
      <c r="M102" s="4">
        <v>11.834999999999994</v>
      </c>
      <c r="N102" t="s">
        <v>95</v>
      </c>
    </row>
    <row r="103" spans="1:14">
      <c r="A103">
        <v>102</v>
      </c>
      <c r="B103">
        <v>58</v>
      </c>
      <c r="C103" t="s">
        <v>11</v>
      </c>
      <c r="D103" t="s">
        <v>41</v>
      </c>
      <c r="E103" t="s">
        <v>44</v>
      </c>
      <c r="F103">
        <v>64.03</v>
      </c>
      <c r="G103" t="s">
        <v>31</v>
      </c>
      <c r="H103" t="s">
        <v>15</v>
      </c>
      <c r="I103">
        <v>3.2</v>
      </c>
      <c r="J103">
        <v>13</v>
      </c>
      <c r="K103">
        <v>4</v>
      </c>
      <c r="L103" s="4">
        <v>73.597701149425291</v>
      </c>
      <c r="M103" s="4">
        <v>9.5677011494252895</v>
      </c>
      <c r="N103" t="s">
        <v>94</v>
      </c>
    </row>
    <row r="104" spans="1:14">
      <c r="A104">
        <v>103</v>
      </c>
      <c r="B104">
        <v>50</v>
      </c>
      <c r="C104" t="s">
        <v>11</v>
      </c>
      <c r="D104" t="s">
        <v>33</v>
      </c>
      <c r="E104" t="s">
        <v>34</v>
      </c>
      <c r="F104">
        <v>171.31</v>
      </c>
      <c r="G104" t="s">
        <v>14</v>
      </c>
      <c r="H104" t="s">
        <v>15</v>
      </c>
      <c r="I104">
        <v>5</v>
      </c>
      <c r="J104">
        <v>21</v>
      </c>
      <c r="K104">
        <v>8</v>
      </c>
      <c r="L104" s="4">
        <v>216.84810126582278</v>
      </c>
      <c r="M104" s="4">
        <v>45.538101265822775</v>
      </c>
      <c r="N104" t="s">
        <v>93</v>
      </c>
    </row>
    <row r="105" spans="1:14">
      <c r="A105">
        <v>104</v>
      </c>
      <c r="B105">
        <v>42</v>
      </c>
      <c r="C105" t="s">
        <v>11</v>
      </c>
      <c r="D105" t="s">
        <v>25</v>
      </c>
      <c r="E105" t="s">
        <v>26</v>
      </c>
      <c r="F105">
        <v>21.44</v>
      </c>
      <c r="G105" t="s">
        <v>14</v>
      </c>
      <c r="H105" t="s">
        <v>15</v>
      </c>
      <c r="I105">
        <v>3.6</v>
      </c>
      <c r="J105">
        <v>19</v>
      </c>
      <c r="K105">
        <v>7</v>
      </c>
      <c r="L105" s="4">
        <v>26.469135802469136</v>
      </c>
      <c r="M105" s="4">
        <v>5.0291358024691348</v>
      </c>
      <c r="N105" t="s">
        <v>92</v>
      </c>
    </row>
    <row r="106" spans="1:14">
      <c r="A106">
        <v>105</v>
      </c>
      <c r="B106">
        <v>60</v>
      </c>
      <c r="C106" t="s">
        <v>16</v>
      </c>
      <c r="D106" t="s">
        <v>17</v>
      </c>
      <c r="E106" t="s">
        <v>48</v>
      </c>
      <c r="F106">
        <v>145.63999999999999</v>
      </c>
      <c r="G106" t="s">
        <v>24</v>
      </c>
      <c r="H106" t="s">
        <v>15</v>
      </c>
      <c r="I106">
        <v>3.3</v>
      </c>
      <c r="J106">
        <v>2</v>
      </c>
      <c r="K106">
        <v>1</v>
      </c>
      <c r="L106" s="4">
        <v>148.61224489795919</v>
      </c>
      <c r="M106" s="4">
        <v>2.9722448979592002</v>
      </c>
      <c r="N106" t="s">
        <v>94</v>
      </c>
    </row>
    <row r="107" spans="1:14">
      <c r="A107">
        <v>106</v>
      </c>
      <c r="B107">
        <v>50</v>
      </c>
      <c r="C107" t="s">
        <v>11</v>
      </c>
      <c r="D107" t="s">
        <v>33</v>
      </c>
      <c r="E107" t="s">
        <v>40</v>
      </c>
      <c r="F107">
        <v>112.65</v>
      </c>
      <c r="G107" t="s">
        <v>19</v>
      </c>
      <c r="H107" t="s">
        <v>15</v>
      </c>
      <c r="I107">
        <v>3.9</v>
      </c>
      <c r="J107">
        <v>10</v>
      </c>
      <c r="K107">
        <v>5</v>
      </c>
      <c r="L107" s="4">
        <v>125.16666666666667</v>
      </c>
      <c r="M107" s="4">
        <v>12.516666666666666</v>
      </c>
      <c r="N107" t="s">
        <v>93</v>
      </c>
    </row>
    <row r="108" spans="1:14">
      <c r="A108">
        <v>107</v>
      </c>
      <c r="B108">
        <v>55</v>
      </c>
      <c r="C108" t="s">
        <v>11</v>
      </c>
      <c r="D108" t="s">
        <v>33</v>
      </c>
      <c r="E108" t="s">
        <v>34</v>
      </c>
      <c r="F108">
        <v>177.55</v>
      </c>
      <c r="G108" t="s">
        <v>31</v>
      </c>
      <c r="H108" t="s">
        <v>15</v>
      </c>
      <c r="I108">
        <v>4.2</v>
      </c>
      <c r="J108">
        <v>17</v>
      </c>
      <c r="K108">
        <v>6</v>
      </c>
      <c r="L108" s="4">
        <v>213.91566265060243</v>
      </c>
      <c r="M108" s="4">
        <v>36.365662650602417</v>
      </c>
      <c r="N108" t="s">
        <v>94</v>
      </c>
    </row>
    <row r="109" spans="1:14">
      <c r="A109">
        <v>108</v>
      </c>
      <c r="B109">
        <v>61</v>
      </c>
      <c r="C109" t="s">
        <v>11</v>
      </c>
      <c r="D109" t="s">
        <v>41</v>
      </c>
      <c r="E109" t="s">
        <v>44</v>
      </c>
      <c r="F109">
        <v>100.22</v>
      </c>
      <c r="G109" t="s">
        <v>31</v>
      </c>
      <c r="H109" t="s">
        <v>15</v>
      </c>
      <c r="I109">
        <v>3.8</v>
      </c>
      <c r="J109">
        <v>4</v>
      </c>
      <c r="K109">
        <v>2</v>
      </c>
      <c r="L109" s="4">
        <v>104.39583333333334</v>
      </c>
      <c r="M109" s="4">
        <v>4.1758333333333439</v>
      </c>
      <c r="N109" t="s">
        <v>94</v>
      </c>
    </row>
    <row r="110" spans="1:14">
      <c r="A110">
        <v>109</v>
      </c>
      <c r="B110">
        <v>33</v>
      </c>
      <c r="C110" t="s">
        <v>11</v>
      </c>
      <c r="D110" t="s">
        <v>33</v>
      </c>
      <c r="E110" t="s">
        <v>34</v>
      </c>
      <c r="F110">
        <v>60</v>
      </c>
      <c r="G110" t="s">
        <v>31</v>
      </c>
      <c r="H110" t="s">
        <v>15</v>
      </c>
      <c r="I110">
        <v>3.3</v>
      </c>
      <c r="J110">
        <v>8</v>
      </c>
      <c r="K110">
        <v>4</v>
      </c>
      <c r="L110" s="4">
        <v>65.217391304347828</v>
      </c>
      <c r="M110" s="4">
        <v>5.2173913043478279</v>
      </c>
      <c r="N110" t="s">
        <v>91</v>
      </c>
    </row>
    <row r="111" spans="1:14">
      <c r="A111">
        <v>110</v>
      </c>
      <c r="B111">
        <v>66</v>
      </c>
      <c r="C111" t="s">
        <v>16</v>
      </c>
      <c r="D111" t="s">
        <v>33</v>
      </c>
      <c r="E111" t="s">
        <v>34</v>
      </c>
      <c r="F111">
        <v>75.650000000000006</v>
      </c>
      <c r="G111" t="s">
        <v>24</v>
      </c>
      <c r="H111" t="s">
        <v>15</v>
      </c>
      <c r="I111">
        <v>4</v>
      </c>
      <c r="J111">
        <v>14</v>
      </c>
      <c r="K111">
        <v>7</v>
      </c>
      <c r="L111" s="4">
        <v>87.965116279069775</v>
      </c>
      <c r="M111" s="4">
        <v>12.31511627906977</v>
      </c>
      <c r="N111" t="s">
        <v>95</v>
      </c>
    </row>
    <row r="112" spans="1:14">
      <c r="A112">
        <v>111</v>
      </c>
      <c r="B112">
        <v>66</v>
      </c>
      <c r="C112" t="s">
        <v>16</v>
      </c>
      <c r="D112" t="s">
        <v>27</v>
      </c>
      <c r="E112" t="s">
        <v>49</v>
      </c>
      <c r="F112">
        <v>2263.46</v>
      </c>
      <c r="G112" t="s">
        <v>14</v>
      </c>
      <c r="H112" t="s">
        <v>15</v>
      </c>
      <c r="I112">
        <v>3.8</v>
      </c>
      <c r="J112">
        <v>13</v>
      </c>
      <c r="K112">
        <v>4</v>
      </c>
      <c r="L112" s="4">
        <v>2601.6781609195405</v>
      </c>
      <c r="M112" s="4">
        <v>338.21816091954042</v>
      </c>
      <c r="N112" t="s">
        <v>95</v>
      </c>
    </row>
    <row r="113" spans="1:14">
      <c r="A113">
        <v>112</v>
      </c>
      <c r="B113">
        <v>45</v>
      </c>
      <c r="C113" t="s">
        <v>16</v>
      </c>
      <c r="D113" t="s">
        <v>33</v>
      </c>
      <c r="E113" t="s">
        <v>34</v>
      </c>
      <c r="F113">
        <v>77.8</v>
      </c>
      <c r="G113" t="s">
        <v>24</v>
      </c>
      <c r="H113" t="s">
        <v>37</v>
      </c>
      <c r="I113">
        <v>3.2</v>
      </c>
      <c r="J113">
        <v>9</v>
      </c>
      <c r="K113">
        <v>2</v>
      </c>
      <c r="L113" s="4">
        <v>85.494505494505489</v>
      </c>
      <c r="M113" s="4">
        <v>7.694505494505492</v>
      </c>
      <c r="N113" t="s">
        <v>93</v>
      </c>
    </row>
    <row r="114" spans="1:14">
      <c r="A114">
        <v>113</v>
      </c>
      <c r="B114">
        <v>69</v>
      </c>
      <c r="C114" t="s">
        <v>11</v>
      </c>
      <c r="D114" t="s">
        <v>41</v>
      </c>
      <c r="E114" t="s">
        <v>45</v>
      </c>
      <c r="F114">
        <v>84.93</v>
      </c>
      <c r="G114" t="s">
        <v>14</v>
      </c>
      <c r="H114" t="s">
        <v>37</v>
      </c>
      <c r="I114">
        <v>4.5999999999999996</v>
      </c>
      <c r="J114">
        <v>17</v>
      </c>
      <c r="K114">
        <v>6</v>
      </c>
      <c r="L114" s="4">
        <v>102.3253012048193</v>
      </c>
      <c r="M114" s="4">
        <v>17.39530120481929</v>
      </c>
      <c r="N114" t="s">
        <v>95</v>
      </c>
    </row>
    <row r="115" spans="1:14">
      <c r="A115">
        <v>114</v>
      </c>
      <c r="B115">
        <v>27</v>
      </c>
      <c r="C115" t="s">
        <v>11</v>
      </c>
      <c r="D115" t="s">
        <v>20</v>
      </c>
      <c r="E115" t="s">
        <v>21</v>
      </c>
      <c r="F115">
        <v>124.84</v>
      </c>
      <c r="G115" t="s">
        <v>19</v>
      </c>
      <c r="H115" t="s">
        <v>15</v>
      </c>
      <c r="I115">
        <v>3.2</v>
      </c>
      <c r="J115">
        <v>20</v>
      </c>
      <c r="K115">
        <v>10</v>
      </c>
      <c r="L115" s="4">
        <v>156.04999999999998</v>
      </c>
      <c r="M115" s="4">
        <v>31.20999999999998</v>
      </c>
      <c r="N115" t="s">
        <v>91</v>
      </c>
    </row>
    <row r="116" spans="1:14">
      <c r="A116">
        <v>115</v>
      </c>
      <c r="B116">
        <v>23</v>
      </c>
      <c r="C116" t="s">
        <v>16</v>
      </c>
      <c r="D116" t="s">
        <v>33</v>
      </c>
      <c r="E116" t="s">
        <v>34</v>
      </c>
      <c r="F116">
        <v>122.71</v>
      </c>
      <c r="G116" t="s">
        <v>31</v>
      </c>
      <c r="H116" t="s">
        <v>15</v>
      </c>
      <c r="I116">
        <v>3.4</v>
      </c>
      <c r="J116">
        <v>8</v>
      </c>
      <c r="K116">
        <v>4</v>
      </c>
      <c r="L116" s="4">
        <v>133.38043478260869</v>
      </c>
      <c r="M116" s="4">
        <v>10.670434782608694</v>
      </c>
      <c r="N116" t="s">
        <v>100</v>
      </c>
    </row>
    <row r="117" spans="1:14">
      <c r="A117">
        <v>116</v>
      </c>
      <c r="B117">
        <v>60</v>
      </c>
      <c r="C117" t="s">
        <v>16</v>
      </c>
      <c r="D117" t="s">
        <v>27</v>
      </c>
      <c r="E117" t="s">
        <v>28</v>
      </c>
      <c r="F117">
        <v>1317.58</v>
      </c>
      <c r="G117" t="s">
        <v>24</v>
      </c>
      <c r="H117" t="s">
        <v>15</v>
      </c>
      <c r="I117">
        <v>4.2</v>
      </c>
      <c r="J117">
        <v>26</v>
      </c>
      <c r="K117">
        <v>8</v>
      </c>
      <c r="L117" s="4">
        <v>1780.5135135135135</v>
      </c>
      <c r="M117" s="4">
        <v>462.93351351351362</v>
      </c>
      <c r="N117" t="s">
        <v>94</v>
      </c>
    </row>
    <row r="118" spans="1:14">
      <c r="A118">
        <v>117</v>
      </c>
      <c r="B118">
        <v>31</v>
      </c>
      <c r="C118" t="s">
        <v>11</v>
      </c>
      <c r="D118" t="s">
        <v>29</v>
      </c>
      <c r="E118" t="s">
        <v>30</v>
      </c>
      <c r="F118">
        <v>70.510000000000005</v>
      </c>
      <c r="G118" t="s">
        <v>19</v>
      </c>
      <c r="H118" t="s">
        <v>37</v>
      </c>
      <c r="I118">
        <v>4.2</v>
      </c>
      <c r="J118">
        <v>18</v>
      </c>
      <c r="K118">
        <v>4</v>
      </c>
      <c r="L118" s="4">
        <v>85.987804878048777</v>
      </c>
      <c r="M118" s="4">
        <v>15.477804878048772</v>
      </c>
      <c r="N118" t="s">
        <v>91</v>
      </c>
    </row>
    <row r="119" spans="1:14">
      <c r="A119">
        <v>118</v>
      </c>
      <c r="B119">
        <v>28</v>
      </c>
      <c r="C119" t="s">
        <v>16</v>
      </c>
      <c r="D119" t="s">
        <v>20</v>
      </c>
      <c r="E119" t="s">
        <v>36</v>
      </c>
      <c r="F119">
        <v>132.82</v>
      </c>
      <c r="G119" t="s">
        <v>14</v>
      </c>
      <c r="H119" t="s">
        <v>15</v>
      </c>
      <c r="I119">
        <v>2.9</v>
      </c>
      <c r="J119">
        <v>9</v>
      </c>
      <c r="K119">
        <v>2</v>
      </c>
      <c r="L119" s="4">
        <v>145.95604395604394</v>
      </c>
      <c r="M119" s="4">
        <v>13.136043956043949</v>
      </c>
      <c r="N119" t="s">
        <v>91</v>
      </c>
    </row>
    <row r="120" spans="1:14">
      <c r="A120">
        <v>119</v>
      </c>
      <c r="B120">
        <v>56</v>
      </c>
      <c r="C120" t="s">
        <v>16</v>
      </c>
      <c r="D120" t="s">
        <v>33</v>
      </c>
      <c r="E120" t="s">
        <v>38</v>
      </c>
      <c r="F120">
        <v>200.63</v>
      </c>
      <c r="G120" t="s">
        <v>31</v>
      </c>
      <c r="H120" t="s">
        <v>15</v>
      </c>
      <c r="I120">
        <v>4</v>
      </c>
      <c r="J120">
        <v>18</v>
      </c>
      <c r="K120">
        <v>4</v>
      </c>
      <c r="L120" s="4">
        <v>244.67073170731706</v>
      </c>
      <c r="M120" s="4">
        <v>44.040731707317065</v>
      </c>
      <c r="N120" t="s">
        <v>94</v>
      </c>
    </row>
    <row r="121" spans="1:14">
      <c r="A121">
        <v>120</v>
      </c>
      <c r="B121">
        <v>34</v>
      </c>
      <c r="C121" t="s">
        <v>11</v>
      </c>
      <c r="D121" t="s">
        <v>41</v>
      </c>
      <c r="E121" t="s">
        <v>44</v>
      </c>
      <c r="F121">
        <v>47.24</v>
      </c>
      <c r="G121" t="s">
        <v>19</v>
      </c>
      <c r="H121" t="s">
        <v>37</v>
      </c>
      <c r="I121">
        <v>4.0999999999999996</v>
      </c>
      <c r="J121">
        <v>15</v>
      </c>
      <c r="K121">
        <v>5</v>
      </c>
      <c r="L121" s="4">
        <v>55.576470588235296</v>
      </c>
      <c r="M121" s="4">
        <v>8.3364705882352936</v>
      </c>
      <c r="N121" t="s">
        <v>91</v>
      </c>
    </row>
    <row r="122" spans="1:14">
      <c r="A122">
        <v>121</v>
      </c>
      <c r="B122">
        <v>37</v>
      </c>
      <c r="C122" t="s">
        <v>11</v>
      </c>
      <c r="D122" t="s">
        <v>33</v>
      </c>
      <c r="E122" t="s">
        <v>34</v>
      </c>
      <c r="F122">
        <v>65.599999999999994</v>
      </c>
      <c r="G122" t="s">
        <v>24</v>
      </c>
      <c r="H122" t="s">
        <v>37</v>
      </c>
      <c r="I122">
        <v>3.2</v>
      </c>
      <c r="J122">
        <v>15</v>
      </c>
      <c r="K122">
        <v>5</v>
      </c>
      <c r="L122" s="4">
        <v>77.17647058823529</v>
      </c>
      <c r="M122" s="4">
        <v>11.576470588235296</v>
      </c>
      <c r="N122" t="s">
        <v>92</v>
      </c>
    </row>
    <row r="123" spans="1:14">
      <c r="A123">
        <v>122</v>
      </c>
      <c r="B123">
        <v>63</v>
      </c>
      <c r="C123" t="s">
        <v>11</v>
      </c>
      <c r="D123" t="s">
        <v>12</v>
      </c>
      <c r="E123" t="s">
        <v>50</v>
      </c>
      <c r="F123">
        <v>20.41</v>
      </c>
      <c r="G123" t="s">
        <v>14</v>
      </c>
      <c r="H123" t="s">
        <v>37</v>
      </c>
      <c r="I123">
        <v>3.7</v>
      </c>
      <c r="J123">
        <v>17</v>
      </c>
      <c r="K123">
        <v>6</v>
      </c>
      <c r="L123" s="4">
        <v>24.590361445783135</v>
      </c>
      <c r="M123" s="4">
        <v>4.1803614457831344</v>
      </c>
      <c r="N123" t="s">
        <v>94</v>
      </c>
    </row>
    <row r="124" spans="1:14">
      <c r="A124">
        <v>123</v>
      </c>
      <c r="B124">
        <v>35</v>
      </c>
      <c r="C124" t="s">
        <v>16</v>
      </c>
      <c r="D124" t="s">
        <v>27</v>
      </c>
      <c r="E124" t="s">
        <v>32</v>
      </c>
      <c r="F124">
        <v>1187.02</v>
      </c>
      <c r="G124" t="s">
        <v>14</v>
      </c>
      <c r="H124" t="s">
        <v>15</v>
      </c>
      <c r="I124">
        <v>3.5</v>
      </c>
      <c r="J124">
        <v>15</v>
      </c>
      <c r="K124">
        <v>5</v>
      </c>
      <c r="L124" s="4">
        <v>1396.4941176470588</v>
      </c>
      <c r="M124" s="4">
        <v>209.47411764705885</v>
      </c>
      <c r="N124" t="s">
        <v>92</v>
      </c>
    </row>
    <row r="125" spans="1:14">
      <c r="A125">
        <v>124</v>
      </c>
      <c r="B125">
        <v>53</v>
      </c>
      <c r="C125" t="s">
        <v>16</v>
      </c>
      <c r="D125" t="s">
        <v>27</v>
      </c>
      <c r="E125" t="s">
        <v>28</v>
      </c>
      <c r="F125">
        <v>559.1</v>
      </c>
      <c r="G125" t="s">
        <v>14</v>
      </c>
      <c r="H125" t="s">
        <v>15</v>
      </c>
      <c r="I125">
        <v>3.4</v>
      </c>
      <c r="J125">
        <v>17</v>
      </c>
      <c r="K125">
        <v>6</v>
      </c>
      <c r="L125" s="4">
        <v>673.61445783132535</v>
      </c>
      <c r="M125" s="4">
        <v>114.51445783132533</v>
      </c>
      <c r="N125" t="s">
        <v>93</v>
      </c>
    </row>
    <row r="126" spans="1:14">
      <c r="A126">
        <v>125</v>
      </c>
      <c r="B126">
        <v>54</v>
      </c>
      <c r="C126" t="s">
        <v>16</v>
      </c>
      <c r="D126" t="s">
        <v>33</v>
      </c>
      <c r="E126" t="s">
        <v>34</v>
      </c>
      <c r="F126">
        <v>129.91999999999999</v>
      </c>
      <c r="G126" t="s">
        <v>24</v>
      </c>
      <c r="H126" t="s">
        <v>15</v>
      </c>
      <c r="I126">
        <v>4.2</v>
      </c>
      <c r="J126">
        <v>13</v>
      </c>
      <c r="K126">
        <v>4</v>
      </c>
      <c r="L126" s="4">
        <v>149.33333333333331</v>
      </c>
      <c r="M126" s="4">
        <v>19.413333333333327</v>
      </c>
      <c r="N126" t="s">
        <v>93</v>
      </c>
    </row>
    <row r="127" spans="1:14">
      <c r="A127">
        <v>126</v>
      </c>
      <c r="B127">
        <v>65</v>
      </c>
      <c r="C127" t="s">
        <v>11</v>
      </c>
      <c r="D127" t="s">
        <v>25</v>
      </c>
      <c r="E127" t="s">
        <v>57</v>
      </c>
      <c r="F127">
        <v>19.39</v>
      </c>
      <c r="G127" t="s">
        <v>19</v>
      </c>
      <c r="H127" t="s">
        <v>37</v>
      </c>
      <c r="I127">
        <v>3.4</v>
      </c>
      <c r="J127">
        <v>6</v>
      </c>
      <c r="K127">
        <v>3</v>
      </c>
      <c r="L127" s="4">
        <v>20.627659574468087</v>
      </c>
      <c r="M127" s="4">
        <v>1.2376595744680863</v>
      </c>
      <c r="N127" t="s">
        <v>95</v>
      </c>
    </row>
    <row r="128" spans="1:14">
      <c r="A128">
        <v>127</v>
      </c>
      <c r="B128">
        <v>24</v>
      </c>
      <c r="C128" t="s">
        <v>11</v>
      </c>
      <c r="D128" t="s">
        <v>29</v>
      </c>
      <c r="E128" t="s">
        <v>51</v>
      </c>
      <c r="F128">
        <v>97.07</v>
      </c>
      <c r="G128" t="s">
        <v>14</v>
      </c>
      <c r="H128" t="s">
        <v>37</v>
      </c>
      <c r="I128">
        <v>2.4</v>
      </c>
      <c r="J128">
        <v>13</v>
      </c>
      <c r="K128">
        <v>4</v>
      </c>
      <c r="L128" s="4">
        <v>111.57471264367815</v>
      </c>
      <c r="M128" s="4">
        <v>14.504712643678161</v>
      </c>
      <c r="N128" t="s">
        <v>100</v>
      </c>
    </row>
    <row r="129" spans="1:14">
      <c r="A129">
        <v>128</v>
      </c>
      <c r="B129">
        <v>55</v>
      </c>
      <c r="C129" t="s">
        <v>16</v>
      </c>
      <c r="D129" t="s">
        <v>20</v>
      </c>
      <c r="E129" t="s">
        <v>39</v>
      </c>
      <c r="F129">
        <v>70.209999999999994</v>
      </c>
      <c r="G129" t="s">
        <v>19</v>
      </c>
      <c r="H129" t="s">
        <v>37</v>
      </c>
      <c r="I129">
        <v>3.4</v>
      </c>
      <c r="J129">
        <v>18</v>
      </c>
      <c r="K129">
        <v>4</v>
      </c>
      <c r="L129" s="4">
        <v>85.621951219512184</v>
      </c>
      <c r="M129" s="4">
        <v>15.41195121951219</v>
      </c>
      <c r="N129" t="s">
        <v>94</v>
      </c>
    </row>
    <row r="130" spans="1:14">
      <c r="A130">
        <v>129</v>
      </c>
      <c r="B130">
        <v>64</v>
      </c>
      <c r="C130" t="s">
        <v>16</v>
      </c>
      <c r="D130" t="s">
        <v>20</v>
      </c>
      <c r="E130" t="s">
        <v>36</v>
      </c>
      <c r="F130">
        <v>248.31</v>
      </c>
      <c r="G130" t="s">
        <v>24</v>
      </c>
      <c r="H130" t="s">
        <v>15</v>
      </c>
      <c r="I130">
        <v>3.7</v>
      </c>
      <c r="J130">
        <v>19</v>
      </c>
      <c r="K130">
        <v>7</v>
      </c>
      <c r="L130" s="4">
        <v>306.55555555555554</v>
      </c>
      <c r="M130" s="4">
        <v>58.245555555555541</v>
      </c>
      <c r="N130" t="s">
        <v>94</v>
      </c>
    </row>
    <row r="131" spans="1:14">
      <c r="A131">
        <v>130</v>
      </c>
      <c r="B131">
        <v>21</v>
      </c>
      <c r="C131" t="s">
        <v>16</v>
      </c>
      <c r="D131" t="s">
        <v>20</v>
      </c>
      <c r="E131" t="s">
        <v>21</v>
      </c>
      <c r="F131">
        <v>149.61000000000001</v>
      </c>
      <c r="G131" t="s">
        <v>14</v>
      </c>
      <c r="H131" t="s">
        <v>15</v>
      </c>
      <c r="I131">
        <v>3.6</v>
      </c>
      <c r="J131">
        <v>21</v>
      </c>
      <c r="K131">
        <v>8</v>
      </c>
      <c r="L131" s="4">
        <v>189.37974683544306</v>
      </c>
      <c r="M131" s="4">
        <v>39.769746835443044</v>
      </c>
      <c r="N131" t="s">
        <v>100</v>
      </c>
    </row>
    <row r="132" spans="1:14">
      <c r="A132">
        <v>131</v>
      </c>
      <c r="B132">
        <v>66</v>
      </c>
      <c r="C132" t="s">
        <v>16</v>
      </c>
      <c r="D132" t="s">
        <v>22</v>
      </c>
      <c r="E132" t="s">
        <v>43</v>
      </c>
      <c r="F132">
        <v>132.77000000000001</v>
      </c>
      <c r="G132" t="s">
        <v>19</v>
      </c>
      <c r="H132" t="s">
        <v>15</v>
      </c>
      <c r="I132">
        <v>3.5</v>
      </c>
      <c r="J132">
        <v>17</v>
      </c>
      <c r="K132">
        <v>6</v>
      </c>
      <c r="L132" s="4">
        <v>159.96385542168676</v>
      </c>
      <c r="M132" s="4">
        <v>27.193855421686749</v>
      </c>
      <c r="N132" t="s">
        <v>95</v>
      </c>
    </row>
    <row r="133" spans="1:14">
      <c r="A133">
        <v>132</v>
      </c>
      <c r="B133">
        <v>39</v>
      </c>
      <c r="C133" t="s">
        <v>11</v>
      </c>
      <c r="D133" t="s">
        <v>29</v>
      </c>
      <c r="E133" t="s">
        <v>51</v>
      </c>
      <c r="F133">
        <v>37.229999999999997</v>
      </c>
      <c r="G133" t="s">
        <v>24</v>
      </c>
      <c r="H133" t="s">
        <v>15</v>
      </c>
      <c r="I133">
        <v>3.4</v>
      </c>
      <c r="J133">
        <v>14</v>
      </c>
      <c r="K133">
        <v>7</v>
      </c>
      <c r="L133" s="4">
        <v>43.290697674418603</v>
      </c>
      <c r="M133" s="4">
        <v>6.0606976744186056</v>
      </c>
      <c r="N133" t="s">
        <v>92</v>
      </c>
    </row>
    <row r="134" spans="1:14">
      <c r="A134">
        <v>133</v>
      </c>
      <c r="B134">
        <v>53</v>
      </c>
      <c r="C134" t="s">
        <v>11</v>
      </c>
      <c r="D134" t="s">
        <v>33</v>
      </c>
      <c r="E134" t="s">
        <v>40</v>
      </c>
      <c r="F134">
        <v>88.84</v>
      </c>
      <c r="G134" t="s">
        <v>31</v>
      </c>
      <c r="H134" t="s">
        <v>37</v>
      </c>
      <c r="I134">
        <v>1.8</v>
      </c>
      <c r="J134">
        <v>16</v>
      </c>
      <c r="K134">
        <v>3</v>
      </c>
      <c r="L134" s="4">
        <v>105.76190476190477</v>
      </c>
      <c r="M134" s="4">
        <v>16.92190476190477</v>
      </c>
      <c r="N134" t="s">
        <v>93</v>
      </c>
    </row>
    <row r="135" spans="1:14">
      <c r="A135">
        <v>134</v>
      </c>
      <c r="B135">
        <v>25</v>
      </c>
      <c r="C135" t="s">
        <v>11</v>
      </c>
      <c r="D135" t="s">
        <v>41</v>
      </c>
      <c r="E135" t="s">
        <v>45</v>
      </c>
      <c r="F135">
        <v>140.53</v>
      </c>
      <c r="G135" t="s">
        <v>19</v>
      </c>
      <c r="H135" t="s">
        <v>15</v>
      </c>
      <c r="I135">
        <v>3.9</v>
      </c>
      <c r="J135">
        <v>11</v>
      </c>
      <c r="K135">
        <v>3</v>
      </c>
      <c r="L135" s="4">
        <v>157.89887640449439</v>
      </c>
      <c r="M135" s="4">
        <v>17.368876404494387</v>
      </c>
      <c r="N135" t="s">
        <v>91</v>
      </c>
    </row>
    <row r="136" spans="1:14">
      <c r="A136">
        <v>135</v>
      </c>
      <c r="B136">
        <v>30</v>
      </c>
      <c r="C136" t="s">
        <v>11</v>
      </c>
      <c r="D136" t="s">
        <v>20</v>
      </c>
      <c r="E136" t="s">
        <v>21</v>
      </c>
      <c r="F136">
        <v>121.83</v>
      </c>
      <c r="G136" t="s">
        <v>14</v>
      </c>
      <c r="H136" t="s">
        <v>15</v>
      </c>
      <c r="I136">
        <v>3.5</v>
      </c>
      <c r="J136">
        <v>16</v>
      </c>
      <c r="K136">
        <v>3</v>
      </c>
      <c r="L136" s="4">
        <v>145.03571428571428</v>
      </c>
      <c r="M136" s="4">
        <v>23.205714285714279</v>
      </c>
      <c r="N136" t="s">
        <v>91</v>
      </c>
    </row>
    <row r="137" spans="1:14">
      <c r="A137">
        <v>136</v>
      </c>
      <c r="B137">
        <v>23</v>
      </c>
      <c r="C137" t="s">
        <v>16</v>
      </c>
      <c r="D137" t="s">
        <v>27</v>
      </c>
      <c r="E137" t="s">
        <v>53</v>
      </c>
      <c r="F137">
        <v>1052.01</v>
      </c>
      <c r="G137" t="s">
        <v>14</v>
      </c>
      <c r="H137" t="s">
        <v>15</v>
      </c>
      <c r="I137">
        <v>4.0999999999999996</v>
      </c>
      <c r="J137">
        <v>24</v>
      </c>
      <c r="K137">
        <v>7</v>
      </c>
      <c r="L137" s="4">
        <v>1384.2236842105262</v>
      </c>
      <c r="M137" s="4">
        <v>332.21368421052625</v>
      </c>
      <c r="N137" t="s">
        <v>100</v>
      </c>
    </row>
    <row r="138" spans="1:14">
      <c r="A138">
        <v>137</v>
      </c>
      <c r="B138">
        <v>41</v>
      </c>
      <c r="C138" t="s">
        <v>11</v>
      </c>
      <c r="D138" t="s">
        <v>25</v>
      </c>
      <c r="E138" t="s">
        <v>54</v>
      </c>
      <c r="F138">
        <v>77.290000000000006</v>
      </c>
      <c r="G138" t="s">
        <v>24</v>
      </c>
      <c r="H138" t="s">
        <v>15</v>
      </c>
      <c r="I138">
        <v>3.9</v>
      </c>
      <c r="J138">
        <v>18</v>
      </c>
      <c r="K138">
        <v>4</v>
      </c>
      <c r="L138" s="4">
        <v>94.256097560975604</v>
      </c>
      <c r="M138" s="4">
        <v>16.966097560975598</v>
      </c>
      <c r="N138" t="s">
        <v>92</v>
      </c>
    </row>
    <row r="139" spans="1:14">
      <c r="A139">
        <v>138</v>
      </c>
      <c r="B139">
        <v>40</v>
      </c>
      <c r="C139" t="s">
        <v>11</v>
      </c>
      <c r="D139" t="s">
        <v>29</v>
      </c>
      <c r="E139" t="s">
        <v>55</v>
      </c>
      <c r="F139">
        <v>124.2</v>
      </c>
      <c r="G139" t="s">
        <v>19</v>
      </c>
      <c r="H139" t="s">
        <v>15</v>
      </c>
      <c r="I139">
        <v>3.1</v>
      </c>
      <c r="J139">
        <v>17</v>
      </c>
      <c r="K139">
        <v>6</v>
      </c>
      <c r="L139" s="4">
        <v>149.63855421686748</v>
      </c>
      <c r="M139" s="4">
        <v>25.438554216867473</v>
      </c>
      <c r="N139" t="s">
        <v>92</v>
      </c>
    </row>
    <row r="140" spans="1:14">
      <c r="A140">
        <v>139</v>
      </c>
      <c r="B140">
        <v>23</v>
      </c>
      <c r="C140" t="s">
        <v>11</v>
      </c>
      <c r="D140" t="s">
        <v>33</v>
      </c>
      <c r="E140" t="s">
        <v>34</v>
      </c>
      <c r="F140">
        <v>139.96</v>
      </c>
      <c r="G140" t="s">
        <v>14</v>
      </c>
      <c r="H140" t="s">
        <v>15</v>
      </c>
      <c r="I140">
        <v>4.0999999999999996</v>
      </c>
      <c r="J140">
        <v>18</v>
      </c>
      <c r="K140">
        <v>9</v>
      </c>
      <c r="L140" s="4">
        <v>170.6829268292683</v>
      </c>
      <c r="M140" s="4">
        <v>30.722926829268289</v>
      </c>
      <c r="N140" t="s">
        <v>100</v>
      </c>
    </row>
    <row r="141" spans="1:14">
      <c r="A141">
        <v>140</v>
      </c>
      <c r="B141">
        <v>59</v>
      </c>
      <c r="C141" t="s">
        <v>16</v>
      </c>
      <c r="D141" t="s">
        <v>33</v>
      </c>
      <c r="E141" t="s">
        <v>34</v>
      </c>
      <c r="F141">
        <v>121.13</v>
      </c>
      <c r="G141" t="s">
        <v>31</v>
      </c>
      <c r="H141" t="s">
        <v>15</v>
      </c>
      <c r="I141">
        <v>3.6</v>
      </c>
      <c r="J141">
        <v>10</v>
      </c>
      <c r="K141">
        <v>5</v>
      </c>
      <c r="L141" s="4">
        <v>134.58888888888887</v>
      </c>
      <c r="M141" s="4">
        <v>13.458888888888879</v>
      </c>
      <c r="N141" t="s">
        <v>94</v>
      </c>
    </row>
    <row r="142" spans="1:14">
      <c r="A142">
        <v>141</v>
      </c>
      <c r="B142">
        <v>56</v>
      </c>
      <c r="C142" t="s">
        <v>11</v>
      </c>
      <c r="D142" t="s">
        <v>25</v>
      </c>
      <c r="E142" t="s">
        <v>26</v>
      </c>
      <c r="F142">
        <v>58.72</v>
      </c>
      <c r="G142" t="s">
        <v>14</v>
      </c>
      <c r="H142" t="s">
        <v>15</v>
      </c>
      <c r="I142">
        <v>2.6</v>
      </c>
      <c r="J142">
        <v>2</v>
      </c>
      <c r="K142">
        <v>1</v>
      </c>
      <c r="L142" s="4">
        <v>59.918367346938773</v>
      </c>
      <c r="M142" s="4">
        <v>1.1983673469387739</v>
      </c>
      <c r="N142" t="s">
        <v>94</v>
      </c>
    </row>
    <row r="143" spans="1:14">
      <c r="A143">
        <v>142</v>
      </c>
      <c r="B143">
        <v>34</v>
      </c>
      <c r="C143" t="s">
        <v>16</v>
      </c>
      <c r="D143" t="s">
        <v>20</v>
      </c>
      <c r="E143" t="s">
        <v>39</v>
      </c>
      <c r="F143">
        <v>64.17</v>
      </c>
      <c r="G143" t="s">
        <v>14</v>
      </c>
      <c r="H143" t="s">
        <v>15</v>
      </c>
      <c r="I143">
        <v>3</v>
      </c>
      <c r="J143">
        <v>8</v>
      </c>
      <c r="K143">
        <v>4</v>
      </c>
      <c r="L143" s="4">
        <v>69.75</v>
      </c>
      <c r="M143" s="4">
        <v>5.5799999999999983</v>
      </c>
      <c r="N143" t="s">
        <v>91</v>
      </c>
    </row>
    <row r="144" spans="1:14">
      <c r="A144">
        <v>143</v>
      </c>
      <c r="B144">
        <v>59</v>
      </c>
      <c r="C144" t="s">
        <v>16</v>
      </c>
      <c r="D144" t="s">
        <v>33</v>
      </c>
      <c r="E144" t="s">
        <v>34</v>
      </c>
      <c r="F144">
        <v>42.19</v>
      </c>
      <c r="G144" t="s">
        <v>19</v>
      </c>
      <c r="H144" t="s">
        <v>37</v>
      </c>
      <c r="I144">
        <v>3.2</v>
      </c>
      <c r="J144">
        <v>4</v>
      </c>
      <c r="K144">
        <v>2</v>
      </c>
      <c r="L144" s="4">
        <v>43.947916666666664</v>
      </c>
      <c r="M144" s="4">
        <v>1.7579166666666666</v>
      </c>
      <c r="N144" t="s">
        <v>94</v>
      </c>
    </row>
    <row r="145" spans="1:14">
      <c r="A145">
        <v>144</v>
      </c>
      <c r="B145">
        <v>40</v>
      </c>
      <c r="C145" t="s">
        <v>11</v>
      </c>
      <c r="D145" t="s">
        <v>33</v>
      </c>
      <c r="E145" t="s">
        <v>34</v>
      </c>
      <c r="F145">
        <v>166.4</v>
      </c>
      <c r="G145" t="s">
        <v>14</v>
      </c>
      <c r="H145" t="s">
        <v>15</v>
      </c>
      <c r="I145">
        <v>3.8</v>
      </c>
      <c r="J145">
        <v>14</v>
      </c>
      <c r="K145">
        <v>7</v>
      </c>
      <c r="L145" s="4">
        <v>193.48837209302326</v>
      </c>
      <c r="M145" s="4">
        <v>27.088372093023253</v>
      </c>
      <c r="N145" t="s">
        <v>92</v>
      </c>
    </row>
    <row r="146" spans="1:14">
      <c r="A146">
        <v>145</v>
      </c>
      <c r="B146">
        <v>33</v>
      </c>
      <c r="C146" t="s">
        <v>11</v>
      </c>
      <c r="D146" t="s">
        <v>41</v>
      </c>
      <c r="E146" t="s">
        <v>45</v>
      </c>
      <c r="F146">
        <v>76.540000000000006</v>
      </c>
      <c r="G146" t="s">
        <v>31</v>
      </c>
      <c r="H146" t="s">
        <v>15</v>
      </c>
      <c r="I146">
        <v>4.2</v>
      </c>
      <c r="J146">
        <v>6</v>
      </c>
      <c r="K146">
        <v>3</v>
      </c>
      <c r="L146" s="4">
        <v>81.425531914893625</v>
      </c>
      <c r="M146" s="4">
        <v>4.8855319148936189</v>
      </c>
      <c r="N146" t="s">
        <v>91</v>
      </c>
    </row>
    <row r="147" spans="1:14">
      <c r="A147">
        <v>146</v>
      </c>
      <c r="B147">
        <v>68</v>
      </c>
      <c r="C147" t="s">
        <v>11</v>
      </c>
      <c r="D147" t="s">
        <v>41</v>
      </c>
      <c r="E147" t="s">
        <v>46</v>
      </c>
      <c r="F147">
        <v>158.36000000000001</v>
      </c>
      <c r="G147" t="s">
        <v>19</v>
      </c>
      <c r="H147" t="s">
        <v>15</v>
      </c>
      <c r="I147">
        <v>3.6</v>
      </c>
      <c r="J147">
        <v>23</v>
      </c>
      <c r="K147">
        <v>9</v>
      </c>
      <c r="L147" s="4">
        <v>205.66233766233768</v>
      </c>
      <c r="M147" s="4">
        <v>47.302337662337663</v>
      </c>
      <c r="N147" t="s">
        <v>95</v>
      </c>
    </row>
    <row r="148" spans="1:14">
      <c r="A148">
        <v>147</v>
      </c>
      <c r="B148">
        <v>48</v>
      </c>
      <c r="C148" t="s">
        <v>16</v>
      </c>
      <c r="D148" t="s">
        <v>33</v>
      </c>
      <c r="E148" t="s">
        <v>34</v>
      </c>
      <c r="F148">
        <v>84.84</v>
      </c>
      <c r="G148" t="s">
        <v>31</v>
      </c>
      <c r="H148" t="s">
        <v>15</v>
      </c>
      <c r="I148">
        <v>4.7</v>
      </c>
      <c r="J148">
        <v>26</v>
      </c>
      <c r="K148">
        <v>8</v>
      </c>
      <c r="L148" s="4">
        <v>114.64864864864866</v>
      </c>
      <c r="M148" s="4">
        <v>29.808648648648656</v>
      </c>
      <c r="N148" t="s">
        <v>93</v>
      </c>
    </row>
    <row r="149" spans="1:14">
      <c r="A149">
        <v>148</v>
      </c>
      <c r="B149">
        <v>27</v>
      </c>
      <c r="C149" t="s">
        <v>11</v>
      </c>
      <c r="D149" t="s">
        <v>33</v>
      </c>
      <c r="E149" t="s">
        <v>40</v>
      </c>
      <c r="F149">
        <v>195.76</v>
      </c>
      <c r="G149" t="s">
        <v>31</v>
      </c>
      <c r="H149" t="s">
        <v>15</v>
      </c>
      <c r="I149">
        <v>4</v>
      </c>
      <c r="J149">
        <v>17</v>
      </c>
      <c r="K149">
        <v>6</v>
      </c>
      <c r="L149" s="4">
        <v>235.85542168674698</v>
      </c>
      <c r="M149" s="4">
        <v>40.095421686746988</v>
      </c>
      <c r="N149" t="s">
        <v>91</v>
      </c>
    </row>
    <row r="150" spans="1:14">
      <c r="A150">
        <v>149</v>
      </c>
      <c r="B150">
        <v>46</v>
      </c>
      <c r="C150" t="s">
        <v>16</v>
      </c>
      <c r="D150" t="s">
        <v>20</v>
      </c>
      <c r="E150" t="s">
        <v>21</v>
      </c>
      <c r="F150">
        <v>146.21</v>
      </c>
      <c r="G150" t="s">
        <v>31</v>
      </c>
      <c r="H150" t="s">
        <v>15</v>
      </c>
      <c r="I150">
        <v>3.6</v>
      </c>
      <c r="J150">
        <v>8</v>
      </c>
      <c r="K150">
        <v>4</v>
      </c>
      <c r="L150" s="4">
        <v>158.92391304347825</v>
      </c>
      <c r="M150" s="4">
        <v>12.713913043478243</v>
      </c>
      <c r="N150" t="s">
        <v>93</v>
      </c>
    </row>
    <row r="151" spans="1:14">
      <c r="A151">
        <v>150</v>
      </c>
      <c r="B151">
        <v>35</v>
      </c>
      <c r="C151" t="s">
        <v>16</v>
      </c>
      <c r="D151" t="s">
        <v>17</v>
      </c>
      <c r="E151" t="s">
        <v>35</v>
      </c>
      <c r="F151">
        <v>115.35</v>
      </c>
      <c r="G151" t="s">
        <v>24</v>
      </c>
      <c r="H151" t="s">
        <v>15</v>
      </c>
      <c r="I151">
        <v>4.0999999999999996</v>
      </c>
      <c r="J151">
        <v>13</v>
      </c>
      <c r="K151">
        <v>4</v>
      </c>
      <c r="L151" s="4">
        <v>132.58620689655172</v>
      </c>
      <c r="M151" s="4">
        <v>17.236206896551721</v>
      </c>
      <c r="N151" t="s">
        <v>92</v>
      </c>
    </row>
    <row r="152" spans="1:14">
      <c r="A152">
        <v>151</v>
      </c>
      <c r="B152">
        <v>57</v>
      </c>
      <c r="C152" t="s">
        <v>16</v>
      </c>
      <c r="D152" t="s">
        <v>20</v>
      </c>
      <c r="E152" t="s">
        <v>21</v>
      </c>
      <c r="F152">
        <v>31.54</v>
      </c>
      <c r="G152" t="s">
        <v>24</v>
      </c>
      <c r="H152" t="s">
        <v>37</v>
      </c>
      <c r="I152">
        <v>5</v>
      </c>
      <c r="J152">
        <v>16</v>
      </c>
      <c r="K152">
        <v>3</v>
      </c>
      <c r="L152" s="4">
        <v>37.547619047619051</v>
      </c>
      <c r="M152" s="4">
        <v>6.0076190476190519</v>
      </c>
      <c r="N152" t="s">
        <v>94</v>
      </c>
    </row>
    <row r="153" spans="1:14">
      <c r="A153">
        <v>152</v>
      </c>
      <c r="B153">
        <v>35</v>
      </c>
      <c r="C153" t="s">
        <v>11</v>
      </c>
      <c r="D153" t="s">
        <v>33</v>
      </c>
      <c r="E153" t="s">
        <v>34</v>
      </c>
      <c r="F153">
        <v>142.19</v>
      </c>
      <c r="G153" t="s">
        <v>19</v>
      </c>
      <c r="H153" t="s">
        <v>15</v>
      </c>
      <c r="I153">
        <v>3.6</v>
      </c>
      <c r="J153">
        <v>16</v>
      </c>
      <c r="K153">
        <v>3</v>
      </c>
      <c r="L153" s="4">
        <v>169.27380952380952</v>
      </c>
      <c r="M153" s="4">
        <v>27.083809523809521</v>
      </c>
      <c r="N153" t="s">
        <v>92</v>
      </c>
    </row>
    <row r="154" spans="1:14">
      <c r="A154">
        <v>153</v>
      </c>
      <c r="B154">
        <v>38</v>
      </c>
      <c r="C154" t="s">
        <v>11</v>
      </c>
      <c r="D154" t="s">
        <v>33</v>
      </c>
      <c r="E154" t="s">
        <v>34</v>
      </c>
      <c r="F154">
        <v>246.21</v>
      </c>
      <c r="G154" t="s">
        <v>14</v>
      </c>
      <c r="H154" t="s">
        <v>15</v>
      </c>
      <c r="I154">
        <v>3.1</v>
      </c>
      <c r="J154">
        <v>8</v>
      </c>
      <c r="K154">
        <v>4</v>
      </c>
      <c r="L154" s="4">
        <v>267.61956521739131</v>
      </c>
      <c r="M154" s="4">
        <v>21.409565217391304</v>
      </c>
      <c r="N154" t="s">
        <v>92</v>
      </c>
    </row>
    <row r="155" spans="1:14">
      <c r="A155">
        <v>154</v>
      </c>
      <c r="B155">
        <v>68</v>
      </c>
      <c r="C155" t="s">
        <v>16</v>
      </c>
      <c r="D155" t="s">
        <v>33</v>
      </c>
      <c r="E155" t="s">
        <v>38</v>
      </c>
      <c r="F155">
        <v>194.06</v>
      </c>
      <c r="G155" t="s">
        <v>19</v>
      </c>
      <c r="H155" t="s">
        <v>15</v>
      </c>
      <c r="I155">
        <v>3.8</v>
      </c>
      <c r="J155">
        <v>18</v>
      </c>
      <c r="K155">
        <v>4</v>
      </c>
      <c r="L155" s="4">
        <v>236.65853658536585</v>
      </c>
      <c r="M155" s="4">
        <v>42.598536585365849</v>
      </c>
      <c r="N155" t="s">
        <v>95</v>
      </c>
    </row>
    <row r="156" spans="1:14">
      <c r="A156">
        <v>155</v>
      </c>
      <c r="B156">
        <v>66</v>
      </c>
      <c r="C156" t="s">
        <v>11</v>
      </c>
      <c r="D156" t="s">
        <v>12</v>
      </c>
      <c r="E156" t="s">
        <v>13</v>
      </c>
      <c r="F156">
        <v>172.05</v>
      </c>
      <c r="G156" t="s">
        <v>24</v>
      </c>
      <c r="H156" t="s">
        <v>15</v>
      </c>
      <c r="I156">
        <v>2.5</v>
      </c>
      <c r="J156">
        <v>17</v>
      </c>
      <c r="K156">
        <v>6</v>
      </c>
      <c r="L156" s="4">
        <v>207.28915662650604</v>
      </c>
      <c r="M156" s="4">
        <v>35.239156626506031</v>
      </c>
      <c r="N156" t="s">
        <v>95</v>
      </c>
    </row>
    <row r="157" spans="1:14">
      <c r="A157">
        <v>156</v>
      </c>
      <c r="B157">
        <v>38</v>
      </c>
      <c r="C157" t="s">
        <v>11</v>
      </c>
      <c r="D157" t="s">
        <v>41</v>
      </c>
      <c r="E157" t="s">
        <v>44</v>
      </c>
      <c r="F157">
        <v>94.08</v>
      </c>
      <c r="G157" t="s">
        <v>31</v>
      </c>
      <c r="H157" t="s">
        <v>37</v>
      </c>
      <c r="I157">
        <v>4.0999999999999996</v>
      </c>
      <c r="J157">
        <v>22</v>
      </c>
      <c r="K157">
        <v>6</v>
      </c>
      <c r="L157" s="4">
        <v>120.61538461538461</v>
      </c>
      <c r="M157" s="4">
        <v>26.535384615384615</v>
      </c>
      <c r="N157" t="s">
        <v>92</v>
      </c>
    </row>
    <row r="158" spans="1:14">
      <c r="A158">
        <v>157</v>
      </c>
      <c r="B158">
        <v>20</v>
      </c>
      <c r="C158" t="s">
        <v>11</v>
      </c>
      <c r="D158" t="s">
        <v>41</v>
      </c>
      <c r="E158" t="s">
        <v>46</v>
      </c>
      <c r="F158">
        <v>57.01</v>
      </c>
      <c r="G158" t="s">
        <v>31</v>
      </c>
      <c r="H158" t="s">
        <v>15</v>
      </c>
      <c r="I158">
        <v>3.1</v>
      </c>
      <c r="J158">
        <v>15</v>
      </c>
      <c r="K158">
        <v>5</v>
      </c>
      <c r="L158" s="4">
        <v>67.07058823529411</v>
      </c>
      <c r="M158" s="4">
        <v>10.060588235294112</v>
      </c>
      <c r="N158" t="s">
        <v>100</v>
      </c>
    </row>
    <row r="159" spans="1:14">
      <c r="A159">
        <v>158</v>
      </c>
      <c r="B159">
        <v>47</v>
      </c>
      <c r="C159" t="s">
        <v>11</v>
      </c>
      <c r="D159" t="s">
        <v>33</v>
      </c>
      <c r="E159" t="s">
        <v>34</v>
      </c>
      <c r="F159">
        <v>130.07</v>
      </c>
      <c r="G159" t="s">
        <v>19</v>
      </c>
      <c r="H159" t="s">
        <v>15</v>
      </c>
      <c r="I159">
        <v>3.1</v>
      </c>
      <c r="J159">
        <v>13</v>
      </c>
      <c r="K159">
        <v>4</v>
      </c>
      <c r="L159" s="4">
        <v>149.50574712643677</v>
      </c>
      <c r="M159" s="4">
        <v>19.43574712643678</v>
      </c>
      <c r="N159" t="s">
        <v>93</v>
      </c>
    </row>
    <row r="160" spans="1:14">
      <c r="A160">
        <v>159</v>
      </c>
      <c r="B160">
        <v>62</v>
      </c>
      <c r="C160" t="s">
        <v>16</v>
      </c>
      <c r="D160" t="s">
        <v>17</v>
      </c>
      <c r="E160" t="s">
        <v>18</v>
      </c>
      <c r="F160">
        <v>161.22</v>
      </c>
      <c r="G160" t="s">
        <v>14</v>
      </c>
      <c r="H160" t="s">
        <v>15</v>
      </c>
      <c r="I160">
        <v>4.7</v>
      </c>
      <c r="J160">
        <v>18</v>
      </c>
      <c r="K160">
        <v>4</v>
      </c>
      <c r="L160" s="4">
        <v>196.60975609756096</v>
      </c>
      <c r="M160" s="4">
        <v>35.389756097560962</v>
      </c>
      <c r="N160" t="s">
        <v>94</v>
      </c>
    </row>
    <row r="161" spans="1:14">
      <c r="A161">
        <v>160</v>
      </c>
      <c r="B161">
        <v>33</v>
      </c>
      <c r="C161" t="s">
        <v>16</v>
      </c>
      <c r="D161" t="s">
        <v>27</v>
      </c>
      <c r="E161" t="s">
        <v>28</v>
      </c>
      <c r="F161">
        <v>862.41</v>
      </c>
      <c r="G161" t="s">
        <v>19</v>
      </c>
      <c r="H161" t="s">
        <v>15</v>
      </c>
      <c r="I161">
        <v>3.5</v>
      </c>
      <c r="J161">
        <v>12</v>
      </c>
      <c r="K161">
        <v>6</v>
      </c>
      <c r="L161" s="4">
        <v>980.01136363636363</v>
      </c>
      <c r="M161" s="4">
        <v>117.60136363636366</v>
      </c>
      <c r="N161" t="s">
        <v>91</v>
      </c>
    </row>
    <row r="162" spans="1:14">
      <c r="A162">
        <v>161</v>
      </c>
      <c r="B162">
        <v>23</v>
      </c>
      <c r="C162" t="s">
        <v>16</v>
      </c>
      <c r="D162" t="s">
        <v>33</v>
      </c>
      <c r="E162" t="s">
        <v>34</v>
      </c>
      <c r="F162">
        <v>157.86000000000001</v>
      </c>
      <c r="G162" t="s">
        <v>19</v>
      </c>
      <c r="H162" t="s">
        <v>15</v>
      </c>
      <c r="I162">
        <v>5</v>
      </c>
      <c r="J162">
        <v>13</v>
      </c>
      <c r="K162">
        <v>4</v>
      </c>
      <c r="L162" s="4">
        <v>181.44827586206898</v>
      </c>
      <c r="M162" s="4">
        <v>23.588275862068969</v>
      </c>
      <c r="N162" t="s">
        <v>100</v>
      </c>
    </row>
    <row r="163" spans="1:14">
      <c r="A163">
        <v>162</v>
      </c>
      <c r="B163">
        <v>25</v>
      </c>
      <c r="C163" t="s">
        <v>11</v>
      </c>
      <c r="D163" t="s">
        <v>29</v>
      </c>
      <c r="E163" t="s">
        <v>55</v>
      </c>
      <c r="F163">
        <v>142.94</v>
      </c>
      <c r="G163" t="s">
        <v>14</v>
      </c>
      <c r="H163" t="s">
        <v>15</v>
      </c>
      <c r="I163">
        <v>4.5</v>
      </c>
      <c r="J163">
        <v>17</v>
      </c>
      <c r="K163">
        <v>6</v>
      </c>
      <c r="L163" s="4">
        <v>172.21686746987953</v>
      </c>
      <c r="M163" s="4">
        <v>29.276867469879534</v>
      </c>
      <c r="N163" t="s">
        <v>91</v>
      </c>
    </row>
    <row r="164" spans="1:14">
      <c r="A164">
        <v>163</v>
      </c>
      <c r="B164">
        <v>29</v>
      </c>
      <c r="C164" t="s">
        <v>16</v>
      </c>
      <c r="D164" t="s">
        <v>20</v>
      </c>
      <c r="E164" t="s">
        <v>21</v>
      </c>
      <c r="F164">
        <v>70.31</v>
      </c>
      <c r="G164" t="s">
        <v>31</v>
      </c>
      <c r="H164" t="s">
        <v>37</v>
      </c>
      <c r="I164">
        <v>3</v>
      </c>
      <c r="J164">
        <v>8</v>
      </c>
      <c r="K164">
        <v>4</v>
      </c>
      <c r="L164" s="4">
        <v>76.423913043478265</v>
      </c>
      <c r="M164" s="4">
        <v>6.1139130434782629</v>
      </c>
      <c r="N164" t="s">
        <v>91</v>
      </c>
    </row>
    <row r="165" spans="1:14">
      <c r="A165">
        <v>164</v>
      </c>
      <c r="B165">
        <v>60</v>
      </c>
      <c r="C165" t="s">
        <v>11</v>
      </c>
      <c r="D165" t="s">
        <v>41</v>
      </c>
      <c r="E165" t="s">
        <v>46</v>
      </c>
      <c r="F165">
        <v>34.619999999999997</v>
      </c>
      <c r="G165" t="s">
        <v>31</v>
      </c>
      <c r="H165" t="s">
        <v>15</v>
      </c>
      <c r="I165">
        <v>4.2</v>
      </c>
      <c r="J165">
        <v>20</v>
      </c>
      <c r="K165">
        <v>5</v>
      </c>
      <c r="L165" s="4">
        <v>43.274999999999991</v>
      </c>
      <c r="M165" s="4">
        <v>8.654999999999994</v>
      </c>
      <c r="N165" t="s">
        <v>94</v>
      </c>
    </row>
    <row r="166" spans="1:14">
      <c r="A166">
        <v>165</v>
      </c>
      <c r="B166">
        <v>69</v>
      </c>
      <c r="C166" t="s">
        <v>16</v>
      </c>
      <c r="D166" t="s">
        <v>33</v>
      </c>
      <c r="E166" t="s">
        <v>38</v>
      </c>
      <c r="F166">
        <v>82.79</v>
      </c>
      <c r="G166" t="s">
        <v>31</v>
      </c>
      <c r="H166" t="s">
        <v>37</v>
      </c>
      <c r="I166">
        <v>5</v>
      </c>
      <c r="J166">
        <v>21</v>
      </c>
      <c r="K166">
        <v>8</v>
      </c>
      <c r="L166" s="4">
        <v>104.79746835443038</v>
      </c>
      <c r="M166" s="4">
        <v>22.007468354430372</v>
      </c>
      <c r="N166" t="s">
        <v>95</v>
      </c>
    </row>
    <row r="167" spans="1:14">
      <c r="A167">
        <v>166</v>
      </c>
      <c r="B167">
        <v>35</v>
      </c>
      <c r="C167" t="s">
        <v>16</v>
      </c>
      <c r="D167" t="s">
        <v>33</v>
      </c>
      <c r="E167" t="s">
        <v>34</v>
      </c>
      <c r="F167">
        <v>75.459999999999994</v>
      </c>
      <c r="G167" t="s">
        <v>14</v>
      </c>
      <c r="H167" t="s">
        <v>15</v>
      </c>
      <c r="I167">
        <v>2.5</v>
      </c>
      <c r="J167">
        <v>16</v>
      </c>
      <c r="K167">
        <v>3</v>
      </c>
      <c r="L167" s="4">
        <v>89.833333333333329</v>
      </c>
      <c r="M167" s="4">
        <v>14.373333333333335</v>
      </c>
      <c r="N167" t="s">
        <v>92</v>
      </c>
    </row>
    <row r="168" spans="1:14">
      <c r="A168">
        <v>167</v>
      </c>
      <c r="B168">
        <v>49</v>
      </c>
      <c r="C168" t="s">
        <v>11</v>
      </c>
      <c r="D168" t="s">
        <v>12</v>
      </c>
      <c r="E168" t="s">
        <v>13</v>
      </c>
      <c r="F168">
        <v>148.58000000000001</v>
      </c>
      <c r="G168" t="s">
        <v>31</v>
      </c>
      <c r="H168" t="s">
        <v>15</v>
      </c>
      <c r="I168">
        <v>4.3</v>
      </c>
      <c r="J168">
        <v>26</v>
      </c>
      <c r="K168">
        <v>8</v>
      </c>
      <c r="L168" s="4">
        <v>200.7837837837838</v>
      </c>
      <c r="M168" s="4">
        <v>52.203783783783791</v>
      </c>
      <c r="N168" t="s">
        <v>93</v>
      </c>
    </row>
    <row r="169" spans="1:14">
      <c r="A169">
        <v>168</v>
      </c>
      <c r="B169">
        <v>52</v>
      </c>
      <c r="C169" t="s">
        <v>11</v>
      </c>
      <c r="D169" t="s">
        <v>41</v>
      </c>
      <c r="E169" t="s">
        <v>45</v>
      </c>
      <c r="F169">
        <v>43.5</v>
      </c>
      <c r="G169" t="s">
        <v>14</v>
      </c>
      <c r="H169" t="s">
        <v>37</v>
      </c>
      <c r="I169">
        <v>3.4</v>
      </c>
      <c r="J169">
        <v>24</v>
      </c>
      <c r="K169">
        <v>7</v>
      </c>
      <c r="L169" s="4">
        <v>57.236842105263158</v>
      </c>
      <c r="M169" s="4">
        <v>13.736842105263158</v>
      </c>
      <c r="N169" t="s">
        <v>93</v>
      </c>
    </row>
    <row r="170" spans="1:14">
      <c r="A170">
        <v>169</v>
      </c>
      <c r="B170">
        <v>28</v>
      </c>
      <c r="C170" t="s">
        <v>16</v>
      </c>
      <c r="D170" t="s">
        <v>17</v>
      </c>
      <c r="E170" t="s">
        <v>48</v>
      </c>
      <c r="F170">
        <v>179.57</v>
      </c>
      <c r="G170" t="s">
        <v>24</v>
      </c>
      <c r="H170" t="s">
        <v>15</v>
      </c>
      <c r="I170">
        <v>3.2</v>
      </c>
      <c r="J170">
        <v>6</v>
      </c>
      <c r="K170">
        <v>3</v>
      </c>
      <c r="L170" s="4">
        <v>191.03191489361703</v>
      </c>
      <c r="M170" s="4">
        <v>11.461914893617035</v>
      </c>
      <c r="N170" t="s">
        <v>91</v>
      </c>
    </row>
    <row r="171" spans="1:14">
      <c r="A171">
        <v>170</v>
      </c>
      <c r="B171">
        <v>70</v>
      </c>
      <c r="C171" t="s">
        <v>16</v>
      </c>
      <c r="D171" t="s">
        <v>20</v>
      </c>
      <c r="E171" t="s">
        <v>21</v>
      </c>
      <c r="F171">
        <v>122.99</v>
      </c>
      <c r="G171" t="s">
        <v>14</v>
      </c>
      <c r="H171" t="s">
        <v>15</v>
      </c>
      <c r="I171">
        <v>3.4</v>
      </c>
      <c r="J171">
        <v>10</v>
      </c>
      <c r="K171">
        <v>5</v>
      </c>
      <c r="L171" s="4">
        <v>136.65555555555554</v>
      </c>
      <c r="M171" s="4">
        <v>13.665555555555542</v>
      </c>
      <c r="N171" t="s">
        <v>95</v>
      </c>
    </row>
    <row r="172" spans="1:14">
      <c r="A172">
        <v>171</v>
      </c>
      <c r="B172">
        <v>53</v>
      </c>
      <c r="C172" t="s">
        <v>11</v>
      </c>
      <c r="D172" t="s">
        <v>33</v>
      </c>
      <c r="E172" t="s">
        <v>38</v>
      </c>
      <c r="F172">
        <v>76.73</v>
      </c>
      <c r="G172" t="s">
        <v>14</v>
      </c>
      <c r="H172" t="s">
        <v>37</v>
      </c>
      <c r="I172">
        <v>5</v>
      </c>
      <c r="J172">
        <v>24</v>
      </c>
      <c r="K172">
        <v>7</v>
      </c>
      <c r="L172" s="4">
        <v>100.96052631578948</v>
      </c>
      <c r="M172" s="4">
        <v>24.230526315789476</v>
      </c>
      <c r="N172" t="s">
        <v>93</v>
      </c>
    </row>
    <row r="173" spans="1:14">
      <c r="A173">
        <v>172</v>
      </c>
      <c r="B173">
        <v>36</v>
      </c>
      <c r="C173" t="s">
        <v>16</v>
      </c>
      <c r="D173" t="s">
        <v>20</v>
      </c>
      <c r="E173" t="s">
        <v>21</v>
      </c>
      <c r="F173">
        <v>227.24</v>
      </c>
      <c r="G173" t="s">
        <v>31</v>
      </c>
      <c r="H173" t="s">
        <v>15</v>
      </c>
      <c r="I173">
        <v>3.4</v>
      </c>
      <c r="J173">
        <v>14</v>
      </c>
      <c r="K173">
        <v>2</v>
      </c>
      <c r="L173" s="4">
        <v>264.23255813953489</v>
      </c>
      <c r="M173" s="4">
        <v>36.992558139534879</v>
      </c>
      <c r="N173" t="s">
        <v>92</v>
      </c>
    </row>
    <row r="174" spans="1:14">
      <c r="A174">
        <v>173</v>
      </c>
      <c r="B174">
        <v>53</v>
      </c>
      <c r="C174" t="s">
        <v>11</v>
      </c>
      <c r="D174" t="s">
        <v>41</v>
      </c>
      <c r="E174" t="s">
        <v>42</v>
      </c>
      <c r="F174">
        <v>94.87</v>
      </c>
      <c r="G174" t="s">
        <v>24</v>
      </c>
      <c r="H174" t="s">
        <v>37</v>
      </c>
      <c r="I174">
        <v>3.6</v>
      </c>
      <c r="J174">
        <v>13</v>
      </c>
      <c r="K174">
        <v>4</v>
      </c>
      <c r="L174" s="4">
        <v>109.04597701149426</v>
      </c>
      <c r="M174" s="4">
        <v>14.175977011494254</v>
      </c>
      <c r="N174" t="s">
        <v>93</v>
      </c>
    </row>
    <row r="175" spans="1:14">
      <c r="A175">
        <v>174</v>
      </c>
      <c r="B175">
        <v>38</v>
      </c>
      <c r="C175" t="s">
        <v>11</v>
      </c>
      <c r="D175" t="s">
        <v>41</v>
      </c>
      <c r="E175" t="s">
        <v>44</v>
      </c>
      <c r="F175">
        <v>166.83</v>
      </c>
      <c r="G175" t="s">
        <v>24</v>
      </c>
      <c r="H175" t="s">
        <v>15</v>
      </c>
      <c r="I175">
        <v>4.0999999999999996</v>
      </c>
      <c r="J175">
        <v>16</v>
      </c>
      <c r="K175">
        <v>3</v>
      </c>
      <c r="L175" s="4">
        <v>198.60714285714289</v>
      </c>
      <c r="M175" s="4">
        <v>31.777142857142877</v>
      </c>
      <c r="N175" t="s">
        <v>92</v>
      </c>
    </row>
    <row r="176" spans="1:14">
      <c r="A176">
        <v>175</v>
      </c>
      <c r="B176">
        <v>38</v>
      </c>
      <c r="C176" t="s">
        <v>16</v>
      </c>
      <c r="D176" t="s">
        <v>20</v>
      </c>
      <c r="E176" t="s">
        <v>36</v>
      </c>
      <c r="F176">
        <v>52.06</v>
      </c>
      <c r="G176" t="s">
        <v>24</v>
      </c>
      <c r="H176" t="s">
        <v>15</v>
      </c>
      <c r="I176">
        <v>2.2999999999999998</v>
      </c>
      <c r="J176">
        <v>4</v>
      </c>
      <c r="K176">
        <v>2</v>
      </c>
      <c r="L176" s="4">
        <v>54.229166666666671</v>
      </c>
      <c r="M176" s="4">
        <v>2.1691666666666691</v>
      </c>
      <c r="N176" t="s">
        <v>92</v>
      </c>
    </row>
    <row r="177" spans="1:14">
      <c r="A177">
        <v>176</v>
      </c>
      <c r="B177">
        <v>54</v>
      </c>
      <c r="C177" t="s">
        <v>16</v>
      </c>
      <c r="D177" t="s">
        <v>17</v>
      </c>
      <c r="E177" t="s">
        <v>18</v>
      </c>
      <c r="F177">
        <v>38.18</v>
      </c>
      <c r="G177" t="s">
        <v>24</v>
      </c>
      <c r="H177" t="s">
        <v>37</v>
      </c>
      <c r="I177">
        <v>3.5</v>
      </c>
      <c r="J177">
        <v>12</v>
      </c>
      <c r="K177">
        <v>6</v>
      </c>
      <c r="L177" s="4">
        <v>43.386363636363633</v>
      </c>
      <c r="M177" s="4">
        <v>5.2063636363636334</v>
      </c>
      <c r="N177" t="s">
        <v>93</v>
      </c>
    </row>
    <row r="178" spans="1:14">
      <c r="A178">
        <v>177</v>
      </c>
      <c r="B178">
        <v>67</v>
      </c>
      <c r="C178" t="s">
        <v>11</v>
      </c>
      <c r="D178" t="s">
        <v>12</v>
      </c>
      <c r="E178" t="s">
        <v>56</v>
      </c>
      <c r="F178">
        <v>156.91</v>
      </c>
      <c r="G178" t="s">
        <v>31</v>
      </c>
      <c r="H178" t="s">
        <v>15</v>
      </c>
      <c r="I178">
        <v>3.3</v>
      </c>
      <c r="J178">
        <v>8</v>
      </c>
      <c r="K178">
        <v>4</v>
      </c>
      <c r="L178" s="4">
        <v>170.55434782608694</v>
      </c>
      <c r="M178" s="4">
        <v>13.644347826086943</v>
      </c>
      <c r="N178" t="s">
        <v>95</v>
      </c>
    </row>
    <row r="179" spans="1:14">
      <c r="A179">
        <v>178</v>
      </c>
      <c r="B179">
        <v>36</v>
      </c>
      <c r="C179" t="s">
        <v>11</v>
      </c>
      <c r="D179" t="s">
        <v>29</v>
      </c>
      <c r="E179" t="s">
        <v>55</v>
      </c>
      <c r="F179">
        <v>110.28</v>
      </c>
      <c r="G179" t="s">
        <v>19</v>
      </c>
      <c r="H179" t="s">
        <v>15</v>
      </c>
      <c r="I179">
        <v>3.8</v>
      </c>
      <c r="J179">
        <v>16</v>
      </c>
      <c r="K179">
        <v>3</v>
      </c>
      <c r="L179" s="4">
        <v>131.28571428571431</v>
      </c>
      <c r="M179" s="4">
        <v>21.005714285714305</v>
      </c>
      <c r="N179" t="s">
        <v>92</v>
      </c>
    </row>
    <row r="180" spans="1:14">
      <c r="A180">
        <v>179</v>
      </c>
      <c r="B180">
        <v>48</v>
      </c>
      <c r="C180" t="s">
        <v>11</v>
      </c>
      <c r="D180" t="s">
        <v>12</v>
      </c>
      <c r="E180" t="s">
        <v>56</v>
      </c>
      <c r="F180">
        <v>114.67</v>
      </c>
      <c r="G180" t="s">
        <v>24</v>
      </c>
      <c r="H180" t="s">
        <v>15</v>
      </c>
      <c r="I180">
        <v>3.5</v>
      </c>
      <c r="J180">
        <v>8</v>
      </c>
      <c r="K180">
        <v>4</v>
      </c>
      <c r="L180" s="4">
        <v>124.64130434782608</v>
      </c>
      <c r="M180" s="4">
        <v>9.9713043478260772</v>
      </c>
      <c r="N180" t="s">
        <v>93</v>
      </c>
    </row>
    <row r="181" spans="1:14">
      <c r="A181">
        <v>180</v>
      </c>
      <c r="B181">
        <v>20</v>
      </c>
      <c r="C181" t="s">
        <v>11</v>
      </c>
      <c r="D181" t="s">
        <v>41</v>
      </c>
      <c r="E181" t="s">
        <v>45</v>
      </c>
      <c r="F181">
        <v>73.25</v>
      </c>
      <c r="G181" t="s">
        <v>24</v>
      </c>
      <c r="H181" t="s">
        <v>15</v>
      </c>
      <c r="I181">
        <v>2.5</v>
      </c>
      <c r="J181">
        <v>11</v>
      </c>
      <c r="K181">
        <v>3</v>
      </c>
      <c r="L181" s="4">
        <v>82.303370786516851</v>
      </c>
      <c r="M181" s="4">
        <v>9.0533707865168509</v>
      </c>
      <c r="N181" t="s">
        <v>100</v>
      </c>
    </row>
    <row r="182" spans="1:14">
      <c r="A182">
        <v>181</v>
      </c>
      <c r="B182">
        <v>48</v>
      </c>
      <c r="C182" t="s">
        <v>16</v>
      </c>
      <c r="D182" t="s">
        <v>20</v>
      </c>
      <c r="E182" t="s">
        <v>36</v>
      </c>
      <c r="F182">
        <v>162.43</v>
      </c>
      <c r="G182" t="s">
        <v>31</v>
      </c>
      <c r="H182" t="s">
        <v>15</v>
      </c>
      <c r="I182">
        <v>3.4</v>
      </c>
      <c r="J182">
        <v>11</v>
      </c>
      <c r="K182">
        <v>3</v>
      </c>
      <c r="L182" s="4">
        <v>182.50561797752809</v>
      </c>
      <c r="M182" s="4">
        <v>20.075617977528083</v>
      </c>
      <c r="N182" t="s">
        <v>93</v>
      </c>
    </row>
    <row r="183" spans="1:14">
      <c r="A183">
        <v>182</v>
      </c>
      <c r="B183">
        <v>40</v>
      </c>
      <c r="C183" t="s">
        <v>16</v>
      </c>
      <c r="D183" t="s">
        <v>17</v>
      </c>
      <c r="E183" t="s">
        <v>42</v>
      </c>
      <c r="F183">
        <v>79.89</v>
      </c>
      <c r="G183" t="s">
        <v>31</v>
      </c>
      <c r="H183" t="s">
        <v>15</v>
      </c>
      <c r="I183">
        <v>4.4000000000000004</v>
      </c>
      <c r="J183">
        <v>18</v>
      </c>
      <c r="K183">
        <v>4</v>
      </c>
      <c r="L183" s="4">
        <v>97.426829268292678</v>
      </c>
      <c r="M183" s="4">
        <v>17.536829268292678</v>
      </c>
      <c r="N183" t="s">
        <v>92</v>
      </c>
    </row>
    <row r="184" spans="1:14">
      <c r="A184">
        <v>183</v>
      </c>
      <c r="B184">
        <v>60</v>
      </c>
      <c r="C184" t="s">
        <v>16</v>
      </c>
      <c r="D184" t="s">
        <v>33</v>
      </c>
      <c r="E184" t="s">
        <v>34</v>
      </c>
      <c r="F184">
        <v>248.49</v>
      </c>
      <c r="G184" t="s">
        <v>14</v>
      </c>
      <c r="H184" t="s">
        <v>15</v>
      </c>
      <c r="I184">
        <v>4.2</v>
      </c>
      <c r="J184">
        <v>6</v>
      </c>
      <c r="K184">
        <v>3</v>
      </c>
      <c r="L184" s="4">
        <v>264.35106382978728</v>
      </c>
      <c r="M184" s="4">
        <v>15.86106382978727</v>
      </c>
      <c r="N184" t="s">
        <v>94</v>
      </c>
    </row>
    <row r="185" spans="1:14">
      <c r="A185">
        <v>184</v>
      </c>
      <c r="B185">
        <v>52</v>
      </c>
      <c r="C185" t="s">
        <v>16</v>
      </c>
      <c r="D185" t="s">
        <v>20</v>
      </c>
      <c r="E185" t="s">
        <v>36</v>
      </c>
      <c r="F185">
        <v>187.31</v>
      </c>
      <c r="G185" t="s">
        <v>24</v>
      </c>
      <c r="H185" t="s">
        <v>15</v>
      </c>
      <c r="I185">
        <v>4.7</v>
      </c>
      <c r="J185">
        <v>7</v>
      </c>
      <c r="K185">
        <v>1</v>
      </c>
      <c r="L185" s="4">
        <v>201.40860215053766</v>
      </c>
      <c r="M185" s="4">
        <v>14.098602150537658</v>
      </c>
      <c r="N185" t="s">
        <v>93</v>
      </c>
    </row>
    <row r="186" spans="1:14">
      <c r="A186">
        <v>185</v>
      </c>
      <c r="B186">
        <v>66</v>
      </c>
      <c r="C186" t="s">
        <v>16</v>
      </c>
      <c r="D186" t="s">
        <v>22</v>
      </c>
      <c r="E186" t="s">
        <v>23</v>
      </c>
      <c r="F186">
        <v>60.91</v>
      </c>
      <c r="G186" t="s">
        <v>24</v>
      </c>
      <c r="H186" t="s">
        <v>15</v>
      </c>
      <c r="I186">
        <v>4</v>
      </c>
      <c r="J186">
        <v>8</v>
      </c>
      <c r="K186">
        <v>4</v>
      </c>
      <c r="L186" s="4">
        <v>66.206521739130423</v>
      </c>
      <c r="M186" s="4">
        <v>5.2965217391304265</v>
      </c>
      <c r="N186" t="s">
        <v>95</v>
      </c>
    </row>
    <row r="187" spans="1:14">
      <c r="A187">
        <v>186</v>
      </c>
      <c r="B187">
        <v>60</v>
      </c>
      <c r="C187" t="s">
        <v>11</v>
      </c>
      <c r="D187" t="s">
        <v>12</v>
      </c>
      <c r="E187" t="s">
        <v>13</v>
      </c>
      <c r="F187">
        <v>21.62</v>
      </c>
      <c r="G187" t="s">
        <v>19</v>
      </c>
      <c r="H187" t="s">
        <v>37</v>
      </c>
      <c r="I187">
        <v>3.8</v>
      </c>
      <c r="J187">
        <v>19</v>
      </c>
      <c r="K187">
        <v>7</v>
      </c>
      <c r="L187" s="4">
        <v>26.691358024691358</v>
      </c>
      <c r="M187" s="4">
        <v>5.0713580246913565</v>
      </c>
      <c r="N187" t="s">
        <v>94</v>
      </c>
    </row>
    <row r="188" spans="1:14">
      <c r="A188">
        <v>187</v>
      </c>
      <c r="B188">
        <v>36</v>
      </c>
      <c r="C188" t="s">
        <v>16</v>
      </c>
      <c r="D188" t="s">
        <v>33</v>
      </c>
      <c r="E188" t="s">
        <v>38</v>
      </c>
      <c r="F188">
        <v>142.06</v>
      </c>
      <c r="G188" t="s">
        <v>14</v>
      </c>
      <c r="H188" t="s">
        <v>15</v>
      </c>
      <c r="I188">
        <v>3.5</v>
      </c>
      <c r="J188">
        <v>4</v>
      </c>
      <c r="K188">
        <v>2</v>
      </c>
      <c r="L188" s="4">
        <v>147.97916666666669</v>
      </c>
      <c r="M188" s="4">
        <v>5.9191666666666833</v>
      </c>
      <c r="N188" t="s">
        <v>92</v>
      </c>
    </row>
    <row r="189" spans="1:14">
      <c r="A189">
        <v>188</v>
      </c>
      <c r="B189">
        <v>57</v>
      </c>
      <c r="C189" t="s">
        <v>11</v>
      </c>
      <c r="D189" t="s">
        <v>12</v>
      </c>
      <c r="E189" t="s">
        <v>56</v>
      </c>
      <c r="F189">
        <v>84.62</v>
      </c>
      <c r="G189" t="s">
        <v>14</v>
      </c>
      <c r="H189" t="s">
        <v>15</v>
      </c>
      <c r="I189">
        <v>2.8</v>
      </c>
      <c r="J189">
        <v>18</v>
      </c>
      <c r="K189">
        <v>4</v>
      </c>
      <c r="L189" s="4">
        <v>103.19512195121951</v>
      </c>
      <c r="M189" s="4">
        <v>18.575121951219501</v>
      </c>
      <c r="N189" t="s">
        <v>94</v>
      </c>
    </row>
    <row r="190" spans="1:14">
      <c r="A190">
        <v>189</v>
      </c>
      <c r="B190">
        <v>63</v>
      </c>
      <c r="C190" t="s">
        <v>16</v>
      </c>
      <c r="D190" t="s">
        <v>33</v>
      </c>
      <c r="E190" t="s">
        <v>38</v>
      </c>
      <c r="F190">
        <v>162.26</v>
      </c>
      <c r="G190" t="s">
        <v>14</v>
      </c>
      <c r="H190" t="s">
        <v>15</v>
      </c>
      <c r="I190">
        <v>3.5</v>
      </c>
      <c r="J190">
        <v>12</v>
      </c>
      <c r="K190">
        <v>6</v>
      </c>
      <c r="L190" s="4">
        <v>184.38636363636363</v>
      </c>
      <c r="M190" s="4">
        <v>22.126363636363635</v>
      </c>
      <c r="N190" t="s">
        <v>94</v>
      </c>
    </row>
    <row r="191" spans="1:14">
      <c r="A191">
        <v>190</v>
      </c>
      <c r="B191">
        <v>38</v>
      </c>
      <c r="C191" t="s">
        <v>16</v>
      </c>
      <c r="D191" t="s">
        <v>17</v>
      </c>
      <c r="E191" t="s">
        <v>35</v>
      </c>
      <c r="F191">
        <v>31.14</v>
      </c>
      <c r="G191" t="s">
        <v>31</v>
      </c>
      <c r="H191" t="s">
        <v>15</v>
      </c>
      <c r="I191">
        <v>4.4000000000000004</v>
      </c>
      <c r="J191">
        <v>19</v>
      </c>
      <c r="K191">
        <v>7</v>
      </c>
      <c r="L191" s="4">
        <v>38.444444444444443</v>
      </c>
      <c r="M191" s="4">
        <v>7.3044444444444423</v>
      </c>
      <c r="N191" t="s">
        <v>92</v>
      </c>
    </row>
    <row r="192" spans="1:14">
      <c r="A192">
        <v>191</v>
      </c>
      <c r="B192">
        <v>23</v>
      </c>
      <c r="C192" t="s">
        <v>16</v>
      </c>
      <c r="D192" t="s">
        <v>25</v>
      </c>
      <c r="E192" t="s">
        <v>54</v>
      </c>
      <c r="F192">
        <v>7.07</v>
      </c>
      <c r="G192" t="s">
        <v>19</v>
      </c>
      <c r="H192" t="s">
        <v>37</v>
      </c>
      <c r="I192">
        <v>3.7</v>
      </c>
      <c r="J192">
        <v>18</v>
      </c>
      <c r="K192">
        <v>4</v>
      </c>
      <c r="L192" s="4">
        <v>8.6219512195121943</v>
      </c>
      <c r="M192" s="4">
        <v>1.5519512195121941</v>
      </c>
      <c r="N192" t="s">
        <v>100</v>
      </c>
    </row>
    <row r="193" spans="1:14">
      <c r="A193">
        <v>192</v>
      </c>
      <c r="B193">
        <v>56</v>
      </c>
      <c r="C193" t="s">
        <v>11</v>
      </c>
      <c r="D193" t="s">
        <v>22</v>
      </c>
      <c r="E193" t="s">
        <v>43</v>
      </c>
      <c r="F193">
        <v>157.97999999999999</v>
      </c>
      <c r="G193" t="s">
        <v>24</v>
      </c>
      <c r="H193" t="s">
        <v>15</v>
      </c>
      <c r="I193">
        <v>4.8</v>
      </c>
      <c r="J193">
        <v>10</v>
      </c>
      <c r="K193">
        <v>5</v>
      </c>
      <c r="L193" s="4">
        <v>175.53333333333333</v>
      </c>
      <c r="M193" s="4">
        <v>17.553333333333342</v>
      </c>
      <c r="N193" t="s">
        <v>94</v>
      </c>
    </row>
    <row r="194" spans="1:14">
      <c r="A194">
        <v>193</v>
      </c>
      <c r="B194">
        <v>51</v>
      </c>
      <c r="C194" t="s">
        <v>11</v>
      </c>
      <c r="D194" t="s">
        <v>29</v>
      </c>
      <c r="E194" t="s">
        <v>55</v>
      </c>
      <c r="F194">
        <v>82.12</v>
      </c>
      <c r="G194" t="s">
        <v>24</v>
      </c>
      <c r="H194" t="s">
        <v>15</v>
      </c>
      <c r="I194">
        <v>3.2</v>
      </c>
      <c r="J194">
        <v>13</v>
      </c>
      <c r="K194">
        <v>4</v>
      </c>
      <c r="L194" s="4">
        <v>94.390804597701148</v>
      </c>
      <c r="M194" s="4">
        <v>12.270804597701144</v>
      </c>
      <c r="N194" t="s">
        <v>93</v>
      </c>
    </row>
    <row r="195" spans="1:14">
      <c r="A195">
        <v>194</v>
      </c>
      <c r="B195">
        <v>65</v>
      </c>
      <c r="C195" t="s">
        <v>16</v>
      </c>
      <c r="D195" t="s">
        <v>20</v>
      </c>
      <c r="E195" t="s">
        <v>39</v>
      </c>
      <c r="F195">
        <v>150.47999999999999</v>
      </c>
      <c r="G195" t="s">
        <v>24</v>
      </c>
      <c r="H195" t="s">
        <v>15</v>
      </c>
      <c r="I195">
        <v>3.5</v>
      </c>
      <c r="J195">
        <v>20</v>
      </c>
      <c r="K195">
        <v>5</v>
      </c>
      <c r="L195" s="4">
        <v>188.09999999999997</v>
      </c>
      <c r="M195" s="4">
        <v>37.619999999999976</v>
      </c>
      <c r="N195" t="s">
        <v>95</v>
      </c>
    </row>
    <row r="196" spans="1:14">
      <c r="A196">
        <v>195</v>
      </c>
      <c r="B196">
        <v>36</v>
      </c>
      <c r="C196" t="s">
        <v>16</v>
      </c>
      <c r="D196" t="s">
        <v>20</v>
      </c>
      <c r="E196" t="s">
        <v>36</v>
      </c>
      <c r="F196">
        <v>153.11000000000001</v>
      </c>
      <c r="G196" t="s">
        <v>31</v>
      </c>
      <c r="H196" t="s">
        <v>15</v>
      </c>
      <c r="I196">
        <v>4</v>
      </c>
      <c r="J196">
        <v>6</v>
      </c>
      <c r="K196">
        <v>3</v>
      </c>
      <c r="L196" s="4">
        <v>162.88297872340428</v>
      </c>
      <c r="M196" s="4">
        <v>9.7729787234042647</v>
      </c>
      <c r="N196" t="s">
        <v>92</v>
      </c>
    </row>
    <row r="197" spans="1:14">
      <c r="A197">
        <v>196</v>
      </c>
      <c r="B197">
        <v>46</v>
      </c>
      <c r="C197" t="s">
        <v>16</v>
      </c>
      <c r="D197" t="s">
        <v>17</v>
      </c>
      <c r="E197" t="s">
        <v>18</v>
      </c>
      <c r="F197">
        <v>107.94</v>
      </c>
      <c r="G197" t="s">
        <v>19</v>
      </c>
      <c r="H197" t="s">
        <v>15</v>
      </c>
      <c r="I197">
        <v>3.8</v>
      </c>
      <c r="J197">
        <v>6</v>
      </c>
      <c r="K197">
        <v>3</v>
      </c>
      <c r="L197" s="4">
        <v>114.82978723404256</v>
      </c>
      <c r="M197" s="4">
        <v>6.8897872340425579</v>
      </c>
      <c r="N197" t="s">
        <v>93</v>
      </c>
    </row>
    <row r="198" spans="1:14">
      <c r="A198">
        <v>197</v>
      </c>
      <c r="B198">
        <v>31</v>
      </c>
      <c r="C198" t="s">
        <v>11</v>
      </c>
      <c r="D198" t="s">
        <v>20</v>
      </c>
      <c r="E198" t="s">
        <v>36</v>
      </c>
      <c r="F198">
        <v>245.72</v>
      </c>
      <c r="G198" t="s">
        <v>24</v>
      </c>
      <c r="H198" t="s">
        <v>15</v>
      </c>
      <c r="I198">
        <v>4.0999999999999996</v>
      </c>
      <c r="J198">
        <v>20</v>
      </c>
      <c r="K198">
        <v>5</v>
      </c>
      <c r="L198" s="4">
        <v>307.14999999999998</v>
      </c>
      <c r="M198" s="4">
        <v>61.429999999999978</v>
      </c>
      <c r="N198" t="s">
        <v>91</v>
      </c>
    </row>
    <row r="199" spans="1:14">
      <c r="A199">
        <v>198</v>
      </c>
      <c r="B199">
        <v>70</v>
      </c>
      <c r="C199" t="s">
        <v>11</v>
      </c>
      <c r="D199" t="s">
        <v>29</v>
      </c>
      <c r="E199" t="s">
        <v>51</v>
      </c>
      <c r="F199">
        <v>79.28</v>
      </c>
      <c r="G199" t="s">
        <v>24</v>
      </c>
      <c r="H199" t="s">
        <v>15</v>
      </c>
      <c r="I199">
        <v>2</v>
      </c>
      <c r="J199">
        <v>12</v>
      </c>
      <c r="K199">
        <v>6</v>
      </c>
      <c r="L199" s="4">
        <v>90.090909090909093</v>
      </c>
      <c r="M199" s="4">
        <v>10.810909090909092</v>
      </c>
      <c r="N199" t="s">
        <v>95</v>
      </c>
    </row>
    <row r="200" spans="1:14">
      <c r="A200">
        <v>199</v>
      </c>
      <c r="B200">
        <v>68</v>
      </c>
      <c r="C200" t="s">
        <v>16</v>
      </c>
      <c r="D200" t="s">
        <v>33</v>
      </c>
      <c r="E200" t="s">
        <v>38</v>
      </c>
      <c r="F200">
        <v>225.53</v>
      </c>
      <c r="G200" t="s">
        <v>19</v>
      </c>
      <c r="H200" t="s">
        <v>15</v>
      </c>
      <c r="I200">
        <v>4.5</v>
      </c>
      <c r="J200">
        <v>13</v>
      </c>
      <c r="K200">
        <v>4</v>
      </c>
      <c r="L200" s="4">
        <v>259.22988505747128</v>
      </c>
      <c r="M200" s="4">
        <v>33.699885057471278</v>
      </c>
      <c r="N200" t="s">
        <v>95</v>
      </c>
    </row>
    <row r="201" spans="1:14">
      <c r="A201">
        <v>200</v>
      </c>
      <c r="B201">
        <v>29</v>
      </c>
      <c r="C201" t="s">
        <v>11</v>
      </c>
      <c r="D201" t="s">
        <v>29</v>
      </c>
      <c r="E201" t="s">
        <v>51</v>
      </c>
      <c r="F201">
        <v>63.34</v>
      </c>
      <c r="G201" t="s">
        <v>31</v>
      </c>
      <c r="H201" t="s">
        <v>15</v>
      </c>
      <c r="I201">
        <v>4.5</v>
      </c>
      <c r="J201">
        <v>17</v>
      </c>
      <c r="K201">
        <v>6</v>
      </c>
      <c r="L201" s="4">
        <v>76.313253012048207</v>
      </c>
      <c r="M201" s="4">
        <v>12.973253012048204</v>
      </c>
      <c r="N201" t="s">
        <v>91</v>
      </c>
    </row>
    <row r="202" spans="1:14">
      <c r="A202">
        <v>201</v>
      </c>
      <c r="B202">
        <v>20</v>
      </c>
      <c r="C202" t="s">
        <v>11</v>
      </c>
      <c r="D202" t="s">
        <v>29</v>
      </c>
      <c r="E202" t="s">
        <v>30</v>
      </c>
      <c r="F202">
        <v>38.57</v>
      </c>
      <c r="G202" t="s">
        <v>19</v>
      </c>
      <c r="H202" t="s">
        <v>15</v>
      </c>
      <c r="I202">
        <v>4.5999999999999996</v>
      </c>
      <c r="J202">
        <v>19</v>
      </c>
      <c r="K202">
        <v>7</v>
      </c>
      <c r="L202" s="4">
        <v>47.617283950617278</v>
      </c>
      <c r="M202" s="4">
        <v>9.0472839506172775</v>
      </c>
      <c r="N202" t="s">
        <v>100</v>
      </c>
    </row>
    <row r="203" spans="1:14">
      <c r="A203">
        <v>202</v>
      </c>
      <c r="B203">
        <v>30</v>
      </c>
      <c r="C203" t="s">
        <v>16</v>
      </c>
      <c r="D203" t="s">
        <v>17</v>
      </c>
      <c r="E203" t="s">
        <v>35</v>
      </c>
      <c r="F203">
        <v>128.1</v>
      </c>
      <c r="G203" t="s">
        <v>31</v>
      </c>
      <c r="H203" t="s">
        <v>15</v>
      </c>
      <c r="I203">
        <v>3</v>
      </c>
      <c r="J203">
        <v>12</v>
      </c>
      <c r="K203">
        <v>1</v>
      </c>
      <c r="L203" s="4">
        <v>145.56818181818181</v>
      </c>
      <c r="M203" s="4">
        <v>17.468181818181819</v>
      </c>
      <c r="N203" t="s">
        <v>91</v>
      </c>
    </row>
    <row r="204" spans="1:14">
      <c r="A204">
        <v>203</v>
      </c>
      <c r="B204">
        <v>57</v>
      </c>
      <c r="C204" t="s">
        <v>11</v>
      </c>
      <c r="D204" t="s">
        <v>29</v>
      </c>
      <c r="E204" t="s">
        <v>30</v>
      </c>
      <c r="F204">
        <v>129.47</v>
      </c>
      <c r="G204" t="s">
        <v>19</v>
      </c>
      <c r="H204" t="s">
        <v>15</v>
      </c>
      <c r="I204">
        <v>4.4000000000000004</v>
      </c>
      <c r="J204">
        <v>15</v>
      </c>
      <c r="K204">
        <v>5</v>
      </c>
      <c r="L204" s="4">
        <v>152.31764705882352</v>
      </c>
      <c r="M204" s="4">
        <v>22.847647058823526</v>
      </c>
      <c r="N204" t="s">
        <v>94</v>
      </c>
    </row>
    <row r="205" spans="1:14">
      <c r="A205">
        <v>204</v>
      </c>
      <c r="B205">
        <v>46</v>
      </c>
      <c r="C205" t="s">
        <v>11</v>
      </c>
      <c r="D205" t="s">
        <v>29</v>
      </c>
      <c r="E205" t="s">
        <v>30</v>
      </c>
      <c r="F205">
        <v>49.38</v>
      </c>
      <c r="G205" t="s">
        <v>19</v>
      </c>
      <c r="H205" t="s">
        <v>37</v>
      </c>
      <c r="I205">
        <v>3.4</v>
      </c>
      <c r="J205">
        <v>19</v>
      </c>
      <c r="K205">
        <v>7</v>
      </c>
      <c r="L205" s="4">
        <v>60.962962962962962</v>
      </c>
      <c r="M205" s="4">
        <v>11.582962962962959</v>
      </c>
      <c r="N205" t="s">
        <v>93</v>
      </c>
    </row>
    <row r="206" spans="1:14">
      <c r="A206">
        <v>205</v>
      </c>
      <c r="B206">
        <v>55</v>
      </c>
      <c r="C206" t="s">
        <v>11</v>
      </c>
      <c r="D206" t="s">
        <v>33</v>
      </c>
      <c r="E206" t="s">
        <v>34</v>
      </c>
      <c r="F206">
        <v>90.81</v>
      </c>
      <c r="G206" t="s">
        <v>14</v>
      </c>
      <c r="H206" t="s">
        <v>15</v>
      </c>
      <c r="I206">
        <v>4.4000000000000004</v>
      </c>
      <c r="J206">
        <v>24</v>
      </c>
      <c r="K206">
        <v>7</v>
      </c>
      <c r="L206" s="4">
        <v>119.48684210526316</v>
      </c>
      <c r="M206" s="4">
        <v>28.676842105263162</v>
      </c>
      <c r="N206" t="s">
        <v>94</v>
      </c>
    </row>
    <row r="207" spans="1:14">
      <c r="A207">
        <v>206</v>
      </c>
      <c r="B207">
        <v>68</v>
      </c>
      <c r="C207" t="s">
        <v>16</v>
      </c>
      <c r="D207" t="s">
        <v>25</v>
      </c>
      <c r="E207" t="s">
        <v>54</v>
      </c>
      <c r="F207">
        <v>63.73</v>
      </c>
      <c r="G207" t="s">
        <v>24</v>
      </c>
      <c r="H207" t="s">
        <v>15</v>
      </c>
      <c r="I207">
        <v>4.5</v>
      </c>
      <c r="J207">
        <v>24</v>
      </c>
      <c r="K207">
        <v>7</v>
      </c>
      <c r="L207" s="4">
        <v>83.855263157894726</v>
      </c>
      <c r="M207" s="4">
        <v>20.125263157894729</v>
      </c>
      <c r="N207" t="s">
        <v>95</v>
      </c>
    </row>
    <row r="208" spans="1:14">
      <c r="A208">
        <v>207</v>
      </c>
      <c r="B208">
        <v>62</v>
      </c>
      <c r="C208" t="s">
        <v>16</v>
      </c>
      <c r="D208" t="s">
        <v>17</v>
      </c>
      <c r="E208" t="s">
        <v>35</v>
      </c>
      <c r="F208">
        <v>127.21</v>
      </c>
      <c r="G208" t="s">
        <v>14</v>
      </c>
      <c r="H208" t="s">
        <v>15</v>
      </c>
      <c r="I208">
        <v>4.9000000000000004</v>
      </c>
      <c r="J208">
        <v>14</v>
      </c>
      <c r="K208">
        <v>7</v>
      </c>
      <c r="L208" s="4">
        <v>147.91860465116278</v>
      </c>
      <c r="M208" s="4">
        <v>20.708604651162787</v>
      </c>
      <c r="N208" t="s">
        <v>94</v>
      </c>
    </row>
    <row r="209" spans="1:14">
      <c r="A209">
        <v>208</v>
      </c>
      <c r="B209">
        <v>29</v>
      </c>
      <c r="C209" t="s">
        <v>16</v>
      </c>
      <c r="D209" t="s">
        <v>25</v>
      </c>
      <c r="E209" t="s">
        <v>26</v>
      </c>
      <c r="F209">
        <v>54.98</v>
      </c>
      <c r="G209" t="s">
        <v>14</v>
      </c>
      <c r="H209" t="s">
        <v>37</v>
      </c>
      <c r="I209">
        <v>2.9</v>
      </c>
      <c r="J209">
        <v>16</v>
      </c>
      <c r="K209">
        <v>8</v>
      </c>
      <c r="L209" s="4">
        <v>65.452380952380949</v>
      </c>
      <c r="M209" s="4">
        <v>10.472380952380952</v>
      </c>
      <c r="N209" t="s">
        <v>91</v>
      </c>
    </row>
    <row r="210" spans="1:14">
      <c r="A210">
        <v>209</v>
      </c>
      <c r="B210">
        <v>58</v>
      </c>
      <c r="C210" t="s">
        <v>11</v>
      </c>
      <c r="D210" t="s">
        <v>12</v>
      </c>
      <c r="E210" t="s">
        <v>50</v>
      </c>
      <c r="F210">
        <v>37.76</v>
      </c>
      <c r="G210" t="s">
        <v>14</v>
      </c>
      <c r="H210" t="s">
        <v>15</v>
      </c>
      <c r="I210">
        <v>3.5</v>
      </c>
      <c r="J210">
        <v>14</v>
      </c>
      <c r="K210">
        <v>2</v>
      </c>
      <c r="L210" s="4">
        <v>43.906976744186046</v>
      </c>
      <c r="M210" s="4">
        <v>6.1469767441860483</v>
      </c>
      <c r="N210" t="s">
        <v>94</v>
      </c>
    </row>
    <row r="211" spans="1:14">
      <c r="A211">
        <v>210</v>
      </c>
      <c r="B211">
        <v>50</v>
      </c>
      <c r="C211" t="s">
        <v>11</v>
      </c>
      <c r="D211" t="s">
        <v>29</v>
      </c>
      <c r="E211" t="s">
        <v>51</v>
      </c>
      <c r="F211">
        <v>81.400000000000006</v>
      </c>
      <c r="G211" t="s">
        <v>19</v>
      </c>
      <c r="H211" t="s">
        <v>37</v>
      </c>
      <c r="I211">
        <v>4.9000000000000004</v>
      </c>
      <c r="J211">
        <v>20</v>
      </c>
      <c r="K211">
        <v>5</v>
      </c>
      <c r="L211" s="4">
        <v>101.75</v>
      </c>
      <c r="M211" s="4">
        <v>20.349999999999994</v>
      </c>
      <c r="N211" t="s">
        <v>93</v>
      </c>
    </row>
    <row r="212" spans="1:14">
      <c r="A212">
        <v>211</v>
      </c>
      <c r="B212">
        <v>22</v>
      </c>
      <c r="C212" t="s">
        <v>11</v>
      </c>
      <c r="D212" t="s">
        <v>33</v>
      </c>
      <c r="E212" t="s">
        <v>40</v>
      </c>
      <c r="F212">
        <v>183.26</v>
      </c>
      <c r="G212" t="s">
        <v>24</v>
      </c>
      <c r="H212" t="s">
        <v>15</v>
      </c>
      <c r="I212">
        <v>2.4</v>
      </c>
      <c r="J212">
        <v>6</v>
      </c>
      <c r="K212">
        <v>3</v>
      </c>
      <c r="L212" s="4">
        <v>194.95744680851064</v>
      </c>
      <c r="M212" s="4">
        <v>11.697446808510648</v>
      </c>
      <c r="N212" t="s">
        <v>100</v>
      </c>
    </row>
    <row r="213" spans="1:14">
      <c r="A213">
        <v>212</v>
      </c>
      <c r="B213">
        <v>29</v>
      </c>
      <c r="C213" t="s">
        <v>11</v>
      </c>
      <c r="D213" t="s">
        <v>41</v>
      </c>
      <c r="E213" t="s">
        <v>42</v>
      </c>
      <c r="F213">
        <v>172.51</v>
      </c>
      <c r="G213" t="s">
        <v>14</v>
      </c>
      <c r="H213" t="s">
        <v>15</v>
      </c>
      <c r="I213">
        <v>3.8</v>
      </c>
      <c r="J213">
        <v>13</v>
      </c>
      <c r="K213">
        <v>4</v>
      </c>
      <c r="L213" s="4">
        <v>198.28735632183907</v>
      </c>
      <c r="M213" s="4">
        <v>25.777356321839079</v>
      </c>
      <c r="N213" t="s">
        <v>91</v>
      </c>
    </row>
    <row r="214" spans="1:14">
      <c r="A214">
        <v>213</v>
      </c>
      <c r="B214">
        <v>43</v>
      </c>
      <c r="C214" t="s">
        <v>16</v>
      </c>
      <c r="D214" t="s">
        <v>20</v>
      </c>
      <c r="E214" t="s">
        <v>36</v>
      </c>
      <c r="F214">
        <v>141.78</v>
      </c>
      <c r="G214" t="s">
        <v>24</v>
      </c>
      <c r="H214" t="s">
        <v>15</v>
      </c>
      <c r="I214">
        <v>2.9</v>
      </c>
      <c r="J214">
        <v>24</v>
      </c>
      <c r="K214">
        <v>7</v>
      </c>
      <c r="L214" s="4">
        <v>186.55263157894737</v>
      </c>
      <c r="M214" s="4">
        <v>44.772631578947369</v>
      </c>
      <c r="N214" t="s">
        <v>92</v>
      </c>
    </row>
    <row r="215" spans="1:14">
      <c r="A215">
        <v>214</v>
      </c>
      <c r="B215">
        <v>25</v>
      </c>
      <c r="C215" t="s">
        <v>16</v>
      </c>
      <c r="D215" t="s">
        <v>25</v>
      </c>
      <c r="E215" t="s">
        <v>47</v>
      </c>
      <c r="F215">
        <v>62.99</v>
      </c>
      <c r="G215" t="s">
        <v>14</v>
      </c>
      <c r="H215" t="s">
        <v>15</v>
      </c>
      <c r="I215">
        <v>2.9</v>
      </c>
      <c r="J215">
        <v>16</v>
      </c>
      <c r="K215">
        <v>3</v>
      </c>
      <c r="L215" s="4">
        <v>74.988095238095241</v>
      </c>
      <c r="M215" s="4">
        <v>11.998095238095239</v>
      </c>
      <c r="N215" t="s">
        <v>91</v>
      </c>
    </row>
    <row r="216" spans="1:14">
      <c r="A216">
        <v>215</v>
      </c>
      <c r="B216">
        <v>32</v>
      </c>
      <c r="C216" t="s">
        <v>16</v>
      </c>
      <c r="D216" t="s">
        <v>33</v>
      </c>
      <c r="E216" t="s">
        <v>40</v>
      </c>
      <c r="F216">
        <v>154.86000000000001</v>
      </c>
      <c r="G216" t="s">
        <v>19</v>
      </c>
      <c r="H216" t="s">
        <v>15</v>
      </c>
      <c r="I216">
        <v>4.0999999999999996</v>
      </c>
      <c r="J216">
        <v>18</v>
      </c>
      <c r="K216">
        <v>4</v>
      </c>
      <c r="L216" s="4">
        <v>188.85365853658536</v>
      </c>
      <c r="M216" s="4">
        <v>33.993658536585343</v>
      </c>
      <c r="N216" t="s">
        <v>91</v>
      </c>
    </row>
    <row r="217" spans="1:14">
      <c r="A217">
        <v>216</v>
      </c>
      <c r="B217">
        <v>47</v>
      </c>
      <c r="C217" t="s">
        <v>16</v>
      </c>
      <c r="D217" t="s">
        <v>33</v>
      </c>
      <c r="E217" t="s">
        <v>34</v>
      </c>
      <c r="F217">
        <v>162.26</v>
      </c>
      <c r="G217" t="s">
        <v>14</v>
      </c>
      <c r="H217" t="s">
        <v>15</v>
      </c>
      <c r="I217">
        <v>4</v>
      </c>
      <c r="J217">
        <v>19</v>
      </c>
      <c r="K217">
        <v>7</v>
      </c>
      <c r="L217" s="4">
        <v>200.32098765432096</v>
      </c>
      <c r="M217" s="4">
        <v>38.060987654320968</v>
      </c>
      <c r="N217" t="s">
        <v>93</v>
      </c>
    </row>
    <row r="218" spans="1:14">
      <c r="A218">
        <v>217</v>
      </c>
      <c r="B218">
        <v>26</v>
      </c>
      <c r="C218" t="s">
        <v>11</v>
      </c>
      <c r="D218" t="s">
        <v>29</v>
      </c>
      <c r="E218" t="s">
        <v>51</v>
      </c>
      <c r="F218">
        <v>60.97</v>
      </c>
      <c r="G218" t="s">
        <v>19</v>
      </c>
      <c r="H218" t="s">
        <v>15</v>
      </c>
      <c r="I218">
        <v>4.5999999999999996</v>
      </c>
      <c r="J218">
        <v>21</v>
      </c>
      <c r="K218">
        <v>8</v>
      </c>
      <c r="L218" s="4">
        <v>77.177215189873408</v>
      </c>
      <c r="M218" s="4">
        <v>16.207215189873409</v>
      </c>
      <c r="N218" t="s">
        <v>91</v>
      </c>
    </row>
    <row r="219" spans="1:14">
      <c r="A219">
        <v>218</v>
      </c>
      <c r="B219">
        <v>69</v>
      </c>
      <c r="C219" t="s">
        <v>11</v>
      </c>
      <c r="D219" t="s">
        <v>25</v>
      </c>
      <c r="E219" t="s">
        <v>57</v>
      </c>
      <c r="F219">
        <v>52.32</v>
      </c>
      <c r="G219" t="s">
        <v>24</v>
      </c>
      <c r="H219" t="s">
        <v>37</v>
      </c>
      <c r="I219">
        <v>3.6</v>
      </c>
      <c r="J219">
        <v>10</v>
      </c>
      <c r="K219">
        <v>5</v>
      </c>
      <c r="L219" s="4">
        <v>58.133333333333333</v>
      </c>
      <c r="M219" s="4">
        <v>5.8133333333333326</v>
      </c>
      <c r="N219" t="s">
        <v>95</v>
      </c>
    </row>
    <row r="220" spans="1:14">
      <c r="A220">
        <v>219</v>
      </c>
      <c r="B220">
        <v>25</v>
      </c>
      <c r="C220" t="s">
        <v>11</v>
      </c>
      <c r="D220" t="s">
        <v>41</v>
      </c>
      <c r="E220" t="s">
        <v>45</v>
      </c>
      <c r="F220">
        <v>122.97</v>
      </c>
      <c r="G220" t="s">
        <v>14</v>
      </c>
      <c r="H220" t="s">
        <v>15</v>
      </c>
      <c r="I220">
        <v>4.3</v>
      </c>
      <c r="J220">
        <v>24</v>
      </c>
      <c r="K220">
        <v>7</v>
      </c>
      <c r="L220" s="4">
        <v>161.80263157894737</v>
      </c>
      <c r="M220" s="4">
        <v>38.832631578947371</v>
      </c>
      <c r="N220" t="s">
        <v>91</v>
      </c>
    </row>
    <row r="221" spans="1:14">
      <c r="A221">
        <v>220</v>
      </c>
      <c r="B221">
        <v>63</v>
      </c>
      <c r="C221" t="s">
        <v>11</v>
      </c>
      <c r="D221" t="s">
        <v>20</v>
      </c>
      <c r="E221" t="s">
        <v>39</v>
      </c>
      <c r="F221">
        <v>245.76</v>
      </c>
      <c r="G221" t="s">
        <v>19</v>
      </c>
      <c r="H221" t="s">
        <v>15</v>
      </c>
      <c r="I221">
        <v>4</v>
      </c>
      <c r="J221">
        <v>13</v>
      </c>
      <c r="K221">
        <v>4</v>
      </c>
      <c r="L221" s="4">
        <v>282.48275862068965</v>
      </c>
      <c r="M221" s="4">
        <v>36.72275862068966</v>
      </c>
      <c r="N221" t="s">
        <v>94</v>
      </c>
    </row>
    <row r="222" spans="1:14">
      <c r="A222">
        <v>221</v>
      </c>
      <c r="B222">
        <v>45</v>
      </c>
      <c r="C222" t="s">
        <v>11</v>
      </c>
      <c r="D222" t="s">
        <v>20</v>
      </c>
      <c r="E222" t="s">
        <v>21</v>
      </c>
      <c r="F222">
        <v>229.28</v>
      </c>
      <c r="G222" t="s">
        <v>14</v>
      </c>
      <c r="H222" t="s">
        <v>15</v>
      </c>
      <c r="I222">
        <v>4.9000000000000004</v>
      </c>
      <c r="J222">
        <v>16</v>
      </c>
      <c r="K222">
        <v>8</v>
      </c>
      <c r="L222" s="4">
        <v>272.95238095238096</v>
      </c>
      <c r="M222" s="4">
        <v>43.672380952380962</v>
      </c>
      <c r="N222" t="s">
        <v>93</v>
      </c>
    </row>
    <row r="223" spans="1:14">
      <c r="A223">
        <v>222</v>
      </c>
      <c r="B223">
        <v>43</v>
      </c>
      <c r="C223" t="s">
        <v>11</v>
      </c>
      <c r="D223" t="s">
        <v>41</v>
      </c>
      <c r="E223" t="s">
        <v>42</v>
      </c>
      <c r="F223">
        <v>32.06</v>
      </c>
      <c r="G223" t="s">
        <v>31</v>
      </c>
      <c r="H223" t="s">
        <v>15</v>
      </c>
      <c r="I223">
        <v>3.5</v>
      </c>
      <c r="J223">
        <v>7</v>
      </c>
      <c r="K223">
        <v>1</v>
      </c>
      <c r="L223" s="4">
        <v>34.473118279569896</v>
      </c>
      <c r="M223" s="4">
        <v>2.4131182795698933</v>
      </c>
      <c r="N223" t="s">
        <v>92</v>
      </c>
    </row>
    <row r="224" spans="1:14">
      <c r="A224">
        <v>223</v>
      </c>
      <c r="B224">
        <v>40</v>
      </c>
      <c r="C224" t="s">
        <v>11</v>
      </c>
      <c r="D224" t="s">
        <v>33</v>
      </c>
      <c r="E224" t="s">
        <v>34</v>
      </c>
      <c r="F224">
        <v>148.08000000000001</v>
      </c>
      <c r="G224" t="s">
        <v>24</v>
      </c>
      <c r="H224" t="s">
        <v>15</v>
      </c>
      <c r="I224">
        <v>3.7</v>
      </c>
      <c r="J224">
        <v>10</v>
      </c>
      <c r="K224">
        <v>5</v>
      </c>
      <c r="L224" s="4">
        <v>164.53333333333333</v>
      </c>
      <c r="M224" s="4">
        <v>16.453333333333319</v>
      </c>
      <c r="N224" t="s">
        <v>92</v>
      </c>
    </row>
    <row r="225" spans="1:14">
      <c r="A225">
        <v>224</v>
      </c>
      <c r="B225">
        <v>48</v>
      </c>
      <c r="C225" t="s">
        <v>16</v>
      </c>
      <c r="D225" t="s">
        <v>20</v>
      </c>
      <c r="E225" t="s">
        <v>21</v>
      </c>
      <c r="F225">
        <v>32.340000000000003</v>
      </c>
      <c r="G225" t="s">
        <v>24</v>
      </c>
      <c r="H225" t="s">
        <v>37</v>
      </c>
      <c r="I225">
        <v>4.0999999999999996</v>
      </c>
      <c r="J225">
        <v>6</v>
      </c>
      <c r="K225">
        <v>3</v>
      </c>
      <c r="L225" s="4">
        <v>34.404255319148945</v>
      </c>
      <c r="M225" s="4">
        <v>2.0642553191489412</v>
      </c>
      <c r="N225" t="s">
        <v>93</v>
      </c>
    </row>
    <row r="226" spans="1:14">
      <c r="A226">
        <v>225</v>
      </c>
      <c r="B226">
        <v>39</v>
      </c>
      <c r="C226" t="s">
        <v>16</v>
      </c>
      <c r="D226" t="s">
        <v>20</v>
      </c>
      <c r="E226" t="s">
        <v>21</v>
      </c>
      <c r="F226">
        <v>79.09</v>
      </c>
      <c r="G226" t="s">
        <v>24</v>
      </c>
      <c r="H226" t="s">
        <v>15</v>
      </c>
      <c r="I226">
        <v>4</v>
      </c>
      <c r="J226">
        <v>8</v>
      </c>
      <c r="K226">
        <v>4</v>
      </c>
      <c r="L226" s="4">
        <v>85.967391304347828</v>
      </c>
      <c r="M226" s="4">
        <v>6.8773913043478245</v>
      </c>
      <c r="N226" t="s">
        <v>92</v>
      </c>
    </row>
    <row r="227" spans="1:14">
      <c r="A227">
        <v>226</v>
      </c>
      <c r="B227">
        <v>23</v>
      </c>
      <c r="C227" t="s">
        <v>16</v>
      </c>
      <c r="D227" t="s">
        <v>20</v>
      </c>
      <c r="E227" t="s">
        <v>39</v>
      </c>
      <c r="F227">
        <v>121.19</v>
      </c>
      <c r="G227" t="s">
        <v>14</v>
      </c>
      <c r="H227" t="s">
        <v>15</v>
      </c>
      <c r="I227">
        <v>3.2</v>
      </c>
      <c r="J227">
        <v>17</v>
      </c>
      <c r="K227">
        <v>6</v>
      </c>
      <c r="L227" s="4">
        <v>146.01204819277109</v>
      </c>
      <c r="M227" s="4">
        <v>24.822048192771092</v>
      </c>
      <c r="N227" t="s">
        <v>100</v>
      </c>
    </row>
    <row r="228" spans="1:14">
      <c r="A228">
        <v>227</v>
      </c>
      <c r="B228">
        <v>42</v>
      </c>
      <c r="C228" t="s">
        <v>11</v>
      </c>
      <c r="D228" t="s">
        <v>41</v>
      </c>
      <c r="E228" t="s">
        <v>42</v>
      </c>
      <c r="F228">
        <v>64.760000000000005</v>
      </c>
      <c r="G228" t="s">
        <v>31</v>
      </c>
      <c r="H228" t="s">
        <v>15</v>
      </c>
      <c r="I228">
        <v>3.7</v>
      </c>
      <c r="J228">
        <v>11</v>
      </c>
      <c r="K228">
        <v>3</v>
      </c>
      <c r="L228" s="4">
        <v>72.764044943820224</v>
      </c>
      <c r="M228" s="4">
        <v>8.0040449438202188</v>
      </c>
      <c r="N228" t="s">
        <v>92</v>
      </c>
    </row>
    <row r="229" spans="1:14">
      <c r="A229">
        <v>228</v>
      </c>
      <c r="B229">
        <v>43</v>
      </c>
      <c r="C229" t="s">
        <v>16</v>
      </c>
      <c r="D229" t="s">
        <v>27</v>
      </c>
      <c r="E229" t="s">
        <v>32</v>
      </c>
      <c r="F229">
        <v>2234.0500000000002</v>
      </c>
      <c r="G229" t="s">
        <v>31</v>
      </c>
      <c r="H229" t="s">
        <v>15</v>
      </c>
      <c r="I229">
        <v>4.2</v>
      </c>
      <c r="J229">
        <v>12</v>
      </c>
      <c r="K229">
        <v>6</v>
      </c>
      <c r="L229" s="4">
        <v>2538.693181818182</v>
      </c>
      <c r="M229" s="4">
        <v>304.6431818181818</v>
      </c>
      <c r="N229" t="s">
        <v>92</v>
      </c>
    </row>
    <row r="230" spans="1:14">
      <c r="A230">
        <v>229</v>
      </c>
      <c r="B230">
        <v>60</v>
      </c>
      <c r="C230" t="s">
        <v>16</v>
      </c>
      <c r="D230" t="s">
        <v>20</v>
      </c>
      <c r="E230" t="s">
        <v>36</v>
      </c>
      <c r="F230">
        <v>106.49</v>
      </c>
      <c r="G230" t="s">
        <v>31</v>
      </c>
      <c r="H230" t="s">
        <v>15</v>
      </c>
      <c r="I230">
        <v>3.4</v>
      </c>
      <c r="J230">
        <v>16</v>
      </c>
      <c r="K230">
        <v>3</v>
      </c>
      <c r="L230" s="4">
        <v>126.77380952380952</v>
      </c>
      <c r="M230" s="4">
        <v>20.283809523809524</v>
      </c>
      <c r="N230" t="s">
        <v>94</v>
      </c>
    </row>
    <row r="231" spans="1:14">
      <c r="A231">
        <v>230</v>
      </c>
      <c r="B231">
        <v>55</v>
      </c>
      <c r="C231" t="s">
        <v>16</v>
      </c>
      <c r="D231" t="s">
        <v>27</v>
      </c>
      <c r="E231" t="s">
        <v>53</v>
      </c>
      <c r="F231">
        <v>2024.08</v>
      </c>
      <c r="G231" t="s">
        <v>31</v>
      </c>
      <c r="H231" t="s">
        <v>15</v>
      </c>
      <c r="I231">
        <v>3.2</v>
      </c>
      <c r="J231">
        <v>18</v>
      </c>
      <c r="K231">
        <v>4</v>
      </c>
      <c r="L231" s="4">
        <v>2468.3902439024387</v>
      </c>
      <c r="M231" s="4">
        <v>444.31024390243874</v>
      </c>
      <c r="N231" t="s">
        <v>94</v>
      </c>
    </row>
    <row r="232" spans="1:14">
      <c r="A232">
        <v>231</v>
      </c>
      <c r="B232">
        <v>55</v>
      </c>
      <c r="C232" t="s">
        <v>16</v>
      </c>
      <c r="D232" t="s">
        <v>17</v>
      </c>
      <c r="E232" t="s">
        <v>18</v>
      </c>
      <c r="F232">
        <v>122.22</v>
      </c>
      <c r="G232" t="s">
        <v>31</v>
      </c>
      <c r="H232" t="s">
        <v>15</v>
      </c>
      <c r="I232">
        <v>4.0999999999999996</v>
      </c>
      <c r="J232">
        <v>13</v>
      </c>
      <c r="K232">
        <v>4</v>
      </c>
      <c r="L232" s="4">
        <v>140.48275862068965</v>
      </c>
      <c r="M232" s="4">
        <v>18.262758620689652</v>
      </c>
      <c r="N232" t="s">
        <v>94</v>
      </c>
    </row>
    <row r="233" spans="1:14">
      <c r="A233">
        <v>232</v>
      </c>
      <c r="B233">
        <v>51</v>
      </c>
      <c r="C233" t="s">
        <v>11</v>
      </c>
      <c r="D233" t="s">
        <v>29</v>
      </c>
      <c r="E233" t="s">
        <v>30</v>
      </c>
      <c r="F233">
        <v>112.88</v>
      </c>
      <c r="G233" t="s">
        <v>14</v>
      </c>
      <c r="H233" t="s">
        <v>15</v>
      </c>
      <c r="I233">
        <v>4.9000000000000004</v>
      </c>
      <c r="J233">
        <v>22</v>
      </c>
      <c r="K233">
        <v>6</v>
      </c>
      <c r="L233" s="4">
        <v>144.7179487179487</v>
      </c>
      <c r="M233" s="4">
        <v>31.837948717948706</v>
      </c>
      <c r="N233" t="s">
        <v>93</v>
      </c>
    </row>
    <row r="234" spans="1:14">
      <c r="A234">
        <v>233</v>
      </c>
      <c r="B234">
        <v>58</v>
      </c>
      <c r="C234" t="s">
        <v>16</v>
      </c>
      <c r="D234" t="s">
        <v>33</v>
      </c>
      <c r="E234" t="s">
        <v>38</v>
      </c>
      <c r="F234">
        <v>66.28</v>
      </c>
      <c r="G234" t="s">
        <v>24</v>
      </c>
      <c r="H234" t="s">
        <v>37</v>
      </c>
      <c r="I234">
        <v>2.7</v>
      </c>
      <c r="J234">
        <v>6</v>
      </c>
      <c r="K234">
        <v>3</v>
      </c>
      <c r="L234" s="4">
        <v>70.510638297872347</v>
      </c>
      <c r="M234" s="4">
        <v>4.2306382978723462</v>
      </c>
      <c r="N234" t="s">
        <v>94</v>
      </c>
    </row>
    <row r="235" spans="1:14">
      <c r="A235">
        <v>234</v>
      </c>
      <c r="B235">
        <v>22</v>
      </c>
      <c r="C235" t="s">
        <v>16</v>
      </c>
      <c r="D235" t="s">
        <v>20</v>
      </c>
      <c r="E235" t="s">
        <v>39</v>
      </c>
      <c r="F235">
        <v>122.95</v>
      </c>
      <c r="G235" t="s">
        <v>14</v>
      </c>
      <c r="H235" t="s">
        <v>15</v>
      </c>
      <c r="I235">
        <v>3.1</v>
      </c>
      <c r="J235">
        <v>22</v>
      </c>
      <c r="K235">
        <v>6</v>
      </c>
      <c r="L235" s="4">
        <v>157.62820512820514</v>
      </c>
      <c r="M235" s="4">
        <v>34.678205128205136</v>
      </c>
      <c r="N235" t="s">
        <v>100</v>
      </c>
    </row>
    <row r="236" spans="1:14">
      <c r="A236">
        <v>235</v>
      </c>
      <c r="B236">
        <v>54</v>
      </c>
      <c r="C236" t="s">
        <v>11</v>
      </c>
      <c r="D236" t="s">
        <v>29</v>
      </c>
      <c r="E236" t="s">
        <v>51</v>
      </c>
      <c r="F236">
        <v>129.63</v>
      </c>
      <c r="G236" t="s">
        <v>19</v>
      </c>
      <c r="H236" t="s">
        <v>15</v>
      </c>
      <c r="I236">
        <v>5</v>
      </c>
      <c r="J236">
        <v>10</v>
      </c>
      <c r="K236">
        <v>5</v>
      </c>
      <c r="L236" s="4">
        <v>144.03333333333333</v>
      </c>
      <c r="M236" s="4">
        <v>14.403333333333336</v>
      </c>
      <c r="N236" t="s">
        <v>93</v>
      </c>
    </row>
    <row r="237" spans="1:14">
      <c r="A237">
        <v>236</v>
      </c>
      <c r="B237">
        <v>59</v>
      </c>
      <c r="C237" t="s">
        <v>16</v>
      </c>
      <c r="D237" t="s">
        <v>17</v>
      </c>
      <c r="E237" t="s">
        <v>48</v>
      </c>
      <c r="F237">
        <v>191.92</v>
      </c>
      <c r="G237" t="s">
        <v>14</v>
      </c>
      <c r="H237" t="s">
        <v>15</v>
      </c>
      <c r="I237">
        <v>3.9</v>
      </c>
      <c r="J237">
        <v>21</v>
      </c>
      <c r="K237">
        <v>8</v>
      </c>
      <c r="L237" s="4">
        <v>242.93670886075947</v>
      </c>
      <c r="M237" s="4">
        <v>51.016708860759479</v>
      </c>
      <c r="N237" t="s">
        <v>94</v>
      </c>
    </row>
    <row r="238" spans="1:14">
      <c r="A238">
        <v>237</v>
      </c>
      <c r="B238">
        <v>22</v>
      </c>
      <c r="C238" t="s">
        <v>11</v>
      </c>
      <c r="D238" t="s">
        <v>12</v>
      </c>
      <c r="E238" t="s">
        <v>50</v>
      </c>
      <c r="F238">
        <v>21.95</v>
      </c>
      <c r="G238" t="s">
        <v>24</v>
      </c>
      <c r="H238" t="s">
        <v>37</v>
      </c>
      <c r="I238">
        <v>3.6</v>
      </c>
      <c r="J238">
        <v>16</v>
      </c>
      <c r="K238">
        <v>3</v>
      </c>
      <c r="L238" s="4">
        <v>26.13095238095238</v>
      </c>
      <c r="M238" s="4">
        <v>4.1809523809523803</v>
      </c>
      <c r="N238" t="s">
        <v>100</v>
      </c>
    </row>
    <row r="239" spans="1:14">
      <c r="A239">
        <v>238</v>
      </c>
      <c r="B239">
        <v>24</v>
      </c>
      <c r="C239" t="s">
        <v>16</v>
      </c>
      <c r="D239" t="s">
        <v>27</v>
      </c>
      <c r="E239" t="s">
        <v>28</v>
      </c>
      <c r="F239">
        <v>1117.83</v>
      </c>
      <c r="G239" t="s">
        <v>31</v>
      </c>
      <c r="H239" t="s">
        <v>15</v>
      </c>
      <c r="I239">
        <v>2.9</v>
      </c>
      <c r="J239">
        <v>13</v>
      </c>
      <c r="K239">
        <v>4</v>
      </c>
      <c r="L239" s="4">
        <v>1284.8620689655172</v>
      </c>
      <c r="M239" s="4">
        <v>167.03206896551728</v>
      </c>
      <c r="N239" t="s">
        <v>100</v>
      </c>
    </row>
    <row r="240" spans="1:14">
      <c r="A240">
        <v>239</v>
      </c>
      <c r="B240">
        <v>58</v>
      </c>
      <c r="C240" t="s">
        <v>11</v>
      </c>
      <c r="D240" t="s">
        <v>33</v>
      </c>
      <c r="E240" t="s">
        <v>34</v>
      </c>
      <c r="F240">
        <v>194.03</v>
      </c>
      <c r="G240" t="s">
        <v>19</v>
      </c>
      <c r="H240" t="s">
        <v>15</v>
      </c>
      <c r="I240">
        <v>3</v>
      </c>
      <c r="J240">
        <v>21</v>
      </c>
      <c r="K240">
        <v>8</v>
      </c>
      <c r="L240" s="4">
        <v>245.60759493670886</v>
      </c>
      <c r="M240" s="4">
        <v>51.577594936708863</v>
      </c>
      <c r="N240" t="s">
        <v>94</v>
      </c>
    </row>
    <row r="241" spans="1:14">
      <c r="A241">
        <v>240</v>
      </c>
      <c r="B241">
        <v>24</v>
      </c>
      <c r="C241" t="s">
        <v>11</v>
      </c>
      <c r="D241" t="s">
        <v>29</v>
      </c>
      <c r="E241" t="s">
        <v>51</v>
      </c>
      <c r="F241">
        <v>111.59</v>
      </c>
      <c r="G241" t="s">
        <v>31</v>
      </c>
      <c r="H241" t="s">
        <v>15</v>
      </c>
      <c r="I241">
        <v>3.7</v>
      </c>
      <c r="J241">
        <v>8</v>
      </c>
      <c r="K241">
        <v>4</v>
      </c>
      <c r="L241" s="4">
        <v>121.29347826086956</v>
      </c>
      <c r="M241" s="4">
        <v>9.7034782608695593</v>
      </c>
      <c r="N241" t="s">
        <v>100</v>
      </c>
    </row>
    <row r="242" spans="1:14">
      <c r="A242">
        <v>241</v>
      </c>
      <c r="B242">
        <v>35</v>
      </c>
      <c r="C242" t="s">
        <v>11</v>
      </c>
      <c r="D242" t="s">
        <v>41</v>
      </c>
      <c r="E242" t="s">
        <v>45</v>
      </c>
      <c r="F242">
        <v>194.65</v>
      </c>
      <c r="G242" t="s">
        <v>14</v>
      </c>
      <c r="H242" t="s">
        <v>15</v>
      </c>
      <c r="I242">
        <v>3.6</v>
      </c>
      <c r="J242">
        <v>9</v>
      </c>
      <c r="K242">
        <v>2</v>
      </c>
      <c r="L242" s="4">
        <v>213.90109890109889</v>
      </c>
      <c r="M242" s="4">
        <v>19.251098901098885</v>
      </c>
      <c r="N242" t="s">
        <v>92</v>
      </c>
    </row>
    <row r="243" spans="1:14">
      <c r="A243">
        <v>242</v>
      </c>
      <c r="B243">
        <v>63</v>
      </c>
      <c r="C243" t="s">
        <v>16</v>
      </c>
      <c r="D243" t="s">
        <v>33</v>
      </c>
      <c r="E243" t="s">
        <v>34</v>
      </c>
      <c r="F243">
        <v>96.15</v>
      </c>
      <c r="G243" t="s">
        <v>24</v>
      </c>
      <c r="H243" t="s">
        <v>15</v>
      </c>
      <c r="I243">
        <v>3.2</v>
      </c>
      <c r="J243">
        <v>9</v>
      </c>
      <c r="K243">
        <v>2</v>
      </c>
      <c r="L243" s="4">
        <v>105.65934065934066</v>
      </c>
      <c r="M243" s="4">
        <v>9.5093406593406513</v>
      </c>
      <c r="N243" t="s">
        <v>94</v>
      </c>
    </row>
    <row r="244" spans="1:14">
      <c r="A244">
        <v>243</v>
      </c>
      <c r="B244">
        <v>51</v>
      </c>
      <c r="C244" t="s">
        <v>11</v>
      </c>
      <c r="D244" t="s">
        <v>12</v>
      </c>
      <c r="E244" t="s">
        <v>50</v>
      </c>
      <c r="F244">
        <v>115.63</v>
      </c>
      <c r="G244" t="s">
        <v>24</v>
      </c>
      <c r="H244" t="s">
        <v>15</v>
      </c>
      <c r="I244">
        <v>2.9</v>
      </c>
      <c r="J244">
        <v>19</v>
      </c>
      <c r="K244">
        <v>7</v>
      </c>
      <c r="L244" s="4">
        <v>142.75308641975306</v>
      </c>
      <c r="M244" s="4">
        <v>27.123086419753065</v>
      </c>
      <c r="N244" t="s">
        <v>93</v>
      </c>
    </row>
    <row r="245" spans="1:14">
      <c r="A245">
        <v>244</v>
      </c>
      <c r="B245">
        <v>47</v>
      </c>
      <c r="C245" t="s">
        <v>16</v>
      </c>
      <c r="D245" t="s">
        <v>20</v>
      </c>
      <c r="E245" t="s">
        <v>21</v>
      </c>
      <c r="F245">
        <v>146.94999999999999</v>
      </c>
      <c r="G245" t="s">
        <v>19</v>
      </c>
      <c r="H245" t="s">
        <v>15</v>
      </c>
      <c r="I245">
        <v>5</v>
      </c>
      <c r="J245">
        <v>24</v>
      </c>
      <c r="K245">
        <v>7</v>
      </c>
      <c r="L245" s="4">
        <v>193.35526315789471</v>
      </c>
      <c r="M245" s="4">
        <v>46.405263157894723</v>
      </c>
      <c r="N245" t="s">
        <v>93</v>
      </c>
    </row>
    <row r="246" spans="1:14">
      <c r="A246">
        <v>245</v>
      </c>
      <c r="B246">
        <v>69</v>
      </c>
      <c r="C246" t="s">
        <v>16</v>
      </c>
      <c r="D246" t="s">
        <v>27</v>
      </c>
      <c r="E246" t="s">
        <v>53</v>
      </c>
      <c r="F246">
        <v>2517.9699999999998</v>
      </c>
      <c r="G246" t="s">
        <v>14</v>
      </c>
      <c r="H246" t="s">
        <v>15</v>
      </c>
      <c r="I246">
        <v>4.3</v>
      </c>
      <c r="J246">
        <v>28</v>
      </c>
      <c r="K246">
        <v>9</v>
      </c>
      <c r="L246" s="4">
        <v>3497.1805555555552</v>
      </c>
      <c r="M246" s="4">
        <v>979.2105555555554</v>
      </c>
      <c r="N246" t="s">
        <v>95</v>
      </c>
    </row>
    <row r="247" spans="1:14">
      <c r="A247">
        <v>246</v>
      </c>
      <c r="B247">
        <v>66</v>
      </c>
      <c r="C247" t="s">
        <v>11</v>
      </c>
      <c r="D247" t="s">
        <v>29</v>
      </c>
      <c r="E247" t="s">
        <v>51</v>
      </c>
      <c r="F247">
        <v>55.2</v>
      </c>
      <c r="G247" t="s">
        <v>31</v>
      </c>
      <c r="H247" t="s">
        <v>15</v>
      </c>
      <c r="I247">
        <v>3.6</v>
      </c>
      <c r="J247">
        <v>11</v>
      </c>
      <c r="K247">
        <v>3</v>
      </c>
      <c r="L247" s="4">
        <v>62.022471910112358</v>
      </c>
      <c r="M247" s="4">
        <v>6.8224719101123554</v>
      </c>
      <c r="N247" t="s">
        <v>95</v>
      </c>
    </row>
    <row r="248" spans="1:14">
      <c r="A248">
        <v>247</v>
      </c>
      <c r="B248">
        <v>35</v>
      </c>
      <c r="C248" t="s">
        <v>11</v>
      </c>
      <c r="D248" t="s">
        <v>12</v>
      </c>
      <c r="E248" t="s">
        <v>56</v>
      </c>
      <c r="F248">
        <v>161.59</v>
      </c>
      <c r="G248" t="s">
        <v>19</v>
      </c>
      <c r="H248" t="s">
        <v>15</v>
      </c>
      <c r="I248">
        <v>3.4</v>
      </c>
      <c r="J248">
        <v>22</v>
      </c>
      <c r="K248">
        <v>6</v>
      </c>
      <c r="L248" s="4">
        <v>207.16666666666666</v>
      </c>
      <c r="M248" s="4">
        <v>45.576666666666654</v>
      </c>
      <c r="N248" t="s">
        <v>92</v>
      </c>
    </row>
    <row r="249" spans="1:14">
      <c r="A249">
        <v>248</v>
      </c>
      <c r="B249">
        <v>36</v>
      </c>
      <c r="C249" t="s">
        <v>16</v>
      </c>
      <c r="D249" t="s">
        <v>33</v>
      </c>
      <c r="E249" t="s">
        <v>40</v>
      </c>
      <c r="F249">
        <v>110.06</v>
      </c>
      <c r="G249" t="s">
        <v>19</v>
      </c>
      <c r="H249" t="s">
        <v>15</v>
      </c>
      <c r="I249">
        <v>3.9</v>
      </c>
      <c r="J249">
        <v>19</v>
      </c>
      <c r="K249">
        <v>7</v>
      </c>
      <c r="L249" s="4">
        <v>135.87654320987653</v>
      </c>
      <c r="M249" s="4">
        <v>25.816543209876528</v>
      </c>
      <c r="N249" t="s">
        <v>92</v>
      </c>
    </row>
    <row r="250" spans="1:14">
      <c r="A250">
        <v>249</v>
      </c>
      <c r="B250">
        <v>59</v>
      </c>
      <c r="C250" t="s">
        <v>11</v>
      </c>
      <c r="D250" t="s">
        <v>12</v>
      </c>
      <c r="E250" t="s">
        <v>13</v>
      </c>
      <c r="F250">
        <v>145.44</v>
      </c>
      <c r="G250" t="s">
        <v>31</v>
      </c>
      <c r="H250" t="s">
        <v>15</v>
      </c>
      <c r="I250">
        <v>4.5</v>
      </c>
      <c r="J250">
        <v>22</v>
      </c>
      <c r="K250">
        <v>6</v>
      </c>
      <c r="L250" s="4">
        <v>186.46153846153845</v>
      </c>
      <c r="M250" s="4">
        <v>41.021538461538455</v>
      </c>
      <c r="N250" t="s">
        <v>94</v>
      </c>
    </row>
    <row r="251" spans="1:14">
      <c r="A251">
        <v>250</v>
      </c>
      <c r="B251">
        <v>20</v>
      </c>
      <c r="C251" t="s">
        <v>16</v>
      </c>
      <c r="D251" t="s">
        <v>17</v>
      </c>
      <c r="E251" t="s">
        <v>42</v>
      </c>
      <c r="F251">
        <v>99.49</v>
      </c>
      <c r="G251" t="s">
        <v>14</v>
      </c>
      <c r="H251" t="s">
        <v>37</v>
      </c>
      <c r="I251">
        <v>3.8</v>
      </c>
      <c r="J251">
        <v>18</v>
      </c>
      <c r="K251">
        <v>9</v>
      </c>
      <c r="L251" s="4">
        <v>121.32926829268291</v>
      </c>
      <c r="M251" s="4">
        <v>21.839268292682917</v>
      </c>
      <c r="N251" t="s">
        <v>100</v>
      </c>
    </row>
    <row r="252" spans="1:14">
      <c r="A252">
        <v>251</v>
      </c>
      <c r="B252">
        <v>46</v>
      </c>
      <c r="C252" t="s">
        <v>11</v>
      </c>
      <c r="D252" t="s">
        <v>29</v>
      </c>
      <c r="E252" t="s">
        <v>55</v>
      </c>
      <c r="F252">
        <v>116.53</v>
      </c>
      <c r="G252" t="s">
        <v>24</v>
      </c>
      <c r="H252" t="s">
        <v>15</v>
      </c>
      <c r="I252">
        <v>4.2</v>
      </c>
      <c r="J252">
        <v>12</v>
      </c>
      <c r="K252">
        <v>6</v>
      </c>
      <c r="L252" s="4">
        <v>132.42045454545453</v>
      </c>
      <c r="M252" s="4">
        <v>15.890454545454531</v>
      </c>
      <c r="N252" t="s">
        <v>93</v>
      </c>
    </row>
    <row r="253" spans="1:14">
      <c r="A253">
        <v>252</v>
      </c>
      <c r="B253">
        <v>68</v>
      </c>
      <c r="C253" t="s">
        <v>16</v>
      </c>
      <c r="D253" t="s">
        <v>17</v>
      </c>
      <c r="E253" t="s">
        <v>48</v>
      </c>
      <c r="F253">
        <v>170.91</v>
      </c>
      <c r="G253" t="s">
        <v>24</v>
      </c>
      <c r="H253" t="s">
        <v>15</v>
      </c>
      <c r="I253">
        <v>3.8</v>
      </c>
      <c r="J253">
        <v>14</v>
      </c>
      <c r="K253">
        <v>7</v>
      </c>
      <c r="L253" s="4">
        <v>198.73255813953489</v>
      </c>
      <c r="M253" s="4">
        <v>27.822558139534891</v>
      </c>
      <c r="N253" t="s">
        <v>95</v>
      </c>
    </row>
    <row r="254" spans="1:14">
      <c r="A254">
        <v>253</v>
      </c>
      <c r="B254">
        <v>66</v>
      </c>
      <c r="C254" t="s">
        <v>16</v>
      </c>
      <c r="D254" t="s">
        <v>20</v>
      </c>
      <c r="E254" t="s">
        <v>36</v>
      </c>
      <c r="F254">
        <v>111.58</v>
      </c>
      <c r="G254" t="s">
        <v>14</v>
      </c>
      <c r="H254" t="s">
        <v>15</v>
      </c>
      <c r="I254">
        <v>3.4</v>
      </c>
      <c r="J254">
        <v>21</v>
      </c>
      <c r="K254">
        <v>8</v>
      </c>
      <c r="L254" s="4">
        <v>141.24050632911391</v>
      </c>
      <c r="M254" s="4">
        <v>29.660506329113915</v>
      </c>
      <c r="N254" t="s">
        <v>95</v>
      </c>
    </row>
    <row r="255" spans="1:14">
      <c r="A255">
        <v>254</v>
      </c>
      <c r="B255">
        <v>70</v>
      </c>
      <c r="C255" t="s">
        <v>11</v>
      </c>
      <c r="D255" t="s">
        <v>22</v>
      </c>
      <c r="E255" t="s">
        <v>52</v>
      </c>
      <c r="F255">
        <v>96.25</v>
      </c>
      <c r="G255" t="s">
        <v>14</v>
      </c>
      <c r="H255" t="s">
        <v>37</v>
      </c>
      <c r="I255">
        <v>2.9</v>
      </c>
      <c r="J255">
        <v>14</v>
      </c>
      <c r="K255">
        <v>2</v>
      </c>
      <c r="L255" s="4">
        <v>111.91860465116279</v>
      </c>
      <c r="M255" s="4">
        <v>15.668604651162795</v>
      </c>
      <c r="N255" t="s">
        <v>95</v>
      </c>
    </row>
    <row r="256" spans="1:14">
      <c r="A256">
        <v>255</v>
      </c>
      <c r="B256">
        <v>43</v>
      </c>
      <c r="C256" t="s">
        <v>11</v>
      </c>
      <c r="D256" t="s">
        <v>29</v>
      </c>
      <c r="E256" t="s">
        <v>30</v>
      </c>
      <c r="F256">
        <v>118</v>
      </c>
      <c r="G256" t="s">
        <v>24</v>
      </c>
      <c r="H256" t="s">
        <v>15</v>
      </c>
      <c r="I256">
        <v>4.0999999999999996</v>
      </c>
      <c r="J256">
        <v>12</v>
      </c>
      <c r="K256">
        <v>6</v>
      </c>
      <c r="L256" s="4">
        <v>134.09090909090909</v>
      </c>
      <c r="M256" s="4">
        <v>16.090909090909093</v>
      </c>
      <c r="N256" t="s">
        <v>92</v>
      </c>
    </row>
    <row r="257" spans="1:14">
      <c r="A257">
        <v>256</v>
      </c>
      <c r="B257">
        <v>67</v>
      </c>
      <c r="C257" t="s">
        <v>16</v>
      </c>
      <c r="D257" t="s">
        <v>27</v>
      </c>
      <c r="E257" t="s">
        <v>49</v>
      </c>
      <c r="F257">
        <v>1597.74</v>
      </c>
      <c r="G257" t="s">
        <v>31</v>
      </c>
      <c r="H257" t="s">
        <v>15</v>
      </c>
      <c r="I257">
        <v>5</v>
      </c>
      <c r="J257">
        <v>30</v>
      </c>
      <c r="K257">
        <v>10</v>
      </c>
      <c r="L257" s="4">
        <v>2282.4857142857145</v>
      </c>
      <c r="M257" s="4">
        <v>684.74571428571448</v>
      </c>
      <c r="N257" t="s">
        <v>95</v>
      </c>
    </row>
    <row r="258" spans="1:14">
      <c r="A258">
        <v>257</v>
      </c>
      <c r="B258">
        <v>48</v>
      </c>
      <c r="C258" t="s">
        <v>16</v>
      </c>
      <c r="D258" t="s">
        <v>17</v>
      </c>
      <c r="E258" t="s">
        <v>35</v>
      </c>
      <c r="F258">
        <v>179.87</v>
      </c>
      <c r="G258" t="s">
        <v>31</v>
      </c>
      <c r="H258" t="s">
        <v>15</v>
      </c>
      <c r="I258">
        <v>3.7</v>
      </c>
      <c r="J258">
        <v>17</v>
      </c>
      <c r="K258">
        <v>6</v>
      </c>
      <c r="L258" s="4">
        <v>216.71084337349399</v>
      </c>
      <c r="M258" s="4">
        <v>36.840843373493982</v>
      </c>
      <c r="N258" t="s">
        <v>93</v>
      </c>
    </row>
    <row r="259" spans="1:14">
      <c r="A259">
        <v>258</v>
      </c>
      <c r="B259">
        <v>38</v>
      </c>
      <c r="C259" t="s">
        <v>11</v>
      </c>
      <c r="D259" t="s">
        <v>12</v>
      </c>
      <c r="E259" t="s">
        <v>50</v>
      </c>
      <c r="F259">
        <v>22.14</v>
      </c>
      <c r="G259" t="s">
        <v>14</v>
      </c>
      <c r="H259" t="s">
        <v>37</v>
      </c>
      <c r="I259">
        <v>4.7</v>
      </c>
      <c r="J259">
        <v>9</v>
      </c>
      <c r="K259">
        <v>2</v>
      </c>
      <c r="L259" s="4">
        <v>24.329670329670328</v>
      </c>
      <c r="M259" s="4">
        <v>2.1896703296703279</v>
      </c>
      <c r="N259" t="s">
        <v>92</v>
      </c>
    </row>
    <row r="260" spans="1:14">
      <c r="A260">
        <v>259</v>
      </c>
      <c r="B260">
        <v>41</v>
      </c>
      <c r="C260" t="s">
        <v>11</v>
      </c>
      <c r="D260" t="s">
        <v>29</v>
      </c>
      <c r="E260" t="s">
        <v>30</v>
      </c>
      <c r="F260">
        <v>28.65</v>
      </c>
      <c r="G260" t="s">
        <v>31</v>
      </c>
      <c r="H260" t="s">
        <v>15</v>
      </c>
      <c r="I260">
        <v>2.2999999999999998</v>
      </c>
      <c r="J260">
        <v>8</v>
      </c>
      <c r="K260">
        <v>4</v>
      </c>
      <c r="L260" s="4">
        <v>31.141304347826082</v>
      </c>
      <c r="M260" s="4">
        <v>2.4913043478260839</v>
      </c>
      <c r="N260" t="s">
        <v>92</v>
      </c>
    </row>
    <row r="261" spans="1:14">
      <c r="A261">
        <v>260</v>
      </c>
      <c r="B261">
        <v>33</v>
      </c>
      <c r="C261" t="s">
        <v>11</v>
      </c>
      <c r="D261" t="s">
        <v>12</v>
      </c>
      <c r="E261" t="s">
        <v>56</v>
      </c>
      <c r="F261">
        <v>79.92</v>
      </c>
      <c r="G261" t="s">
        <v>31</v>
      </c>
      <c r="H261" t="s">
        <v>37</v>
      </c>
      <c r="I261">
        <v>4.2</v>
      </c>
      <c r="J261">
        <v>14</v>
      </c>
      <c r="K261">
        <v>2</v>
      </c>
      <c r="L261" s="4">
        <v>92.930232558139537</v>
      </c>
      <c r="M261" s="4">
        <v>13.010232558139535</v>
      </c>
      <c r="N261" t="s">
        <v>91</v>
      </c>
    </row>
    <row r="262" spans="1:14">
      <c r="A262">
        <v>261</v>
      </c>
      <c r="B262">
        <v>21</v>
      </c>
      <c r="C262" t="s">
        <v>11</v>
      </c>
      <c r="D262" t="s">
        <v>29</v>
      </c>
      <c r="E262" t="s">
        <v>30</v>
      </c>
      <c r="F262">
        <v>124.58</v>
      </c>
      <c r="G262" t="s">
        <v>31</v>
      </c>
      <c r="H262" t="s">
        <v>15</v>
      </c>
      <c r="I262">
        <v>4.3</v>
      </c>
      <c r="J262">
        <v>19</v>
      </c>
      <c r="K262">
        <v>7</v>
      </c>
      <c r="L262" s="4">
        <v>153.80246913580245</v>
      </c>
      <c r="M262" s="4">
        <v>29.222469135802456</v>
      </c>
      <c r="N262" t="s">
        <v>100</v>
      </c>
    </row>
    <row r="263" spans="1:14">
      <c r="A263">
        <v>262</v>
      </c>
      <c r="B263">
        <v>26</v>
      </c>
      <c r="C263" t="s">
        <v>11</v>
      </c>
      <c r="D263" t="s">
        <v>22</v>
      </c>
      <c r="E263" t="s">
        <v>43</v>
      </c>
      <c r="F263">
        <v>72.84</v>
      </c>
      <c r="G263" t="s">
        <v>31</v>
      </c>
      <c r="H263" t="s">
        <v>15</v>
      </c>
      <c r="I263">
        <v>3.1</v>
      </c>
      <c r="J263">
        <v>14</v>
      </c>
      <c r="K263">
        <v>7</v>
      </c>
      <c r="L263" s="4">
        <v>84.697674418604663</v>
      </c>
      <c r="M263" s="4">
        <v>11.85767441860466</v>
      </c>
      <c r="N263" t="s">
        <v>91</v>
      </c>
    </row>
    <row r="264" spans="1:14">
      <c r="A264">
        <v>263</v>
      </c>
      <c r="B264">
        <v>35</v>
      </c>
      <c r="C264" t="s">
        <v>11</v>
      </c>
      <c r="D264" t="s">
        <v>29</v>
      </c>
      <c r="E264" t="s">
        <v>55</v>
      </c>
      <c r="F264">
        <v>47.94</v>
      </c>
      <c r="G264" t="s">
        <v>19</v>
      </c>
      <c r="H264" t="s">
        <v>15</v>
      </c>
      <c r="I264">
        <v>3.6</v>
      </c>
      <c r="J264">
        <v>13</v>
      </c>
      <c r="K264">
        <v>4</v>
      </c>
      <c r="L264" s="4">
        <v>55.103448275862064</v>
      </c>
      <c r="M264" s="4">
        <v>7.1634482758620663</v>
      </c>
      <c r="N264" t="s">
        <v>92</v>
      </c>
    </row>
    <row r="265" spans="1:14">
      <c r="A265">
        <v>264</v>
      </c>
      <c r="B265">
        <v>51</v>
      </c>
      <c r="C265" t="s">
        <v>16</v>
      </c>
      <c r="D265" t="s">
        <v>17</v>
      </c>
      <c r="E265" t="s">
        <v>18</v>
      </c>
      <c r="F265">
        <v>74.89</v>
      </c>
      <c r="G265" t="s">
        <v>19</v>
      </c>
      <c r="H265" t="s">
        <v>37</v>
      </c>
      <c r="I265">
        <v>3.2</v>
      </c>
      <c r="J265">
        <v>22</v>
      </c>
      <c r="K265">
        <v>6</v>
      </c>
      <c r="L265" s="4">
        <v>96.012820512820511</v>
      </c>
      <c r="M265" s="4">
        <v>21.12282051282051</v>
      </c>
      <c r="N265" t="s">
        <v>93</v>
      </c>
    </row>
    <row r="266" spans="1:14">
      <c r="A266">
        <v>265</v>
      </c>
      <c r="B266">
        <v>58</v>
      </c>
      <c r="C266" t="s">
        <v>16</v>
      </c>
      <c r="D266" t="s">
        <v>20</v>
      </c>
      <c r="E266" t="s">
        <v>39</v>
      </c>
      <c r="F266">
        <v>246.24</v>
      </c>
      <c r="G266" t="s">
        <v>24</v>
      </c>
      <c r="H266" t="s">
        <v>15</v>
      </c>
      <c r="I266">
        <v>3.5</v>
      </c>
      <c r="J266">
        <v>12</v>
      </c>
      <c r="K266">
        <v>6</v>
      </c>
      <c r="L266" s="4">
        <v>279.81818181818181</v>
      </c>
      <c r="M266" s="4">
        <v>33.578181818181804</v>
      </c>
      <c r="N266" t="s">
        <v>94</v>
      </c>
    </row>
    <row r="267" spans="1:14">
      <c r="A267">
        <v>266</v>
      </c>
      <c r="B267">
        <v>65</v>
      </c>
      <c r="C267" t="s">
        <v>11</v>
      </c>
      <c r="D267" t="s">
        <v>29</v>
      </c>
      <c r="E267" t="s">
        <v>51</v>
      </c>
      <c r="F267">
        <v>135.46</v>
      </c>
      <c r="G267" t="s">
        <v>14</v>
      </c>
      <c r="H267" t="s">
        <v>15</v>
      </c>
      <c r="I267">
        <v>4.3</v>
      </c>
      <c r="J267">
        <v>24</v>
      </c>
      <c r="K267">
        <v>7</v>
      </c>
      <c r="L267" s="4">
        <v>178.23684210526318</v>
      </c>
      <c r="M267" s="4">
        <v>42.776842105263171</v>
      </c>
      <c r="N267" t="s">
        <v>95</v>
      </c>
    </row>
    <row r="268" spans="1:14">
      <c r="A268">
        <v>267</v>
      </c>
      <c r="B268">
        <v>31</v>
      </c>
      <c r="C268" t="s">
        <v>16</v>
      </c>
      <c r="D268" t="s">
        <v>33</v>
      </c>
      <c r="E268" t="s">
        <v>40</v>
      </c>
      <c r="F268">
        <v>220.18</v>
      </c>
      <c r="G268" t="s">
        <v>19</v>
      </c>
      <c r="H268" t="s">
        <v>15</v>
      </c>
      <c r="I268">
        <v>3.4</v>
      </c>
      <c r="J268">
        <v>6</v>
      </c>
      <c r="K268">
        <v>3</v>
      </c>
      <c r="L268" s="4">
        <v>234.2340425531915</v>
      </c>
      <c r="M268" s="4">
        <v>14.054042553191493</v>
      </c>
      <c r="N268" t="s">
        <v>91</v>
      </c>
    </row>
    <row r="269" spans="1:14">
      <c r="A269">
        <v>268</v>
      </c>
      <c r="B269">
        <v>67</v>
      </c>
      <c r="C269" t="s">
        <v>16</v>
      </c>
      <c r="D269" t="s">
        <v>17</v>
      </c>
      <c r="E269" t="s">
        <v>48</v>
      </c>
      <c r="F269">
        <v>159.94</v>
      </c>
      <c r="G269" t="s">
        <v>24</v>
      </c>
      <c r="H269" t="s">
        <v>15</v>
      </c>
      <c r="I269">
        <v>4.5</v>
      </c>
      <c r="J269">
        <v>10</v>
      </c>
      <c r="K269">
        <v>5</v>
      </c>
      <c r="L269" s="4">
        <v>177.71111111111111</v>
      </c>
      <c r="M269" s="4">
        <v>17.771111111111111</v>
      </c>
      <c r="N269" t="s">
        <v>95</v>
      </c>
    </row>
    <row r="270" spans="1:14">
      <c r="A270">
        <v>269</v>
      </c>
      <c r="B270">
        <v>29</v>
      </c>
      <c r="C270" t="s">
        <v>16</v>
      </c>
      <c r="D270" t="s">
        <v>27</v>
      </c>
      <c r="E270" t="s">
        <v>49</v>
      </c>
      <c r="F270">
        <v>2391.83</v>
      </c>
      <c r="G270" t="s">
        <v>24</v>
      </c>
      <c r="H270" t="s">
        <v>15</v>
      </c>
      <c r="I270">
        <v>3.4</v>
      </c>
      <c r="J270">
        <v>14</v>
      </c>
      <c r="K270">
        <v>7</v>
      </c>
      <c r="L270" s="4">
        <v>2781.1976744186045</v>
      </c>
      <c r="M270" s="4">
        <v>389.36767441860457</v>
      </c>
      <c r="N270" t="s">
        <v>91</v>
      </c>
    </row>
    <row r="271" spans="1:14">
      <c r="A271">
        <v>270</v>
      </c>
      <c r="B271">
        <v>31</v>
      </c>
      <c r="C271" t="s">
        <v>11</v>
      </c>
      <c r="D271" t="s">
        <v>29</v>
      </c>
      <c r="E271" t="s">
        <v>51</v>
      </c>
      <c r="F271">
        <v>112.96</v>
      </c>
      <c r="G271" t="s">
        <v>14</v>
      </c>
      <c r="H271" t="s">
        <v>15</v>
      </c>
      <c r="I271">
        <v>5</v>
      </c>
      <c r="J271">
        <v>13</v>
      </c>
      <c r="K271">
        <v>4</v>
      </c>
      <c r="L271" s="4">
        <v>129.83908045977012</v>
      </c>
      <c r="M271" s="4">
        <v>16.879080459770123</v>
      </c>
      <c r="N271" t="s">
        <v>91</v>
      </c>
    </row>
    <row r="272" spans="1:14">
      <c r="A272">
        <v>271</v>
      </c>
      <c r="B272">
        <v>42</v>
      </c>
      <c r="C272" t="s">
        <v>16</v>
      </c>
      <c r="D272" t="s">
        <v>25</v>
      </c>
      <c r="E272" t="s">
        <v>26</v>
      </c>
      <c r="F272">
        <v>56.82</v>
      </c>
      <c r="G272" t="s">
        <v>19</v>
      </c>
      <c r="H272" t="s">
        <v>15</v>
      </c>
      <c r="I272">
        <v>5</v>
      </c>
      <c r="J272">
        <v>17</v>
      </c>
      <c r="K272">
        <v>6</v>
      </c>
      <c r="L272" s="4">
        <v>68.457831325301214</v>
      </c>
      <c r="M272" s="4">
        <v>11.637831325301214</v>
      </c>
      <c r="N272" t="s">
        <v>92</v>
      </c>
    </row>
    <row r="273" spans="1:14">
      <c r="A273">
        <v>272</v>
      </c>
      <c r="B273">
        <v>33</v>
      </c>
      <c r="C273" t="s">
        <v>11</v>
      </c>
      <c r="D273" t="s">
        <v>25</v>
      </c>
      <c r="E273" t="s">
        <v>26</v>
      </c>
      <c r="F273">
        <v>17.86</v>
      </c>
      <c r="G273" t="s">
        <v>14</v>
      </c>
      <c r="H273" t="s">
        <v>37</v>
      </c>
      <c r="I273">
        <v>3.7</v>
      </c>
      <c r="J273">
        <v>30</v>
      </c>
      <c r="K273">
        <v>10</v>
      </c>
      <c r="L273" s="4">
        <v>25.514285714285716</v>
      </c>
      <c r="M273" s="4">
        <v>7.6542857142857166</v>
      </c>
      <c r="N273" t="s">
        <v>91</v>
      </c>
    </row>
    <row r="274" spans="1:14">
      <c r="A274">
        <v>273</v>
      </c>
      <c r="B274">
        <v>59</v>
      </c>
      <c r="C274" t="s">
        <v>16</v>
      </c>
      <c r="D274" t="s">
        <v>25</v>
      </c>
      <c r="E274" t="s">
        <v>57</v>
      </c>
      <c r="F274">
        <v>22.31</v>
      </c>
      <c r="G274" t="s">
        <v>19</v>
      </c>
      <c r="H274" t="s">
        <v>15</v>
      </c>
      <c r="I274">
        <v>3.9</v>
      </c>
      <c r="J274">
        <v>28</v>
      </c>
      <c r="K274">
        <v>9</v>
      </c>
      <c r="L274" s="4">
        <v>30.986111111111111</v>
      </c>
      <c r="M274" s="4">
        <v>8.676111111111112</v>
      </c>
      <c r="N274" t="s">
        <v>94</v>
      </c>
    </row>
    <row r="275" spans="1:14">
      <c r="A275">
        <v>274</v>
      </c>
      <c r="B275">
        <v>36</v>
      </c>
      <c r="C275" t="s">
        <v>16</v>
      </c>
      <c r="D275" t="s">
        <v>27</v>
      </c>
      <c r="E275" t="s">
        <v>32</v>
      </c>
      <c r="F275">
        <v>2851.93</v>
      </c>
      <c r="G275" t="s">
        <v>14</v>
      </c>
      <c r="H275" t="s">
        <v>15</v>
      </c>
      <c r="I275">
        <v>3.4</v>
      </c>
      <c r="J275">
        <v>8</v>
      </c>
      <c r="K275">
        <v>4</v>
      </c>
      <c r="L275" s="4">
        <v>3099.923913043478</v>
      </c>
      <c r="M275" s="4">
        <v>247.99391304347819</v>
      </c>
      <c r="N275" t="s">
        <v>92</v>
      </c>
    </row>
    <row r="276" spans="1:14">
      <c r="A276">
        <v>275</v>
      </c>
      <c r="B276">
        <v>61</v>
      </c>
      <c r="C276" t="s">
        <v>11</v>
      </c>
      <c r="D276" t="s">
        <v>41</v>
      </c>
      <c r="E276" t="s">
        <v>44</v>
      </c>
      <c r="F276">
        <v>164.2</v>
      </c>
      <c r="G276" t="s">
        <v>14</v>
      </c>
      <c r="H276" t="s">
        <v>15</v>
      </c>
      <c r="I276">
        <v>3.6</v>
      </c>
      <c r="J276">
        <v>11</v>
      </c>
      <c r="K276">
        <v>3</v>
      </c>
      <c r="L276" s="4">
        <v>184.49438202247188</v>
      </c>
      <c r="M276" s="4">
        <v>20.294382022471893</v>
      </c>
      <c r="N276" t="s">
        <v>94</v>
      </c>
    </row>
    <row r="277" spans="1:14">
      <c r="A277">
        <v>276</v>
      </c>
      <c r="B277">
        <v>22</v>
      </c>
      <c r="C277" t="s">
        <v>16</v>
      </c>
      <c r="D277" t="s">
        <v>20</v>
      </c>
      <c r="E277" t="s">
        <v>39</v>
      </c>
      <c r="F277">
        <v>204.62</v>
      </c>
      <c r="G277" t="s">
        <v>14</v>
      </c>
      <c r="H277" t="s">
        <v>15</v>
      </c>
      <c r="I277">
        <v>3.3</v>
      </c>
      <c r="J277">
        <v>16</v>
      </c>
      <c r="K277">
        <v>3</v>
      </c>
      <c r="L277" s="4">
        <v>243.5952380952381</v>
      </c>
      <c r="M277" s="4">
        <v>38.975238095238097</v>
      </c>
      <c r="N277" t="s">
        <v>100</v>
      </c>
    </row>
    <row r="278" spans="1:14">
      <c r="A278">
        <v>277</v>
      </c>
      <c r="B278">
        <v>68</v>
      </c>
      <c r="C278" t="s">
        <v>11</v>
      </c>
      <c r="D278" t="s">
        <v>33</v>
      </c>
      <c r="E278" t="s">
        <v>40</v>
      </c>
      <c r="F278">
        <v>75.72</v>
      </c>
      <c r="G278" t="s">
        <v>19</v>
      </c>
      <c r="H278" t="s">
        <v>37</v>
      </c>
      <c r="I278">
        <v>4.3</v>
      </c>
      <c r="J278">
        <v>20</v>
      </c>
      <c r="K278">
        <v>5</v>
      </c>
      <c r="L278" s="4">
        <v>94.649999999999991</v>
      </c>
      <c r="M278" s="4">
        <v>18.929999999999993</v>
      </c>
      <c r="N278" t="s">
        <v>95</v>
      </c>
    </row>
    <row r="279" spans="1:14">
      <c r="A279">
        <v>278</v>
      </c>
      <c r="B279">
        <v>24</v>
      </c>
      <c r="C279" t="s">
        <v>11</v>
      </c>
      <c r="D279" t="s">
        <v>33</v>
      </c>
      <c r="E279" t="s">
        <v>34</v>
      </c>
      <c r="F279">
        <v>105.45</v>
      </c>
      <c r="G279" t="s">
        <v>31</v>
      </c>
      <c r="H279" t="s">
        <v>15</v>
      </c>
      <c r="I279">
        <v>2.2999999999999998</v>
      </c>
      <c r="J279">
        <v>5</v>
      </c>
      <c r="K279">
        <v>0</v>
      </c>
      <c r="L279" s="4">
        <v>111.00000000000001</v>
      </c>
      <c r="M279" s="4">
        <v>5.5500000000000114</v>
      </c>
      <c r="N279" t="s">
        <v>100</v>
      </c>
    </row>
    <row r="280" spans="1:14">
      <c r="A280">
        <v>279</v>
      </c>
      <c r="B280">
        <v>36</v>
      </c>
      <c r="C280" t="s">
        <v>16</v>
      </c>
      <c r="D280" t="s">
        <v>33</v>
      </c>
      <c r="E280" t="s">
        <v>34</v>
      </c>
      <c r="F280">
        <v>212.7</v>
      </c>
      <c r="G280" t="s">
        <v>14</v>
      </c>
      <c r="H280" t="s">
        <v>15</v>
      </c>
      <c r="I280">
        <v>4</v>
      </c>
      <c r="J280">
        <v>18</v>
      </c>
      <c r="K280">
        <v>4</v>
      </c>
      <c r="L280" s="4">
        <v>259.39024390243901</v>
      </c>
      <c r="M280" s="4">
        <v>46.690243902439022</v>
      </c>
      <c r="N280" t="s">
        <v>92</v>
      </c>
    </row>
    <row r="281" spans="1:14">
      <c r="A281">
        <v>280</v>
      </c>
      <c r="B281">
        <v>28</v>
      </c>
      <c r="C281" t="s">
        <v>11</v>
      </c>
      <c r="D281" t="s">
        <v>12</v>
      </c>
      <c r="E281" t="s">
        <v>13</v>
      </c>
      <c r="F281">
        <v>98.3</v>
      </c>
      <c r="G281" t="s">
        <v>14</v>
      </c>
      <c r="H281" t="s">
        <v>15</v>
      </c>
      <c r="I281">
        <v>3.3</v>
      </c>
      <c r="J281">
        <v>24</v>
      </c>
      <c r="K281">
        <v>7</v>
      </c>
      <c r="L281" s="4">
        <v>129.34210526315789</v>
      </c>
      <c r="M281" s="4">
        <v>31.042105263157893</v>
      </c>
      <c r="N281" t="s">
        <v>91</v>
      </c>
    </row>
    <row r="282" spans="1:14">
      <c r="A282">
        <v>281</v>
      </c>
      <c r="B282">
        <v>59</v>
      </c>
      <c r="C282" t="s">
        <v>16</v>
      </c>
      <c r="D282" t="s">
        <v>27</v>
      </c>
      <c r="E282" t="s">
        <v>49</v>
      </c>
      <c r="F282">
        <v>1775.37</v>
      </c>
      <c r="G282" t="s">
        <v>24</v>
      </c>
      <c r="H282" t="s">
        <v>15</v>
      </c>
      <c r="I282">
        <v>3.2</v>
      </c>
      <c r="J282">
        <v>16</v>
      </c>
      <c r="K282">
        <v>8</v>
      </c>
      <c r="L282" s="4">
        <v>2113.5357142857142</v>
      </c>
      <c r="M282" s="4">
        <v>338.16571428571433</v>
      </c>
      <c r="N282" t="s">
        <v>94</v>
      </c>
    </row>
    <row r="283" spans="1:14">
      <c r="A283">
        <v>282</v>
      </c>
      <c r="B283">
        <v>53</v>
      </c>
      <c r="C283" t="s">
        <v>11</v>
      </c>
      <c r="D283" t="s">
        <v>29</v>
      </c>
      <c r="E283" t="s">
        <v>51</v>
      </c>
      <c r="F283">
        <v>146.09</v>
      </c>
      <c r="G283" t="s">
        <v>31</v>
      </c>
      <c r="H283" t="s">
        <v>15</v>
      </c>
      <c r="I283">
        <v>3.2</v>
      </c>
      <c r="J283">
        <v>10</v>
      </c>
      <c r="K283">
        <v>5</v>
      </c>
      <c r="L283" s="4">
        <v>162.32222222222222</v>
      </c>
      <c r="M283" s="4">
        <v>16.232222222222219</v>
      </c>
      <c r="N283" t="s">
        <v>93</v>
      </c>
    </row>
    <row r="284" spans="1:14">
      <c r="A284">
        <v>283</v>
      </c>
      <c r="B284">
        <v>50</v>
      </c>
      <c r="C284" t="s">
        <v>16</v>
      </c>
      <c r="D284" t="s">
        <v>17</v>
      </c>
      <c r="E284" t="s">
        <v>35</v>
      </c>
      <c r="F284">
        <v>144.37</v>
      </c>
      <c r="G284" t="s">
        <v>24</v>
      </c>
      <c r="H284" t="s">
        <v>15</v>
      </c>
      <c r="I284">
        <v>4.5999999999999996</v>
      </c>
      <c r="J284">
        <v>8</v>
      </c>
      <c r="K284">
        <v>4</v>
      </c>
      <c r="L284" s="4">
        <v>156.92391304347825</v>
      </c>
      <c r="M284" s="4">
        <v>12.553913043478246</v>
      </c>
      <c r="N284" t="s">
        <v>93</v>
      </c>
    </row>
    <row r="285" spans="1:14">
      <c r="A285">
        <v>284</v>
      </c>
      <c r="B285">
        <v>39</v>
      </c>
      <c r="C285" t="s">
        <v>11</v>
      </c>
      <c r="D285" t="s">
        <v>41</v>
      </c>
      <c r="E285" t="s">
        <v>42</v>
      </c>
      <c r="F285">
        <v>107.92</v>
      </c>
      <c r="G285" t="s">
        <v>14</v>
      </c>
      <c r="H285" t="s">
        <v>15</v>
      </c>
      <c r="I285">
        <v>4.9000000000000004</v>
      </c>
      <c r="J285">
        <v>13</v>
      </c>
      <c r="K285">
        <v>4</v>
      </c>
      <c r="L285" s="4">
        <v>124.04597701149426</v>
      </c>
      <c r="M285" s="4">
        <v>16.125977011494257</v>
      </c>
      <c r="N285" t="s">
        <v>92</v>
      </c>
    </row>
    <row r="286" spans="1:14">
      <c r="A286">
        <v>285</v>
      </c>
      <c r="B286">
        <v>27</v>
      </c>
      <c r="C286" t="s">
        <v>16</v>
      </c>
      <c r="D286" t="s">
        <v>33</v>
      </c>
      <c r="E286" t="s">
        <v>40</v>
      </c>
      <c r="F286">
        <v>138.29</v>
      </c>
      <c r="G286" t="s">
        <v>31</v>
      </c>
      <c r="H286" t="s">
        <v>15</v>
      </c>
      <c r="I286">
        <v>3.6</v>
      </c>
      <c r="J286">
        <v>14</v>
      </c>
      <c r="K286">
        <v>7</v>
      </c>
      <c r="L286" s="4">
        <v>160.80232558139534</v>
      </c>
      <c r="M286" s="4">
        <v>22.512325581395345</v>
      </c>
      <c r="N286" t="s">
        <v>91</v>
      </c>
    </row>
    <row r="287" spans="1:14">
      <c r="A287">
        <v>286</v>
      </c>
      <c r="B287">
        <v>40</v>
      </c>
      <c r="C287" t="s">
        <v>11</v>
      </c>
      <c r="D287" t="s">
        <v>12</v>
      </c>
      <c r="E287" t="s">
        <v>13</v>
      </c>
      <c r="F287">
        <v>101.69</v>
      </c>
      <c r="G287" t="s">
        <v>24</v>
      </c>
      <c r="H287" t="s">
        <v>15</v>
      </c>
      <c r="I287">
        <v>5</v>
      </c>
      <c r="J287">
        <v>10</v>
      </c>
      <c r="K287">
        <v>5</v>
      </c>
      <c r="L287" s="4">
        <v>112.98888888888888</v>
      </c>
      <c r="M287" s="4">
        <v>11.298888888888882</v>
      </c>
      <c r="N287" t="s">
        <v>92</v>
      </c>
    </row>
    <row r="288" spans="1:14">
      <c r="A288">
        <v>287</v>
      </c>
      <c r="B288">
        <v>28</v>
      </c>
      <c r="C288" t="s">
        <v>11</v>
      </c>
      <c r="D288" t="s">
        <v>33</v>
      </c>
      <c r="E288" t="s">
        <v>38</v>
      </c>
      <c r="F288">
        <v>198.28</v>
      </c>
      <c r="G288" t="s">
        <v>14</v>
      </c>
      <c r="H288" t="s">
        <v>15</v>
      </c>
      <c r="I288">
        <v>3.6</v>
      </c>
      <c r="J288">
        <v>20</v>
      </c>
      <c r="K288">
        <v>5</v>
      </c>
      <c r="L288" s="4">
        <v>247.85</v>
      </c>
      <c r="M288" s="4">
        <v>49.569999999999993</v>
      </c>
      <c r="N288" t="s">
        <v>91</v>
      </c>
    </row>
    <row r="289" spans="1:14">
      <c r="A289">
        <v>288</v>
      </c>
      <c r="B289">
        <v>61</v>
      </c>
      <c r="C289" t="s">
        <v>11</v>
      </c>
      <c r="D289" t="s">
        <v>20</v>
      </c>
      <c r="E289" t="s">
        <v>39</v>
      </c>
      <c r="F289">
        <v>171.59</v>
      </c>
      <c r="G289" t="s">
        <v>24</v>
      </c>
      <c r="H289" t="s">
        <v>15</v>
      </c>
      <c r="I289">
        <v>3</v>
      </c>
      <c r="J289">
        <v>16</v>
      </c>
      <c r="K289">
        <v>8</v>
      </c>
      <c r="L289" s="4">
        <v>204.27380952380955</v>
      </c>
      <c r="M289" s="4">
        <v>32.683809523809543</v>
      </c>
      <c r="N289" t="s">
        <v>94</v>
      </c>
    </row>
    <row r="290" spans="1:14">
      <c r="A290">
        <v>289</v>
      </c>
      <c r="B290">
        <v>54</v>
      </c>
      <c r="C290" t="s">
        <v>16</v>
      </c>
      <c r="D290" t="s">
        <v>27</v>
      </c>
      <c r="E290" t="s">
        <v>49</v>
      </c>
      <c r="F290">
        <v>2903.73</v>
      </c>
      <c r="G290" t="s">
        <v>19</v>
      </c>
      <c r="H290" t="s">
        <v>15</v>
      </c>
      <c r="I290">
        <v>3.7</v>
      </c>
      <c r="J290">
        <v>30</v>
      </c>
      <c r="K290">
        <v>10</v>
      </c>
      <c r="L290" s="4">
        <v>4148.1857142857143</v>
      </c>
      <c r="M290" s="4">
        <v>1244.4557142857143</v>
      </c>
      <c r="N290" t="s">
        <v>93</v>
      </c>
    </row>
    <row r="291" spans="1:14">
      <c r="A291">
        <v>290</v>
      </c>
      <c r="B291">
        <v>51</v>
      </c>
      <c r="C291" t="s">
        <v>16</v>
      </c>
      <c r="D291" t="s">
        <v>33</v>
      </c>
      <c r="E291" t="s">
        <v>34</v>
      </c>
      <c r="F291">
        <v>206.84</v>
      </c>
      <c r="G291" t="s">
        <v>31</v>
      </c>
      <c r="H291" t="s">
        <v>15</v>
      </c>
      <c r="I291">
        <v>2.2000000000000002</v>
      </c>
      <c r="J291">
        <v>8</v>
      </c>
      <c r="K291">
        <v>4</v>
      </c>
      <c r="L291" s="4">
        <v>224.82608695652172</v>
      </c>
      <c r="M291" s="4">
        <v>17.986086956521717</v>
      </c>
      <c r="N291" t="s">
        <v>93</v>
      </c>
    </row>
    <row r="292" spans="1:14">
      <c r="A292">
        <v>291</v>
      </c>
      <c r="B292">
        <v>31</v>
      </c>
      <c r="C292" t="s">
        <v>11</v>
      </c>
      <c r="D292" t="s">
        <v>41</v>
      </c>
      <c r="E292" t="s">
        <v>42</v>
      </c>
      <c r="F292">
        <v>63.74</v>
      </c>
      <c r="G292" t="s">
        <v>14</v>
      </c>
      <c r="H292" t="s">
        <v>37</v>
      </c>
      <c r="I292">
        <v>3.7</v>
      </c>
      <c r="J292">
        <v>8</v>
      </c>
      <c r="K292">
        <v>4</v>
      </c>
      <c r="L292" s="4">
        <v>69.282608695652172</v>
      </c>
      <c r="M292" s="4">
        <v>5.5426086956521701</v>
      </c>
      <c r="N292" t="s">
        <v>91</v>
      </c>
    </row>
    <row r="293" spans="1:14">
      <c r="A293">
        <v>292</v>
      </c>
      <c r="B293">
        <v>61</v>
      </c>
      <c r="C293" t="s">
        <v>16</v>
      </c>
      <c r="D293" t="s">
        <v>20</v>
      </c>
      <c r="E293" t="s">
        <v>36</v>
      </c>
      <c r="F293">
        <v>64.87</v>
      </c>
      <c r="G293" t="s">
        <v>31</v>
      </c>
      <c r="H293" t="s">
        <v>37</v>
      </c>
      <c r="I293">
        <v>1.8</v>
      </c>
      <c r="J293">
        <v>22</v>
      </c>
      <c r="K293">
        <v>6</v>
      </c>
      <c r="L293" s="4">
        <v>83.166666666666671</v>
      </c>
      <c r="M293" s="4">
        <v>18.296666666666667</v>
      </c>
      <c r="N293" t="s">
        <v>94</v>
      </c>
    </row>
    <row r="294" spans="1:14">
      <c r="A294">
        <v>293</v>
      </c>
      <c r="B294">
        <v>50</v>
      </c>
      <c r="C294" t="s">
        <v>11</v>
      </c>
      <c r="D294" t="s">
        <v>12</v>
      </c>
      <c r="E294" t="s">
        <v>50</v>
      </c>
      <c r="F294">
        <v>67.819999999999993</v>
      </c>
      <c r="G294" t="s">
        <v>19</v>
      </c>
      <c r="H294" t="s">
        <v>15</v>
      </c>
      <c r="I294">
        <v>2.5</v>
      </c>
      <c r="J294">
        <v>14</v>
      </c>
      <c r="K294">
        <v>7</v>
      </c>
      <c r="L294" s="4">
        <v>78.860465116279059</v>
      </c>
      <c r="M294" s="4">
        <v>11.040465116279066</v>
      </c>
      <c r="N294" t="s">
        <v>93</v>
      </c>
    </row>
    <row r="295" spans="1:14">
      <c r="A295">
        <v>294</v>
      </c>
      <c r="B295">
        <v>65</v>
      </c>
      <c r="C295" t="s">
        <v>11</v>
      </c>
      <c r="D295" t="s">
        <v>29</v>
      </c>
      <c r="E295" t="s">
        <v>55</v>
      </c>
      <c r="F295">
        <v>95.87</v>
      </c>
      <c r="G295" t="s">
        <v>14</v>
      </c>
      <c r="H295" t="s">
        <v>15</v>
      </c>
      <c r="I295">
        <v>4</v>
      </c>
      <c r="J295">
        <v>14</v>
      </c>
      <c r="K295">
        <v>2</v>
      </c>
      <c r="L295" s="4">
        <v>111.47674418604652</v>
      </c>
      <c r="M295" s="4">
        <v>15.606744186046512</v>
      </c>
      <c r="N295" t="s">
        <v>95</v>
      </c>
    </row>
    <row r="296" spans="1:14">
      <c r="A296">
        <v>295</v>
      </c>
      <c r="B296">
        <v>46</v>
      </c>
      <c r="C296" t="s">
        <v>11</v>
      </c>
      <c r="D296" t="s">
        <v>20</v>
      </c>
      <c r="E296" t="s">
        <v>36</v>
      </c>
      <c r="F296">
        <v>142.71</v>
      </c>
      <c r="G296" t="s">
        <v>19</v>
      </c>
      <c r="H296" t="s">
        <v>15</v>
      </c>
      <c r="I296">
        <v>3.2</v>
      </c>
      <c r="J296">
        <v>10</v>
      </c>
      <c r="K296">
        <v>5</v>
      </c>
      <c r="L296" s="4">
        <v>158.56666666666666</v>
      </c>
      <c r="M296" s="4">
        <v>15.856666666666655</v>
      </c>
      <c r="N296" t="s">
        <v>93</v>
      </c>
    </row>
    <row r="297" spans="1:14">
      <c r="A297">
        <v>296</v>
      </c>
      <c r="B297">
        <v>48</v>
      </c>
      <c r="C297" t="s">
        <v>16</v>
      </c>
      <c r="D297" t="s">
        <v>22</v>
      </c>
      <c r="E297" t="s">
        <v>43</v>
      </c>
      <c r="F297">
        <v>218.92</v>
      </c>
      <c r="G297" t="s">
        <v>24</v>
      </c>
      <c r="H297" t="s">
        <v>15</v>
      </c>
      <c r="I297">
        <v>3.7</v>
      </c>
      <c r="J297">
        <v>21</v>
      </c>
      <c r="K297">
        <v>8</v>
      </c>
      <c r="L297" s="4">
        <v>277.11392405063287</v>
      </c>
      <c r="M297" s="4">
        <v>58.193924050632887</v>
      </c>
      <c r="N297" t="s">
        <v>93</v>
      </c>
    </row>
    <row r="298" spans="1:14">
      <c r="A298">
        <v>297</v>
      </c>
      <c r="B298">
        <v>58</v>
      </c>
      <c r="C298" t="s">
        <v>16</v>
      </c>
      <c r="D298" t="s">
        <v>20</v>
      </c>
      <c r="E298" t="s">
        <v>39</v>
      </c>
      <c r="F298">
        <v>57.47</v>
      </c>
      <c r="G298" t="s">
        <v>24</v>
      </c>
      <c r="H298" t="s">
        <v>15</v>
      </c>
      <c r="I298">
        <v>2.5</v>
      </c>
      <c r="J298">
        <v>2</v>
      </c>
      <c r="K298">
        <v>1</v>
      </c>
      <c r="L298" s="4">
        <v>58.642857142857146</v>
      </c>
      <c r="M298" s="4">
        <v>1.172857142857147</v>
      </c>
      <c r="N298" t="s">
        <v>94</v>
      </c>
    </row>
    <row r="299" spans="1:14">
      <c r="A299">
        <v>298</v>
      </c>
      <c r="B299">
        <v>20</v>
      </c>
      <c r="C299" t="s">
        <v>16</v>
      </c>
      <c r="D299" t="s">
        <v>17</v>
      </c>
      <c r="E299" t="s">
        <v>42</v>
      </c>
      <c r="F299">
        <v>170</v>
      </c>
      <c r="G299" t="s">
        <v>19</v>
      </c>
      <c r="H299" t="s">
        <v>15</v>
      </c>
      <c r="I299">
        <v>3.6</v>
      </c>
      <c r="J299">
        <v>12</v>
      </c>
      <c r="K299">
        <v>6</v>
      </c>
      <c r="L299" s="4">
        <v>193.18181818181819</v>
      </c>
      <c r="M299" s="4">
        <v>23.181818181818187</v>
      </c>
      <c r="N299" t="s">
        <v>100</v>
      </c>
    </row>
    <row r="300" spans="1:14">
      <c r="A300">
        <v>299</v>
      </c>
      <c r="B300">
        <v>36</v>
      </c>
      <c r="C300" t="s">
        <v>11</v>
      </c>
      <c r="D300" t="s">
        <v>41</v>
      </c>
      <c r="E300" t="s">
        <v>44</v>
      </c>
      <c r="F300">
        <v>67.61</v>
      </c>
      <c r="G300" t="s">
        <v>19</v>
      </c>
      <c r="H300" t="s">
        <v>37</v>
      </c>
      <c r="I300">
        <v>3.8</v>
      </c>
      <c r="J300">
        <v>19</v>
      </c>
      <c r="K300">
        <v>7</v>
      </c>
      <c r="L300" s="4">
        <v>83.469135802469125</v>
      </c>
      <c r="M300" s="4">
        <v>15.859135802469126</v>
      </c>
      <c r="N300" t="s">
        <v>92</v>
      </c>
    </row>
    <row r="301" spans="1:14">
      <c r="A301">
        <v>300</v>
      </c>
      <c r="B301">
        <v>66</v>
      </c>
      <c r="C301" t="s">
        <v>16</v>
      </c>
      <c r="D301" t="s">
        <v>17</v>
      </c>
      <c r="E301" t="s">
        <v>42</v>
      </c>
      <c r="F301">
        <v>141.21</v>
      </c>
      <c r="G301" t="s">
        <v>31</v>
      </c>
      <c r="H301" t="s">
        <v>15</v>
      </c>
      <c r="I301">
        <v>3.4</v>
      </c>
      <c r="J301">
        <v>22</v>
      </c>
      <c r="K301">
        <v>6</v>
      </c>
      <c r="L301" s="4">
        <v>181.03846153846155</v>
      </c>
      <c r="M301" s="4">
        <v>39.828461538461539</v>
      </c>
      <c r="N301" t="s">
        <v>95</v>
      </c>
    </row>
    <row r="302" spans="1:14">
      <c r="A302">
        <v>301</v>
      </c>
      <c r="B302">
        <v>66</v>
      </c>
      <c r="C302" t="s">
        <v>11</v>
      </c>
      <c r="D302" t="s">
        <v>12</v>
      </c>
      <c r="E302" t="s">
        <v>50</v>
      </c>
      <c r="F302">
        <v>57.04</v>
      </c>
      <c r="G302" t="s">
        <v>14</v>
      </c>
      <c r="H302" t="s">
        <v>37</v>
      </c>
      <c r="I302">
        <v>3.5</v>
      </c>
      <c r="J302">
        <v>18</v>
      </c>
      <c r="K302">
        <v>4</v>
      </c>
      <c r="L302" s="4">
        <v>69.560975609756085</v>
      </c>
      <c r="M302" s="4">
        <v>12.520975609756086</v>
      </c>
      <c r="N302" t="s">
        <v>95</v>
      </c>
    </row>
    <row r="303" spans="1:14">
      <c r="A303">
        <v>302</v>
      </c>
      <c r="B303">
        <v>32</v>
      </c>
      <c r="C303" t="s">
        <v>11</v>
      </c>
      <c r="D303" t="s">
        <v>41</v>
      </c>
      <c r="E303" t="s">
        <v>46</v>
      </c>
      <c r="F303">
        <v>41.92</v>
      </c>
      <c r="G303" t="s">
        <v>14</v>
      </c>
      <c r="H303" t="s">
        <v>37</v>
      </c>
      <c r="I303">
        <v>3.5</v>
      </c>
      <c r="J303">
        <v>8</v>
      </c>
      <c r="K303">
        <v>4</v>
      </c>
      <c r="L303" s="4">
        <v>45.565217391304351</v>
      </c>
      <c r="M303" s="4">
        <v>3.6452173913043495</v>
      </c>
      <c r="N303" t="s">
        <v>91</v>
      </c>
    </row>
    <row r="304" spans="1:14">
      <c r="A304">
        <v>303</v>
      </c>
      <c r="B304">
        <v>51</v>
      </c>
      <c r="C304" t="s">
        <v>16</v>
      </c>
      <c r="D304" t="s">
        <v>33</v>
      </c>
      <c r="E304" t="s">
        <v>34</v>
      </c>
      <c r="F304">
        <v>106.72</v>
      </c>
      <c r="G304" t="s">
        <v>14</v>
      </c>
      <c r="H304" t="s">
        <v>15</v>
      </c>
      <c r="I304">
        <v>2.8</v>
      </c>
      <c r="J304">
        <v>18</v>
      </c>
      <c r="K304">
        <v>4</v>
      </c>
      <c r="L304" s="4">
        <v>130.14634146341461</v>
      </c>
      <c r="M304" s="4">
        <v>23.426341463414616</v>
      </c>
      <c r="N304" t="s">
        <v>93</v>
      </c>
    </row>
    <row r="305" spans="1:14">
      <c r="A305">
        <v>304</v>
      </c>
      <c r="B305">
        <v>54</v>
      </c>
      <c r="C305" t="s">
        <v>11</v>
      </c>
      <c r="D305" t="s">
        <v>41</v>
      </c>
      <c r="E305" t="s">
        <v>45</v>
      </c>
      <c r="F305">
        <v>145.16</v>
      </c>
      <c r="G305" t="s">
        <v>31</v>
      </c>
      <c r="H305" t="s">
        <v>15</v>
      </c>
      <c r="I305">
        <v>3.1</v>
      </c>
      <c r="J305">
        <v>14</v>
      </c>
      <c r="K305">
        <v>7</v>
      </c>
      <c r="L305" s="4">
        <v>168.7906976744186</v>
      </c>
      <c r="M305" s="4">
        <v>23.630697674418599</v>
      </c>
      <c r="N305" t="s">
        <v>93</v>
      </c>
    </row>
    <row r="306" spans="1:14">
      <c r="A306">
        <v>305</v>
      </c>
      <c r="B306">
        <v>25</v>
      </c>
      <c r="C306" t="s">
        <v>11</v>
      </c>
      <c r="D306" t="s">
        <v>12</v>
      </c>
      <c r="E306" t="s">
        <v>56</v>
      </c>
      <c r="F306">
        <v>102.26</v>
      </c>
      <c r="G306" t="s">
        <v>14</v>
      </c>
      <c r="H306" t="s">
        <v>15</v>
      </c>
      <c r="I306">
        <v>4.2</v>
      </c>
      <c r="J306">
        <v>16</v>
      </c>
      <c r="K306">
        <v>3</v>
      </c>
      <c r="L306" s="4">
        <v>121.73809523809526</v>
      </c>
      <c r="M306" s="4">
        <v>19.47809523809525</v>
      </c>
      <c r="N306" t="s">
        <v>91</v>
      </c>
    </row>
    <row r="307" spans="1:14">
      <c r="A307">
        <v>306</v>
      </c>
      <c r="B307">
        <v>23</v>
      </c>
      <c r="C307" t="s">
        <v>16</v>
      </c>
      <c r="D307" t="s">
        <v>27</v>
      </c>
      <c r="E307" t="s">
        <v>53</v>
      </c>
      <c r="F307">
        <v>1364.52</v>
      </c>
      <c r="G307" t="s">
        <v>19</v>
      </c>
      <c r="H307" t="s">
        <v>15</v>
      </c>
      <c r="I307">
        <v>4.5999999999999996</v>
      </c>
      <c r="J307">
        <v>24</v>
      </c>
      <c r="K307">
        <v>7</v>
      </c>
      <c r="L307" s="4">
        <v>1795.421052631579</v>
      </c>
      <c r="M307" s="4">
        <v>430.90105263157898</v>
      </c>
      <c r="N307" t="s">
        <v>100</v>
      </c>
    </row>
    <row r="308" spans="1:14">
      <c r="A308">
        <v>307</v>
      </c>
      <c r="B308">
        <v>52</v>
      </c>
      <c r="C308" t="s">
        <v>11</v>
      </c>
      <c r="D308" t="s">
        <v>25</v>
      </c>
      <c r="E308" t="s">
        <v>47</v>
      </c>
      <c r="F308">
        <v>18.59</v>
      </c>
      <c r="G308" t="s">
        <v>19</v>
      </c>
      <c r="H308" t="s">
        <v>37</v>
      </c>
      <c r="I308">
        <v>2.5</v>
      </c>
      <c r="J308">
        <v>10</v>
      </c>
      <c r="K308">
        <v>5</v>
      </c>
      <c r="L308" s="4">
        <v>20.655555555555555</v>
      </c>
      <c r="M308" s="4">
        <v>2.0655555555555551</v>
      </c>
      <c r="N308" t="s">
        <v>93</v>
      </c>
    </row>
    <row r="309" spans="1:14">
      <c r="A309">
        <v>308</v>
      </c>
      <c r="B309">
        <v>61</v>
      </c>
      <c r="C309" t="s">
        <v>16</v>
      </c>
      <c r="D309" t="s">
        <v>17</v>
      </c>
      <c r="E309" t="s">
        <v>48</v>
      </c>
      <c r="F309">
        <v>166.84</v>
      </c>
      <c r="G309" t="s">
        <v>31</v>
      </c>
      <c r="H309" t="s">
        <v>15</v>
      </c>
      <c r="I309">
        <v>5</v>
      </c>
      <c r="J309">
        <v>9</v>
      </c>
      <c r="K309">
        <v>2</v>
      </c>
      <c r="L309" s="4">
        <v>183.34065934065933</v>
      </c>
      <c r="M309" s="4">
        <v>16.500659340659325</v>
      </c>
      <c r="N309" t="s">
        <v>94</v>
      </c>
    </row>
    <row r="310" spans="1:14">
      <c r="A310">
        <v>309</v>
      </c>
      <c r="B310">
        <v>30</v>
      </c>
      <c r="C310" t="s">
        <v>16</v>
      </c>
      <c r="D310" t="s">
        <v>17</v>
      </c>
      <c r="E310" t="s">
        <v>18</v>
      </c>
      <c r="F310">
        <v>81.78</v>
      </c>
      <c r="G310" t="s">
        <v>31</v>
      </c>
      <c r="H310" t="s">
        <v>15</v>
      </c>
      <c r="I310">
        <v>2.4</v>
      </c>
      <c r="J310">
        <v>11</v>
      </c>
      <c r="K310">
        <v>3</v>
      </c>
      <c r="L310" s="4">
        <v>91.887640449438209</v>
      </c>
      <c r="M310" s="4">
        <v>10.107640449438207</v>
      </c>
      <c r="N310" t="s">
        <v>91</v>
      </c>
    </row>
    <row r="311" spans="1:14">
      <c r="A311">
        <v>310</v>
      </c>
      <c r="B311">
        <v>45</v>
      </c>
      <c r="C311" t="s">
        <v>11</v>
      </c>
      <c r="D311" t="s">
        <v>20</v>
      </c>
      <c r="E311" t="s">
        <v>39</v>
      </c>
      <c r="F311">
        <v>80.77</v>
      </c>
      <c r="G311" t="s">
        <v>31</v>
      </c>
      <c r="H311" t="s">
        <v>15</v>
      </c>
      <c r="I311">
        <v>4.5999999999999996</v>
      </c>
      <c r="J311">
        <v>11</v>
      </c>
      <c r="K311">
        <v>3</v>
      </c>
      <c r="L311" s="4">
        <v>90.752808988764045</v>
      </c>
      <c r="M311" s="4">
        <v>9.9828089887640488</v>
      </c>
      <c r="N311" t="s">
        <v>93</v>
      </c>
    </row>
    <row r="312" spans="1:14">
      <c r="A312">
        <v>311</v>
      </c>
      <c r="B312">
        <v>46</v>
      </c>
      <c r="C312" t="s">
        <v>16</v>
      </c>
      <c r="D312" t="s">
        <v>33</v>
      </c>
      <c r="E312" t="s">
        <v>38</v>
      </c>
      <c r="F312">
        <v>118.69</v>
      </c>
      <c r="G312" t="s">
        <v>31</v>
      </c>
      <c r="H312" t="s">
        <v>15</v>
      </c>
      <c r="I312">
        <v>2.7</v>
      </c>
      <c r="J312">
        <v>10</v>
      </c>
      <c r="K312">
        <v>5</v>
      </c>
      <c r="L312" s="4">
        <v>131.87777777777777</v>
      </c>
      <c r="M312" s="4">
        <v>13.187777777777768</v>
      </c>
      <c r="N312" t="s">
        <v>93</v>
      </c>
    </row>
    <row r="313" spans="1:14">
      <c r="A313">
        <v>312</v>
      </c>
      <c r="B313">
        <v>35</v>
      </c>
      <c r="C313" t="s">
        <v>11</v>
      </c>
      <c r="D313" t="s">
        <v>29</v>
      </c>
      <c r="E313" t="s">
        <v>55</v>
      </c>
      <c r="F313">
        <v>77.47</v>
      </c>
      <c r="G313" t="s">
        <v>31</v>
      </c>
      <c r="H313" t="s">
        <v>15</v>
      </c>
      <c r="I313">
        <v>4.3</v>
      </c>
      <c r="J313">
        <v>8</v>
      </c>
      <c r="K313">
        <v>4</v>
      </c>
      <c r="L313" s="4">
        <v>84.206521739130423</v>
      </c>
      <c r="M313" s="4">
        <v>6.7365217391304242</v>
      </c>
      <c r="N313" t="s">
        <v>92</v>
      </c>
    </row>
    <row r="314" spans="1:14">
      <c r="A314">
        <v>313</v>
      </c>
      <c r="B314">
        <v>48</v>
      </c>
      <c r="C314" t="s">
        <v>11</v>
      </c>
      <c r="D314" t="s">
        <v>12</v>
      </c>
      <c r="E314" t="s">
        <v>56</v>
      </c>
      <c r="F314">
        <v>85.35</v>
      </c>
      <c r="G314" t="s">
        <v>19</v>
      </c>
      <c r="H314" t="s">
        <v>15</v>
      </c>
      <c r="I314">
        <v>4.3</v>
      </c>
      <c r="J314">
        <v>4</v>
      </c>
      <c r="K314">
        <v>2</v>
      </c>
      <c r="L314" s="4">
        <v>88.90625</v>
      </c>
      <c r="M314" s="4">
        <v>3.5562500000000057</v>
      </c>
      <c r="N314" t="s">
        <v>93</v>
      </c>
    </row>
    <row r="315" spans="1:14">
      <c r="A315">
        <v>314</v>
      </c>
      <c r="B315">
        <v>48</v>
      </c>
      <c r="C315" t="s">
        <v>11</v>
      </c>
      <c r="D315" t="s">
        <v>33</v>
      </c>
      <c r="E315" t="s">
        <v>38</v>
      </c>
      <c r="F315">
        <v>102.43</v>
      </c>
      <c r="G315" t="s">
        <v>19</v>
      </c>
      <c r="H315" t="s">
        <v>15</v>
      </c>
      <c r="I315">
        <v>3.6</v>
      </c>
      <c r="J315">
        <v>24</v>
      </c>
      <c r="K315">
        <v>7</v>
      </c>
      <c r="L315" s="4">
        <v>134.7763157894737</v>
      </c>
      <c r="M315" s="4">
        <v>32.346315789473692</v>
      </c>
      <c r="N315" t="s">
        <v>93</v>
      </c>
    </row>
    <row r="316" spans="1:14">
      <c r="A316">
        <v>315</v>
      </c>
      <c r="B316">
        <v>30</v>
      </c>
      <c r="C316" t="s">
        <v>16</v>
      </c>
      <c r="D316" t="s">
        <v>25</v>
      </c>
      <c r="E316" t="s">
        <v>57</v>
      </c>
      <c r="F316">
        <v>11.09</v>
      </c>
      <c r="G316" t="s">
        <v>14</v>
      </c>
      <c r="H316" t="s">
        <v>37</v>
      </c>
      <c r="I316">
        <v>2.8</v>
      </c>
      <c r="J316">
        <v>23</v>
      </c>
      <c r="K316">
        <v>9</v>
      </c>
      <c r="L316" s="4">
        <v>14.402597402597403</v>
      </c>
      <c r="M316" s="4">
        <v>3.3125974025974028</v>
      </c>
      <c r="N316" t="s">
        <v>91</v>
      </c>
    </row>
    <row r="317" spans="1:14">
      <c r="A317">
        <v>316</v>
      </c>
      <c r="B317">
        <v>43</v>
      </c>
      <c r="C317" t="s">
        <v>16</v>
      </c>
      <c r="D317" t="s">
        <v>20</v>
      </c>
      <c r="E317" t="s">
        <v>36</v>
      </c>
      <c r="F317">
        <v>30.29</v>
      </c>
      <c r="G317" t="s">
        <v>31</v>
      </c>
      <c r="H317" t="s">
        <v>37</v>
      </c>
      <c r="I317">
        <v>2.4</v>
      </c>
      <c r="J317">
        <v>16</v>
      </c>
      <c r="K317">
        <v>3</v>
      </c>
      <c r="L317" s="4">
        <v>36.05952380952381</v>
      </c>
      <c r="M317" s="4">
        <v>5.7695238095238111</v>
      </c>
      <c r="N317" t="s">
        <v>92</v>
      </c>
    </row>
    <row r="318" spans="1:14">
      <c r="A318">
        <v>317</v>
      </c>
      <c r="B318">
        <v>69</v>
      </c>
      <c r="C318" t="s">
        <v>11</v>
      </c>
      <c r="D318" t="s">
        <v>25</v>
      </c>
      <c r="E318" t="s">
        <v>26</v>
      </c>
      <c r="F318">
        <v>79.400000000000006</v>
      </c>
      <c r="G318" t="s">
        <v>24</v>
      </c>
      <c r="H318" t="s">
        <v>15</v>
      </c>
      <c r="I318">
        <v>3.4</v>
      </c>
      <c r="J318">
        <v>15</v>
      </c>
      <c r="K318">
        <v>5</v>
      </c>
      <c r="L318" s="4">
        <v>93.411764705882362</v>
      </c>
      <c r="M318" s="4">
        <v>14.011764705882356</v>
      </c>
      <c r="N318" t="s">
        <v>95</v>
      </c>
    </row>
    <row r="319" spans="1:14">
      <c r="A319">
        <v>318</v>
      </c>
      <c r="B319">
        <v>22</v>
      </c>
      <c r="C319" t="s">
        <v>11</v>
      </c>
      <c r="D319" t="s">
        <v>20</v>
      </c>
      <c r="E319" t="s">
        <v>21</v>
      </c>
      <c r="F319">
        <v>237.38</v>
      </c>
      <c r="G319" t="s">
        <v>19</v>
      </c>
      <c r="H319" t="s">
        <v>15</v>
      </c>
      <c r="I319">
        <v>3.4</v>
      </c>
      <c r="J319">
        <v>7</v>
      </c>
      <c r="K319">
        <v>1</v>
      </c>
      <c r="L319" s="4">
        <v>255.24731182795699</v>
      </c>
      <c r="M319" s="4">
        <v>17.867311827956996</v>
      </c>
      <c r="N319" t="s">
        <v>100</v>
      </c>
    </row>
    <row r="320" spans="1:14">
      <c r="A320">
        <v>319</v>
      </c>
      <c r="B320">
        <v>39</v>
      </c>
      <c r="C320" t="s">
        <v>11</v>
      </c>
      <c r="D320" t="s">
        <v>25</v>
      </c>
      <c r="E320" t="s">
        <v>54</v>
      </c>
      <c r="F320">
        <v>56.93</v>
      </c>
      <c r="G320" t="s">
        <v>31</v>
      </c>
      <c r="H320" t="s">
        <v>15</v>
      </c>
      <c r="I320">
        <v>4.4000000000000004</v>
      </c>
      <c r="J320">
        <v>8</v>
      </c>
      <c r="K320">
        <v>4</v>
      </c>
      <c r="L320" s="4">
        <v>61.880434782608695</v>
      </c>
      <c r="M320" s="4">
        <v>4.9504347826086956</v>
      </c>
      <c r="N320" t="s">
        <v>92</v>
      </c>
    </row>
    <row r="321" spans="1:14">
      <c r="A321">
        <v>320</v>
      </c>
      <c r="B321">
        <v>60</v>
      </c>
      <c r="C321" t="s">
        <v>11</v>
      </c>
      <c r="D321" t="s">
        <v>41</v>
      </c>
      <c r="E321" t="s">
        <v>46</v>
      </c>
      <c r="F321">
        <v>187.91</v>
      </c>
      <c r="G321" t="s">
        <v>19</v>
      </c>
      <c r="H321" t="s">
        <v>15</v>
      </c>
      <c r="I321">
        <v>3.8</v>
      </c>
      <c r="J321">
        <v>4</v>
      </c>
      <c r="K321">
        <v>2</v>
      </c>
      <c r="L321" s="4">
        <v>195.73958333333334</v>
      </c>
      <c r="M321" s="4">
        <v>7.8295833333333462</v>
      </c>
      <c r="N321" t="s">
        <v>94</v>
      </c>
    </row>
    <row r="322" spans="1:14">
      <c r="A322">
        <v>321</v>
      </c>
      <c r="B322">
        <v>67</v>
      </c>
      <c r="C322" t="s">
        <v>11</v>
      </c>
      <c r="D322" t="s">
        <v>41</v>
      </c>
      <c r="E322" t="s">
        <v>46</v>
      </c>
      <c r="F322">
        <v>144.38</v>
      </c>
      <c r="G322" t="s">
        <v>19</v>
      </c>
      <c r="H322" t="s">
        <v>15</v>
      </c>
      <c r="I322">
        <v>3.4</v>
      </c>
      <c r="J322">
        <v>24</v>
      </c>
      <c r="K322">
        <v>7</v>
      </c>
      <c r="L322" s="4">
        <v>189.9736842105263</v>
      </c>
      <c r="M322" s="4">
        <v>45.593684210526305</v>
      </c>
      <c r="N322" t="s">
        <v>95</v>
      </c>
    </row>
    <row r="323" spans="1:14">
      <c r="A323">
        <v>322</v>
      </c>
      <c r="B323">
        <v>56</v>
      </c>
      <c r="C323" t="s">
        <v>11</v>
      </c>
      <c r="D323" t="s">
        <v>22</v>
      </c>
      <c r="E323" t="s">
        <v>23</v>
      </c>
      <c r="F323">
        <v>139.78</v>
      </c>
      <c r="G323" t="s">
        <v>19</v>
      </c>
      <c r="H323" t="s">
        <v>15</v>
      </c>
      <c r="I323">
        <v>3.9</v>
      </c>
      <c r="J323">
        <v>19</v>
      </c>
      <c r="K323">
        <v>7</v>
      </c>
      <c r="L323" s="4">
        <v>172.5679012345679</v>
      </c>
      <c r="M323" s="4">
        <v>32.787901234567897</v>
      </c>
      <c r="N323" t="s">
        <v>94</v>
      </c>
    </row>
    <row r="324" spans="1:14">
      <c r="A324">
        <v>323</v>
      </c>
      <c r="B324">
        <v>22</v>
      </c>
      <c r="C324" t="s">
        <v>16</v>
      </c>
      <c r="D324" t="s">
        <v>20</v>
      </c>
      <c r="E324" t="s">
        <v>39</v>
      </c>
      <c r="F324">
        <v>232.96</v>
      </c>
      <c r="G324" t="s">
        <v>31</v>
      </c>
      <c r="H324" t="s">
        <v>15</v>
      </c>
      <c r="I324">
        <v>4.0999999999999996</v>
      </c>
      <c r="J324">
        <v>6</v>
      </c>
      <c r="K324">
        <v>3</v>
      </c>
      <c r="L324" s="4">
        <v>247.82978723404258</v>
      </c>
      <c r="M324" s="4">
        <v>14.869787234042576</v>
      </c>
      <c r="N324" t="s">
        <v>100</v>
      </c>
    </row>
    <row r="325" spans="1:14">
      <c r="A325">
        <v>324</v>
      </c>
      <c r="B325">
        <v>65</v>
      </c>
      <c r="C325" t="s">
        <v>11</v>
      </c>
      <c r="D325" t="s">
        <v>29</v>
      </c>
      <c r="E325" t="s">
        <v>55</v>
      </c>
      <c r="F325">
        <v>79.89</v>
      </c>
      <c r="G325" t="s">
        <v>14</v>
      </c>
      <c r="H325" t="s">
        <v>15</v>
      </c>
      <c r="I325">
        <v>5</v>
      </c>
      <c r="J325">
        <v>24</v>
      </c>
      <c r="K325">
        <v>7</v>
      </c>
      <c r="L325" s="4">
        <v>105.11842105263158</v>
      </c>
      <c r="M325" s="4">
        <v>25.228421052631575</v>
      </c>
      <c r="N325" t="s">
        <v>95</v>
      </c>
    </row>
    <row r="326" spans="1:14">
      <c r="A326">
        <v>325</v>
      </c>
      <c r="B326">
        <v>38</v>
      </c>
      <c r="C326" t="s">
        <v>11</v>
      </c>
      <c r="D326" t="s">
        <v>20</v>
      </c>
      <c r="E326" t="s">
        <v>21</v>
      </c>
      <c r="F326">
        <v>240.47</v>
      </c>
      <c r="G326" t="s">
        <v>14</v>
      </c>
      <c r="H326" t="s">
        <v>15</v>
      </c>
      <c r="I326">
        <v>3.4</v>
      </c>
      <c r="J326">
        <v>8</v>
      </c>
      <c r="K326">
        <v>4</v>
      </c>
      <c r="L326" s="4">
        <v>261.38043478260869</v>
      </c>
      <c r="M326" s="4">
        <v>20.910434782608689</v>
      </c>
      <c r="N326" t="s">
        <v>92</v>
      </c>
    </row>
    <row r="327" spans="1:14">
      <c r="A327">
        <v>326</v>
      </c>
      <c r="B327">
        <v>42</v>
      </c>
      <c r="C327" t="s">
        <v>11</v>
      </c>
      <c r="D327" t="s">
        <v>20</v>
      </c>
      <c r="E327" t="s">
        <v>36</v>
      </c>
      <c r="F327">
        <v>124.92</v>
      </c>
      <c r="G327" t="s">
        <v>14</v>
      </c>
      <c r="H327" t="s">
        <v>15</v>
      </c>
      <c r="I327">
        <v>2.2000000000000002</v>
      </c>
      <c r="J327">
        <v>21</v>
      </c>
      <c r="K327">
        <v>8</v>
      </c>
      <c r="L327" s="4">
        <v>158.12658227848101</v>
      </c>
      <c r="M327" s="4">
        <v>33.206582278481008</v>
      </c>
      <c r="N327" t="s">
        <v>92</v>
      </c>
    </row>
    <row r="328" spans="1:14">
      <c r="A328">
        <v>327</v>
      </c>
      <c r="B328">
        <v>48</v>
      </c>
      <c r="C328" t="s">
        <v>11</v>
      </c>
      <c r="D328" t="s">
        <v>20</v>
      </c>
      <c r="E328" t="s">
        <v>39</v>
      </c>
      <c r="F328">
        <v>174.99</v>
      </c>
      <c r="G328" t="s">
        <v>24</v>
      </c>
      <c r="H328" t="s">
        <v>15</v>
      </c>
      <c r="I328">
        <v>4.4000000000000004</v>
      </c>
      <c r="J328">
        <v>18</v>
      </c>
      <c r="K328">
        <v>4</v>
      </c>
      <c r="L328" s="4">
        <v>213.40243902439025</v>
      </c>
      <c r="M328" s="4">
        <v>38.412439024390238</v>
      </c>
      <c r="N328" t="s">
        <v>93</v>
      </c>
    </row>
    <row r="329" spans="1:14">
      <c r="A329">
        <v>328</v>
      </c>
      <c r="B329">
        <v>32</v>
      </c>
      <c r="C329" t="s">
        <v>11</v>
      </c>
      <c r="D329" t="s">
        <v>33</v>
      </c>
      <c r="E329" t="s">
        <v>38</v>
      </c>
      <c r="F329">
        <v>169.59</v>
      </c>
      <c r="G329" t="s">
        <v>31</v>
      </c>
      <c r="H329" t="s">
        <v>15</v>
      </c>
      <c r="I329">
        <v>4.8</v>
      </c>
      <c r="J329">
        <v>13</v>
      </c>
      <c r="K329">
        <v>4</v>
      </c>
      <c r="L329" s="4">
        <v>194.93103448275863</v>
      </c>
      <c r="M329" s="4">
        <v>25.34103448275863</v>
      </c>
      <c r="N329" t="s">
        <v>91</v>
      </c>
    </row>
    <row r="330" spans="1:14">
      <c r="A330">
        <v>329</v>
      </c>
      <c r="B330">
        <v>62</v>
      </c>
      <c r="C330" t="s">
        <v>16</v>
      </c>
      <c r="D330" t="s">
        <v>20</v>
      </c>
      <c r="E330" t="s">
        <v>39</v>
      </c>
      <c r="F330">
        <v>212.29</v>
      </c>
      <c r="G330" t="s">
        <v>19</v>
      </c>
      <c r="H330" t="s">
        <v>15</v>
      </c>
      <c r="I330">
        <v>5</v>
      </c>
      <c r="J330">
        <v>11</v>
      </c>
      <c r="K330">
        <v>3</v>
      </c>
      <c r="L330" s="4">
        <v>238.52808988764045</v>
      </c>
      <c r="M330" s="4">
        <v>26.238089887640456</v>
      </c>
      <c r="N330" t="s">
        <v>94</v>
      </c>
    </row>
    <row r="331" spans="1:14">
      <c r="A331">
        <v>330</v>
      </c>
      <c r="B331">
        <v>57</v>
      </c>
      <c r="C331" t="s">
        <v>16</v>
      </c>
      <c r="D331" t="s">
        <v>27</v>
      </c>
      <c r="E331" t="s">
        <v>53</v>
      </c>
      <c r="F331">
        <v>2524.81</v>
      </c>
      <c r="G331" t="s">
        <v>14</v>
      </c>
      <c r="H331" t="s">
        <v>15</v>
      </c>
      <c r="I331">
        <v>3.8</v>
      </c>
      <c r="J331">
        <v>17</v>
      </c>
      <c r="K331">
        <v>6</v>
      </c>
      <c r="L331" s="4">
        <v>3041.9397590361446</v>
      </c>
      <c r="M331" s="4">
        <v>517.12975903614461</v>
      </c>
      <c r="N331" t="s">
        <v>94</v>
      </c>
    </row>
    <row r="332" spans="1:14">
      <c r="A332">
        <v>331</v>
      </c>
      <c r="B332">
        <v>62</v>
      </c>
      <c r="C332" t="s">
        <v>16</v>
      </c>
      <c r="D332" t="s">
        <v>17</v>
      </c>
      <c r="E332" t="s">
        <v>18</v>
      </c>
      <c r="F332">
        <v>83.68</v>
      </c>
      <c r="G332" t="s">
        <v>19</v>
      </c>
      <c r="H332" t="s">
        <v>37</v>
      </c>
      <c r="I332">
        <v>2.9</v>
      </c>
      <c r="J332">
        <v>10</v>
      </c>
      <c r="K332">
        <v>5</v>
      </c>
      <c r="L332" s="4">
        <v>92.977777777777789</v>
      </c>
      <c r="M332" s="4">
        <v>9.2977777777777817</v>
      </c>
      <c r="N332" t="s">
        <v>94</v>
      </c>
    </row>
    <row r="333" spans="1:14">
      <c r="A333">
        <v>332</v>
      </c>
      <c r="B333">
        <v>60</v>
      </c>
      <c r="C333" t="s">
        <v>16</v>
      </c>
      <c r="D333" t="s">
        <v>17</v>
      </c>
      <c r="E333" t="s">
        <v>35</v>
      </c>
      <c r="F333">
        <v>128.55000000000001</v>
      </c>
      <c r="G333" t="s">
        <v>19</v>
      </c>
      <c r="H333" t="s">
        <v>15</v>
      </c>
      <c r="I333">
        <v>4.5999999999999996</v>
      </c>
      <c r="J333">
        <v>18</v>
      </c>
      <c r="K333">
        <v>4</v>
      </c>
      <c r="L333" s="4">
        <v>156.76829268292684</v>
      </c>
      <c r="M333" s="4">
        <v>28.21829268292683</v>
      </c>
      <c r="N333" t="s">
        <v>94</v>
      </c>
    </row>
    <row r="334" spans="1:14">
      <c r="A334">
        <v>333</v>
      </c>
      <c r="B334">
        <v>47</v>
      </c>
      <c r="C334" t="s">
        <v>16</v>
      </c>
      <c r="D334" t="s">
        <v>22</v>
      </c>
      <c r="E334" t="s">
        <v>23</v>
      </c>
      <c r="F334">
        <v>284.08</v>
      </c>
      <c r="G334" t="s">
        <v>14</v>
      </c>
      <c r="H334" t="s">
        <v>15</v>
      </c>
      <c r="I334">
        <v>3.3</v>
      </c>
      <c r="J334">
        <v>16</v>
      </c>
      <c r="K334">
        <v>3</v>
      </c>
      <c r="L334" s="4">
        <v>338.1904761904762</v>
      </c>
      <c r="M334" s="4">
        <v>54.11047619047622</v>
      </c>
      <c r="N334" t="s">
        <v>93</v>
      </c>
    </row>
    <row r="335" spans="1:14">
      <c r="A335">
        <v>334</v>
      </c>
      <c r="B335">
        <v>57</v>
      </c>
      <c r="C335" t="s">
        <v>11</v>
      </c>
      <c r="D335" t="s">
        <v>41</v>
      </c>
      <c r="E335" t="s">
        <v>44</v>
      </c>
      <c r="F335">
        <v>140.29</v>
      </c>
      <c r="G335" t="s">
        <v>14</v>
      </c>
      <c r="H335" t="s">
        <v>15</v>
      </c>
      <c r="I335">
        <v>5</v>
      </c>
      <c r="J335">
        <v>12</v>
      </c>
      <c r="K335">
        <v>6</v>
      </c>
      <c r="L335" s="4">
        <v>159.42045454545453</v>
      </c>
      <c r="M335" s="4">
        <v>19.13045454545454</v>
      </c>
      <c r="N335" t="s">
        <v>94</v>
      </c>
    </row>
    <row r="336" spans="1:14">
      <c r="A336">
        <v>335</v>
      </c>
      <c r="B336">
        <v>53</v>
      </c>
      <c r="C336" t="s">
        <v>11</v>
      </c>
      <c r="D336" t="s">
        <v>12</v>
      </c>
      <c r="E336" t="s">
        <v>56</v>
      </c>
      <c r="F336">
        <v>29.37</v>
      </c>
      <c r="G336" t="s">
        <v>14</v>
      </c>
      <c r="H336" t="s">
        <v>37</v>
      </c>
      <c r="I336">
        <v>3.2</v>
      </c>
      <c r="J336">
        <v>24</v>
      </c>
      <c r="K336">
        <v>7</v>
      </c>
      <c r="L336" s="4">
        <v>38.644736842105267</v>
      </c>
      <c r="M336" s="4">
        <v>9.2747368421052663</v>
      </c>
      <c r="N336" t="s">
        <v>93</v>
      </c>
    </row>
    <row r="337" spans="1:14">
      <c r="A337">
        <v>336</v>
      </c>
      <c r="B337">
        <v>48</v>
      </c>
      <c r="C337" t="s">
        <v>11</v>
      </c>
      <c r="D337" t="s">
        <v>12</v>
      </c>
      <c r="E337" t="s">
        <v>50</v>
      </c>
      <c r="F337">
        <v>79.45</v>
      </c>
      <c r="G337" t="s">
        <v>19</v>
      </c>
      <c r="H337" t="s">
        <v>15</v>
      </c>
      <c r="I337">
        <v>4</v>
      </c>
      <c r="J337">
        <v>15</v>
      </c>
      <c r="K337">
        <v>5</v>
      </c>
      <c r="L337" s="4">
        <v>93.47058823529413</v>
      </c>
      <c r="M337" s="4">
        <v>14.020588235294127</v>
      </c>
      <c r="N337" t="s">
        <v>93</v>
      </c>
    </row>
    <row r="338" spans="1:14">
      <c r="A338">
        <v>337</v>
      </c>
      <c r="B338">
        <v>63</v>
      </c>
      <c r="C338" t="s">
        <v>11</v>
      </c>
      <c r="D338" t="s">
        <v>41</v>
      </c>
      <c r="E338" t="s">
        <v>45</v>
      </c>
      <c r="F338">
        <v>77.099999999999994</v>
      </c>
      <c r="G338" t="s">
        <v>24</v>
      </c>
      <c r="H338" t="s">
        <v>37</v>
      </c>
      <c r="I338">
        <v>2.1</v>
      </c>
      <c r="J338">
        <v>17</v>
      </c>
      <c r="K338">
        <v>6</v>
      </c>
      <c r="L338" s="4">
        <v>92.891566265060234</v>
      </c>
      <c r="M338" s="4">
        <v>15.79156626506024</v>
      </c>
      <c r="N338" t="s">
        <v>94</v>
      </c>
    </row>
    <row r="339" spans="1:14">
      <c r="A339">
        <v>338</v>
      </c>
      <c r="B339">
        <v>49</v>
      </c>
      <c r="C339" t="s">
        <v>16</v>
      </c>
      <c r="D339" t="s">
        <v>17</v>
      </c>
      <c r="E339" t="s">
        <v>18</v>
      </c>
      <c r="F339">
        <v>163.61000000000001</v>
      </c>
      <c r="G339" t="s">
        <v>24</v>
      </c>
      <c r="H339" t="s">
        <v>15</v>
      </c>
      <c r="I339">
        <v>2.9</v>
      </c>
      <c r="J339">
        <v>6</v>
      </c>
      <c r="K339">
        <v>3</v>
      </c>
      <c r="L339" s="4">
        <v>174.05319148936172</v>
      </c>
      <c r="M339" s="4">
        <v>10.443191489361709</v>
      </c>
      <c r="N339" t="s">
        <v>93</v>
      </c>
    </row>
    <row r="340" spans="1:14">
      <c r="A340">
        <v>339</v>
      </c>
      <c r="B340">
        <v>62</v>
      </c>
      <c r="C340" t="s">
        <v>11</v>
      </c>
      <c r="D340" t="s">
        <v>41</v>
      </c>
      <c r="E340" t="s">
        <v>42</v>
      </c>
      <c r="F340">
        <v>34.1</v>
      </c>
      <c r="G340" t="s">
        <v>14</v>
      </c>
      <c r="H340" t="s">
        <v>15</v>
      </c>
      <c r="I340">
        <v>2.8</v>
      </c>
      <c r="J340">
        <v>9</v>
      </c>
      <c r="K340">
        <v>2</v>
      </c>
      <c r="L340" s="4">
        <v>37.472527472527474</v>
      </c>
      <c r="M340" s="4">
        <v>3.372527472527473</v>
      </c>
      <c r="N340" t="s">
        <v>94</v>
      </c>
    </row>
    <row r="341" spans="1:14">
      <c r="A341">
        <v>340</v>
      </c>
      <c r="B341">
        <v>50</v>
      </c>
      <c r="C341" t="s">
        <v>11</v>
      </c>
      <c r="D341" t="s">
        <v>12</v>
      </c>
      <c r="E341" t="s">
        <v>56</v>
      </c>
      <c r="F341">
        <v>62.32</v>
      </c>
      <c r="G341" t="s">
        <v>24</v>
      </c>
      <c r="H341" t="s">
        <v>15</v>
      </c>
      <c r="I341">
        <v>3.5</v>
      </c>
      <c r="J341">
        <v>18</v>
      </c>
      <c r="K341">
        <v>4</v>
      </c>
      <c r="L341" s="4">
        <v>76</v>
      </c>
      <c r="M341" s="4">
        <v>13.68</v>
      </c>
      <c r="N341" t="s">
        <v>93</v>
      </c>
    </row>
    <row r="342" spans="1:14">
      <c r="A342">
        <v>341</v>
      </c>
      <c r="B342">
        <v>35</v>
      </c>
      <c r="C342" t="s">
        <v>16</v>
      </c>
      <c r="D342" t="s">
        <v>20</v>
      </c>
      <c r="E342" t="s">
        <v>39</v>
      </c>
      <c r="F342">
        <v>165.77</v>
      </c>
      <c r="G342" t="s">
        <v>31</v>
      </c>
      <c r="H342" t="s">
        <v>15</v>
      </c>
      <c r="I342">
        <v>3.3</v>
      </c>
      <c r="J342">
        <v>14</v>
      </c>
      <c r="K342">
        <v>2</v>
      </c>
      <c r="L342" s="4">
        <v>192.7558139534884</v>
      </c>
      <c r="M342" s="4">
        <v>26.985813953488389</v>
      </c>
      <c r="N342" t="s">
        <v>92</v>
      </c>
    </row>
    <row r="343" spans="1:14">
      <c r="A343">
        <v>342</v>
      </c>
      <c r="B343">
        <v>29</v>
      </c>
      <c r="C343" t="s">
        <v>16</v>
      </c>
      <c r="D343" t="s">
        <v>33</v>
      </c>
      <c r="E343" t="s">
        <v>38</v>
      </c>
      <c r="F343">
        <v>132.79</v>
      </c>
      <c r="G343" t="s">
        <v>31</v>
      </c>
      <c r="H343" t="s">
        <v>15</v>
      </c>
      <c r="I343">
        <v>4.4000000000000004</v>
      </c>
      <c r="J343">
        <v>14</v>
      </c>
      <c r="K343">
        <v>2</v>
      </c>
      <c r="L343" s="4">
        <v>154.40697674418604</v>
      </c>
      <c r="M343" s="4">
        <v>21.616976744186047</v>
      </c>
      <c r="N343" t="s">
        <v>91</v>
      </c>
    </row>
    <row r="344" spans="1:14">
      <c r="A344">
        <v>343</v>
      </c>
      <c r="B344">
        <v>25</v>
      </c>
      <c r="C344" t="s">
        <v>11</v>
      </c>
      <c r="D344" t="s">
        <v>29</v>
      </c>
      <c r="E344" t="s">
        <v>55</v>
      </c>
      <c r="F344">
        <v>82.83</v>
      </c>
      <c r="G344" t="s">
        <v>14</v>
      </c>
      <c r="H344" t="s">
        <v>15</v>
      </c>
      <c r="I344">
        <v>4.4000000000000004</v>
      </c>
      <c r="J344">
        <v>8</v>
      </c>
      <c r="K344">
        <v>4</v>
      </c>
      <c r="L344" s="4">
        <v>90.032608695652172</v>
      </c>
      <c r="M344" s="4">
        <v>7.2026086956521738</v>
      </c>
      <c r="N344" t="s">
        <v>91</v>
      </c>
    </row>
    <row r="345" spans="1:14">
      <c r="A345">
        <v>344</v>
      </c>
      <c r="B345">
        <v>28</v>
      </c>
      <c r="C345" t="s">
        <v>11</v>
      </c>
      <c r="D345" t="s">
        <v>29</v>
      </c>
      <c r="E345" t="s">
        <v>55</v>
      </c>
      <c r="F345">
        <v>139.28</v>
      </c>
      <c r="G345" t="s">
        <v>14</v>
      </c>
      <c r="H345" t="s">
        <v>15</v>
      </c>
      <c r="I345">
        <v>5</v>
      </c>
      <c r="J345">
        <v>21</v>
      </c>
      <c r="K345">
        <v>8</v>
      </c>
      <c r="L345" s="4">
        <v>176.30379746835442</v>
      </c>
      <c r="M345" s="4">
        <v>37.023797468354417</v>
      </c>
      <c r="N345" t="s">
        <v>91</v>
      </c>
    </row>
    <row r="346" spans="1:14">
      <c r="A346">
        <v>345</v>
      </c>
      <c r="B346">
        <v>44</v>
      </c>
      <c r="C346" t="s">
        <v>16</v>
      </c>
      <c r="D346" t="s">
        <v>17</v>
      </c>
      <c r="E346" t="s">
        <v>35</v>
      </c>
      <c r="F346">
        <v>145.69</v>
      </c>
      <c r="G346" t="s">
        <v>19</v>
      </c>
      <c r="H346" t="s">
        <v>15</v>
      </c>
      <c r="I346">
        <v>3.4</v>
      </c>
      <c r="J346">
        <v>6</v>
      </c>
      <c r="K346">
        <v>3</v>
      </c>
      <c r="L346" s="4">
        <v>154.98936170212767</v>
      </c>
      <c r="M346" s="4">
        <v>9.2993617021276691</v>
      </c>
      <c r="N346" t="s">
        <v>92</v>
      </c>
    </row>
    <row r="347" spans="1:14">
      <c r="A347">
        <v>346</v>
      </c>
      <c r="B347">
        <v>47</v>
      </c>
      <c r="C347" t="s">
        <v>11</v>
      </c>
      <c r="D347" t="s">
        <v>12</v>
      </c>
      <c r="E347" t="s">
        <v>13</v>
      </c>
      <c r="F347">
        <v>28.87</v>
      </c>
      <c r="G347" t="s">
        <v>14</v>
      </c>
      <c r="H347" t="s">
        <v>37</v>
      </c>
      <c r="I347">
        <v>3</v>
      </c>
      <c r="J347">
        <v>10</v>
      </c>
      <c r="K347">
        <v>5</v>
      </c>
      <c r="L347" s="4">
        <v>32.077777777777776</v>
      </c>
      <c r="M347" s="4">
        <v>3.2077777777777747</v>
      </c>
      <c r="N347" t="s">
        <v>93</v>
      </c>
    </row>
    <row r="348" spans="1:14">
      <c r="A348">
        <v>347</v>
      </c>
      <c r="B348">
        <v>22</v>
      </c>
      <c r="C348" t="s">
        <v>11</v>
      </c>
      <c r="D348" t="s">
        <v>33</v>
      </c>
      <c r="E348" t="s">
        <v>38</v>
      </c>
      <c r="F348">
        <v>122.56</v>
      </c>
      <c r="G348" t="s">
        <v>24</v>
      </c>
      <c r="H348" t="s">
        <v>15</v>
      </c>
      <c r="I348">
        <v>4.0999999999999996</v>
      </c>
      <c r="J348">
        <v>14</v>
      </c>
      <c r="K348">
        <v>2</v>
      </c>
      <c r="L348" s="4">
        <v>142.51162790697674</v>
      </c>
      <c r="M348" s="4">
        <v>19.951627906976739</v>
      </c>
      <c r="N348" t="s">
        <v>100</v>
      </c>
    </row>
    <row r="349" spans="1:14">
      <c r="A349">
        <v>348</v>
      </c>
      <c r="B349">
        <v>69</v>
      </c>
      <c r="C349" t="s">
        <v>16</v>
      </c>
      <c r="D349" t="s">
        <v>33</v>
      </c>
      <c r="E349" t="s">
        <v>40</v>
      </c>
      <c r="F349">
        <v>98.93</v>
      </c>
      <c r="G349" t="s">
        <v>31</v>
      </c>
      <c r="H349" t="s">
        <v>15</v>
      </c>
      <c r="I349">
        <v>3</v>
      </c>
      <c r="J349">
        <v>24</v>
      </c>
      <c r="K349">
        <v>7</v>
      </c>
      <c r="L349" s="4">
        <v>130.17105263157896</v>
      </c>
      <c r="M349" s="4">
        <v>31.241052631578953</v>
      </c>
      <c r="N349" t="s">
        <v>95</v>
      </c>
    </row>
    <row r="350" spans="1:14">
      <c r="A350">
        <v>349</v>
      </c>
      <c r="B350">
        <v>41</v>
      </c>
      <c r="C350" t="s">
        <v>16</v>
      </c>
      <c r="D350" t="s">
        <v>20</v>
      </c>
      <c r="E350" t="s">
        <v>36</v>
      </c>
      <c r="F350">
        <v>207.36</v>
      </c>
      <c r="G350" t="s">
        <v>19</v>
      </c>
      <c r="H350" t="s">
        <v>15</v>
      </c>
      <c r="I350">
        <v>3.9</v>
      </c>
      <c r="J350">
        <v>13</v>
      </c>
      <c r="K350">
        <v>4</v>
      </c>
      <c r="L350" s="4">
        <v>238.34482758620692</v>
      </c>
      <c r="M350" s="4">
        <v>30.984827586206904</v>
      </c>
      <c r="N350" t="s">
        <v>92</v>
      </c>
    </row>
    <row r="351" spans="1:14">
      <c r="A351">
        <v>350</v>
      </c>
      <c r="B351">
        <v>54</v>
      </c>
      <c r="C351" t="s">
        <v>11</v>
      </c>
      <c r="D351" t="s">
        <v>29</v>
      </c>
      <c r="E351" t="s">
        <v>51</v>
      </c>
      <c r="F351">
        <v>87.55</v>
      </c>
      <c r="G351" t="s">
        <v>19</v>
      </c>
      <c r="H351" t="s">
        <v>15</v>
      </c>
      <c r="I351">
        <v>3.6</v>
      </c>
      <c r="J351">
        <v>18</v>
      </c>
      <c r="K351">
        <v>4</v>
      </c>
      <c r="L351" s="4">
        <v>106.76829268292681</v>
      </c>
      <c r="M351" s="4">
        <v>19.218292682926815</v>
      </c>
      <c r="N351" t="s">
        <v>93</v>
      </c>
    </row>
    <row r="352" spans="1:14">
      <c r="A352">
        <v>351</v>
      </c>
      <c r="B352">
        <v>40</v>
      </c>
      <c r="C352" t="s">
        <v>11</v>
      </c>
      <c r="D352" t="s">
        <v>29</v>
      </c>
      <c r="E352" t="s">
        <v>55</v>
      </c>
      <c r="F352">
        <v>47.08</v>
      </c>
      <c r="G352" t="s">
        <v>24</v>
      </c>
      <c r="H352" t="s">
        <v>15</v>
      </c>
      <c r="I352">
        <v>3</v>
      </c>
      <c r="J352">
        <v>12</v>
      </c>
      <c r="K352">
        <v>6</v>
      </c>
      <c r="L352" s="4">
        <v>53.5</v>
      </c>
      <c r="M352" s="4">
        <v>6.4200000000000017</v>
      </c>
      <c r="N352" t="s">
        <v>92</v>
      </c>
    </row>
    <row r="353" spans="1:14">
      <c r="A353">
        <v>352</v>
      </c>
      <c r="B353">
        <v>63</v>
      </c>
      <c r="C353" t="s">
        <v>11</v>
      </c>
      <c r="D353" t="s">
        <v>20</v>
      </c>
      <c r="E353" t="s">
        <v>39</v>
      </c>
      <c r="F353">
        <v>104.84</v>
      </c>
      <c r="G353" t="s">
        <v>19</v>
      </c>
      <c r="H353" t="s">
        <v>15</v>
      </c>
      <c r="I353">
        <v>4.3</v>
      </c>
      <c r="J353">
        <v>18</v>
      </c>
      <c r="K353">
        <v>9</v>
      </c>
      <c r="L353" s="4">
        <v>127.85365853658536</v>
      </c>
      <c r="M353" s="4">
        <v>23.013658536585353</v>
      </c>
      <c r="N353" t="s">
        <v>94</v>
      </c>
    </row>
    <row r="354" spans="1:14">
      <c r="A354">
        <v>353</v>
      </c>
      <c r="B354">
        <v>47</v>
      </c>
      <c r="C354" t="s">
        <v>16</v>
      </c>
      <c r="D354" t="s">
        <v>17</v>
      </c>
      <c r="E354" t="s">
        <v>18</v>
      </c>
      <c r="F354">
        <v>84.24</v>
      </c>
      <c r="G354" t="s">
        <v>14</v>
      </c>
      <c r="H354" t="s">
        <v>37</v>
      </c>
      <c r="I354">
        <v>3.1</v>
      </c>
      <c r="J354">
        <v>13</v>
      </c>
      <c r="K354">
        <v>4</v>
      </c>
      <c r="L354" s="4">
        <v>96.827586206896541</v>
      </c>
      <c r="M354" s="4">
        <v>12.587586206896546</v>
      </c>
      <c r="N354" t="s">
        <v>93</v>
      </c>
    </row>
    <row r="355" spans="1:14">
      <c r="A355">
        <v>354</v>
      </c>
      <c r="B355">
        <v>68</v>
      </c>
      <c r="C355" t="s">
        <v>11</v>
      </c>
      <c r="D355" t="s">
        <v>29</v>
      </c>
      <c r="E355" t="s">
        <v>30</v>
      </c>
      <c r="F355">
        <v>136.55000000000001</v>
      </c>
      <c r="G355" t="s">
        <v>31</v>
      </c>
      <c r="H355" t="s">
        <v>15</v>
      </c>
      <c r="I355">
        <v>3.6</v>
      </c>
      <c r="J355">
        <v>7</v>
      </c>
      <c r="K355">
        <v>1</v>
      </c>
      <c r="L355" s="4">
        <v>146.82795698924733</v>
      </c>
      <c r="M355" s="4">
        <v>10.277956989247315</v>
      </c>
      <c r="N355" t="s">
        <v>95</v>
      </c>
    </row>
    <row r="356" spans="1:14">
      <c r="A356">
        <v>355</v>
      </c>
      <c r="B356">
        <v>53</v>
      </c>
      <c r="C356" t="s">
        <v>16</v>
      </c>
      <c r="D356" t="s">
        <v>27</v>
      </c>
      <c r="E356" t="s">
        <v>53</v>
      </c>
      <c r="F356">
        <v>2520.9899999999998</v>
      </c>
      <c r="G356" t="s">
        <v>24</v>
      </c>
      <c r="H356" t="s">
        <v>15</v>
      </c>
      <c r="I356">
        <v>3.1</v>
      </c>
      <c r="J356">
        <v>18</v>
      </c>
      <c r="K356">
        <v>4</v>
      </c>
      <c r="L356" s="4">
        <v>3074.3780487804875</v>
      </c>
      <c r="M356" s="4">
        <v>553.38804878048768</v>
      </c>
      <c r="N356" t="s">
        <v>93</v>
      </c>
    </row>
    <row r="357" spans="1:14">
      <c r="A357">
        <v>356</v>
      </c>
      <c r="B357">
        <v>25</v>
      </c>
      <c r="C357" t="s">
        <v>16</v>
      </c>
      <c r="D357" t="s">
        <v>20</v>
      </c>
      <c r="E357" t="s">
        <v>21</v>
      </c>
      <c r="F357">
        <v>43.35</v>
      </c>
      <c r="G357" t="s">
        <v>31</v>
      </c>
      <c r="H357" t="s">
        <v>15</v>
      </c>
      <c r="I357">
        <v>2.2000000000000002</v>
      </c>
      <c r="J357">
        <v>6</v>
      </c>
      <c r="K357">
        <v>3</v>
      </c>
      <c r="L357" s="4">
        <v>46.11702127659575</v>
      </c>
      <c r="M357" s="4">
        <v>2.7670212765957487</v>
      </c>
      <c r="N357" t="s">
        <v>91</v>
      </c>
    </row>
    <row r="358" spans="1:14">
      <c r="A358">
        <v>357</v>
      </c>
      <c r="B358">
        <v>34</v>
      </c>
      <c r="C358" t="s">
        <v>11</v>
      </c>
      <c r="D358" t="s">
        <v>29</v>
      </c>
      <c r="E358" t="s">
        <v>55</v>
      </c>
      <c r="F358">
        <v>123.83</v>
      </c>
      <c r="G358" t="s">
        <v>19</v>
      </c>
      <c r="H358" t="s">
        <v>15</v>
      </c>
      <c r="I358">
        <v>5</v>
      </c>
      <c r="J358">
        <v>4</v>
      </c>
      <c r="K358">
        <v>2</v>
      </c>
      <c r="L358" s="4">
        <v>128.98958333333334</v>
      </c>
      <c r="M358" s="4">
        <v>5.1595833333333445</v>
      </c>
      <c r="N358" t="s">
        <v>91</v>
      </c>
    </row>
    <row r="359" spans="1:14">
      <c r="A359">
        <v>358</v>
      </c>
      <c r="B359">
        <v>66</v>
      </c>
      <c r="C359" t="s">
        <v>11</v>
      </c>
      <c r="D359" t="s">
        <v>33</v>
      </c>
      <c r="E359" t="s">
        <v>34</v>
      </c>
      <c r="F359">
        <v>194.54</v>
      </c>
      <c r="G359" t="s">
        <v>19</v>
      </c>
      <c r="H359" t="s">
        <v>15</v>
      </c>
      <c r="I359">
        <v>2.6</v>
      </c>
      <c r="J359">
        <v>6</v>
      </c>
      <c r="K359">
        <v>3</v>
      </c>
      <c r="L359" s="4">
        <v>206.95744680851064</v>
      </c>
      <c r="M359" s="4">
        <v>12.417446808510647</v>
      </c>
      <c r="N359" t="s">
        <v>95</v>
      </c>
    </row>
    <row r="360" spans="1:14">
      <c r="A360">
        <v>359</v>
      </c>
      <c r="B360">
        <v>30</v>
      </c>
      <c r="C360" t="s">
        <v>16</v>
      </c>
      <c r="D360" t="s">
        <v>17</v>
      </c>
      <c r="E360" t="s">
        <v>18</v>
      </c>
      <c r="F360">
        <v>65.61</v>
      </c>
      <c r="G360" t="s">
        <v>31</v>
      </c>
      <c r="H360" t="s">
        <v>15</v>
      </c>
      <c r="I360">
        <v>3.3</v>
      </c>
      <c r="J360">
        <v>16</v>
      </c>
      <c r="K360">
        <v>3</v>
      </c>
      <c r="L360" s="4">
        <v>78.107142857142861</v>
      </c>
      <c r="M360" s="4">
        <v>12.497142857142862</v>
      </c>
      <c r="N360" t="s">
        <v>91</v>
      </c>
    </row>
    <row r="361" spans="1:14">
      <c r="A361">
        <v>360</v>
      </c>
      <c r="B361">
        <v>59</v>
      </c>
      <c r="C361" t="s">
        <v>11</v>
      </c>
      <c r="D361" t="s">
        <v>12</v>
      </c>
      <c r="E361" t="s">
        <v>13</v>
      </c>
      <c r="F361">
        <v>68.540000000000006</v>
      </c>
      <c r="G361" t="s">
        <v>19</v>
      </c>
      <c r="H361" t="s">
        <v>15</v>
      </c>
      <c r="I361">
        <v>2.7</v>
      </c>
      <c r="J361">
        <v>21</v>
      </c>
      <c r="K361">
        <v>8</v>
      </c>
      <c r="L361" s="4">
        <v>86.759493670886073</v>
      </c>
      <c r="M361" s="4">
        <v>18.219493670886067</v>
      </c>
      <c r="N361" t="s">
        <v>94</v>
      </c>
    </row>
    <row r="362" spans="1:14">
      <c r="A362">
        <v>361</v>
      </c>
      <c r="B362">
        <v>22</v>
      </c>
      <c r="C362" t="s">
        <v>11</v>
      </c>
      <c r="D362" t="s">
        <v>20</v>
      </c>
      <c r="E362" t="s">
        <v>36</v>
      </c>
      <c r="F362">
        <v>95.48</v>
      </c>
      <c r="G362" t="s">
        <v>24</v>
      </c>
      <c r="H362" t="s">
        <v>37</v>
      </c>
      <c r="I362">
        <v>4.0999999999999996</v>
      </c>
      <c r="J362">
        <v>9</v>
      </c>
      <c r="K362">
        <v>2</v>
      </c>
      <c r="L362" s="4">
        <v>104.92307692307692</v>
      </c>
      <c r="M362" s="4">
        <v>9.4430769230769158</v>
      </c>
      <c r="N362" t="s">
        <v>100</v>
      </c>
    </row>
    <row r="363" spans="1:14">
      <c r="A363">
        <v>362</v>
      </c>
      <c r="B363">
        <v>23</v>
      </c>
      <c r="C363" t="s">
        <v>16</v>
      </c>
      <c r="D363" t="s">
        <v>33</v>
      </c>
      <c r="E363" t="s">
        <v>38</v>
      </c>
      <c r="F363">
        <v>217.69</v>
      </c>
      <c r="G363" t="s">
        <v>19</v>
      </c>
      <c r="H363" t="s">
        <v>15</v>
      </c>
      <c r="I363">
        <v>3.4</v>
      </c>
      <c r="J363">
        <v>18</v>
      </c>
      <c r="K363">
        <v>4</v>
      </c>
      <c r="L363" s="4">
        <v>265.47560975609753</v>
      </c>
      <c r="M363" s="4">
        <v>47.785609756097529</v>
      </c>
      <c r="N363" t="s">
        <v>100</v>
      </c>
    </row>
    <row r="364" spans="1:14">
      <c r="A364">
        <v>363</v>
      </c>
      <c r="B364">
        <v>59</v>
      </c>
      <c r="C364" t="s">
        <v>16</v>
      </c>
      <c r="D364" t="s">
        <v>20</v>
      </c>
      <c r="E364" t="s">
        <v>39</v>
      </c>
      <c r="F364">
        <v>221.98</v>
      </c>
      <c r="G364" t="s">
        <v>31</v>
      </c>
      <c r="H364" t="s">
        <v>15</v>
      </c>
      <c r="I364">
        <v>3</v>
      </c>
      <c r="J364">
        <v>16</v>
      </c>
      <c r="K364">
        <v>8</v>
      </c>
      <c r="L364" s="4">
        <v>264.26190476190476</v>
      </c>
      <c r="M364" s="4">
        <v>42.281904761904769</v>
      </c>
      <c r="N364" t="s">
        <v>94</v>
      </c>
    </row>
    <row r="365" spans="1:14">
      <c r="A365">
        <v>364</v>
      </c>
      <c r="B365">
        <v>70</v>
      </c>
      <c r="C365" t="s">
        <v>11</v>
      </c>
      <c r="D365" t="s">
        <v>12</v>
      </c>
      <c r="E365" t="s">
        <v>50</v>
      </c>
      <c r="F365">
        <v>157.83000000000001</v>
      </c>
      <c r="G365" t="s">
        <v>31</v>
      </c>
      <c r="H365" t="s">
        <v>15</v>
      </c>
      <c r="I365">
        <v>4.5</v>
      </c>
      <c r="J365">
        <v>24</v>
      </c>
      <c r="K365">
        <v>7</v>
      </c>
      <c r="L365" s="4">
        <v>207.67105263157896</v>
      </c>
      <c r="M365" s="4">
        <v>49.841052631578947</v>
      </c>
      <c r="N365" t="s">
        <v>95</v>
      </c>
    </row>
    <row r="366" spans="1:14">
      <c r="A366">
        <v>365</v>
      </c>
      <c r="B366">
        <v>28</v>
      </c>
      <c r="C366" t="s">
        <v>16</v>
      </c>
      <c r="D366" t="s">
        <v>33</v>
      </c>
      <c r="E366" t="s">
        <v>34</v>
      </c>
      <c r="F366">
        <v>92.99</v>
      </c>
      <c r="G366" t="s">
        <v>24</v>
      </c>
      <c r="H366" t="s">
        <v>15</v>
      </c>
      <c r="I366">
        <v>3.8</v>
      </c>
      <c r="J366">
        <v>16</v>
      </c>
      <c r="K366">
        <v>3</v>
      </c>
      <c r="L366" s="4">
        <v>110.70238095238095</v>
      </c>
      <c r="M366" s="4">
        <v>17.712380952380954</v>
      </c>
      <c r="N366" t="s">
        <v>91</v>
      </c>
    </row>
    <row r="367" spans="1:14">
      <c r="A367">
        <v>366</v>
      </c>
      <c r="B367">
        <v>30</v>
      </c>
      <c r="C367" t="s">
        <v>11</v>
      </c>
      <c r="D367" t="s">
        <v>41</v>
      </c>
      <c r="E367" t="s">
        <v>44</v>
      </c>
      <c r="F367">
        <v>152.47</v>
      </c>
      <c r="G367" t="s">
        <v>14</v>
      </c>
      <c r="H367" t="s">
        <v>15</v>
      </c>
      <c r="I367">
        <v>4</v>
      </c>
      <c r="J367">
        <v>24</v>
      </c>
      <c r="K367">
        <v>7</v>
      </c>
      <c r="L367" s="4">
        <v>200.61842105263156</v>
      </c>
      <c r="M367" s="4">
        <v>48.148421052631562</v>
      </c>
      <c r="N367" t="s">
        <v>91</v>
      </c>
    </row>
    <row r="368" spans="1:14">
      <c r="A368">
        <v>367</v>
      </c>
      <c r="B368">
        <v>50</v>
      </c>
      <c r="C368" t="s">
        <v>16</v>
      </c>
      <c r="D368" t="s">
        <v>20</v>
      </c>
      <c r="E368" t="s">
        <v>39</v>
      </c>
      <c r="F368">
        <v>162.69999999999999</v>
      </c>
      <c r="G368" t="s">
        <v>31</v>
      </c>
      <c r="H368" t="s">
        <v>15</v>
      </c>
      <c r="I368">
        <v>2.8</v>
      </c>
      <c r="J368">
        <v>11</v>
      </c>
      <c r="K368">
        <v>3</v>
      </c>
      <c r="L368" s="4">
        <v>182.80898876404493</v>
      </c>
      <c r="M368" s="4">
        <v>20.108988764044938</v>
      </c>
      <c r="N368" t="s">
        <v>93</v>
      </c>
    </row>
    <row r="369" spans="1:14">
      <c r="A369">
        <v>368</v>
      </c>
      <c r="B369">
        <v>66</v>
      </c>
      <c r="C369" t="s">
        <v>16</v>
      </c>
      <c r="D369" t="s">
        <v>20</v>
      </c>
      <c r="E369" t="s">
        <v>21</v>
      </c>
      <c r="F369">
        <v>56.33</v>
      </c>
      <c r="G369" t="s">
        <v>19</v>
      </c>
      <c r="H369" t="s">
        <v>37</v>
      </c>
      <c r="I369">
        <v>4.0999999999999996</v>
      </c>
      <c r="J369">
        <v>2</v>
      </c>
      <c r="K369">
        <v>1</v>
      </c>
      <c r="L369" s="4">
        <v>57.479591836734691</v>
      </c>
      <c r="M369" s="4">
        <v>1.1495918367346931</v>
      </c>
      <c r="N369" t="s">
        <v>95</v>
      </c>
    </row>
    <row r="370" spans="1:14">
      <c r="A370">
        <v>369</v>
      </c>
      <c r="B370">
        <v>34</v>
      </c>
      <c r="C370" t="s">
        <v>11</v>
      </c>
      <c r="D370" t="s">
        <v>29</v>
      </c>
      <c r="E370" t="s">
        <v>51</v>
      </c>
      <c r="F370">
        <v>41.77</v>
      </c>
      <c r="G370" t="s">
        <v>24</v>
      </c>
      <c r="H370" t="s">
        <v>37</v>
      </c>
      <c r="I370">
        <v>3.5</v>
      </c>
      <c r="J370">
        <v>4</v>
      </c>
      <c r="K370">
        <v>2</v>
      </c>
      <c r="L370" s="4">
        <v>43.510416666666671</v>
      </c>
      <c r="M370" s="4">
        <v>1.7404166666666683</v>
      </c>
      <c r="N370" t="s">
        <v>91</v>
      </c>
    </row>
    <row r="371" spans="1:14">
      <c r="A371">
        <v>370</v>
      </c>
      <c r="B371">
        <v>49</v>
      </c>
      <c r="C371" t="s">
        <v>16</v>
      </c>
      <c r="D371" t="s">
        <v>27</v>
      </c>
      <c r="E371" t="s">
        <v>49</v>
      </c>
      <c r="F371">
        <v>2544.06</v>
      </c>
      <c r="G371" t="s">
        <v>31</v>
      </c>
      <c r="H371" t="s">
        <v>15</v>
      </c>
      <c r="I371">
        <v>3.6</v>
      </c>
      <c r="J371">
        <v>10</v>
      </c>
      <c r="K371">
        <v>5</v>
      </c>
      <c r="L371" s="4">
        <v>2826.7333333333331</v>
      </c>
      <c r="M371" s="4">
        <v>282.67333333333318</v>
      </c>
      <c r="N371" t="s">
        <v>93</v>
      </c>
    </row>
    <row r="372" spans="1:14">
      <c r="A372">
        <v>371</v>
      </c>
      <c r="B372">
        <v>53</v>
      </c>
      <c r="C372" t="s">
        <v>11</v>
      </c>
      <c r="D372" t="s">
        <v>12</v>
      </c>
      <c r="E372" t="s">
        <v>13</v>
      </c>
      <c r="F372">
        <v>89.64</v>
      </c>
      <c r="G372" t="s">
        <v>19</v>
      </c>
      <c r="H372" t="s">
        <v>37</v>
      </c>
      <c r="I372">
        <v>4.0999999999999996</v>
      </c>
      <c r="J372">
        <v>6</v>
      </c>
      <c r="K372">
        <v>3</v>
      </c>
      <c r="L372" s="4">
        <v>95.361702127659584</v>
      </c>
      <c r="M372" s="4">
        <v>5.721702127659583</v>
      </c>
      <c r="N372" t="s">
        <v>93</v>
      </c>
    </row>
    <row r="373" spans="1:14">
      <c r="A373">
        <v>372</v>
      </c>
      <c r="B373">
        <v>53</v>
      </c>
      <c r="C373" t="s">
        <v>16</v>
      </c>
      <c r="D373" t="s">
        <v>33</v>
      </c>
      <c r="E373" t="s">
        <v>34</v>
      </c>
      <c r="F373">
        <v>224</v>
      </c>
      <c r="G373" t="s">
        <v>14</v>
      </c>
      <c r="H373" t="s">
        <v>15</v>
      </c>
      <c r="I373">
        <v>5</v>
      </c>
      <c r="J373">
        <v>20</v>
      </c>
      <c r="K373">
        <v>5</v>
      </c>
      <c r="L373" s="4">
        <v>280</v>
      </c>
      <c r="M373" s="4">
        <v>56</v>
      </c>
      <c r="N373" t="s">
        <v>93</v>
      </c>
    </row>
    <row r="374" spans="1:14">
      <c r="A374">
        <v>373</v>
      </c>
      <c r="B374">
        <v>52</v>
      </c>
      <c r="C374" t="s">
        <v>11</v>
      </c>
      <c r="D374" t="s">
        <v>12</v>
      </c>
      <c r="E374" t="s">
        <v>56</v>
      </c>
      <c r="F374">
        <v>37.28</v>
      </c>
      <c r="G374" t="s">
        <v>24</v>
      </c>
      <c r="H374" t="s">
        <v>15</v>
      </c>
      <c r="I374">
        <v>3.3</v>
      </c>
      <c r="J374">
        <v>13</v>
      </c>
      <c r="K374">
        <v>4</v>
      </c>
      <c r="L374" s="4">
        <v>42.850574712643677</v>
      </c>
      <c r="M374" s="4">
        <v>5.5705747126436762</v>
      </c>
      <c r="N374" t="s">
        <v>93</v>
      </c>
    </row>
    <row r="375" spans="1:14">
      <c r="A375">
        <v>374</v>
      </c>
      <c r="B375">
        <v>61</v>
      </c>
      <c r="C375" t="s">
        <v>16</v>
      </c>
      <c r="D375" t="s">
        <v>33</v>
      </c>
      <c r="E375" t="s">
        <v>34</v>
      </c>
      <c r="F375">
        <v>42.08</v>
      </c>
      <c r="G375" t="s">
        <v>19</v>
      </c>
      <c r="H375" t="s">
        <v>37</v>
      </c>
      <c r="I375">
        <v>2.5</v>
      </c>
      <c r="J375">
        <v>20</v>
      </c>
      <c r="K375">
        <v>10</v>
      </c>
      <c r="L375" s="4">
        <v>52.599999999999994</v>
      </c>
      <c r="M375" s="4">
        <v>10.519999999999996</v>
      </c>
      <c r="N375" t="s">
        <v>94</v>
      </c>
    </row>
    <row r="376" spans="1:14">
      <c r="A376">
        <v>375</v>
      </c>
      <c r="B376">
        <v>28</v>
      </c>
      <c r="C376" t="s">
        <v>16</v>
      </c>
      <c r="D376" t="s">
        <v>17</v>
      </c>
      <c r="E376" t="s">
        <v>48</v>
      </c>
      <c r="F376">
        <v>50.72</v>
      </c>
      <c r="G376" t="s">
        <v>31</v>
      </c>
      <c r="H376" t="s">
        <v>37</v>
      </c>
      <c r="I376">
        <v>2.6</v>
      </c>
      <c r="J376">
        <v>4</v>
      </c>
      <c r="K376">
        <v>2</v>
      </c>
      <c r="L376" s="4">
        <v>52.833333333333336</v>
      </c>
      <c r="M376" s="4">
        <v>2.1133333333333368</v>
      </c>
      <c r="N376" t="s">
        <v>91</v>
      </c>
    </row>
    <row r="377" spans="1:14">
      <c r="A377">
        <v>376</v>
      </c>
      <c r="B377">
        <v>54</v>
      </c>
      <c r="C377" t="s">
        <v>11</v>
      </c>
      <c r="D377" t="s">
        <v>41</v>
      </c>
      <c r="E377" t="s">
        <v>44</v>
      </c>
      <c r="F377">
        <v>183.9</v>
      </c>
      <c r="G377" t="s">
        <v>19</v>
      </c>
      <c r="H377" t="s">
        <v>15</v>
      </c>
      <c r="I377">
        <v>4</v>
      </c>
      <c r="J377">
        <v>18</v>
      </c>
      <c r="K377">
        <v>4</v>
      </c>
      <c r="L377" s="4">
        <v>224.26829268292681</v>
      </c>
      <c r="M377" s="4">
        <v>40.368292682926807</v>
      </c>
      <c r="N377" t="s">
        <v>93</v>
      </c>
    </row>
    <row r="378" spans="1:14">
      <c r="A378">
        <v>377</v>
      </c>
      <c r="B378">
        <v>36</v>
      </c>
      <c r="C378" t="s">
        <v>11</v>
      </c>
      <c r="D378" t="s">
        <v>29</v>
      </c>
      <c r="E378" t="s">
        <v>30</v>
      </c>
      <c r="F378">
        <v>121.81</v>
      </c>
      <c r="G378" t="s">
        <v>24</v>
      </c>
      <c r="H378" t="s">
        <v>15</v>
      </c>
      <c r="I378">
        <v>3.8</v>
      </c>
      <c r="J378">
        <v>16</v>
      </c>
      <c r="K378">
        <v>3</v>
      </c>
      <c r="L378" s="4">
        <v>145.01190476190476</v>
      </c>
      <c r="M378" s="4">
        <v>23.201904761904757</v>
      </c>
      <c r="N378" t="s">
        <v>92</v>
      </c>
    </row>
    <row r="379" spans="1:14">
      <c r="A379">
        <v>378</v>
      </c>
      <c r="B379">
        <v>35</v>
      </c>
      <c r="C379" t="s">
        <v>11</v>
      </c>
      <c r="D379" t="s">
        <v>41</v>
      </c>
      <c r="E379" t="s">
        <v>42</v>
      </c>
      <c r="F379">
        <v>66.09</v>
      </c>
      <c r="G379" t="s">
        <v>31</v>
      </c>
      <c r="H379" t="s">
        <v>15</v>
      </c>
      <c r="I379">
        <v>2.9</v>
      </c>
      <c r="J379">
        <v>16</v>
      </c>
      <c r="K379">
        <v>3</v>
      </c>
      <c r="L379" s="4">
        <v>78.678571428571431</v>
      </c>
      <c r="M379" s="4">
        <v>12.588571428571427</v>
      </c>
      <c r="N379" t="s">
        <v>92</v>
      </c>
    </row>
    <row r="380" spans="1:14">
      <c r="A380">
        <v>379</v>
      </c>
      <c r="B380">
        <v>63</v>
      </c>
      <c r="C380" t="s">
        <v>16</v>
      </c>
      <c r="D380" t="s">
        <v>33</v>
      </c>
      <c r="E380" t="s">
        <v>34</v>
      </c>
      <c r="F380">
        <v>119.18</v>
      </c>
      <c r="G380" t="s">
        <v>19</v>
      </c>
      <c r="H380" t="s">
        <v>15</v>
      </c>
      <c r="I380">
        <v>4.5</v>
      </c>
      <c r="J380">
        <v>8</v>
      </c>
      <c r="K380">
        <v>4</v>
      </c>
      <c r="L380" s="4">
        <v>129.54347826086956</v>
      </c>
      <c r="M380" s="4">
        <v>10.363478260869556</v>
      </c>
      <c r="N380" t="s">
        <v>94</v>
      </c>
    </row>
    <row r="381" spans="1:14">
      <c r="A381">
        <v>380</v>
      </c>
      <c r="B381">
        <v>51</v>
      </c>
      <c r="C381" t="s">
        <v>16</v>
      </c>
      <c r="D381" t="s">
        <v>17</v>
      </c>
      <c r="E381" t="s">
        <v>48</v>
      </c>
      <c r="F381">
        <v>123</v>
      </c>
      <c r="G381" t="s">
        <v>24</v>
      </c>
      <c r="H381" t="s">
        <v>15</v>
      </c>
      <c r="I381">
        <v>3.6</v>
      </c>
      <c r="J381">
        <v>11</v>
      </c>
      <c r="K381">
        <v>3</v>
      </c>
      <c r="L381" s="4">
        <v>138.20224719101122</v>
      </c>
      <c r="M381" s="4">
        <v>15.202247191011224</v>
      </c>
      <c r="N381" t="s">
        <v>93</v>
      </c>
    </row>
    <row r="382" spans="1:14">
      <c r="A382">
        <v>381</v>
      </c>
      <c r="B382">
        <v>26</v>
      </c>
      <c r="C382" t="s">
        <v>16</v>
      </c>
      <c r="D382" t="s">
        <v>17</v>
      </c>
      <c r="E382" t="s">
        <v>18</v>
      </c>
      <c r="F382">
        <v>37.33</v>
      </c>
      <c r="G382" t="s">
        <v>19</v>
      </c>
      <c r="H382" t="s">
        <v>15</v>
      </c>
      <c r="I382">
        <v>3.6</v>
      </c>
      <c r="J382">
        <v>20</v>
      </c>
      <c r="K382">
        <v>5</v>
      </c>
      <c r="L382" s="4">
        <v>46.662499999999994</v>
      </c>
      <c r="M382" s="4">
        <v>9.332499999999996</v>
      </c>
      <c r="N382" t="s">
        <v>91</v>
      </c>
    </row>
    <row r="383" spans="1:14">
      <c r="A383">
        <v>382</v>
      </c>
      <c r="B383">
        <v>54</v>
      </c>
      <c r="C383" t="s">
        <v>16</v>
      </c>
      <c r="D383" t="s">
        <v>27</v>
      </c>
      <c r="E383" t="s">
        <v>28</v>
      </c>
      <c r="F383">
        <v>1625.71</v>
      </c>
      <c r="G383" t="s">
        <v>19</v>
      </c>
      <c r="H383" t="s">
        <v>15</v>
      </c>
      <c r="I383">
        <v>5</v>
      </c>
      <c r="J383">
        <v>26</v>
      </c>
      <c r="K383">
        <v>13</v>
      </c>
      <c r="L383" s="4">
        <v>2196.9054054054054</v>
      </c>
      <c r="M383" s="4">
        <v>571.19540540540538</v>
      </c>
      <c r="N383" t="s">
        <v>93</v>
      </c>
    </row>
    <row r="384" spans="1:14">
      <c r="A384">
        <v>383</v>
      </c>
      <c r="B384">
        <v>70</v>
      </c>
      <c r="C384" t="s">
        <v>16</v>
      </c>
      <c r="D384" t="s">
        <v>33</v>
      </c>
      <c r="E384" t="s">
        <v>40</v>
      </c>
      <c r="F384">
        <v>150.47999999999999</v>
      </c>
      <c r="G384" t="s">
        <v>19</v>
      </c>
      <c r="H384" t="s">
        <v>15</v>
      </c>
      <c r="I384">
        <v>4.5999999999999996</v>
      </c>
      <c r="J384">
        <v>12</v>
      </c>
      <c r="K384">
        <v>6</v>
      </c>
      <c r="L384" s="4">
        <v>171</v>
      </c>
      <c r="M384" s="4">
        <v>20.52000000000001</v>
      </c>
      <c r="N384" t="s">
        <v>95</v>
      </c>
    </row>
    <row r="385" spans="1:14">
      <c r="A385">
        <v>384</v>
      </c>
      <c r="B385">
        <v>45</v>
      </c>
      <c r="C385" t="s">
        <v>16</v>
      </c>
      <c r="D385" t="s">
        <v>27</v>
      </c>
      <c r="E385" t="s">
        <v>49</v>
      </c>
      <c r="F385">
        <v>1400.99</v>
      </c>
      <c r="G385" t="s">
        <v>24</v>
      </c>
      <c r="H385" t="s">
        <v>15</v>
      </c>
      <c r="I385">
        <v>2.8</v>
      </c>
      <c r="J385">
        <v>6</v>
      </c>
      <c r="K385">
        <v>3</v>
      </c>
      <c r="L385" s="4">
        <v>1490.4148936170213</v>
      </c>
      <c r="M385" s="4">
        <v>89.424893617021326</v>
      </c>
      <c r="N385" t="s">
        <v>93</v>
      </c>
    </row>
    <row r="386" spans="1:14">
      <c r="A386">
        <v>385</v>
      </c>
      <c r="B386">
        <v>43</v>
      </c>
      <c r="C386" t="s">
        <v>16</v>
      </c>
      <c r="D386" t="s">
        <v>20</v>
      </c>
      <c r="E386" t="s">
        <v>21</v>
      </c>
      <c r="F386">
        <v>80.25</v>
      </c>
      <c r="G386" t="s">
        <v>24</v>
      </c>
      <c r="H386" t="s">
        <v>15</v>
      </c>
      <c r="I386">
        <v>3.9</v>
      </c>
      <c r="J386">
        <v>17</v>
      </c>
      <c r="K386">
        <v>6</v>
      </c>
      <c r="L386" s="4">
        <v>96.686746987951807</v>
      </c>
      <c r="M386" s="4">
        <v>16.436746987951807</v>
      </c>
      <c r="N386" t="s">
        <v>92</v>
      </c>
    </row>
    <row r="387" spans="1:14">
      <c r="A387">
        <v>386</v>
      </c>
      <c r="B387">
        <v>37</v>
      </c>
      <c r="C387" t="s">
        <v>11</v>
      </c>
      <c r="D387" t="s">
        <v>25</v>
      </c>
      <c r="E387" t="s">
        <v>47</v>
      </c>
      <c r="F387">
        <v>29.59</v>
      </c>
      <c r="G387" t="s">
        <v>31</v>
      </c>
      <c r="H387" t="s">
        <v>15</v>
      </c>
      <c r="I387">
        <v>4.7</v>
      </c>
      <c r="J387">
        <v>24</v>
      </c>
      <c r="K387">
        <v>7</v>
      </c>
      <c r="L387" s="4">
        <v>38.934210526315788</v>
      </c>
      <c r="M387" s="4">
        <v>9.3442105263157877</v>
      </c>
      <c r="N387" t="s">
        <v>92</v>
      </c>
    </row>
    <row r="388" spans="1:14">
      <c r="A388">
        <v>387</v>
      </c>
      <c r="B388">
        <v>47</v>
      </c>
      <c r="C388" t="s">
        <v>16</v>
      </c>
      <c r="D388" t="s">
        <v>17</v>
      </c>
      <c r="E388" t="s">
        <v>35</v>
      </c>
      <c r="F388">
        <v>112.86</v>
      </c>
      <c r="G388" t="s">
        <v>24</v>
      </c>
      <c r="H388" t="s">
        <v>15</v>
      </c>
      <c r="I388">
        <v>4.5999999999999996</v>
      </c>
      <c r="J388">
        <v>14</v>
      </c>
      <c r="K388">
        <v>7</v>
      </c>
      <c r="L388" s="4">
        <v>131.23255813953489</v>
      </c>
      <c r="M388" s="4">
        <v>18.372558139534888</v>
      </c>
      <c r="N388" t="s">
        <v>93</v>
      </c>
    </row>
    <row r="389" spans="1:14">
      <c r="A389">
        <v>388</v>
      </c>
      <c r="B389">
        <v>45</v>
      </c>
      <c r="C389" t="s">
        <v>16</v>
      </c>
      <c r="D389" t="s">
        <v>20</v>
      </c>
      <c r="E389" t="s">
        <v>21</v>
      </c>
      <c r="F389">
        <v>160.31</v>
      </c>
      <c r="G389" t="s">
        <v>24</v>
      </c>
      <c r="H389" t="s">
        <v>15</v>
      </c>
      <c r="I389">
        <v>3</v>
      </c>
      <c r="J389">
        <v>6</v>
      </c>
      <c r="K389">
        <v>3</v>
      </c>
      <c r="L389" s="4">
        <v>170.54255319148936</v>
      </c>
      <c r="M389" s="4">
        <v>10.232553191489359</v>
      </c>
      <c r="N389" t="s">
        <v>93</v>
      </c>
    </row>
    <row r="390" spans="1:14">
      <c r="A390">
        <v>389</v>
      </c>
      <c r="B390">
        <v>44</v>
      </c>
      <c r="C390" t="s">
        <v>11</v>
      </c>
      <c r="D390" t="s">
        <v>22</v>
      </c>
      <c r="E390" t="s">
        <v>43</v>
      </c>
      <c r="F390">
        <v>155.34</v>
      </c>
      <c r="G390" t="s">
        <v>24</v>
      </c>
      <c r="H390" t="s">
        <v>15</v>
      </c>
      <c r="I390">
        <v>4.5</v>
      </c>
      <c r="J390">
        <v>13</v>
      </c>
      <c r="K390">
        <v>4</v>
      </c>
      <c r="L390" s="4">
        <v>178.55172413793105</v>
      </c>
      <c r="M390" s="4">
        <v>23.211724137931043</v>
      </c>
      <c r="N390" t="s">
        <v>92</v>
      </c>
    </row>
    <row r="391" spans="1:14">
      <c r="A391">
        <v>390</v>
      </c>
      <c r="B391">
        <v>39</v>
      </c>
      <c r="C391" t="s">
        <v>16</v>
      </c>
      <c r="D391" t="s">
        <v>25</v>
      </c>
      <c r="E391" t="s">
        <v>54</v>
      </c>
      <c r="F391">
        <v>76.790000000000006</v>
      </c>
      <c r="G391" t="s">
        <v>24</v>
      </c>
      <c r="H391" t="s">
        <v>37</v>
      </c>
      <c r="I391">
        <v>3.3</v>
      </c>
      <c r="J391">
        <v>19</v>
      </c>
      <c r="K391">
        <v>7</v>
      </c>
      <c r="L391" s="4">
        <v>94.802469135802468</v>
      </c>
      <c r="M391" s="4">
        <v>18.012469135802462</v>
      </c>
      <c r="N391" t="s">
        <v>92</v>
      </c>
    </row>
    <row r="392" spans="1:14">
      <c r="A392">
        <v>391</v>
      </c>
      <c r="B392">
        <v>42</v>
      </c>
      <c r="C392" t="s">
        <v>16</v>
      </c>
      <c r="D392" t="s">
        <v>27</v>
      </c>
      <c r="E392" t="s">
        <v>28</v>
      </c>
      <c r="F392">
        <v>845.92</v>
      </c>
      <c r="G392" t="s">
        <v>14</v>
      </c>
      <c r="H392" t="s">
        <v>15</v>
      </c>
      <c r="I392">
        <v>2.9</v>
      </c>
      <c r="J392">
        <v>25</v>
      </c>
      <c r="K392">
        <v>10</v>
      </c>
      <c r="L392" s="4">
        <v>1127.8933333333332</v>
      </c>
      <c r="M392" s="4">
        <v>281.97333333333324</v>
      </c>
      <c r="N392" t="s">
        <v>92</v>
      </c>
    </row>
    <row r="393" spans="1:14">
      <c r="A393">
        <v>392</v>
      </c>
      <c r="B393">
        <v>26</v>
      </c>
      <c r="C393" t="s">
        <v>11</v>
      </c>
      <c r="D393" t="s">
        <v>41</v>
      </c>
      <c r="E393" t="s">
        <v>42</v>
      </c>
      <c r="F393">
        <v>177.84</v>
      </c>
      <c r="G393" t="s">
        <v>24</v>
      </c>
      <c r="H393" t="s">
        <v>15</v>
      </c>
      <c r="I393">
        <v>4.5</v>
      </c>
      <c r="J393">
        <v>13</v>
      </c>
      <c r="K393">
        <v>4</v>
      </c>
      <c r="L393" s="4">
        <v>204.41379310344828</v>
      </c>
      <c r="M393" s="4">
        <v>26.573793103448281</v>
      </c>
      <c r="N393" t="s">
        <v>91</v>
      </c>
    </row>
    <row r="394" spans="1:14">
      <c r="A394">
        <v>393</v>
      </c>
      <c r="B394">
        <v>42</v>
      </c>
      <c r="C394" t="s">
        <v>16</v>
      </c>
      <c r="D394" t="s">
        <v>33</v>
      </c>
      <c r="E394" t="s">
        <v>38</v>
      </c>
      <c r="F394">
        <v>81.260000000000005</v>
      </c>
      <c r="G394" t="s">
        <v>31</v>
      </c>
      <c r="H394" t="s">
        <v>15</v>
      </c>
      <c r="I394">
        <v>4.0999999999999996</v>
      </c>
      <c r="J394">
        <v>14</v>
      </c>
      <c r="K394">
        <v>2</v>
      </c>
      <c r="L394" s="4">
        <v>94.488372093023258</v>
      </c>
      <c r="M394" s="4">
        <v>13.228372093023253</v>
      </c>
      <c r="N394" t="s">
        <v>92</v>
      </c>
    </row>
    <row r="395" spans="1:14">
      <c r="A395">
        <v>394</v>
      </c>
      <c r="B395">
        <v>33</v>
      </c>
      <c r="C395" t="s">
        <v>16</v>
      </c>
      <c r="D395" t="s">
        <v>20</v>
      </c>
      <c r="E395" t="s">
        <v>36</v>
      </c>
      <c r="F395">
        <v>143.71</v>
      </c>
      <c r="G395" t="s">
        <v>31</v>
      </c>
      <c r="H395" t="s">
        <v>15</v>
      </c>
      <c r="I395">
        <v>3.9</v>
      </c>
      <c r="J395">
        <v>11</v>
      </c>
      <c r="K395">
        <v>3</v>
      </c>
      <c r="L395" s="4">
        <v>161.47191011235955</v>
      </c>
      <c r="M395" s="4">
        <v>17.761910112359544</v>
      </c>
      <c r="N395" t="s">
        <v>91</v>
      </c>
    </row>
    <row r="396" spans="1:14">
      <c r="A396">
        <v>395</v>
      </c>
      <c r="B396">
        <v>70</v>
      </c>
      <c r="C396" t="s">
        <v>16</v>
      </c>
      <c r="D396" t="s">
        <v>20</v>
      </c>
      <c r="E396" t="s">
        <v>36</v>
      </c>
      <c r="F396">
        <v>62.41</v>
      </c>
      <c r="G396" t="s">
        <v>31</v>
      </c>
      <c r="H396" t="s">
        <v>37</v>
      </c>
      <c r="I396">
        <v>3.7</v>
      </c>
      <c r="J396">
        <v>28</v>
      </c>
      <c r="K396">
        <v>9</v>
      </c>
      <c r="L396" s="4">
        <v>86.680555555555557</v>
      </c>
      <c r="M396" s="4">
        <v>24.270555555555561</v>
      </c>
      <c r="N396" t="s">
        <v>95</v>
      </c>
    </row>
    <row r="397" spans="1:14">
      <c r="A397">
        <v>396</v>
      </c>
      <c r="B397">
        <v>55</v>
      </c>
      <c r="C397" t="s">
        <v>11</v>
      </c>
      <c r="D397" t="s">
        <v>33</v>
      </c>
      <c r="E397" t="s">
        <v>40</v>
      </c>
      <c r="F397">
        <v>120.97</v>
      </c>
      <c r="G397" t="s">
        <v>31</v>
      </c>
      <c r="H397" t="s">
        <v>15</v>
      </c>
      <c r="I397">
        <v>2.9</v>
      </c>
      <c r="J397">
        <v>20</v>
      </c>
      <c r="K397">
        <v>5</v>
      </c>
      <c r="L397" s="4">
        <v>151.21249999999998</v>
      </c>
      <c r="M397" s="4">
        <v>30.242499999999978</v>
      </c>
      <c r="N397" t="s">
        <v>94</v>
      </c>
    </row>
    <row r="398" spans="1:14">
      <c r="A398">
        <v>397</v>
      </c>
      <c r="B398">
        <v>28</v>
      </c>
      <c r="C398" t="s">
        <v>16</v>
      </c>
      <c r="D398" t="s">
        <v>17</v>
      </c>
      <c r="E398" t="s">
        <v>42</v>
      </c>
      <c r="F398">
        <v>176.62</v>
      </c>
      <c r="G398" t="s">
        <v>19</v>
      </c>
      <c r="H398" t="s">
        <v>15</v>
      </c>
      <c r="I398">
        <v>3.7</v>
      </c>
      <c r="J398">
        <v>16</v>
      </c>
      <c r="K398">
        <v>3</v>
      </c>
      <c r="L398" s="4">
        <v>210.26190476190479</v>
      </c>
      <c r="M398" s="4">
        <v>33.641904761904783</v>
      </c>
      <c r="N398" t="s">
        <v>91</v>
      </c>
    </row>
    <row r="399" spans="1:14">
      <c r="A399">
        <v>398</v>
      </c>
      <c r="B399">
        <v>27</v>
      </c>
      <c r="C399" t="s">
        <v>16</v>
      </c>
      <c r="D399" t="s">
        <v>27</v>
      </c>
      <c r="E399" t="s">
        <v>49</v>
      </c>
      <c r="F399">
        <v>1091.52</v>
      </c>
      <c r="G399" t="s">
        <v>31</v>
      </c>
      <c r="H399" t="s">
        <v>15</v>
      </c>
      <c r="I399">
        <v>4.9000000000000004</v>
      </c>
      <c r="J399">
        <v>11</v>
      </c>
      <c r="K399">
        <v>3</v>
      </c>
      <c r="L399" s="4">
        <v>1226.4269662921347</v>
      </c>
      <c r="M399" s="4">
        <v>134.90696629213471</v>
      </c>
      <c r="N399" t="s">
        <v>91</v>
      </c>
    </row>
    <row r="400" spans="1:14">
      <c r="A400">
        <v>399</v>
      </c>
      <c r="B400">
        <v>29</v>
      </c>
      <c r="C400" t="s">
        <v>11</v>
      </c>
      <c r="D400" t="s">
        <v>41</v>
      </c>
      <c r="E400" t="s">
        <v>42</v>
      </c>
      <c r="F400">
        <v>196.8</v>
      </c>
      <c r="G400" t="s">
        <v>31</v>
      </c>
      <c r="H400" t="s">
        <v>15</v>
      </c>
      <c r="I400">
        <v>3.7</v>
      </c>
      <c r="J400">
        <v>26</v>
      </c>
      <c r="K400">
        <v>8</v>
      </c>
      <c r="L400" s="4">
        <v>265.94594594594594</v>
      </c>
      <c r="M400" s="4">
        <v>69.145945945945925</v>
      </c>
      <c r="N400" t="s">
        <v>91</v>
      </c>
    </row>
    <row r="401" spans="1:14">
      <c r="A401">
        <v>400</v>
      </c>
      <c r="B401">
        <v>70</v>
      </c>
      <c r="C401" t="s">
        <v>11</v>
      </c>
      <c r="D401" t="s">
        <v>41</v>
      </c>
      <c r="E401" t="s">
        <v>45</v>
      </c>
      <c r="F401">
        <v>89.53</v>
      </c>
      <c r="G401" t="s">
        <v>19</v>
      </c>
      <c r="H401" t="s">
        <v>37</v>
      </c>
      <c r="I401">
        <v>3.8</v>
      </c>
      <c r="J401">
        <v>16</v>
      </c>
      <c r="K401">
        <v>8</v>
      </c>
      <c r="L401" s="4">
        <v>106.58333333333334</v>
      </c>
      <c r="M401" s="4">
        <v>17.053333333333342</v>
      </c>
      <c r="N401" t="s">
        <v>95</v>
      </c>
    </row>
    <row r="402" spans="1:14">
      <c r="A402">
        <v>401</v>
      </c>
      <c r="B402">
        <v>38</v>
      </c>
      <c r="C402" t="s">
        <v>11</v>
      </c>
      <c r="D402" t="s">
        <v>12</v>
      </c>
      <c r="E402" t="s">
        <v>56</v>
      </c>
      <c r="F402">
        <v>141.24</v>
      </c>
      <c r="G402" t="s">
        <v>19</v>
      </c>
      <c r="H402" t="s">
        <v>15</v>
      </c>
      <c r="I402">
        <v>3.9</v>
      </c>
      <c r="J402">
        <v>11</v>
      </c>
      <c r="K402">
        <v>3</v>
      </c>
      <c r="L402" s="4">
        <v>158.69662921348316</v>
      </c>
      <c r="M402" s="4">
        <v>17.456629213483154</v>
      </c>
      <c r="N402" t="s">
        <v>92</v>
      </c>
    </row>
    <row r="403" spans="1:14">
      <c r="A403">
        <v>402</v>
      </c>
      <c r="B403">
        <v>32</v>
      </c>
      <c r="C403" t="s">
        <v>16</v>
      </c>
      <c r="D403" t="s">
        <v>17</v>
      </c>
      <c r="E403" t="s">
        <v>35</v>
      </c>
      <c r="F403">
        <v>125.07</v>
      </c>
      <c r="G403" t="s">
        <v>24</v>
      </c>
      <c r="H403" t="s">
        <v>15</v>
      </c>
      <c r="I403">
        <v>4.2</v>
      </c>
      <c r="J403">
        <v>9</v>
      </c>
      <c r="K403">
        <v>2</v>
      </c>
      <c r="L403" s="4">
        <v>137.43956043956044</v>
      </c>
      <c r="M403" s="4">
        <v>12.369560439560445</v>
      </c>
      <c r="N403" t="s">
        <v>91</v>
      </c>
    </row>
    <row r="404" spans="1:14">
      <c r="A404">
        <v>403</v>
      </c>
      <c r="B404">
        <v>56</v>
      </c>
      <c r="C404" t="s">
        <v>11</v>
      </c>
      <c r="D404" t="s">
        <v>12</v>
      </c>
      <c r="E404" t="s">
        <v>13</v>
      </c>
      <c r="F404">
        <v>83.05</v>
      </c>
      <c r="G404" t="s">
        <v>14</v>
      </c>
      <c r="H404" t="s">
        <v>37</v>
      </c>
      <c r="I404">
        <v>4.0999999999999996</v>
      </c>
      <c r="J404">
        <v>18</v>
      </c>
      <c r="K404">
        <v>4</v>
      </c>
      <c r="L404" s="4">
        <v>101.28048780487804</v>
      </c>
      <c r="M404" s="4">
        <v>18.230487804878038</v>
      </c>
      <c r="N404" t="s">
        <v>94</v>
      </c>
    </row>
    <row r="405" spans="1:14">
      <c r="A405">
        <v>404</v>
      </c>
      <c r="B405">
        <v>32</v>
      </c>
      <c r="C405" t="s">
        <v>16</v>
      </c>
      <c r="D405" t="s">
        <v>22</v>
      </c>
      <c r="E405" t="s">
        <v>52</v>
      </c>
      <c r="F405">
        <v>84.48</v>
      </c>
      <c r="G405" t="s">
        <v>24</v>
      </c>
      <c r="H405" t="s">
        <v>15</v>
      </c>
      <c r="I405">
        <v>4.5</v>
      </c>
      <c r="J405">
        <v>19</v>
      </c>
      <c r="K405">
        <v>7</v>
      </c>
      <c r="L405" s="4">
        <v>104.29629629629629</v>
      </c>
      <c r="M405" s="4">
        <v>19.816296296296287</v>
      </c>
      <c r="N405" t="s">
        <v>91</v>
      </c>
    </row>
    <row r="406" spans="1:14">
      <c r="A406">
        <v>405</v>
      </c>
      <c r="B406">
        <v>42</v>
      </c>
      <c r="C406" t="s">
        <v>16</v>
      </c>
      <c r="D406" t="s">
        <v>27</v>
      </c>
      <c r="E406" t="s">
        <v>49</v>
      </c>
      <c r="F406">
        <v>1607.07</v>
      </c>
      <c r="G406" t="s">
        <v>14</v>
      </c>
      <c r="H406" t="s">
        <v>15</v>
      </c>
      <c r="I406">
        <v>4</v>
      </c>
      <c r="J406">
        <v>21</v>
      </c>
      <c r="K406">
        <v>8</v>
      </c>
      <c r="L406" s="4">
        <v>2034.2658227848099</v>
      </c>
      <c r="M406" s="4">
        <v>427.19582278480993</v>
      </c>
      <c r="N406" t="s">
        <v>92</v>
      </c>
    </row>
    <row r="407" spans="1:14">
      <c r="A407">
        <v>406</v>
      </c>
      <c r="B407">
        <v>28</v>
      </c>
      <c r="C407" t="s">
        <v>11</v>
      </c>
      <c r="D407" t="s">
        <v>33</v>
      </c>
      <c r="E407" t="s">
        <v>34</v>
      </c>
      <c r="F407">
        <v>170.45</v>
      </c>
      <c r="G407" t="s">
        <v>19</v>
      </c>
      <c r="H407" t="s">
        <v>15</v>
      </c>
      <c r="I407">
        <v>3.8</v>
      </c>
      <c r="J407">
        <v>13</v>
      </c>
      <c r="K407">
        <v>4</v>
      </c>
      <c r="L407" s="4">
        <v>195.91954022988506</v>
      </c>
      <c r="M407" s="4">
        <v>25.469540229885069</v>
      </c>
      <c r="N407" t="s">
        <v>91</v>
      </c>
    </row>
    <row r="408" spans="1:14">
      <c r="A408">
        <v>407</v>
      </c>
      <c r="B408">
        <v>30</v>
      </c>
      <c r="C408" t="s">
        <v>11</v>
      </c>
      <c r="D408" t="s">
        <v>29</v>
      </c>
      <c r="E408" t="s">
        <v>55</v>
      </c>
      <c r="F408">
        <v>47.97</v>
      </c>
      <c r="G408" t="s">
        <v>19</v>
      </c>
      <c r="H408" t="s">
        <v>15</v>
      </c>
      <c r="I408">
        <v>3.7</v>
      </c>
      <c r="J408">
        <v>18</v>
      </c>
      <c r="K408">
        <v>4</v>
      </c>
      <c r="L408" s="4">
        <v>58.499999999999993</v>
      </c>
      <c r="M408" s="4">
        <v>10.529999999999994</v>
      </c>
      <c r="N408" t="s">
        <v>91</v>
      </c>
    </row>
    <row r="409" spans="1:14">
      <c r="A409">
        <v>408</v>
      </c>
      <c r="B409">
        <v>31</v>
      </c>
      <c r="C409" t="s">
        <v>11</v>
      </c>
      <c r="D409" t="s">
        <v>41</v>
      </c>
      <c r="E409" t="s">
        <v>42</v>
      </c>
      <c r="F409">
        <v>152</v>
      </c>
      <c r="G409" t="s">
        <v>19</v>
      </c>
      <c r="H409" t="s">
        <v>15</v>
      </c>
      <c r="I409">
        <v>3.5</v>
      </c>
      <c r="J409">
        <v>24</v>
      </c>
      <c r="K409">
        <v>7</v>
      </c>
      <c r="L409" s="4">
        <v>200</v>
      </c>
      <c r="M409" s="4">
        <v>48</v>
      </c>
      <c r="N409" t="s">
        <v>91</v>
      </c>
    </row>
    <row r="410" spans="1:14">
      <c r="A410">
        <v>409</v>
      </c>
      <c r="B410">
        <v>60</v>
      </c>
      <c r="C410" t="s">
        <v>11</v>
      </c>
      <c r="D410" t="s">
        <v>29</v>
      </c>
      <c r="E410" t="s">
        <v>30</v>
      </c>
      <c r="F410">
        <v>77.790000000000006</v>
      </c>
      <c r="G410" t="s">
        <v>14</v>
      </c>
      <c r="H410" t="s">
        <v>15</v>
      </c>
      <c r="I410">
        <v>4.7</v>
      </c>
      <c r="J410">
        <v>11</v>
      </c>
      <c r="K410">
        <v>3</v>
      </c>
      <c r="L410" s="4">
        <v>87.404494382022477</v>
      </c>
      <c r="M410" s="4">
        <v>9.6144943820224711</v>
      </c>
      <c r="N410" t="s">
        <v>94</v>
      </c>
    </row>
    <row r="411" spans="1:14">
      <c r="A411">
        <v>410</v>
      </c>
      <c r="B411">
        <v>46</v>
      </c>
      <c r="C411" t="s">
        <v>11</v>
      </c>
      <c r="D411" t="s">
        <v>41</v>
      </c>
      <c r="E411" t="s">
        <v>45</v>
      </c>
      <c r="F411">
        <v>55.8</v>
      </c>
      <c r="G411" t="s">
        <v>31</v>
      </c>
      <c r="H411" t="s">
        <v>37</v>
      </c>
      <c r="I411">
        <v>3.1</v>
      </c>
      <c r="J411">
        <v>22</v>
      </c>
      <c r="K411">
        <v>6</v>
      </c>
      <c r="L411" s="4">
        <v>71.538461538461533</v>
      </c>
      <c r="M411" s="4">
        <v>15.738461538461536</v>
      </c>
      <c r="N411" t="s">
        <v>93</v>
      </c>
    </row>
    <row r="412" spans="1:14">
      <c r="A412">
        <v>411</v>
      </c>
      <c r="B412">
        <v>66</v>
      </c>
      <c r="C412" t="s">
        <v>16</v>
      </c>
      <c r="D412" t="s">
        <v>20</v>
      </c>
      <c r="E412" t="s">
        <v>39</v>
      </c>
      <c r="F412">
        <v>140.76</v>
      </c>
      <c r="G412" t="s">
        <v>24</v>
      </c>
      <c r="H412" t="s">
        <v>15</v>
      </c>
      <c r="I412">
        <v>3.7</v>
      </c>
      <c r="J412">
        <v>26</v>
      </c>
      <c r="K412">
        <v>8</v>
      </c>
      <c r="L412" s="4">
        <v>190.2162162162162</v>
      </c>
      <c r="M412" s="4">
        <v>49.456216216216205</v>
      </c>
      <c r="N412" t="s">
        <v>95</v>
      </c>
    </row>
    <row r="413" spans="1:14">
      <c r="A413">
        <v>412</v>
      </c>
      <c r="B413">
        <v>69</v>
      </c>
      <c r="C413" t="s">
        <v>16</v>
      </c>
      <c r="D413" t="s">
        <v>20</v>
      </c>
      <c r="E413" t="s">
        <v>39</v>
      </c>
      <c r="F413">
        <v>31.84</v>
      </c>
      <c r="G413" t="s">
        <v>14</v>
      </c>
      <c r="H413" t="s">
        <v>37</v>
      </c>
      <c r="I413">
        <v>4</v>
      </c>
      <c r="J413">
        <v>18</v>
      </c>
      <c r="K413">
        <v>4</v>
      </c>
      <c r="L413" s="4">
        <v>38.829268292682926</v>
      </c>
      <c r="M413" s="4">
        <v>6.9892682926829259</v>
      </c>
      <c r="N413" t="s">
        <v>95</v>
      </c>
    </row>
    <row r="414" spans="1:14">
      <c r="A414">
        <v>413</v>
      </c>
      <c r="B414">
        <v>56</v>
      </c>
      <c r="C414" t="s">
        <v>16</v>
      </c>
      <c r="D414" t="s">
        <v>17</v>
      </c>
      <c r="E414" t="s">
        <v>18</v>
      </c>
      <c r="F414">
        <v>175.84</v>
      </c>
      <c r="G414" t="s">
        <v>14</v>
      </c>
      <c r="H414" t="s">
        <v>15</v>
      </c>
      <c r="I414">
        <v>2.7</v>
      </c>
      <c r="J414">
        <v>16</v>
      </c>
      <c r="K414">
        <v>3</v>
      </c>
      <c r="L414" s="4">
        <v>209.33333333333334</v>
      </c>
      <c r="M414" s="4">
        <v>33.493333333333339</v>
      </c>
      <c r="N414" t="s">
        <v>94</v>
      </c>
    </row>
    <row r="415" spans="1:14">
      <c r="A415">
        <v>414</v>
      </c>
      <c r="B415">
        <v>23</v>
      </c>
      <c r="C415" t="s">
        <v>16</v>
      </c>
      <c r="D415" t="s">
        <v>27</v>
      </c>
      <c r="E415" t="s">
        <v>53</v>
      </c>
      <c r="F415">
        <v>2970.31</v>
      </c>
      <c r="G415" t="s">
        <v>14</v>
      </c>
      <c r="H415" t="s">
        <v>15</v>
      </c>
      <c r="I415">
        <v>3.6</v>
      </c>
      <c r="J415">
        <v>12</v>
      </c>
      <c r="K415">
        <v>6</v>
      </c>
      <c r="L415" s="4">
        <v>3375.3522727272725</v>
      </c>
      <c r="M415" s="4">
        <v>405.04227272727258</v>
      </c>
      <c r="N415" t="s">
        <v>100</v>
      </c>
    </row>
    <row r="416" spans="1:14">
      <c r="A416">
        <v>415</v>
      </c>
      <c r="B416">
        <v>68</v>
      </c>
      <c r="C416" t="s">
        <v>16</v>
      </c>
      <c r="D416" t="s">
        <v>17</v>
      </c>
      <c r="E416" t="s">
        <v>18</v>
      </c>
      <c r="F416">
        <v>43.47</v>
      </c>
      <c r="G416" t="s">
        <v>31</v>
      </c>
      <c r="H416" t="s">
        <v>37</v>
      </c>
      <c r="I416">
        <v>5</v>
      </c>
      <c r="J416">
        <v>7</v>
      </c>
      <c r="K416">
        <v>1</v>
      </c>
      <c r="L416" s="4">
        <v>46.741935483870968</v>
      </c>
      <c r="M416" s="4">
        <v>3.2719354838709691</v>
      </c>
      <c r="N416" t="s">
        <v>95</v>
      </c>
    </row>
    <row r="417" spans="1:14">
      <c r="A417">
        <v>416</v>
      </c>
      <c r="B417">
        <v>38</v>
      </c>
      <c r="C417" t="s">
        <v>11</v>
      </c>
      <c r="D417" t="s">
        <v>29</v>
      </c>
      <c r="E417" t="s">
        <v>51</v>
      </c>
      <c r="F417">
        <v>99.24</v>
      </c>
      <c r="G417" t="s">
        <v>14</v>
      </c>
      <c r="H417" t="s">
        <v>15</v>
      </c>
      <c r="I417">
        <v>3.5</v>
      </c>
      <c r="J417">
        <v>23</v>
      </c>
      <c r="K417">
        <v>9</v>
      </c>
      <c r="L417" s="4">
        <v>128.88311688311688</v>
      </c>
      <c r="M417" s="4">
        <v>29.643116883116889</v>
      </c>
      <c r="N417" t="s">
        <v>92</v>
      </c>
    </row>
    <row r="418" spans="1:14">
      <c r="A418">
        <v>417</v>
      </c>
      <c r="B418">
        <v>39</v>
      </c>
      <c r="C418" t="s">
        <v>11</v>
      </c>
      <c r="D418" t="s">
        <v>33</v>
      </c>
      <c r="E418" t="s">
        <v>40</v>
      </c>
      <c r="F418">
        <v>69.989999999999995</v>
      </c>
      <c r="G418" t="s">
        <v>31</v>
      </c>
      <c r="H418" t="s">
        <v>15</v>
      </c>
      <c r="I418">
        <v>3</v>
      </c>
      <c r="J418">
        <v>10</v>
      </c>
      <c r="K418">
        <v>5</v>
      </c>
      <c r="L418" s="4">
        <v>77.766666666666666</v>
      </c>
      <c r="M418" s="4">
        <v>7.7766666666666708</v>
      </c>
      <c r="N418" t="s">
        <v>92</v>
      </c>
    </row>
    <row r="419" spans="1:14">
      <c r="A419">
        <v>418</v>
      </c>
      <c r="B419">
        <v>64</v>
      </c>
      <c r="C419" t="s">
        <v>11</v>
      </c>
      <c r="D419" t="s">
        <v>25</v>
      </c>
      <c r="E419" t="s">
        <v>54</v>
      </c>
      <c r="F419">
        <v>27.74</v>
      </c>
      <c r="G419" t="s">
        <v>31</v>
      </c>
      <c r="H419" t="s">
        <v>15</v>
      </c>
      <c r="I419">
        <v>2.2999999999999998</v>
      </c>
      <c r="J419">
        <v>15</v>
      </c>
      <c r="K419">
        <v>5</v>
      </c>
      <c r="L419" s="4">
        <v>32.635294117647057</v>
      </c>
      <c r="M419" s="4">
        <v>4.8952941176470581</v>
      </c>
      <c r="N419" t="s">
        <v>94</v>
      </c>
    </row>
    <row r="420" spans="1:14">
      <c r="A420">
        <v>419</v>
      </c>
      <c r="B420">
        <v>26</v>
      </c>
      <c r="C420" t="s">
        <v>11</v>
      </c>
      <c r="D420" t="s">
        <v>22</v>
      </c>
      <c r="E420" t="s">
        <v>52</v>
      </c>
      <c r="F420">
        <v>175.14</v>
      </c>
      <c r="G420" t="s">
        <v>24</v>
      </c>
      <c r="H420" t="s">
        <v>15</v>
      </c>
      <c r="I420">
        <v>4.5</v>
      </c>
      <c r="J420">
        <v>12</v>
      </c>
      <c r="K420">
        <v>1</v>
      </c>
      <c r="L420" s="4">
        <v>199.02272727272725</v>
      </c>
      <c r="M420" s="4">
        <v>23.882727272727266</v>
      </c>
      <c r="N420" t="s">
        <v>91</v>
      </c>
    </row>
    <row r="421" spans="1:14">
      <c r="A421">
        <v>420</v>
      </c>
      <c r="B421">
        <v>58</v>
      </c>
      <c r="C421" t="s">
        <v>11</v>
      </c>
      <c r="D421" t="s">
        <v>12</v>
      </c>
      <c r="E421" t="s">
        <v>50</v>
      </c>
      <c r="F421">
        <v>105.33</v>
      </c>
      <c r="G421" t="s">
        <v>14</v>
      </c>
      <c r="H421" t="s">
        <v>15</v>
      </c>
      <c r="I421">
        <v>4.5</v>
      </c>
      <c r="J421">
        <v>22</v>
      </c>
      <c r="K421">
        <v>6</v>
      </c>
      <c r="L421" s="4">
        <v>135.03846153846152</v>
      </c>
      <c r="M421" s="4">
        <v>29.70846153846152</v>
      </c>
      <c r="N421" t="s">
        <v>94</v>
      </c>
    </row>
    <row r="422" spans="1:14">
      <c r="A422">
        <v>421</v>
      </c>
      <c r="B422">
        <v>33</v>
      </c>
      <c r="C422" t="s">
        <v>16</v>
      </c>
      <c r="D422" t="s">
        <v>27</v>
      </c>
      <c r="E422" t="s">
        <v>53</v>
      </c>
      <c r="F422">
        <v>2028.35</v>
      </c>
      <c r="G422" t="s">
        <v>24</v>
      </c>
      <c r="H422" t="s">
        <v>15</v>
      </c>
      <c r="I422">
        <v>3.6</v>
      </c>
      <c r="J422">
        <v>8</v>
      </c>
      <c r="K422">
        <v>4</v>
      </c>
      <c r="L422" s="4">
        <v>2204.728260869565</v>
      </c>
      <c r="M422" s="4">
        <v>176.37826086956511</v>
      </c>
      <c r="N422" t="s">
        <v>91</v>
      </c>
    </row>
    <row r="423" spans="1:14">
      <c r="A423">
        <v>422</v>
      </c>
      <c r="B423">
        <v>54</v>
      </c>
      <c r="C423" t="s">
        <v>11</v>
      </c>
      <c r="D423" t="s">
        <v>29</v>
      </c>
      <c r="E423" t="s">
        <v>55</v>
      </c>
      <c r="F423">
        <v>44.38</v>
      </c>
      <c r="G423" t="s">
        <v>19</v>
      </c>
      <c r="H423" t="s">
        <v>37</v>
      </c>
      <c r="I423">
        <v>4.9000000000000004</v>
      </c>
      <c r="J423">
        <v>16</v>
      </c>
      <c r="K423">
        <v>3</v>
      </c>
      <c r="L423" s="4">
        <v>52.833333333333336</v>
      </c>
      <c r="M423" s="4">
        <v>8.4533333333333331</v>
      </c>
      <c r="N423" t="s">
        <v>93</v>
      </c>
    </row>
    <row r="424" spans="1:14">
      <c r="A424">
        <v>423</v>
      </c>
      <c r="B424">
        <v>37</v>
      </c>
      <c r="C424" t="s">
        <v>11</v>
      </c>
      <c r="D424" t="s">
        <v>12</v>
      </c>
      <c r="E424" t="s">
        <v>56</v>
      </c>
      <c r="F424">
        <v>124.7</v>
      </c>
      <c r="G424" t="s">
        <v>19</v>
      </c>
      <c r="H424" t="s">
        <v>15</v>
      </c>
      <c r="I424">
        <v>4.5999999999999996</v>
      </c>
      <c r="J424">
        <v>22</v>
      </c>
      <c r="K424">
        <v>6</v>
      </c>
      <c r="L424" s="4">
        <v>159.87179487179486</v>
      </c>
      <c r="M424" s="4">
        <v>35.171794871794859</v>
      </c>
      <c r="N424" t="s">
        <v>92</v>
      </c>
    </row>
    <row r="425" spans="1:14">
      <c r="A425">
        <v>424</v>
      </c>
      <c r="B425">
        <v>27</v>
      </c>
      <c r="C425" t="s">
        <v>16</v>
      </c>
      <c r="D425" t="s">
        <v>17</v>
      </c>
      <c r="E425" t="s">
        <v>18</v>
      </c>
      <c r="F425">
        <v>117.37</v>
      </c>
      <c r="G425" t="s">
        <v>31</v>
      </c>
      <c r="H425" t="s">
        <v>15</v>
      </c>
      <c r="I425">
        <v>3.7</v>
      </c>
      <c r="J425">
        <v>20</v>
      </c>
      <c r="K425">
        <v>5</v>
      </c>
      <c r="L425" s="4">
        <v>146.71250000000001</v>
      </c>
      <c r="M425" s="4">
        <v>29.342500000000001</v>
      </c>
      <c r="N425" t="s">
        <v>91</v>
      </c>
    </row>
    <row r="426" spans="1:14">
      <c r="A426">
        <v>425</v>
      </c>
      <c r="B426">
        <v>67</v>
      </c>
      <c r="C426" t="s">
        <v>11</v>
      </c>
      <c r="D426" t="s">
        <v>12</v>
      </c>
      <c r="E426" t="s">
        <v>50</v>
      </c>
      <c r="F426">
        <v>81.81</v>
      </c>
      <c r="G426" t="s">
        <v>19</v>
      </c>
      <c r="H426" t="s">
        <v>37</v>
      </c>
      <c r="I426">
        <v>3.8</v>
      </c>
      <c r="J426">
        <v>13</v>
      </c>
      <c r="K426">
        <v>4</v>
      </c>
      <c r="L426" s="4">
        <v>94.034482758620697</v>
      </c>
      <c r="M426" s="4">
        <v>12.224482758620695</v>
      </c>
      <c r="N426" t="s">
        <v>95</v>
      </c>
    </row>
    <row r="427" spans="1:14">
      <c r="A427">
        <v>426</v>
      </c>
      <c r="B427">
        <v>34</v>
      </c>
      <c r="C427" t="s">
        <v>11</v>
      </c>
      <c r="D427" t="s">
        <v>29</v>
      </c>
      <c r="E427" t="s">
        <v>30</v>
      </c>
      <c r="F427">
        <v>108.57</v>
      </c>
      <c r="G427" t="s">
        <v>24</v>
      </c>
      <c r="H427" t="s">
        <v>15</v>
      </c>
      <c r="I427">
        <v>4.9000000000000004</v>
      </c>
      <c r="J427">
        <v>13</v>
      </c>
      <c r="K427">
        <v>4</v>
      </c>
      <c r="L427" s="4">
        <v>124.79310344827586</v>
      </c>
      <c r="M427" s="4">
        <v>16.223103448275864</v>
      </c>
      <c r="N427" t="s">
        <v>91</v>
      </c>
    </row>
    <row r="428" spans="1:14">
      <c r="A428">
        <v>427</v>
      </c>
      <c r="B428">
        <v>70</v>
      </c>
      <c r="C428" t="s">
        <v>11</v>
      </c>
      <c r="D428" t="s">
        <v>12</v>
      </c>
      <c r="E428" t="s">
        <v>56</v>
      </c>
      <c r="F428">
        <v>150.37</v>
      </c>
      <c r="G428" t="s">
        <v>14</v>
      </c>
      <c r="H428" t="s">
        <v>15</v>
      </c>
      <c r="I428">
        <v>4.5</v>
      </c>
      <c r="J428">
        <v>10</v>
      </c>
      <c r="K428">
        <v>5</v>
      </c>
      <c r="L428" s="4">
        <v>167.07777777777778</v>
      </c>
      <c r="M428" s="4">
        <v>16.707777777777778</v>
      </c>
      <c r="N428" t="s">
        <v>95</v>
      </c>
    </row>
    <row r="429" spans="1:14">
      <c r="A429">
        <v>428</v>
      </c>
      <c r="B429">
        <v>21</v>
      </c>
      <c r="C429" t="s">
        <v>11</v>
      </c>
      <c r="D429" t="s">
        <v>25</v>
      </c>
      <c r="E429" t="s">
        <v>57</v>
      </c>
      <c r="F429">
        <v>21.02</v>
      </c>
      <c r="G429" t="s">
        <v>14</v>
      </c>
      <c r="H429" t="s">
        <v>15</v>
      </c>
      <c r="I429">
        <v>2.7</v>
      </c>
      <c r="J429">
        <v>14</v>
      </c>
      <c r="K429">
        <v>7</v>
      </c>
      <c r="L429" s="4">
        <v>24.441860465116278</v>
      </c>
      <c r="M429" s="4">
        <v>3.4218604651162785</v>
      </c>
      <c r="N429" t="s">
        <v>100</v>
      </c>
    </row>
    <row r="430" spans="1:14">
      <c r="A430">
        <v>429</v>
      </c>
      <c r="B430">
        <v>67</v>
      </c>
      <c r="C430" t="s">
        <v>11</v>
      </c>
      <c r="D430" t="s">
        <v>33</v>
      </c>
      <c r="E430" t="s">
        <v>40</v>
      </c>
      <c r="F430">
        <v>203.32</v>
      </c>
      <c r="G430" t="s">
        <v>31</v>
      </c>
      <c r="H430" t="s">
        <v>15</v>
      </c>
      <c r="I430">
        <v>3.3</v>
      </c>
      <c r="J430">
        <v>10</v>
      </c>
      <c r="K430">
        <v>5</v>
      </c>
      <c r="L430" s="4">
        <v>225.9111111111111</v>
      </c>
      <c r="M430" s="4">
        <v>22.591111111111104</v>
      </c>
      <c r="N430" t="s">
        <v>95</v>
      </c>
    </row>
    <row r="431" spans="1:14">
      <c r="A431">
        <v>430</v>
      </c>
      <c r="B431">
        <v>45</v>
      </c>
      <c r="C431" t="s">
        <v>11</v>
      </c>
      <c r="D431" t="s">
        <v>12</v>
      </c>
      <c r="E431" t="s">
        <v>50</v>
      </c>
      <c r="F431">
        <v>67.03</v>
      </c>
      <c r="G431" t="s">
        <v>14</v>
      </c>
      <c r="H431" t="s">
        <v>37</v>
      </c>
      <c r="I431">
        <v>3.6</v>
      </c>
      <c r="J431">
        <v>21</v>
      </c>
      <c r="K431">
        <v>8</v>
      </c>
      <c r="L431" s="4">
        <v>84.848101265822777</v>
      </c>
      <c r="M431" s="4">
        <v>17.818101265822776</v>
      </c>
      <c r="N431" t="s">
        <v>93</v>
      </c>
    </row>
    <row r="432" spans="1:14">
      <c r="A432">
        <v>431</v>
      </c>
      <c r="B432">
        <v>64</v>
      </c>
      <c r="C432" t="s">
        <v>16</v>
      </c>
      <c r="D432" t="s">
        <v>27</v>
      </c>
      <c r="E432" t="s">
        <v>28</v>
      </c>
      <c r="F432">
        <v>1948.28</v>
      </c>
      <c r="G432" t="s">
        <v>31</v>
      </c>
      <c r="H432" t="s">
        <v>15</v>
      </c>
      <c r="I432">
        <v>4.2</v>
      </c>
      <c r="J432">
        <v>20</v>
      </c>
      <c r="K432">
        <v>5</v>
      </c>
      <c r="L432" s="4">
        <v>2435.35</v>
      </c>
      <c r="M432" s="4">
        <v>487.06999999999994</v>
      </c>
      <c r="N432" t="s">
        <v>94</v>
      </c>
    </row>
    <row r="433" spans="1:14">
      <c r="A433">
        <v>432</v>
      </c>
      <c r="B433">
        <v>51</v>
      </c>
      <c r="C433" t="s">
        <v>11</v>
      </c>
      <c r="D433" t="s">
        <v>41</v>
      </c>
      <c r="E433" t="s">
        <v>42</v>
      </c>
      <c r="F433">
        <v>108.88</v>
      </c>
      <c r="G433" t="s">
        <v>14</v>
      </c>
      <c r="H433" t="s">
        <v>15</v>
      </c>
      <c r="I433">
        <v>3.7</v>
      </c>
      <c r="J433">
        <v>15</v>
      </c>
      <c r="K433">
        <v>5</v>
      </c>
      <c r="L433" s="4">
        <v>128.09411764705882</v>
      </c>
      <c r="M433" s="4">
        <v>19.214117647058828</v>
      </c>
      <c r="N433" t="s">
        <v>93</v>
      </c>
    </row>
    <row r="434" spans="1:14">
      <c r="A434">
        <v>433</v>
      </c>
      <c r="B434">
        <v>41</v>
      </c>
      <c r="C434" t="s">
        <v>11</v>
      </c>
      <c r="D434" t="s">
        <v>25</v>
      </c>
      <c r="E434" t="s">
        <v>47</v>
      </c>
      <c r="F434">
        <v>42.47</v>
      </c>
      <c r="G434" t="s">
        <v>31</v>
      </c>
      <c r="H434" t="s">
        <v>37</v>
      </c>
      <c r="I434">
        <v>2.5</v>
      </c>
      <c r="J434">
        <v>10</v>
      </c>
      <c r="K434">
        <v>5</v>
      </c>
      <c r="L434" s="4">
        <v>47.18888888888889</v>
      </c>
      <c r="M434" s="4">
        <v>4.7188888888888911</v>
      </c>
      <c r="N434" t="s">
        <v>92</v>
      </c>
    </row>
    <row r="435" spans="1:14">
      <c r="A435">
        <v>434</v>
      </c>
      <c r="B435">
        <v>61</v>
      </c>
      <c r="C435" t="s">
        <v>16</v>
      </c>
      <c r="D435" t="s">
        <v>17</v>
      </c>
      <c r="E435" t="s">
        <v>48</v>
      </c>
      <c r="F435">
        <v>57.77</v>
      </c>
      <c r="G435" t="s">
        <v>31</v>
      </c>
      <c r="H435" t="s">
        <v>15</v>
      </c>
      <c r="I435">
        <v>3.5</v>
      </c>
      <c r="J435">
        <v>18</v>
      </c>
      <c r="K435">
        <v>4</v>
      </c>
      <c r="L435" s="4">
        <v>70.451219512195124</v>
      </c>
      <c r="M435" s="4">
        <v>12.681219512195121</v>
      </c>
      <c r="N435" t="s">
        <v>94</v>
      </c>
    </row>
    <row r="436" spans="1:14">
      <c r="A436">
        <v>435</v>
      </c>
      <c r="B436">
        <v>47</v>
      </c>
      <c r="C436" t="s">
        <v>16</v>
      </c>
      <c r="D436" t="s">
        <v>25</v>
      </c>
      <c r="E436" t="s">
        <v>26</v>
      </c>
      <c r="F436">
        <v>28.68</v>
      </c>
      <c r="G436" t="s">
        <v>31</v>
      </c>
      <c r="H436" t="s">
        <v>37</v>
      </c>
      <c r="I436">
        <v>3.8</v>
      </c>
      <c r="J436">
        <v>15</v>
      </c>
      <c r="K436">
        <v>5</v>
      </c>
      <c r="L436" s="4">
        <v>33.741176470588236</v>
      </c>
      <c r="M436" s="4">
        <v>5.0611764705882365</v>
      </c>
      <c r="N436" t="s">
        <v>93</v>
      </c>
    </row>
    <row r="437" spans="1:14">
      <c r="A437">
        <v>436</v>
      </c>
      <c r="B437">
        <v>38</v>
      </c>
      <c r="C437" t="s">
        <v>16</v>
      </c>
      <c r="D437" t="s">
        <v>17</v>
      </c>
      <c r="E437" t="s">
        <v>18</v>
      </c>
      <c r="F437">
        <v>59</v>
      </c>
      <c r="G437" t="s">
        <v>31</v>
      </c>
      <c r="H437" t="s">
        <v>15</v>
      </c>
      <c r="I437">
        <v>4.0999999999999996</v>
      </c>
      <c r="J437">
        <v>12</v>
      </c>
      <c r="K437">
        <v>6</v>
      </c>
      <c r="L437" s="4">
        <v>67.045454545454547</v>
      </c>
      <c r="M437" s="4">
        <v>8.0454545454545467</v>
      </c>
      <c r="N437" t="s">
        <v>92</v>
      </c>
    </row>
    <row r="438" spans="1:14">
      <c r="A438">
        <v>437</v>
      </c>
      <c r="B438">
        <v>50</v>
      </c>
      <c r="C438" t="s">
        <v>11</v>
      </c>
      <c r="D438" t="s">
        <v>12</v>
      </c>
      <c r="E438" t="s">
        <v>50</v>
      </c>
      <c r="F438">
        <v>128.94999999999999</v>
      </c>
      <c r="G438" t="s">
        <v>14</v>
      </c>
      <c r="H438" t="s">
        <v>15</v>
      </c>
      <c r="I438">
        <v>4.3</v>
      </c>
      <c r="J438">
        <v>19</v>
      </c>
      <c r="K438">
        <v>7</v>
      </c>
      <c r="L438" s="4">
        <v>159.19753086419752</v>
      </c>
      <c r="M438" s="4">
        <v>30.247530864197529</v>
      </c>
      <c r="N438" t="s">
        <v>93</v>
      </c>
    </row>
    <row r="439" spans="1:14">
      <c r="A439">
        <v>438</v>
      </c>
      <c r="B439">
        <v>29</v>
      </c>
      <c r="C439" t="s">
        <v>16</v>
      </c>
      <c r="D439" t="s">
        <v>17</v>
      </c>
      <c r="E439" t="s">
        <v>35</v>
      </c>
      <c r="F439">
        <v>163.33000000000001</v>
      </c>
      <c r="G439" t="s">
        <v>14</v>
      </c>
      <c r="H439" t="s">
        <v>15</v>
      </c>
      <c r="I439">
        <v>4.7</v>
      </c>
      <c r="J439">
        <v>27</v>
      </c>
      <c r="K439">
        <v>11</v>
      </c>
      <c r="L439" s="4">
        <v>223.7397260273973</v>
      </c>
      <c r="M439" s="4">
        <v>60.409726027397284</v>
      </c>
      <c r="N439" t="s">
        <v>91</v>
      </c>
    </row>
    <row r="440" spans="1:14">
      <c r="A440">
        <v>439</v>
      </c>
      <c r="B440">
        <v>24</v>
      </c>
      <c r="C440" t="s">
        <v>11</v>
      </c>
      <c r="D440" t="s">
        <v>33</v>
      </c>
      <c r="E440" t="s">
        <v>40</v>
      </c>
      <c r="F440">
        <v>42.5</v>
      </c>
      <c r="G440" t="s">
        <v>31</v>
      </c>
      <c r="H440" t="s">
        <v>15</v>
      </c>
      <c r="I440">
        <v>3.6</v>
      </c>
      <c r="J440">
        <v>18</v>
      </c>
      <c r="K440">
        <v>9</v>
      </c>
      <c r="L440" s="4">
        <v>51.829268292682926</v>
      </c>
      <c r="M440" s="4">
        <v>9.3292682926829258</v>
      </c>
      <c r="N440" t="s">
        <v>100</v>
      </c>
    </row>
    <row r="441" spans="1:14">
      <c r="A441">
        <v>440</v>
      </c>
      <c r="B441">
        <v>57</v>
      </c>
      <c r="C441" t="s">
        <v>16</v>
      </c>
      <c r="D441" t="s">
        <v>17</v>
      </c>
      <c r="E441" t="s">
        <v>48</v>
      </c>
      <c r="F441">
        <v>34.25</v>
      </c>
      <c r="G441" t="s">
        <v>31</v>
      </c>
      <c r="H441" t="s">
        <v>37</v>
      </c>
      <c r="I441">
        <v>4.3</v>
      </c>
      <c r="J441">
        <v>20</v>
      </c>
      <c r="K441">
        <v>10</v>
      </c>
      <c r="L441" s="4">
        <v>42.8125</v>
      </c>
      <c r="M441" s="4">
        <v>8.5625</v>
      </c>
      <c r="N441" t="s">
        <v>94</v>
      </c>
    </row>
    <row r="442" spans="1:14">
      <c r="A442">
        <v>441</v>
      </c>
      <c r="B442">
        <v>42</v>
      </c>
      <c r="C442" t="s">
        <v>16</v>
      </c>
      <c r="D442" t="s">
        <v>20</v>
      </c>
      <c r="E442" t="s">
        <v>36</v>
      </c>
      <c r="F442">
        <v>36.03</v>
      </c>
      <c r="G442" t="s">
        <v>31</v>
      </c>
      <c r="H442" t="s">
        <v>37</v>
      </c>
      <c r="I442">
        <v>4.4000000000000004</v>
      </c>
      <c r="J442">
        <v>22</v>
      </c>
      <c r="K442">
        <v>6</v>
      </c>
      <c r="L442" s="4">
        <v>46.192307692307693</v>
      </c>
      <c r="M442" s="4">
        <v>10.162307692307692</v>
      </c>
      <c r="N442" t="s">
        <v>92</v>
      </c>
    </row>
    <row r="443" spans="1:14">
      <c r="A443">
        <v>442</v>
      </c>
      <c r="B443">
        <v>48</v>
      </c>
      <c r="C443" t="s">
        <v>16</v>
      </c>
      <c r="D443" t="s">
        <v>17</v>
      </c>
      <c r="E443" t="s">
        <v>35</v>
      </c>
      <c r="F443">
        <v>78.25</v>
      </c>
      <c r="G443" t="s">
        <v>24</v>
      </c>
      <c r="H443" t="s">
        <v>37</v>
      </c>
      <c r="I443">
        <v>3.3</v>
      </c>
      <c r="J443">
        <v>10</v>
      </c>
      <c r="K443">
        <v>5</v>
      </c>
      <c r="L443" s="4">
        <v>86.944444444444443</v>
      </c>
      <c r="M443" s="4">
        <v>8.6944444444444429</v>
      </c>
      <c r="N443" t="s">
        <v>93</v>
      </c>
    </row>
    <row r="444" spans="1:14">
      <c r="A444">
        <v>443</v>
      </c>
      <c r="B444">
        <v>22</v>
      </c>
      <c r="C444" t="s">
        <v>11</v>
      </c>
      <c r="D444" t="s">
        <v>41</v>
      </c>
      <c r="E444" t="s">
        <v>46</v>
      </c>
      <c r="F444">
        <v>162.85</v>
      </c>
      <c r="G444" t="s">
        <v>24</v>
      </c>
      <c r="H444" t="s">
        <v>15</v>
      </c>
      <c r="I444">
        <v>3.7</v>
      </c>
      <c r="J444">
        <v>10</v>
      </c>
      <c r="K444">
        <v>5</v>
      </c>
      <c r="L444" s="4">
        <v>180.94444444444443</v>
      </c>
      <c r="M444" s="4">
        <v>18.094444444444434</v>
      </c>
      <c r="N444" t="s">
        <v>100</v>
      </c>
    </row>
    <row r="445" spans="1:14">
      <c r="A445">
        <v>444</v>
      </c>
      <c r="B445">
        <v>64</v>
      </c>
      <c r="C445" t="s">
        <v>11</v>
      </c>
      <c r="D445" t="s">
        <v>12</v>
      </c>
      <c r="E445" t="s">
        <v>56</v>
      </c>
      <c r="F445">
        <v>143.93</v>
      </c>
      <c r="G445" t="s">
        <v>24</v>
      </c>
      <c r="H445" t="s">
        <v>15</v>
      </c>
      <c r="I445">
        <v>3.3</v>
      </c>
      <c r="J445">
        <v>4</v>
      </c>
      <c r="K445">
        <v>2</v>
      </c>
      <c r="L445" s="4">
        <v>149.92708333333334</v>
      </c>
      <c r="M445" s="4">
        <v>5.997083333333336</v>
      </c>
      <c r="N445" t="s">
        <v>94</v>
      </c>
    </row>
    <row r="446" spans="1:14">
      <c r="A446">
        <v>445</v>
      </c>
      <c r="B446">
        <v>43</v>
      </c>
      <c r="C446" t="s">
        <v>16</v>
      </c>
      <c r="D446" t="s">
        <v>20</v>
      </c>
      <c r="E446" t="s">
        <v>39</v>
      </c>
      <c r="F446">
        <v>170.33</v>
      </c>
      <c r="G446" t="s">
        <v>14</v>
      </c>
      <c r="H446" t="s">
        <v>15</v>
      </c>
      <c r="I446">
        <v>3.8</v>
      </c>
      <c r="J446">
        <v>20</v>
      </c>
      <c r="K446">
        <v>5</v>
      </c>
      <c r="L446" s="4">
        <v>212.91249999999999</v>
      </c>
      <c r="M446" s="4">
        <v>42.582499999999982</v>
      </c>
      <c r="N446" t="s">
        <v>92</v>
      </c>
    </row>
    <row r="447" spans="1:14">
      <c r="A447">
        <v>446</v>
      </c>
      <c r="B447">
        <v>26</v>
      </c>
      <c r="C447" t="s">
        <v>16</v>
      </c>
      <c r="D447" t="s">
        <v>27</v>
      </c>
      <c r="E447" t="s">
        <v>32</v>
      </c>
      <c r="F447">
        <v>2141.41</v>
      </c>
      <c r="G447" t="s">
        <v>19</v>
      </c>
      <c r="H447" t="s">
        <v>15</v>
      </c>
      <c r="I447">
        <v>4.8</v>
      </c>
      <c r="J447">
        <v>19</v>
      </c>
      <c r="K447">
        <v>7</v>
      </c>
      <c r="L447" s="4">
        <v>2643.7160493827155</v>
      </c>
      <c r="M447" s="4">
        <v>502.30604938271563</v>
      </c>
      <c r="N447" t="s">
        <v>91</v>
      </c>
    </row>
    <row r="448" spans="1:14">
      <c r="A448">
        <v>447</v>
      </c>
      <c r="B448">
        <v>55</v>
      </c>
      <c r="C448" t="s">
        <v>16</v>
      </c>
      <c r="D448" t="s">
        <v>20</v>
      </c>
      <c r="E448" t="s">
        <v>36</v>
      </c>
      <c r="F448">
        <v>140.47999999999999</v>
      </c>
      <c r="G448" t="s">
        <v>14</v>
      </c>
      <c r="H448" t="s">
        <v>15</v>
      </c>
      <c r="I448">
        <v>2.8</v>
      </c>
      <c r="J448">
        <v>12</v>
      </c>
      <c r="K448">
        <v>6</v>
      </c>
      <c r="L448" s="4">
        <v>159.63636363636363</v>
      </c>
      <c r="M448" s="4">
        <v>19.156363636363636</v>
      </c>
      <c r="N448" t="s">
        <v>94</v>
      </c>
    </row>
    <row r="449" spans="1:14">
      <c r="A449">
        <v>448</v>
      </c>
      <c r="B449">
        <v>63</v>
      </c>
      <c r="C449" t="s">
        <v>16</v>
      </c>
      <c r="D449" t="s">
        <v>25</v>
      </c>
      <c r="E449" t="s">
        <v>54</v>
      </c>
      <c r="F449">
        <v>17.91</v>
      </c>
      <c r="G449" t="s">
        <v>14</v>
      </c>
      <c r="H449" t="s">
        <v>37</v>
      </c>
      <c r="I449">
        <v>3.3</v>
      </c>
      <c r="J449">
        <v>13</v>
      </c>
      <c r="K449">
        <v>4</v>
      </c>
      <c r="L449" s="4">
        <v>20.586206896551726</v>
      </c>
      <c r="M449" s="4">
        <v>2.6762068965517258</v>
      </c>
      <c r="N449" t="s">
        <v>94</v>
      </c>
    </row>
    <row r="450" spans="1:14">
      <c r="A450">
        <v>449</v>
      </c>
      <c r="B450">
        <v>65</v>
      </c>
      <c r="C450" t="s">
        <v>11</v>
      </c>
      <c r="D450" t="s">
        <v>12</v>
      </c>
      <c r="E450" t="s">
        <v>56</v>
      </c>
      <c r="F450">
        <v>129.87</v>
      </c>
      <c r="G450" t="s">
        <v>31</v>
      </c>
      <c r="H450" t="s">
        <v>15</v>
      </c>
      <c r="I450">
        <v>2.5</v>
      </c>
      <c r="J450">
        <v>10</v>
      </c>
      <c r="K450">
        <v>5</v>
      </c>
      <c r="L450" s="4">
        <v>144.30000000000001</v>
      </c>
      <c r="M450" s="4">
        <v>14.430000000000007</v>
      </c>
      <c r="N450" t="s">
        <v>95</v>
      </c>
    </row>
    <row r="451" spans="1:14">
      <c r="A451">
        <v>450</v>
      </c>
      <c r="B451">
        <v>24</v>
      </c>
      <c r="C451" t="s">
        <v>16</v>
      </c>
      <c r="D451" t="s">
        <v>22</v>
      </c>
      <c r="E451" t="s">
        <v>52</v>
      </c>
      <c r="F451">
        <v>77.19</v>
      </c>
      <c r="G451" t="s">
        <v>24</v>
      </c>
      <c r="H451" t="s">
        <v>15</v>
      </c>
      <c r="I451">
        <v>2.2999999999999998</v>
      </c>
      <c r="J451">
        <v>8</v>
      </c>
      <c r="K451">
        <v>4</v>
      </c>
      <c r="L451" s="4">
        <v>83.90217391304347</v>
      </c>
      <c r="M451" s="4">
        <v>6.7121739130434719</v>
      </c>
      <c r="N451" t="s">
        <v>100</v>
      </c>
    </row>
    <row r="452" spans="1:14">
      <c r="A452">
        <v>451</v>
      </c>
      <c r="B452">
        <v>69</v>
      </c>
      <c r="C452" t="s">
        <v>11</v>
      </c>
      <c r="D452" t="s">
        <v>41</v>
      </c>
      <c r="E452" t="s">
        <v>42</v>
      </c>
      <c r="F452">
        <v>164.53</v>
      </c>
      <c r="G452" t="s">
        <v>19</v>
      </c>
      <c r="H452" t="s">
        <v>15</v>
      </c>
      <c r="I452">
        <v>3.7</v>
      </c>
      <c r="J452">
        <v>19</v>
      </c>
      <c r="K452">
        <v>7</v>
      </c>
      <c r="L452" s="4">
        <v>203.12345679012344</v>
      </c>
      <c r="M452" s="4">
        <v>38.59345679012344</v>
      </c>
      <c r="N452" t="s">
        <v>95</v>
      </c>
    </row>
    <row r="453" spans="1:14">
      <c r="A453">
        <v>452</v>
      </c>
      <c r="B453">
        <v>67</v>
      </c>
      <c r="C453" t="s">
        <v>16</v>
      </c>
      <c r="D453" t="s">
        <v>27</v>
      </c>
      <c r="E453" t="s">
        <v>32</v>
      </c>
      <c r="F453">
        <v>1534.27</v>
      </c>
      <c r="G453" t="s">
        <v>31</v>
      </c>
      <c r="H453" t="s">
        <v>15</v>
      </c>
      <c r="I453">
        <v>4</v>
      </c>
      <c r="J453">
        <v>8</v>
      </c>
      <c r="K453">
        <v>4</v>
      </c>
      <c r="L453" s="4">
        <v>1667.6847826086955</v>
      </c>
      <c r="M453" s="4">
        <v>133.41478260869553</v>
      </c>
      <c r="N453" t="s">
        <v>95</v>
      </c>
    </row>
    <row r="454" spans="1:14">
      <c r="A454">
        <v>453</v>
      </c>
      <c r="B454">
        <v>64</v>
      </c>
      <c r="C454" t="s">
        <v>16</v>
      </c>
      <c r="D454" t="s">
        <v>25</v>
      </c>
      <c r="E454" t="s">
        <v>54</v>
      </c>
      <c r="F454">
        <v>44.13</v>
      </c>
      <c r="G454" t="s">
        <v>31</v>
      </c>
      <c r="H454" t="s">
        <v>15</v>
      </c>
      <c r="I454">
        <v>3.8</v>
      </c>
      <c r="J454">
        <v>13</v>
      </c>
      <c r="K454">
        <v>4</v>
      </c>
      <c r="L454" s="4">
        <v>50.724137931034484</v>
      </c>
      <c r="M454" s="4">
        <v>6.5941379310344814</v>
      </c>
      <c r="N454" t="s">
        <v>94</v>
      </c>
    </row>
    <row r="455" spans="1:14">
      <c r="A455">
        <v>454</v>
      </c>
      <c r="B455">
        <v>32</v>
      </c>
      <c r="C455" t="s">
        <v>16</v>
      </c>
      <c r="D455" t="s">
        <v>33</v>
      </c>
      <c r="E455" t="s">
        <v>38</v>
      </c>
      <c r="F455">
        <v>99.11</v>
      </c>
      <c r="G455" t="s">
        <v>31</v>
      </c>
      <c r="H455" t="s">
        <v>37</v>
      </c>
      <c r="I455">
        <v>3.8</v>
      </c>
      <c r="J455">
        <v>12</v>
      </c>
      <c r="K455">
        <v>1</v>
      </c>
      <c r="L455" s="4">
        <v>112.625</v>
      </c>
      <c r="M455" s="4">
        <v>13.515000000000001</v>
      </c>
      <c r="N455" t="s">
        <v>91</v>
      </c>
    </row>
    <row r="456" spans="1:14">
      <c r="A456">
        <v>455</v>
      </c>
      <c r="B456">
        <v>21</v>
      </c>
      <c r="C456" t="s">
        <v>11</v>
      </c>
      <c r="D456" t="s">
        <v>41</v>
      </c>
      <c r="E456" t="s">
        <v>46</v>
      </c>
      <c r="F456">
        <v>105.8</v>
      </c>
      <c r="G456" t="s">
        <v>31</v>
      </c>
      <c r="H456" t="s">
        <v>15</v>
      </c>
      <c r="I456">
        <v>2.6</v>
      </c>
      <c r="J456">
        <v>15</v>
      </c>
      <c r="K456">
        <v>5</v>
      </c>
      <c r="L456" s="4">
        <v>124.47058823529412</v>
      </c>
      <c r="M456" s="4">
        <v>18.670588235294119</v>
      </c>
      <c r="N456" t="s">
        <v>100</v>
      </c>
    </row>
    <row r="457" spans="1:14">
      <c r="A457">
        <v>456</v>
      </c>
      <c r="B457">
        <v>45</v>
      </c>
      <c r="C457" t="s">
        <v>16</v>
      </c>
      <c r="D457" t="s">
        <v>27</v>
      </c>
      <c r="E457" t="s">
        <v>28</v>
      </c>
      <c r="F457">
        <v>2490.98</v>
      </c>
      <c r="G457" t="s">
        <v>14</v>
      </c>
      <c r="H457" t="s">
        <v>15</v>
      </c>
      <c r="I457">
        <v>4.3</v>
      </c>
      <c r="J457">
        <v>17</v>
      </c>
      <c r="K457">
        <v>6</v>
      </c>
      <c r="L457" s="4">
        <v>3001.1807228915663</v>
      </c>
      <c r="M457" s="4">
        <v>510.20072289156633</v>
      </c>
      <c r="N457" t="s">
        <v>93</v>
      </c>
    </row>
    <row r="458" spans="1:14">
      <c r="A458">
        <v>457</v>
      </c>
      <c r="B458">
        <v>41</v>
      </c>
      <c r="C458" t="s">
        <v>16</v>
      </c>
      <c r="D458" t="s">
        <v>17</v>
      </c>
      <c r="E458" t="s">
        <v>48</v>
      </c>
      <c r="F458">
        <v>155.13</v>
      </c>
      <c r="G458" t="s">
        <v>14</v>
      </c>
      <c r="H458" t="s">
        <v>15</v>
      </c>
      <c r="I458">
        <v>3.2</v>
      </c>
      <c r="J458">
        <v>24</v>
      </c>
      <c r="K458">
        <v>7</v>
      </c>
      <c r="L458" s="4">
        <v>204.11842105263156</v>
      </c>
      <c r="M458" s="4">
        <v>48.988421052631566</v>
      </c>
      <c r="N458" t="s">
        <v>92</v>
      </c>
    </row>
    <row r="459" spans="1:14">
      <c r="A459">
        <v>458</v>
      </c>
      <c r="B459">
        <v>69</v>
      </c>
      <c r="C459" t="s">
        <v>11</v>
      </c>
      <c r="D459" t="s">
        <v>33</v>
      </c>
      <c r="E459" t="s">
        <v>40</v>
      </c>
      <c r="F459">
        <v>70.56</v>
      </c>
      <c r="G459" t="s">
        <v>24</v>
      </c>
      <c r="H459" t="s">
        <v>37</v>
      </c>
      <c r="I459">
        <v>5</v>
      </c>
      <c r="J459">
        <v>15</v>
      </c>
      <c r="K459">
        <v>5</v>
      </c>
      <c r="L459" s="4">
        <v>83.011764705882356</v>
      </c>
      <c r="M459" s="4">
        <v>12.451764705882354</v>
      </c>
      <c r="N459" t="s">
        <v>95</v>
      </c>
    </row>
    <row r="460" spans="1:14">
      <c r="A460">
        <v>459</v>
      </c>
      <c r="B460">
        <v>24</v>
      </c>
      <c r="C460" t="s">
        <v>16</v>
      </c>
      <c r="D460" t="s">
        <v>17</v>
      </c>
      <c r="E460" t="s">
        <v>48</v>
      </c>
      <c r="F460">
        <v>177.39</v>
      </c>
      <c r="G460" t="s">
        <v>24</v>
      </c>
      <c r="H460" t="s">
        <v>15</v>
      </c>
      <c r="I460">
        <v>1.9</v>
      </c>
      <c r="J460">
        <v>20</v>
      </c>
      <c r="K460">
        <v>5</v>
      </c>
      <c r="L460" s="4">
        <v>221.73749999999998</v>
      </c>
      <c r="M460" s="4">
        <v>44.347499999999997</v>
      </c>
      <c r="N460" t="s">
        <v>100</v>
      </c>
    </row>
    <row r="461" spans="1:14">
      <c r="A461">
        <v>460</v>
      </c>
      <c r="B461">
        <v>57</v>
      </c>
      <c r="C461" t="s">
        <v>11</v>
      </c>
      <c r="D461" t="s">
        <v>41</v>
      </c>
      <c r="E461" t="s">
        <v>45</v>
      </c>
      <c r="F461">
        <v>106.69</v>
      </c>
      <c r="G461" t="s">
        <v>19</v>
      </c>
      <c r="H461" t="s">
        <v>15</v>
      </c>
      <c r="I461">
        <v>4.0999999999999996</v>
      </c>
      <c r="J461">
        <v>15</v>
      </c>
      <c r="K461">
        <v>5</v>
      </c>
      <c r="L461" s="4">
        <v>125.51764705882353</v>
      </c>
      <c r="M461" s="4">
        <v>18.82764705882353</v>
      </c>
      <c r="N461" t="s">
        <v>94</v>
      </c>
    </row>
    <row r="462" spans="1:14">
      <c r="A462">
        <v>461</v>
      </c>
      <c r="B462">
        <v>41</v>
      </c>
      <c r="C462" t="s">
        <v>11</v>
      </c>
      <c r="D462" t="s">
        <v>12</v>
      </c>
      <c r="E462" t="s">
        <v>50</v>
      </c>
      <c r="F462">
        <v>121.93</v>
      </c>
      <c r="G462" t="s">
        <v>19</v>
      </c>
      <c r="H462" t="s">
        <v>15</v>
      </c>
      <c r="I462">
        <v>3.5</v>
      </c>
      <c r="J462">
        <v>20</v>
      </c>
      <c r="K462">
        <v>5</v>
      </c>
      <c r="L462" s="4">
        <v>152.41249999999999</v>
      </c>
      <c r="M462" s="4">
        <v>30.482499999999987</v>
      </c>
      <c r="N462" t="s">
        <v>92</v>
      </c>
    </row>
    <row r="463" spans="1:14">
      <c r="A463">
        <v>462</v>
      </c>
      <c r="B463">
        <v>44</v>
      </c>
      <c r="C463" t="s">
        <v>16</v>
      </c>
      <c r="D463" t="s">
        <v>17</v>
      </c>
      <c r="E463" t="s">
        <v>42</v>
      </c>
      <c r="F463">
        <v>51.29</v>
      </c>
      <c r="G463" t="s">
        <v>31</v>
      </c>
      <c r="H463" t="s">
        <v>15</v>
      </c>
      <c r="I463">
        <v>3.3</v>
      </c>
      <c r="J463">
        <v>6</v>
      </c>
      <c r="K463">
        <v>3</v>
      </c>
      <c r="L463" s="4">
        <v>54.563829787234042</v>
      </c>
      <c r="M463" s="4">
        <v>3.2738297872340425</v>
      </c>
      <c r="N463" t="s">
        <v>92</v>
      </c>
    </row>
    <row r="464" spans="1:14">
      <c r="A464">
        <v>463</v>
      </c>
      <c r="B464">
        <v>37</v>
      </c>
      <c r="C464" t="s">
        <v>16</v>
      </c>
      <c r="D464" t="s">
        <v>20</v>
      </c>
      <c r="E464" t="s">
        <v>21</v>
      </c>
      <c r="F464">
        <v>242.01</v>
      </c>
      <c r="G464" t="s">
        <v>14</v>
      </c>
      <c r="H464" t="s">
        <v>15</v>
      </c>
      <c r="I464">
        <v>2.8</v>
      </c>
      <c r="J464">
        <v>6</v>
      </c>
      <c r="K464">
        <v>3</v>
      </c>
      <c r="L464" s="4">
        <v>257.45744680851067</v>
      </c>
      <c r="M464" s="4">
        <v>15.447446808510676</v>
      </c>
      <c r="N464" t="s">
        <v>92</v>
      </c>
    </row>
    <row r="465" spans="1:14">
      <c r="A465">
        <v>464</v>
      </c>
      <c r="B465">
        <v>43</v>
      </c>
      <c r="C465" t="s">
        <v>16</v>
      </c>
      <c r="D465" t="s">
        <v>33</v>
      </c>
      <c r="E465" t="s">
        <v>38</v>
      </c>
      <c r="F465">
        <v>208.11</v>
      </c>
      <c r="G465" t="s">
        <v>31</v>
      </c>
      <c r="H465" t="s">
        <v>15</v>
      </c>
      <c r="I465">
        <v>3.1</v>
      </c>
      <c r="J465">
        <v>6</v>
      </c>
      <c r="K465">
        <v>3</v>
      </c>
      <c r="L465" s="4">
        <v>221.39361702127661</v>
      </c>
      <c r="M465" s="4">
        <v>13.283617021276598</v>
      </c>
      <c r="N465" t="s">
        <v>92</v>
      </c>
    </row>
    <row r="466" spans="1:14">
      <c r="A466">
        <v>465</v>
      </c>
      <c r="B466">
        <v>35</v>
      </c>
      <c r="C466" t="s">
        <v>11</v>
      </c>
      <c r="D466" t="s">
        <v>20</v>
      </c>
      <c r="E466" t="s">
        <v>36</v>
      </c>
      <c r="F466">
        <v>85.49</v>
      </c>
      <c r="G466" t="s">
        <v>19</v>
      </c>
      <c r="H466" t="s">
        <v>15</v>
      </c>
      <c r="I466">
        <v>2.7</v>
      </c>
      <c r="J466">
        <v>12</v>
      </c>
      <c r="K466">
        <v>6</v>
      </c>
      <c r="L466" s="4">
        <v>97.147727272727266</v>
      </c>
      <c r="M466" s="4">
        <v>11.657727272727271</v>
      </c>
      <c r="N466" t="s">
        <v>92</v>
      </c>
    </row>
    <row r="467" spans="1:14">
      <c r="A467">
        <v>466</v>
      </c>
      <c r="B467">
        <v>42</v>
      </c>
      <c r="C467" t="s">
        <v>16</v>
      </c>
      <c r="D467" t="s">
        <v>27</v>
      </c>
      <c r="E467" t="s">
        <v>53</v>
      </c>
      <c r="F467">
        <v>2867.88</v>
      </c>
      <c r="G467" t="s">
        <v>19</v>
      </c>
      <c r="H467" t="s">
        <v>15</v>
      </c>
      <c r="I467">
        <v>4.5999999999999996</v>
      </c>
      <c r="J467">
        <v>21</v>
      </c>
      <c r="K467">
        <v>8</v>
      </c>
      <c r="L467" s="4">
        <v>3630.2278481012659</v>
      </c>
      <c r="M467" s="4">
        <v>762.34784810126575</v>
      </c>
      <c r="N467" t="s">
        <v>92</v>
      </c>
    </row>
    <row r="468" spans="1:14">
      <c r="A468">
        <v>467</v>
      </c>
      <c r="B468">
        <v>42</v>
      </c>
      <c r="C468" t="s">
        <v>11</v>
      </c>
      <c r="D468" t="s">
        <v>25</v>
      </c>
      <c r="E468" t="s">
        <v>26</v>
      </c>
      <c r="F468">
        <v>18.72</v>
      </c>
      <c r="G468" t="s">
        <v>19</v>
      </c>
      <c r="H468" t="s">
        <v>15</v>
      </c>
      <c r="I468">
        <v>3.8</v>
      </c>
      <c r="J468">
        <v>14</v>
      </c>
      <c r="K468">
        <v>7</v>
      </c>
      <c r="L468" s="4">
        <v>21.767441860465116</v>
      </c>
      <c r="M468" s="4">
        <v>3.047441860465117</v>
      </c>
      <c r="N468" t="s">
        <v>92</v>
      </c>
    </row>
    <row r="469" spans="1:14">
      <c r="A469">
        <v>468</v>
      </c>
      <c r="B469">
        <v>58</v>
      </c>
      <c r="C469" t="s">
        <v>16</v>
      </c>
      <c r="D469" t="s">
        <v>27</v>
      </c>
      <c r="E469" t="s">
        <v>32</v>
      </c>
      <c r="F469">
        <v>1855.04</v>
      </c>
      <c r="G469" t="s">
        <v>19</v>
      </c>
      <c r="H469" t="s">
        <v>15</v>
      </c>
      <c r="I469">
        <v>3.6</v>
      </c>
      <c r="J469">
        <v>13</v>
      </c>
      <c r="K469">
        <v>4</v>
      </c>
      <c r="L469" s="4">
        <v>2132.2298850574712</v>
      </c>
      <c r="M469" s="4">
        <v>277.1898850574712</v>
      </c>
      <c r="N469" t="s">
        <v>94</v>
      </c>
    </row>
    <row r="470" spans="1:14">
      <c r="A470">
        <v>469</v>
      </c>
      <c r="B470">
        <v>60</v>
      </c>
      <c r="C470" t="s">
        <v>16</v>
      </c>
      <c r="D470" t="s">
        <v>27</v>
      </c>
      <c r="E470" t="s">
        <v>53</v>
      </c>
      <c r="F470">
        <v>2649.85</v>
      </c>
      <c r="G470" t="s">
        <v>31</v>
      </c>
      <c r="H470" t="s">
        <v>15</v>
      </c>
      <c r="I470">
        <v>2.8</v>
      </c>
      <c r="J470">
        <v>13</v>
      </c>
      <c r="K470">
        <v>4</v>
      </c>
      <c r="L470" s="4">
        <v>3045.8045977011493</v>
      </c>
      <c r="M470" s="4">
        <v>395.9545977011494</v>
      </c>
      <c r="N470" t="s">
        <v>94</v>
      </c>
    </row>
    <row r="471" spans="1:14">
      <c r="A471">
        <v>470</v>
      </c>
      <c r="B471">
        <v>22</v>
      </c>
      <c r="C471" t="s">
        <v>11</v>
      </c>
      <c r="D471" t="s">
        <v>12</v>
      </c>
      <c r="E471" t="s">
        <v>13</v>
      </c>
      <c r="F471">
        <v>92.79</v>
      </c>
      <c r="G471" t="s">
        <v>19</v>
      </c>
      <c r="H471" t="s">
        <v>15</v>
      </c>
      <c r="I471">
        <v>4.2</v>
      </c>
      <c r="J471">
        <v>8</v>
      </c>
      <c r="K471">
        <v>4</v>
      </c>
      <c r="L471" s="4">
        <v>100.85869565217392</v>
      </c>
      <c r="M471" s="4">
        <v>8.0686956521739148</v>
      </c>
      <c r="N471" t="s">
        <v>100</v>
      </c>
    </row>
    <row r="472" spans="1:14">
      <c r="A472">
        <v>471</v>
      </c>
      <c r="B472">
        <v>58</v>
      </c>
      <c r="C472" t="s">
        <v>16</v>
      </c>
      <c r="D472" t="s">
        <v>22</v>
      </c>
      <c r="E472" t="s">
        <v>52</v>
      </c>
      <c r="F472">
        <v>150.83000000000001</v>
      </c>
      <c r="G472" t="s">
        <v>19</v>
      </c>
      <c r="H472" t="s">
        <v>15</v>
      </c>
      <c r="I472">
        <v>2.6</v>
      </c>
      <c r="J472">
        <v>7</v>
      </c>
      <c r="K472">
        <v>1</v>
      </c>
      <c r="L472" s="4">
        <v>162.18279569892476</v>
      </c>
      <c r="M472" s="4">
        <v>11.352795698924751</v>
      </c>
      <c r="N472" t="s">
        <v>94</v>
      </c>
    </row>
    <row r="473" spans="1:14">
      <c r="A473">
        <v>472</v>
      </c>
      <c r="B473">
        <v>34</v>
      </c>
      <c r="C473" t="s">
        <v>11</v>
      </c>
      <c r="D473" t="s">
        <v>25</v>
      </c>
      <c r="E473" t="s">
        <v>54</v>
      </c>
      <c r="F473">
        <v>29</v>
      </c>
      <c r="G473" t="s">
        <v>31</v>
      </c>
      <c r="H473" t="s">
        <v>37</v>
      </c>
      <c r="I473">
        <v>4.8</v>
      </c>
      <c r="J473">
        <v>18</v>
      </c>
      <c r="K473">
        <v>4</v>
      </c>
      <c r="L473" s="4">
        <v>35.365853658536579</v>
      </c>
      <c r="M473" s="4">
        <v>6.3658536585365795</v>
      </c>
      <c r="N473" t="s">
        <v>91</v>
      </c>
    </row>
    <row r="474" spans="1:14">
      <c r="A474">
        <v>473</v>
      </c>
      <c r="B474">
        <v>45</v>
      </c>
      <c r="C474" t="s">
        <v>11</v>
      </c>
      <c r="D474" t="s">
        <v>29</v>
      </c>
      <c r="E474" t="s">
        <v>51</v>
      </c>
      <c r="F474">
        <v>95.57</v>
      </c>
      <c r="G474" t="s">
        <v>24</v>
      </c>
      <c r="H474" t="s">
        <v>15</v>
      </c>
      <c r="I474">
        <v>2.1</v>
      </c>
      <c r="J474">
        <v>11</v>
      </c>
      <c r="K474">
        <v>3</v>
      </c>
      <c r="L474" s="4">
        <v>107.3820224719101</v>
      </c>
      <c r="M474" s="4">
        <v>11.812022471910112</v>
      </c>
      <c r="N474" t="s">
        <v>93</v>
      </c>
    </row>
    <row r="475" spans="1:14">
      <c r="A475">
        <v>474</v>
      </c>
      <c r="B475">
        <v>58</v>
      </c>
      <c r="C475" t="s">
        <v>11</v>
      </c>
      <c r="D475" t="s">
        <v>12</v>
      </c>
      <c r="E475" t="s">
        <v>56</v>
      </c>
      <c r="F475">
        <v>155.49</v>
      </c>
      <c r="G475" t="s">
        <v>19</v>
      </c>
      <c r="H475" t="s">
        <v>15</v>
      </c>
      <c r="I475">
        <v>4.3</v>
      </c>
      <c r="J475">
        <v>12</v>
      </c>
      <c r="K475">
        <v>6</v>
      </c>
      <c r="L475" s="4">
        <v>176.69318181818184</v>
      </c>
      <c r="M475" s="4">
        <v>21.203181818181832</v>
      </c>
      <c r="N475" t="s">
        <v>94</v>
      </c>
    </row>
    <row r="476" spans="1:14">
      <c r="A476">
        <v>475</v>
      </c>
      <c r="B476">
        <v>39</v>
      </c>
      <c r="C476" t="s">
        <v>16</v>
      </c>
      <c r="D476" t="s">
        <v>22</v>
      </c>
      <c r="E476" t="s">
        <v>43</v>
      </c>
      <c r="F476">
        <v>58.69</v>
      </c>
      <c r="G476" t="s">
        <v>31</v>
      </c>
      <c r="H476" t="s">
        <v>37</v>
      </c>
      <c r="I476">
        <v>3.3</v>
      </c>
      <c r="J476">
        <v>17</v>
      </c>
      <c r="K476">
        <v>6</v>
      </c>
      <c r="L476" s="4">
        <v>70.710843373493972</v>
      </c>
      <c r="M476" s="4">
        <v>12.020843373493975</v>
      </c>
      <c r="N476" t="s">
        <v>92</v>
      </c>
    </row>
    <row r="477" spans="1:14">
      <c r="A477">
        <v>476</v>
      </c>
      <c r="B477">
        <v>55</v>
      </c>
      <c r="C477" t="s">
        <v>11</v>
      </c>
      <c r="D477" t="s">
        <v>29</v>
      </c>
      <c r="E477" t="s">
        <v>51</v>
      </c>
      <c r="F477">
        <v>79.510000000000005</v>
      </c>
      <c r="G477" t="s">
        <v>19</v>
      </c>
      <c r="H477" t="s">
        <v>37</v>
      </c>
      <c r="I477">
        <v>2.4</v>
      </c>
      <c r="J477">
        <v>16</v>
      </c>
      <c r="K477">
        <v>3</v>
      </c>
      <c r="L477" s="4">
        <v>94.654761904761912</v>
      </c>
      <c r="M477" s="4">
        <v>15.144761904761907</v>
      </c>
      <c r="N477" t="s">
        <v>94</v>
      </c>
    </row>
    <row r="478" spans="1:14">
      <c r="A478">
        <v>477</v>
      </c>
      <c r="B478">
        <v>58</v>
      </c>
      <c r="C478" t="s">
        <v>16</v>
      </c>
      <c r="D478" t="s">
        <v>27</v>
      </c>
      <c r="E478" t="s">
        <v>28</v>
      </c>
      <c r="F478">
        <v>2792.69</v>
      </c>
      <c r="G478" t="s">
        <v>14</v>
      </c>
      <c r="H478" t="s">
        <v>15</v>
      </c>
      <c r="I478">
        <v>3.7</v>
      </c>
      <c r="J478">
        <v>14</v>
      </c>
      <c r="K478">
        <v>7</v>
      </c>
      <c r="L478" s="4">
        <v>3247.3139534883721</v>
      </c>
      <c r="M478" s="4">
        <v>454.62395348837208</v>
      </c>
      <c r="N478" t="s">
        <v>94</v>
      </c>
    </row>
    <row r="479" spans="1:14">
      <c r="A479">
        <v>478</v>
      </c>
      <c r="B479">
        <v>55</v>
      </c>
      <c r="C479" t="s">
        <v>11</v>
      </c>
      <c r="D479" t="s">
        <v>25</v>
      </c>
      <c r="E479" t="s">
        <v>26</v>
      </c>
      <c r="F479">
        <v>78.239999999999995</v>
      </c>
      <c r="G479" t="s">
        <v>31</v>
      </c>
      <c r="H479" t="s">
        <v>37</v>
      </c>
      <c r="I479">
        <v>3.8</v>
      </c>
      <c r="J479">
        <v>19</v>
      </c>
      <c r="K479">
        <v>7</v>
      </c>
      <c r="L479" s="4">
        <v>96.592592592592581</v>
      </c>
      <c r="M479" s="4">
        <v>18.352592592592586</v>
      </c>
      <c r="N479" t="s">
        <v>94</v>
      </c>
    </row>
    <row r="480" spans="1:14">
      <c r="A480">
        <v>479</v>
      </c>
      <c r="B480">
        <v>49</v>
      </c>
      <c r="C480" t="s">
        <v>16</v>
      </c>
      <c r="D480" t="s">
        <v>20</v>
      </c>
      <c r="E480" t="s">
        <v>39</v>
      </c>
      <c r="F480">
        <v>213.36</v>
      </c>
      <c r="G480" t="s">
        <v>19</v>
      </c>
      <c r="H480" t="s">
        <v>15</v>
      </c>
      <c r="I480">
        <v>3.2</v>
      </c>
      <c r="J480">
        <v>12</v>
      </c>
      <c r="K480">
        <v>6</v>
      </c>
      <c r="L480" s="4">
        <v>242.45454545454547</v>
      </c>
      <c r="M480" s="4">
        <v>29.094545454545454</v>
      </c>
      <c r="N480" t="s">
        <v>93</v>
      </c>
    </row>
    <row r="481" spans="1:14">
      <c r="A481">
        <v>480</v>
      </c>
      <c r="B481">
        <v>39</v>
      </c>
      <c r="C481" t="s">
        <v>16</v>
      </c>
      <c r="D481" t="s">
        <v>17</v>
      </c>
      <c r="E481" t="s">
        <v>42</v>
      </c>
      <c r="F481">
        <v>49.04</v>
      </c>
      <c r="G481" t="s">
        <v>19</v>
      </c>
      <c r="H481" t="s">
        <v>37</v>
      </c>
      <c r="I481">
        <v>3.9</v>
      </c>
      <c r="J481">
        <v>19</v>
      </c>
      <c r="K481">
        <v>7</v>
      </c>
      <c r="L481" s="4">
        <v>60.543209876543202</v>
      </c>
      <c r="M481" s="4">
        <v>11.503209876543202</v>
      </c>
      <c r="N481" t="s">
        <v>92</v>
      </c>
    </row>
    <row r="482" spans="1:14">
      <c r="A482">
        <v>481</v>
      </c>
      <c r="B482">
        <v>54</v>
      </c>
      <c r="C482" t="s">
        <v>16</v>
      </c>
      <c r="D482" t="s">
        <v>33</v>
      </c>
      <c r="E482" t="s">
        <v>38</v>
      </c>
      <c r="F482">
        <v>50.57</v>
      </c>
      <c r="G482" t="s">
        <v>14</v>
      </c>
      <c r="H482" t="s">
        <v>37</v>
      </c>
      <c r="I482">
        <v>3.5</v>
      </c>
      <c r="J482">
        <v>4</v>
      </c>
      <c r="K482">
        <v>2</v>
      </c>
      <c r="L482" s="4">
        <v>52.677083333333336</v>
      </c>
      <c r="M482" s="4">
        <v>2.1070833333333354</v>
      </c>
      <c r="N482" t="s">
        <v>93</v>
      </c>
    </row>
    <row r="483" spans="1:14">
      <c r="A483">
        <v>482</v>
      </c>
      <c r="B483">
        <v>51</v>
      </c>
      <c r="C483" t="s">
        <v>11</v>
      </c>
      <c r="D483" t="s">
        <v>29</v>
      </c>
      <c r="E483" t="s">
        <v>51</v>
      </c>
      <c r="F483">
        <v>78.510000000000005</v>
      </c>
      <c r="G483" t="s">
        <v>31</v>
      </c>
      <c r="H483" t="s">
        <v>15</v>
      </c>
      <c r="I483">
        <v>5</v>
      </c>
      <c r="J483">
        <v>10</v>
      </c>
      <c r="K483">
        <v>5</v>
      </c>
      <c r="L483" s="4">
        <v>87.233333333333334</v>
      </c>
      <c r="M483" s="4">
        <v>8.7233333333333292</v>
      </c>
      <c r="N483" t="s">
        <v>93</v>
      </c>
    </row>
    <row r="484" spans="1:14">
      <c r="A484">
        <v>483</v>
      </c>
      <c r="B484">
        <v>53</v>
      </c>
      <c r="C484" t="s">
        <v>11</v>
      </c>
      <c r="D484" t="s">
        <v>12</v>
      </c>
      <c r="E484" t="s">
        <v>13</v>
      </c>
      <c r="F484">
        <v>73.069999999999993</v>
      </c>
      <c r="G484" t="s">
        <v>19</v>
      </c>
      <c r="H484" t="s">
        <v>15</v>
      </c>
      <c r="I484">
        <v>3.3</v>
      </c>
      <c r="J484">
        <v>15</v>
      </c>
      <c r="K484">
        <v>5</v>
      </c>
      <c r="L484" s="4">
        <v>85.964705882352931</v>
      </c>
      <c r="M484" s="4">
        <v>12.894705882352937</v>
      </c>
      <c r="N484" t="s">
        <v>93</v>
      </c>
    </row>
    <row r="485" spans="1:14">
      <c r="A485">
        <v>484</v>
      </c>
      <c r="B485">
        <v>43</v>
      </c>
      <c r="C485" t="s">
        <v>16</v>
      </c>
      <c r="D485" t="s">
        <v>22</v>
      </c>
      <c r="E485" t="s">
        <v>23</v>
      </c>
      <c r="F485">
        <v>299.95999999999998</v>
      </c>
      <c r="G485" t="s">
        <v>19</v>
      </c>
      <c r="H485" t="s">
        <v>15</v>
      </c>
      <c r="I485">
        <v>3.4</v>
      </c>
      <c r="J485">
        <v>5</v>
      </c>
      <c r="K485">
        <v>0</v>
      </c>
      <c r="L485" s="4">
        <v>315.74736842105261</v>
      </c>
      <c r="M485" s="4">
        <v>15.787368421052633</v>
      </c>
      <c r="N485" t="s">
        <v>92</v>
      </c>
    </row>
    <row r="486" spans="1:14">
      <c r="A486">
        <v>485</v>
      </c>
      <c r="B486">
        <v>43</v>
      </c>
      <c r="C486" t="s">
        <v>16</v>
      </c>
      <c r="D486" t="s">
        <v>20</v>
      </c>
      <c r="E486" t="s">
        <v>21</v>
      </c>
      <c r="F486">
        <v>239.89</v>
      </c>
      <c r="G486" t="s">
        <v>31</v>
      </c>
      <c r="H486" t="s">
        <v>15</v>
      </c>
      <c r="I486">
        <v>3.7</v>
      </c>
      <c r="J486">
        <v>2</v>
      </c>
      <c r="K486">
        <v>1</v>
      </c>
      <c r="L486" s="4">
        <v>244.78571428571428</v>
      </c>
      <c r="M486" s="4">
        <v>4.8957142857142912</v>
      </c>
      <c r="N486" t="s">
        <v>92</v>
      </c>
    </row>
    <row r="487" spans="1:14">
      <c r="A487">
        <v>486</v>
      </c>
      <c r="B487">
        <v>48</v>
      </c>
      <c r="C487" t="s">
        <v>11</v>
      </c>
      <c r="D487" t="s">
        <v>41</v>
      </c>
      <c r="E487" t="s">
        <v>45</v>
      </c>
      <c r="F487">
        <v>98.38</v>
      </c>
      <c r="G487" t="s">
        <v>24</v>
      </c>
      <c r="H487" t="s">
        <v>37</v>
      </c>
      <c r="I487">
        <v>4.2</v>
      </c>
      <c r="J487">
        <v>14</v>
      </c>
      <c r="K487">
        <v>2</v>
      </c>
      <c r="L487" s="4">
        <v>114.3953488372093</v>
      </c>
      <c r="M487" s="4">
        <v>16.015348837209302</v>
      </c>
      <c r="N487" t="s">
        <v>93</v>
      </c>
    </row>
    <row r="488" spans="1:14">
      <c r="A488">
        <v>487</v>
      </c>
      <c r="B488">
        <v>52</v>
      </c>
      <c r="C488" t="s">
        <v>16</v>
      </c>
      <c r="D488" t="s">
        <v>20</v>
      </c>
      <c r="E488" t="s">
        <v>39</v>
      </c>
      <c r="F488">
        <v>152.29</v>
      </c>
      <c r="G488" t="s">
        <v>19</v>
      </c>
      <c r="H488" t="s">
        <v>15</v>
      </c>
      <c r="I488">
        <v>3.2</v>
      </c>
      <c r="J488">
        <v>14</v>
      </c>
      <c r="K488">
        <v>2</v>
      </c>
      <c r="L488" s="4">
        <v>177.08139534883719</v>
      </c>
      <c r="M488" s="4">
        <v>24.791395348837199</v>
      </c>
      <c r="N488" t="s">
        <v>93</v>
      </c>
    </row>
    <row r="489" spans="1:14">
      <c r="A489">
        <v>488</v>
      </c>
      <c r="B489">
        <v>69</v>
      </c>
      <c r="C489" t="s">
        <v>11</v>
      </c>
      <c r="D489" t="s">
        <v>41</v>
      </c>
      <c r="E489" t="s">
        <v>42</v>
      </c>
      <c r="F489">
        <v>96.34</v>
      </c>
      <c r="G489" t="s">
        <v>24</v>
      </c>
      <c r="H489" t="s">
        <v>15</v>
      </c>
      <c r="I489">
        <v>3.8</v>
      </c>
      <c r="J489">
        <v>26</v>
      </c>
      <c r="K489">
        <v>8</v>
      </c>
      <c r="L489" s="4">
        <v>130.18918918918919</v>
      </c>
      <c r="M489" s="4">
        <v>33.84918918918919</v>
      </c>
      <c r="N489" t="s">
        <v>95</v>
      </c>
    </row>
    <row r="490" spans="1:14">
      <c r="A490">
        <v>489</v>
      </c>
      <c r="B490">
        <v>26</v>
      </c>
      <c r="C490" t="s">
        <v>11</v>
      </c>
      <c r="D490" t="s">
        <v>12</v>
      </c>
      <c r="E490" t="s">
        <v>56</v>
      </c>
      <c r="F490">
        <v>100.05</v>
      </c>
      <c r="G490" t="s">
        <v>31</v>
      </c>
      <c r="H490" t="s">
        <v>15</v>
      </c>
      <c r="I490">
        <v>3.7</v>
      </c>
      <c r="J490">
        <v>11</v>
      </c>
      <c r="K490">
        <v>3</v>
      </c>
      <c r="L490" s="4">
        <v>112.41573033707864</v>
      </c>
      <c r="M490" s="4">
        <v>12.365730337078645</v>
      </c>
      <c r="N490" t="s">
        <v>91</v>
      </c>
    </row>
    <row r="491" spans="1:14">
      <c r="A491">
        <v>490</v>
      </c>
      <c r="B491">
        <v>34</v>
      </c>
      <c r="C491" t="s">
        <v>11</v>
      </c>
      <c r="D491" t="s">
        <v>41</v>
      </c>
      <c r="E491" t="s">
        <v>44</v>
      </c>
      <c r="F491">
        <v>96.07</v>
      </c>
      <c r="G491" t="s">
        <v>19</v>
      </c>
      <c r="H491" t="s">
        <v>15</v>
      </c>
      <c r="I491">
        <v>3.1</v>
      </c>
      <c r="J491">
        <v>12</v>
      </c>
      <c r="K491">
        <v>6</v>
      </c>
      <c r="L491" s="4">
        <v>109.17045454545453</v>
      </c>
      <c r="M491" s="4">
        <v>13.100454545454539</v>
      </c>
      <c r="N491" t="s">
        <v>91</v>
      </c>
    </row>
    <row r="492" spans="1:14">
      <c r="A492">
        <v>491</v>
      </c>
      <c r="B492">
        <v>30</v>
      </c>
      <c r="C492" t="s">
        <v>11</v>
      </c>
      <c r="D492" t="s">
        <v>41</v>
      </c>
      <c r="E492" t="s">
        <v>45</v>
      </c>
      <c r="F492">
        <v>46.55</v>
      </c>
      <c r="G492" t="s">
        <v>31</v>
      </c>
      <c r="H492" t="s">
        <v>15</v>
      </c>
      <c r="I492">
        <v>4.0999999999999996</v>
      </c>
      <c r="J492">
        <v>8</v>
      </c>
      <c r="K492">
        <v>4</v>
      </c>
      <c r="L492" s="4">
        <v>50.597826086956516</v>
      </c>
      <c r="M492" s="4">
        <v>4.047826086956519</v>
      </c>
      <c r="N492" t="s">
        <v>91</v>
      </c>
    </row>
    <row r="493" spans="1:14">
      <c r="A493">
        <v>492</v>
      </c>
      <c r="B493">
        <v>25</v>
      </c>
      <c r="C493" t="s">
        <v>11</v>
      </c>
      <c r="D493" t="s">
        <v>29</v>
      </c>
      <c r="E493" t="s">
        <v>30</v>
      </c>
      <c r="F493">
        <v>86.16</v>
      </c>
      <c r="G493" t="s">
        <v>14</v>
      </c>
      <c r="H493" t="s">
        <v>37</v>
      </c>
      <c r="I493">
        <v>4.5</v>
      </c>
      <c r="J493">
        <v>6</v>
      </c>
      <c r="K493">
        <v>3</v>
      </c>
      <c r="L493" s="4">
        <v>91.659574468085111</v>
      </c>
      <c r="M493" s="4">
        <v>5.4995744680851146</v>
      </c>
      <c r="N493" t="s">
        <v>91</v>
      </c>
    </row>
    <row r="494" spans="1:14">
      <c r="A494">
        <v>493</v>
      </c>
      <c r="B494">
        <v>61</v>
      </c>
      <c r="C494" t="s">
        <v>11</v>
      </c>
      <c r="D494" t="s">
        <v>12</v>
      </c>
      <c r="E494" t="s">
        <v>50</v>
      </c>
      <c r="F494">
        <v>174.31</v>
      </c>
      <c r="G494" t="s">
        <v>19</v>
      </c>
      <c r="H494" t="s">
        <v>15</v>
      </c>
      <c r="I494">
        <v>5</v>
      </c>
      <c r="J494">
        <v>24</v>
      </c>
      <c r="K494">
        <v>7</v>
      </c>
      <c r="L494" s="4">
        <v>229.35526315789474</v>
      </c>
      <c r="M494" s="4">
        <v>55.045263157894738</v>
      </c>
      <c r="N494" t="s">
        <v>94</v>
      </c>
    </row>
    <row r="495" spans="1:14">
      <c r="A495">
        <v>494</v>
      </c>
      <c r="B495">
        <v>27</v>
      </c>
      <c r="C495" t="s">
        <v>11</v>
      </c>
      <c r="D495" t="s">
        <v>33</v>
      </c>
      <c r="E495" t="s">
        <v>34</v>
      </c>
      <c r="F495">
        <v>150.44999999999999</v>
      </c>
      <c r="G495" t="s">
        <v>19</v>
      </c>
      <c r="H495" t="s">
        <v>15</v>
      </c>
      <c r="I495">
        <v>3.7</v>
      </c>
      <c r="J495">
        <v>14</v>
      </c>
      <c r="K495">
        <v>7</v>
      </c>
      <c r="L495" s="4">
        <v>174.94186046511626</v>
      </c>
      <c r="M495" s="4">
        <v>24.491860465116275</v>
      </c>
      <c r="N495" t="s">
        <v>91</v>
      </c>
    </row>
    <row r="496" spans="1:14">
      <c r="A496">
        <v>495</v>
      </c>
      <c r="B496">
        <v>40</v>
      </c>
      <c r="C496" t="s">
        <v>16</v>
      </c>
      <c r="D496" t="s">
        <v>20</v>
      </c>
      <c r="E496" t="s">
        <v>21</v>
      </c>
      <c r="F496">
        <v>106</v>
      </c>
      <c r="G496" t="s">
        <v>24</v>
      </c>
      <c r="H496" t="s">
        <v>15</v>
      </c>
      <c r="I496">
        <v>3.4</v>
      </c>
      <c r="J496">
        <v>18</v>
      </c>
      <c r="K496">
        <v>4</v>
      </c>
      <c r="L496" s="4">
        <v>129.26829268292681</v>
      </c>
      <c r="M496" s="4">
        <v>23.268292682926813</v>
      </c>
      <c r="N496" t="s">
        <v>92</v>
      </c>
    </row>
    <row r="497" spans="1:14">
      <c r="A497">
        <v>496</v>
      </c>
      <c r="B497">
        <v>44</v>
      </c>
      <c r="C497" t="s">
        <v>16</v>
      </c>
      <c r="D497" t="s">
        <v>20</v>
      </c>
      <c r="E497" t="s">
        <v>39</v>
      </c>
      <c r="F497">
        <v>119.84</v>
      </c>
      <c r="G497" t="s">
        <v>14</v>
      </c>
      <c r="H497" t="s">
        <v>15</v>
      </c>
      <c r="I497">
        <v>3.6</v>
      </c>
      <c r="J497">
        <v>9</v>
      </c>
      <c r="K497">
        <v>2</v>
      </c>
      <c r="L497" s="4">
        <v>131.69230769230768</v>
      </c>
      <c r="M497" s="4">
        <v>11.852307692307676</v>
      </c>
      <c r="N497" t="s">
        <v>92</v>
      </c>
    </row>
    <row r="498" spans="1:14">
      <c r="A498">
        <v>497</v>
      </c>
      <c r="B498">
        <v>49</v>
      </c>
      <c r="C498" t="s">
        <v>11</v>
      </c>
      <c r="D498" t="s">
        <v>29</v>
      </c>
      <c r="E498" t="s">
        <v>30</v>
      </c>
      <c r="F498">
        <v>102.61</v>
      </c>
      <c r="G498" t="s">
        <v>14</v>
      </c>
      <c r="H498" t="s">
        <v>15</v>
      </c>
      <c r="I498">
        <v>4.5999999999999996</v>
      </c>
      <c r="J498">
        <v>26</v>
      </c>
      <c r="K498">
        <v>8</v>
      </c>
      <c r="L498" s="4">
        <v>138.66216216216216</v>
      </c>
      <c r="M498" s="4">
        <v>36.052162162162162</v>
      </c>
      <c r="N498" t="s">
        <v>93</v>
      </c>
    </row>
    <row r="499" spans="1:14">
      <c r="A499">
        <v>498</v>
      </c>
      <c r="B499">
        <v>45</v>
      </c>
      <c r="C499" t="s">
        <v>11</v>
      </c>
      <c r="D499" t="s">
        <v>41</v>
      </c>
      <c r="E499" t="s">
        <v>46</v>
      </c>
      <c r="F499">
        <v>82.9</v>
      </c>
      <c r="G499" t="s">
        <v>19</v>
      </c>
      <c r="H499" t="s">
        <v>37</v>
      </c>
      <c r="I499">
        <v>3.9</v>
      </c>
      <c r="J499">
        <v>16</v>
      </c>
      <c r="K499">
        <v>8</v>
      </c>
      <c r="L499" s="4">
        <v>98.690476190476204</v>
      </c>
      <c r="M499" s="4">
        <v>15.790476190476198</v>
      </c>
      <c r="N499" t="s">
        <v>93</v>
      </c>
    </row>
    <row r="500" spans="1:14">
      <c r="A500">
        <v>499</v>
      </c>
      <c r="B500">
        <v>31</v>
      </c>
      <c r="C500" t="s">
        <v>16</v>
      </c>
      <c r="D500" t="s">
        <v>20</v>
      </c>
      <c r="E500" t="s">
        <v>36</v>
      </c>
      <c r="F500">
        <v>72.099999999999994</v>
      </c>
      <c r="G500" t="s">
        <v>19</v>
      </c>
      <c r="H500" t="s">
        <v>15</v>
      </c>
      <c r="I500">
        <v>4.3</v>
      </c>
      <c r="J500">
        <v>12</v>
      </c>
      <c r="K500">
        <v>6</v>
      </c>
      <c r="L500" s="4">
        <v>81.931818181818173</v>
      </c>
      <c r="M500" s="4">
        <v>9.8318181818181785</v>
      </c>
      <c r="N500" t="s">
        <v>91</v>
      </c>
    </row>
    <row r="501" spans="1:14">
      <c r="A501">
        <v>500</v>
      </c>
      <c r="B501">
        <v>51</v>
      </c>
      <c r="C501" t="s">
        <v>16</v>
      </c>
      <c r="D501" t="s">
        <v>33</v>
      </c>
      <c r="E501" t="s">
        <v>40</v>
      </c>
      <c r="F501">
        <v>214.97</v>
      </c>
      <c r="G501" t="s">
        <v>14</v>
      </c>
      <c r="H501" t="s">
        <v>15</v>
      </c>
      <c r="I501">
        <v>4.0999999999999996</v>
      </c>
      <c r="J501">
        <v>22</v>
      </c>
      <c r="K501">
        <v>6</v>
      </c>
      <c r="L501" s="4">
        <v>275.60256410256409</v>
      </c>
      <c r="M501" s="4">
        <v>60.632564102564089</v>
      </c>
      <c r="N501" t="s">
        <v>93</v>
      </c>
    </row>
    <row r="502" spans="1:14">
      <c r="A502">
        <v>501</v>
      </c>
      <c r="B502">
        <v>27</v>
      </c>
      <c r="C502" t="s">
        <v>16</v>
      </c>
      <c r="D502" t="s">
        <v>27</v>
      </c>
      <c r="E502" t="s">
        <v>49</v>
      </c>
      <c r="F502">
        <v>1871.95</v>
      </c>
      <c r="G502" t="s">
        <v>19</v>
      </c>
      <c r="H502" t="s">
        <v>15</v>
      </c>
      <c r="I502">
        <v>4.3</v>
      </c>
      <c r="J502">
        <v>15</v>
      </c>
      <c r="K502">
        <v>5</v>
      </c>
      <c r="L502" s="4">
        <v>2202.294117647059</v>
      </c>
      <c r="M502" s="4">
        <v>330.34411764705897</v>
      </c>
      <c r="N502" t="s">
        <v>91</v>
      </c>
    </row>
    <row r="503" spans="1:14">
      <c r="A503">
        <v>502</v>
      </c>
      <c r="B503">
        <v>50</v>
      </c>
      <c r="C503" t="s">
        <v>11</v>
      </c>
      <c r="D503" t="s">
        <v>12</v>
      </c>
      <c r="E503" t="s">
        <v>13</v>
      </c>
      <c r="F503">
        <v>40.1</v>
      </c>
      <c r="G503" t="s">
        <v>14</v>
      </c>
      <c r="H503" t="s">
        <v>37</v>
      </c>
      <c r="I503">
        <v>3.9</v>
      </c>
      <c r="J503">
        <v>19</v>
      </c>
      <c r="K503">
        <v>7</v>
      </c>
      <c r="L503" s="4">
        <v>49.506172839506171</v>
      </c>
      <c r="M503" s="4">
        <v>9.4061728395061692</v>
      </c>
      <c r="N503" t="s">
        <v>93</v>
      </c>
    </row>
    <row r="504" spans="1:14">
      <c r="A504">
        <v>503</v>
      </c>
      <c r="B504">
        <v>24</v>
      </c>
      <c r="C504" t="s">
        <v>11</v>
      </c>
      <c r="D504" t="s">
        <v>29</v>
      </c>
      <c r="E504" t="s">
        <v>51</v>
      </c>
      <c r="F504">
        <v>96.8</v>
      </c>
      <c r="G504" t="s">
        <v>19</v>
      </c>
      <c r="H504" t="s">
        <v>15</v>
      </c>
      <c r="I504">
        <v>4.5999999999999996</v>
      </c>
      <c r="J504">
        <v>21</v>
      </c>
      <c r="K504">
        <v>8</v>
      </c>
      <c r="L504" s="4">
        <v>122.53164556962024</v>
      </c>
      <c r="M504" s="4">
        <v>25.731645569620241</v>
      </c>
      <c r="N504" t="s">
        <v>100</v>
      </c>
    </row>
    <row r="505" spans="1:14">
      <c r="A505">
        <v>504</v>
      </c>
      <c r="B505">
        <v>59</v>
      </c>
      <c r="C505" t="s">
        <v>16</v>
      </c>
      <c r="D505" t="s">
        <v>22</v>
      </c>
      <c r="E505" t="s">
        <v>23</v>
      </c>
      <c r="F505">
        <v>43.39</v>
      </c>
      <c r="G505" t="s">
        <v>14</v>
      </c>
      <c r="H505" t="s">
        <v>37</v>
      </c>
      <c r="I505">
        <v>5</v>
      </c>
      <c r="J505">
        <v>12</v>
      </c>
      <c r="K505">
        <v>1</v>
      </c>
      <c r="L505" s="4">
        <v>49.30681818181818</v>
      </c>
      <c r="M505" s="4">
        <v>5.9168181818181793</v>
      </c>
      <c r="N505" t="s">
        <v>94</v>
      </c>
    </row>
    <row r="506" spans="1:14">
      <c r="A506">
        <v>505</v>
      </c>
      <c r="B506">
        <v>26</v>
      </c>
      <c r="C506" t="s">
        <v>11</v>
      </c>
      <c r="D506" t="s">
        <v>12</v>
      </c>
      <c r="E506" t="s">
        <v>50</v>
      </c>
      <c r="F506">
        <v>26.57</v>
      </c>
      <c r="G506" t="s">
        <v>31</v>
      </c>
      <c r="H506" t="s">
        <v>37</v>
      </c>
      <c r="I506">
        <v>4.4000000000000004</v>
      </c>
      <c r="J506">
        <v>22</v>
      </c>
      <c r="K506">
        <v>6</v>
      </c>
      <c r="L506" s="4">
        <v>34.064102564102562</v>
      </c>
      <c r="M506" s="4">
        <v>7.4941025641025618</v>
      </c>
      <c r="N506" t="s">
        <v>91</v>
      </c>
    </row>
    <row r="507" spans="1:14">
      <c r="A507">
        <v>506</v>
      </c>
      <c r="B507">
        <v>57</v>
      </c>
      <c r="C507" t="s">
        <v>11</v>
      </c>
      <c r="D507" t="s">
        <v>41</v>
      </c>
      <c r="E507" t="s">
        <v>44</v>
      </c>
      <c r="F507">
        <v>187.19</v>
      </c>
      <c r="G507" t="s">
        <v>31</v>
      </c>
      <c r="H507" t="s">
        <v>15</v>
      </c>
      <c r="I507">
        <v>4.7</v>
      </c>
      <c r="J507">
        <v>16</v>
      </c>
      <c r="K507">
        <v>3</v>
      </c>
      <c r="L507" s="4">
        <v>222.8452380952381</v>
      </c>
      <c r="M507" s="4">
        <v>35.655238095238104</v>
      </c>
      <c r="N507" t="s">
        <v>94</v>
      </c>
    </row>
    <row r="508" spans="1:14">
      <c r="A508">
        <v>507</v>
      </c>
      <c r="B508">
        <v>37</v>
      </c>
      <c r="C508" t="s">
        <v>16</v>
      </c>
      <c r="D508" t="s">
        <v>33</v>
      </c>
      <c r="E508" t="s">
        <v>38</v>
      </c>
      <c r="F508">
        <v>80.92</v>
      </c>
      <c r="G508" t="s">
        <v>14</v>
      </c>
      <c r="H508" t="s">
        <v>37</v>
      </c>
      <c r="I508">
        <v>3</v>
      </c>
      <c r="J508">
        <v>14</v>
      </c>
      <c r="K508">
        <v>7</v>
      </c>
      <c r="L508" s="4">
        <v>94.093023255813961</v>
      </c>
      <c r="M508" s="4">
        <v>13.173023255813959</v>
      </c>
      <c r="N508" t="s">
        <v>92</v>
      </c>
    </row>
    <row r="509" spans="1:14">
      <c r="A509">
        <v>508</v>
      </c>
      <c r="B509">
        <v>44</v>
      </c>
      <c r="C509" t="s">
        <v>16</v>
      </c>
      <c r="D509" t="s">
        <v>27</v>
      </c>
      <c r="E509" t="s">
        <v>49</v>
      </c>
      <c r="F509">
        <v>1002.94</v>
      </c>
      <c r="G509" t="s">
        <v>31</v>
      </c>
      <c r="H509" t="s">
        <v>15</v>
      </c>
      <c r="I509">
        <v>2.2999999999999998</v>
      </c>
      <c r="J509">
        <v>14</v>
      </c>
      <c r="K509">
        <v>2</v>
      </c>
      <c r="L509" s="4">
        <v>1166.2093023255816</v>
      </c>
      <c r="M509" s="4">
        <v>163.26930232558152</v>
      </c>
      <c r="N509" t="s">
        <v>92</v>
      </c>
    </row>
    <row r="510" spans="1:14">
      <c r="A510">
        <v>509</v>
      </c>
      <c r="B510">
        <v>23</v>
      </c>
      <c r="C510" t="s">
        <v>11</v>
      </c>
      <c r="D510" t="s">
        <v>29</v>
      </c>
      <c r="E510" t="s">
        <v>30</v>
      </c>
      <c r="F510">
        <v>65.349999999999994</v>
      </c>
      <c r="G510" t="s">
        <v>31</v>
      </c>
      <c r="H510" t="s">
        <v>15</v>
      </c>
      <c r="I510">
        <v>2.7</v>
      </c>
      <c r="J510">
        <v>16</v>
      </c>
      <c r="K510">
        <v>3</v>
      </c>
      <c r="L510" s="4">
        <v>77.797619047619037</v>
      </c>
      <c r="M510" s="4">
        <v>12.447619047619042</v>
      </c>
      <c r="N510" t="s">
        <v>100</v>
      </c>
    </row>
    <row r="511" spans="1:14">
      <c r="A511">
        <v>510</v>
      </c>
      <c r="B511">
        <v>21</v>
      </c>
      <c r="C511" t="s">
        <v>16</v>
      </c>
      <c r="D511" t="s">
        <v>33</v>
      </c>
      <c r="E511" t="s">
        <v>34</v>
      </c>
      <c r="F511">
        <v>87.39</v>
      </c>
      <c r="G511" t="s">
        <v>14</v>
      </c>
      <c r="H511" t="s">
        <v>15</v>
      </c>
      <c r="I511">
        <v>3.7</v>
      </c>
      <c r="J511">
        <v>6</v>
      </c>
      <c r="K511">
        <v>3</v>
      </c>
      <c r="L511" s="4">
        <v>92.968085106382986</v>
      </c>
      <c r="M511" s="4">
        <v>5.5780851063829857</v>
      </c>
      <c r="N511" t="s">
        <v>100</v>
      </c>
    </row>
    <row r="512" spans="1:14">
      <c r="A512">
        <v>511</v>
      </c>
      <c r="B512">
        <v>38</v>
      </c>
      <c r="C512" t="s">
        <v>16</v>
      </c>
      <c r="D512" t="s">
        <v>27</v>
      </c>
      <c r="E512" t="s">
        <v>49</v>
      </c>
      <c r="F512">
        <v>1886.55</v>
      </c>
      <c r="G512" t="s">
        <v>31</v>
      </c>
      <c r="H512" t="s">
        <v>15</v>
      </c>
      <c r="I512">
        <v>3.8</v>
      </c>
      <c r="J512">
        <v>16</v>
      </c>
      <c r="K512">
        <v>3</v>
      </c>
      <c r="L512" s="4">
        <v>2245.8928571428573</v>
      </c>
      <c r="M512" s="4">
        <v>359.34285714285738</v>
      </c>
      <c r="N512" t="s">
        <v>92</v>
      </c>
    </row>
    <row r="513" spans="1:14">
      <c r="A513">
        <v>512</v>
      </c>
      <c r="B513">
        <v>58</v>
      </c>
      <c r="C513" t="s">
        <v>11</v>
      </c>
      <c r="D513" t="s">
        <v>41</v>
      </c>
      <c r="E513" t="s">
        <v>45</v>
      </c>
      <c r="F513">
        <v>166.84</v>
      </c>
      <c r="G513" t="s">
        <v>19</v>
      </c>
      <c r="H513" t="s">
        <v>15</v>
      </c>
      <c r="I513">
        <v>4.5999999999999996</v>
      </c>
      <c r="J513">
        <v>18</v>
      </c>
      <c r="K513">
        <v>4</v>
      </c>
      <c r="L513" s="4">
        <v>203.46341463414632</v>
      </c>
      <c r="M513" s="4">
        <v>36.623414634146314</v>
      </c>
      <c r="N513" t="s">
        <v>94</v>
      </c>
    </row>
    <row r="514" spans="1:14">
      <c r="A514">
        <v>513</v>
      </c>
      <c r="B514">
        <v>37</v>
      </c>
      <c r="C514" t="s">
        <v>11</v>
      </c>
      <c r="D514" t="s">
        <v>29</v>
      </c>
      <c r="E514" t="s">
        <v>55</v>
      </c>
      <c r="F514">
        <v>87.84</v>
      </c>
      <c r="G514" t="s">
        <v>19</v>
      </c>
      <c r="H514" t="s">
        <v>15</v>
      </c>
      <c r="I514">
        <v>4.0999999999999996</v>
      </c>
      <c r="J514">
        <v>7</v>
      </c>
      <c r="K514">
        <v>1</v>
      </c>
      <c r="L514" s="4">
        <v>94.451612903225822</v>
      </c>
      <c r="M514" s="4">
        <v>6.6116129032258186</v>
      </c>
      <c r="N514" t="s">
        <v>92</v>
      </c>
    </row>
    <row r="515" spans="1:14">
      <c r="A515">
        <v>514</v>
      </c>
      <c r="B515">
        <v>44</v>
      </c>
      <c r="C515" t="s">
        <v>11</v>
      </c>
      <c r="D515" t="s">
        <v>29</v>
      </c>
      <c r="E515" t="s">
        <v>51</v>
      </c>
      <c r="F515">
        <v>110.61</v>
      </c>
      <c r="G515" t="s">
        <v>14</v>
      </c>
      <c r="H515" t="s">
        <v>15</v>
      </c>
      <c r="I515">
        <v>3.5</v>
      </c>
      <c r="J515">
        <v>13</v>
      </c>
      <c r="K515">
        <v>4</v>
      </c>
      <c r="L515" s="4">
        <v>127.13793103448276</v>
      </c>
      <c r="M515" s="4">
        <v>16.527931034482762</v>
      </c>
      <c r="N515" t="s">
        <v>92</v>
      </c>
    </row>
    <row r="516" spans="1:14">
      <c r="A516">
        <v>515</v>
      </c>
      <c r="B516">
        <v>55</v>
      </c>
      <c r="C516" t="s">
        <v>16</v>
      </c>
      <c r="D516" t="s">
        <v>22</v>
      </c>
      <c r="E516" t="s">
        <v>43</v>
      </c>
      <c r="F516">
        <v>130.03</v>
      </c>
      <c r="G516" t="s">
        <v>24</v>
      </c>
      <c r="H516" t="s">
        <v>15</v>
      </c>
      <c r="I516">
        <v>3.1</v>
      </c>
      <c r="J516">
        <v>14</v>
      </c>
      <c r="K516">
        <v>7</v>
      </c>
      <c r="L516" s="4">
        <v>151.19767441860466</v>
      </c>
      <c r="M516" s="4">
        <v>21.167674418604662</v>
      </c>
      <c r="N516" t="s">
        <v>94</v>
      </c>
    </row>
    <row r="517" spans="1:14">
      <c r="A517">
        <v>516</v>
      </c>
      <c r="B517">
        <v>33</v>
      </c>
      <c r="C517" t="s">
        <v>11</v>
      </c>
      <c r="D517" t="s">
        <v>12</v>
      </c>
      <c r="E517" t="s">
        <v>50</v>
      </c>
      <c r="F517">
        <v>97.26</v>
      </c>
      <c r="G517" t="s">
        <v>31</v>
      </c>
      <c r="H517" t="s">
        <v>15</v>
      </c>
      <c r="I517">
        <v>3.1</v>
      </c>
      <c r="J517">
        <v>10</v>
      </c>
      <c r="K517">
        <v>5</v>
      </c>
      <c r="L517" s="4">
        <v>108.06666666666666</v>
      </c>
      <c r="M517" s="4">
        <v>10.806666666666658</v>
      </c>
      <c r="N517" t="s">
        <v>91</v>
      </c>
    </row>
    <row r="518" spans="1:14">
      <c r="A518">
        <v>517</v>
      </c>
      <c r="B518">
        <v>39</v>
      </c>
      <c r="C518" t="s">
        <v>11</v>
      </c>
      <c r="D518" t="s">
        <v>29</v>
      </c>
      <c r="E518" t="s">
        <v>51</v>
      </c>
      <c r="F518">
        <v>35.18</v>
      </c>
      <c r="G518" t="s">
        <v>14</v>
      </c>
      <c r="H518" t="s">
        <v>15</v>
      </c>
      <c r="I518">
        <v>4.0999999999999996</v>
      </c>
      <c r="J518">
        <v>17</v>
      </c>
      <c r="K518">
        <v>6</v>
      </c>
      <c r="L518" s="4">
        <v>42.385542168674704</v>
      </c>
      <c r="M518" s="4">
        <v>7.2055421686747039</v>
      </c>
      <c r="N518" t="s">
        <v>92</v>
      </c>
    </row>
    <row r="519" spans="1:14">
      <c r="A519">
        <v>518</v>
      </c>
      <c r="B519">
        <v>44</v>
      </c>
      <c r="C519" t="s">
        <v>16</v>
      </c>
      <c r="D519" t="s">
        <v>20</v>
      </c>
      <c r="E519" t="s">
        <v>39</v>
      </c>
      <c r="F519">
        <v>93.78</v>
      </c>
      <c r="G519" t="s">
        <v>31</v>
      </c>
      <c r="H519" t="s">
        <v>37</v>
      </c>
      <c r="I519">
        <v>5</v>
      </c>
      <c r="J519">
        <v>17</v>
      </c>
      <c r="K519">
        <v>6</v>
      </c>
      <c r="L519" s="4">
        <v>112.98795180722892</v>
      </c>
      <c r="M519" s="4">
        <v>19.207951807228923</v>
      </c>
      <c r="N519" t="s">
        <v>92</v>
      </c>
    </row>
    <row r="520" spans="1:14">
      <c r="A520">
        <v>519</v>
      </c>
      <c r="B520">
        <v>26</v>
      </c>
      <c r="C520" t="s">
        <v>16</v>
      </c>
      <c r="D520" t="s">
        <v>33</v>
      </c>
      <c r="E520" t="s">
        <v>40</v>
      </c>
      <c r="F520">
        <v>235.26</v>
      </c>
      <c r="G520" t="s">
        <v>31</v>
      </c>
      <c r="H520" t="s">
        <v>15</v>
      </c>
      <c r="I520">
        <v>4.9000000000000004</v>
      </c>
      <c r="J520">
        <v>13</v>
      </c>
      <c r="K520">
        <v>4</v>
      </c>
      <c r="L520" s="4">
        <v>270.41379310344826</v>
      </c>
      <c r="M520" s="4">
        <v>35.153793103448265</v>
      </c>
      <c r="N520" t="s">
        <v>91</v>
      </c>
    </row>
    <row r="521" spans="1:14">
      <c r="A521">
        <v>520</v>
      </c>
      <c r="B521">
        <v>62</v>
      </c>
      <c r="C521" t="s">
        <v>16</v>
      </c>
      <c r="D521" t="s">
        <v>20</v>
      </c>
      <c r="E521" t="s">
        <v>39</v>
      </c>
      <c r="F521">
        <v>136.94</v>
      </c>
      <c r="G521" t="s">
        <v>14</v>
      </c>
      <c r="H521" t="s">
        <v>15</v>
      </c>
      <c r="I521">
        <v>3.6</v>
      </c>
      <c r="J521">
        <v>15</v>
      </c>
      <c r="K521">
        <v>5</v>
      </c>
      <c r="L521" s="4">
        <v>161.10588235294117</v>
      </c>
      <c r="M521" s="4">
        <v>24.165882352941168</v>
      </c>
      <c r="N521" t="s">
        <v>94</v>
      </c>
    </row>
    <row r="522" spans="1:14">
      <c r="A522">
        <v>521</v>
      </c>
      <c r="B522">
        <v>60</v>
      </c>
      <c r="C522" t="s">
        <v>11</v>
      </c>
      <c r="D522" t="s">
        <v>33</v>
      </c>
      <c r="E522" t="s">
        <v>34</v>
      </c>
      <c r="F522">
        <v>149.44999999999999</v>
      </c>
      <c r="G522" t="s">
        <v>24</v>
      </c>
      <c r="H522" t="s">
        <v>15</v>
      </c>
      <c r="I522">
        <v>3.3</v>
      </c>
      <c r="J522">
        <v>6</v>
      </c>
      <c r="K522">
        <v>3</v>
      </c>
      <c r="L522" s="4">
        <v>158.98936170212767</v>
      </c>
      <c r="M522" s="4">
        <v>9.5393617021276782</v>
      </c>
      <c r="N522" t="s">
        <v>94</v>
      </c>
    </row>
    <row r="523" spans="1:14">
      <c r="A523">
        <v>522</v>
      </c>
      <c r="B523">
        <v>42</v>
      </c>
      <c r="C523" t="s">
        <v>16</v>
      </c>
      <c r="D523" t="s">
        <v>33</v>
      </c>
      <c r="E523" t="s">
        <v>34</v>
      </c>
      <c r="F523">
        <v>122.86</v>
      </c>
      <c r="G523" t="s">
        <v>31</v>
      </c>
      <c r="H523" t="s">
        <v>15</v>
      </c>
      <c r="I523">
        <v>4.7</v>
      </c>
      <c r="J523">
        <v>18</v>
      </c>
      <c r="K523">
        <v>4</v>
      </c>
      <c r="L523" s="4">
        <v>149.82926829268291</v>
      </c>
      <c r="M523" s="4">
        <v>26.969268292682912</v>
      </c>
      <c r="N523" t="s">
        <v>92</v>
      </c>
    </row>
    <row r="524" spans="1:14">
      <c r="A524">
        <v>523</v>
      </c>
      <c r="B524">
        <v>32</v>
      </c>
      <c r="C524" t="s">
        <v>11</v>
      </c>
      <c r="D524" t="s">
        <v>33</v>
      </c>
      <c r="E524" t="s">
        <v>34</v>
      </c>
      <c r="F524">
        <v>156.61000000000001</v>
      </c>
      <c r="G524" t="s">
        <v>31</v>
      </c>
      <c r="H524" t="s">
        <v>15</v>
      </c>
      <c r="I524">
        <v>4.7</v>
      </c>
      <c r="J524">
        <v>22</v>
      </c>
      <c r="K524">
        <v>6</v>
      </c>
      <c r="L524" s="4">
        <v>200.7820512820513</v>
      </c>
      <c r="M524" s="4">
        <v>44.172051282051285</v>
      </c>
      <c r="N524" t="s">
        <v>91</v>
      </c>
    </row>
    <row r="525" spans="1:14">
      <c r="A525">
        <v>524</v>
      </c>
      <c r="B525">
        <v>29</v>
      </c>
      <c r="C525" t="s">
        <v>16</v>
      </c>
      <c r="D525" t="s">
        <v>20</v>
      </c>
      <c r="E525" t="s">
        <v>39</v>
      </c>
      <c r="F525">
        <v>88.8</v>
      </c>
      <c r="G525" t="s">
        <v>14</v>
      </c>
      <c r="H525" t="s">
        <v>15</v>
      </c>
      <c r="I525">
        <v>3.1</v>
      </c>
      <c r="J525">
        <v>22</v>
      </c>
      <c r="K525">
        <v>6</v>
      </c>
      <c r="L525" s="4">
        <v>113.84615384615384</v>
      </c>
      <c r="M525" s="4">
        <v>25.046153846153842</v>
      </c>
      <c r="N525" t="s">
        <v>91</v>
      </c>
    </row>
    <row r="526" spans="1:14">
      <c r="A526">
        <v>525</v>
      </c>
      <c r="B526">
        <v>46</v>
      </c>
      <c r="C526" t="s">
        <v>16</v>
      </c>
      <c r="D526" t="s">
        <v>17</v>
      </c>
      <c r="E526" t="s">
        <v>18</v>
      </c>
      <c r="F526">
        <v>165.74</v>
      </c>
      <c r="G526" t="s">
        <v>14</v>
      </c>
      <c r="H526" t="s">
        <v>15</v>
      </c>
      <c r="I526">
        <v>4.2</v>
      </c>
      <c r="J526">
        <v>6</v>
      </c>
      <c r="K526">
        <v>3</v>
      </c>
      <c r="L526" s="4">
        <v>176.31914893617022</v>
      </c>
      <c r="M526" s="4">
        <v>10.579148936170213</v>
      </c>
      <c r="N526" t="s">
        <v>93</v>
      </c>
    </row>
    <row r="527" spans="1:14">
      <c r="A527">
        <v>526</v>
      </c>
      <c r="B527">
        <v>61</v>
      </c>
      <c r="C527" t="s">
        <v>16</v>
      </c>
      <c r="D527" t="s">
        <v>22</v>
      </c>
      <c r="E527" t="s">
        <v>52</v>
      </c>
      <c r="F527">
        <v>220.45</v>
      </c>
      <c r="G527" t="s">
        <v>19</v>
      </c>
      <c r="H527" t="s">
        <v>15</v>
      </c>
      <c r="I527">
        <v>3.2</v>
      </c>
      <c r="J527">
        <v>17</v>
      </c>
      <c r="K527">
        <v>6</v>
      </c>
      <c r="L527" s="4">
        <v>265.60240963855421</v>
      </c>
      <c r="M527" s="4">
        <v>45.152409638554218</v>
      </c>
      <c r="N527" t="s">
        <v>94</v>
      </c>
    </row>
    <row r="528" spans="1:14">
      <c r="A528">
        <v>527</v>
      </c>
      <c r="B528">
        <v>27</v>
      </c>
      <c r="C528" t="s">
        <v>16</v>
      </c>
      <c r="D528" t="s">
        <v>17</v>
      </c>
      <c r="E528" t="s">
        <v>42</v>
      </c>
      <c r="F528">
        <v>110.6</v>
      </c>
      <c r="G528" t="s">
        <v>14</v>
      </c>
      <c r="H528" t="s">
        <v>15</v>
      </c>
      <c r="I528">
        <v>3.6</v>
      </c>
      <c r="J528">
        <v>10</v>
      </c>
      <c r="K528">
        <v>0</v>
      </c>
      <c r="L528" s="4">
        <v>122.88888888888889</v>
      </c>
      <c r="M528" s="4">
        <v>12.288888888888891</v>
      </c>
      <c r="N528" t="s">
        <v>91</v>
      </c>
    </row>
    <row r="529" spans="1:14">
      <c r="A529">
        <v>528</v>
      </c>
      <c r="B529">
        <v>56</v>
      </c>
      <c r="C529" t="s">
        <v>11</v>
      </c>
      <c r="D529" t="s">
        <v>29</v>
      </c>
      <c r="E529" t="s">
        <v>51</v>
      </c>
      <c r="F529">
        <v>135.51</v>
      </c>
      <c r="G529" t="s">
        <v>31</v>
      </c>
      <c r="H529" t="s">
        <v>15</v>
      </c>
      <c r="I529">
        <v>4.4000000000000004</v>
      </c>
      <c r="J529">
        <v>26</v>
      </c>
      <c r="K529">
        <v>8</v>
      </c>
      <c r="L529" s="4">
        <v>183.12162162162161</v>
      </c>
      <c r="M529" s="4">
        <v>47.611621621621623</v>
      </c>
      <c r="N529" t="s">
        <v>94</v>
      </c>
    </row>
    <row r="530" spans="1:14">
      <c r="A530">
        <v>529</v>
      </c>
      <c r="B530">
        <v>54</v>
      </c>
      <c r="C530" t="s">
        <v>16</v>
      </c>
      <c r="D530" t="s">
        <v>17</v>
      </c>
      <c r="E530" t="s">
        <v>42</v>
      </c>
      <c r="F530">
        <v>118.11</v>
      </c>
      <c r="G530" t="s">
        <v>19</v>
      </c>
      <c r="H530" t="s">
        <v>15</v>
      </c>
      <c r="I530">
        <v>3.2</v>
      </c>
      <c r="J530">
        <v>13</v>
      </c>
      <c r="K530">
        <v>4</v>
      </c>
      <c r="L530" s="4">
        <v>135.75862068965517</v>
      </c>
      <c r="M530" s="4">
        <v>17.648620689655175</v>
      </c>
      <c r="N530" t="s">
        <v>93</v>
      </c>
    </row>
    <row r="531" spans="1:14">
      <c r="A531">
        <v>530</v>
      </c>
      <c r="B531">
        <v>56</v>
      </c>
      <c r="C531" t="s">
        <v>16</v>
      </c>
      <c r="D531" t="s">
        <v>17</v>
      </c>
      <c r="E531" t="s">
        <v>18</v>
      </c>
      <c r="F531">
        <v>125.17</v>
      </c>
      <c r="G531" t="s">
        <v>14</v>
      </c>
      <c r="H531" t="s">
        <v>15</v>
      </c>
      <c r="I531">
        <v>3.6</v>
      </c>
      <c r="J531">
        <v>22</v>
      </c>
      <c r="K531">
        <v>6</v>
      </c>
      <c r="L531" s="4">
        <v>160.47435897435898</v>
      </c>
      <c r="M531" s="4">
        <v>35.304358974358976</v>
      </c>
      <c r="N531" t="s">
        <v>94</v>
      </c>
    </row>
    <row r="532" spans="1:14">
      <c r="A532">
        <v>531</v>
      </c>
      <c r="B532">
        <v>57</v>
      </c>
      <c r="C532" t="s">
        <v>11</v>
      </c>
      <c r="D532" t="s">
        <v>20</v>
      </c>
      <c r="E532" t="s">
        <v>36</v>
      </c>
      <c r="F532">
        <v>157.33000000000001</v>
      </c>
      <c r="G532" t="s">
        <v>31</v>
      </c>
      <c r="H532" t="s">
        <v>15</v>
      </c>
      <c r="I532">
        <v>3.9</v>
      </c>
      <c r="J532">
        <v>13</v>
      </c>
      <c r="K532">
        <v>4</v>
      </c>
      <c r="L532" s="4">
        <v>180.83908045977012</v>
      </c>
      <c r="M532" s="4">
        <v>23.509080459770104</v>
      </c>
      <c r="N532" t="s">
        <v>94</v>
      </c>
    </row>
    <row r="533" spans="1:14">
      <c r="A533">
        <v>532</v>
      </c>
      <c r="B533">
        <v>29</v>
      </c>
      <c r="C533" t="s">
        <v>11</v>
      </c>
      <c r="D533" t="s">
        <v>25</v>
      </c>
      <c r="E533" t="s">
        <v>47</v>
      </c>
      <c r="F533">
        <v>56.63</v>
      </c>
      <c r="G533" t="s">
        <v>19</v>
      </c>
      <c r="H533" t="s">
        <v>15</v>
      </c>
      <c r="I533">
        <v>4.5</v>
      </c>
      <c r="J533">
        <v>13</v>
      </c>
      <c r="K533">
        <v>4</v>
      </c>
      <c r="L533" s="4">
        <v>65.091954022988503</v>
      </c>
      <c r="M533" s="4">
        <v>8.4619540229885004</v>
      </c>
      <c r="N533" t="s">
        <v>91</v>
      </c>
    </row>
    <row r="534" spans="1:14">
      <c r="A534">
        <v>533</v>
      </c>
      <c r="B534">
        <v>30</v>
      </c>
      <c r="C534" t="s">
        <v>11</v>
      </c>
      <c r="D534" t="s">
        <v>12</v>
      </c>
      <c r="E534" t="s">
        <v>13</v>
      </c>
      <c r="F534">
        <v>89.32</v>
      </c>
      <c r="G534" t="s">
        <v>24</v>
      </c>
      <c r="H534" t="s">
        <v>37</v>
      </c>
      <c r="I534">
        <v>4.5</v>
      </c>
      <c r="J534">
        <v>12</v>
      </c>
      <c r="K534">
        <v>6</v>
      </c>
      <c r="L534" s="4">
        <v>101.49999999999999</v>
      </c>
      <c r="M534" s="4">
        <v>12.179999999999993</v>
      </c>
      <c r="N534" t="s">
        <v>91</v>
      </c>
    </row>
    <row r="535" spans="1:14">
      <c r="A535">
        <v>534</v>
      </c>
      <c r="B535">
        <v>20</v>
      </c>
      <c r="C535" t="s">
        <v>11</v>
      </c>
      <c r="D535" t="s">
        <v>41</v>
      </c>
      <c r="E535" t="s">
        <v>46</v>
      </c>
      <c r="F535">
        <v>131.59</v>
      </c>
      <c r="G535" t="s">
        <v>14</v>
      </c>
      <c r="H535" t="s">
        <v>15</v>
      </c>
      <c r="I535">
        <v>4.2</v>
      </c>
      <c r="J535">
        <v>17</v>
      </c>
      <c r="K535">
        <v>6</v>
      </c>
      <c r="L535" s="4">
        <v>158.54216867469881</v>
      </c>
      <c r="M535" s="4">
        <v>26.952168674698811</v>
      </c>
      <c r="N535" t="s">
        <v>100</v>
      </c>
    </row>
    <row r="536" spans="1:14">
      <c r="A536">
        <v>535</v>
      </c>
      <c r="B536">
        <v>31</v>
      </c>
      <c r="C536" t="s">
        <v>16</v>
      </c>
      <c r="D536" t="s">
        <v>20</v>
      </c>
      <c r="E536" t="s">
        <v>36</v>
      </c>
      <c r="F536">
        <v>45.03</v>
      </c>
      <c r="G536" t="s">
        <v>19</v>
      </c>
      <c r="H536" t="s">
        <v>37</v>
      </c>
      <c r="I536">
        <v>4.9000000000000004</v>
      </c>
      <c r="J536">
        <v>12</v>
      </c>
      <c r="K536">
        <v>6</v>
      </c>
      <c r="L536" s="4">
        <v>51.170454545454547</v>
      </c>
      <c r="M536" s="4">
        <v>6.1404545454545456</v>
      </c>
      <c r="N536" t="s">
        <v>91</v>
      </c>
    </row>
    <row r="537" spans="1:14">
      <c r="A537">
        <v>536</v>
      </c>
      <c r="B537">
        <v>49</v>
      </c>
      <c r="C537" t="s">
        <v>16</v>
      </c>
      <c r="D537" t="s">
        <v>33</v>
      </c>
      <c r="E537" t="s">
        <v>34</v>
      </c>
      <c r="F537">
        <v>105.07</v>
      </c>
      <c r="G537" t="s">
        <v>31</v>
      </c>
      <c r="H537" t="s">
        <v>15</v>
      </c>
      <c r="I537">
        <v>4.2</v>
      </c>
      <c r="J537">
        <v>14</v>
      </c>
      <c r="K537">
        <v>7</v>
      </c>
      <c r="L537" s="4">
        <v>122.17441860465115</v>
      </c>
      <c r="M537" s="4">
        <v>17.104418604651158</v>
      </c>
      <c r="N537" t="s">
        <v>93</v>
      </c>
    </row>
    <row r="538" spans="1:14">
      <c r="A538">
        <v>537</v>
      </c>
      <c r="B538">
        <v>35</v>
      </c>
      <c r="C538" t="s">
        <v>11</v>
      </c>
      <c r="D538" t="s">
        <v>12</v>
      </c>
      <c r="E538" t="s">
        <v>50</v>
      </c>
      <c r="F538">
        <v>31.51</v>
      </c>
      <c r="G538" t="s">
        <v>31</v>
      </c>
      <c r="H538" t="s">
        <v>15</v>
      </c>
      <c r="I538">
        <v>3.2</v>
      </c>
      <c r="J538">
        <v>15</v>
      </c>
      <c r="K538">
        <v>5</v>
      </c>
      <c r="L538" s="4">
        <v>37.070588235294117</v>
      </c>
      <c r="M538" s="4">
        <v>5.5605882352941158</v>
      </c>
      <c r="N538" t="s">
        <v>92</v>
      </c>
    </row>
    <row r="539" spans="1:14">
      <c r="A539">
        <v>538</v>
      </c>
      <c r="B539">
        <v>60</v>
      </c>
      <c r="C539" t="s">
        <v>16</v>
      </c>
      <c r="D539" t="s">
        <v>20</v>
      </c>
      <c r="E539" t="s">
        <v>36</v>
      </c>
      <c r="F539">
        <v>98.94</v>
      </c>
      <c r="G539" t="s">
        <v>19</v>
      </c>
      <c r="H539" t="s">
        <v>15</v>
      </c>
      <c r="I539">
        <v>3.4</v>
      </c>
      <c r="J539">
        <v>10</v>
      </c>
      <c r="K539">
        <v>5</v>
      </c>
      <c r="L539" s="4">
        <v>109.93333333333332</v>
      </c>
      <c r="M539" s="4">
        <v>10.993333333333325</v>
      </c>
      <c r="N539" t="s">
        <v>94</v>
      </c>
    </row>
    <row r="540" spans="1:14">
      <c r="A540">
        <v>539</v>
      </c>
      <c r="B540">
        <v>23</v>
      </c>
      <c r="C540" t="s">
        <v>16</v>
      </c>
      <c r="D540" t="s">
        <v>33</v>
      </c>
      <c r="E540" t="s">
        <v>38</v>
      </c>
      <c r="F540">
        <v>236.7</v>
      </c>
      <c r="G540" t="s">
        <v>19</v>
      </c>
      <c r="H540" t="s">
        <v>15</v>
      </c>
      <c r="I540">
        <v>4.5</v>
      </c>
      <c r="J540">
        <v>17</v>
      </c>
      <c r="K540">
        <v>6</v>
      </c>
      <c r="L540" s="4">
        <v>285.18072289156629</v>
      </c>
      <c r="M540" s="4">
        <v>48.480722891566302</v>
      </c>
      <c r="N540" t="s">
        <v>100</v>
      </c>
    </row>
    <row r="541" spans="1:14">
      <c r="A541">
        <v>540</v>
      </c>
      <c r="B541">
        <v>59</v>
      </c>
      <c r="C541" t="s">
        <v>11</v>
      </c>
      <c r="D541" t="s">
        <v>41</v>
      </c>
      <c r="E541" t="s">
        <v>45</v>
      </c>
      <c r="F541">
        <v>111.87</v>
      </c>
      <c r="G541" t="s">
        <v>24</v>
      </c>
      <c r="H541" t="s">
        <v>15</v>
      </c>
      <c r="I541">
        <v>3.9</v>
      </c>
      <c r="J541">
        <v>21</v>
      </c>
      <c r="K541">
        <v>8</v>
      </c>
      <c r="L541" s="4">
        <v>141.60759493670886</v>
      </c>
      <c r="M541" s="4">
        <v>29.737594936708859</v>
      </c>
      <c r="N541" t="s">
        <v>94</v>
      </c>
    </row>
    <row r="542" spans="1:14">
      <c r="A542">
        <v>541</v>
      </c>
      <c r="B542">
        <v>31</v>
      </c>
      <c r="C542" t="s">
        <v>16</v>
      </c>
      <c r="D542" t="s">
        <v>20</v>
      </c>
      <c r="E542" t="s">
        <v>21</v>
      </c>
      <c r="F542">
        <v>90.67</v>
      </c>
      <c r="G542" t="s">
        <v>14</v>
      </c>
      <c r="H542" t="s">
        <v>37</v>
      </c>
      <c r="I542">
        <v>5</v>
      </c>
      <c r="J542">
        <v>12</v>
      </c>
      <c r="K542">
        <v>6</v>
      </c>
      <c r="L542" s="4">
        <v>103.03409090909091</v>
      </c>
      <c r="M542" s="4">
        <v>12.364090909090905</v>
      </c>
      <c r="N542" t="s">
        <v>91</v>
      </c>
    </row>
    <row r="543" spans="1:14">
      <c r="A543">
        <v>542</v>
      </c>
      <c r="B543">
        <v>28</v>
      </c>
      <c r="C543" t="s">
        <v>16</v>
      </c>
      <c r="D543" t="s">
        <v>17</v>
      </c>
      <c r="E543" t="s">
        <v>42</v>
      </c>
      <c r="F543">
        <v>141.19</v>
      </c>
      <c r="G543" t="s">
        <v>24</v>
      </c>
      <c r="H543" t="s">
        <v>15</v>
      </c>
      <c r="I543">
        <v>4</v>
      </c>
      <c r="J543">
        <v>4</v>
      </c>
      <c r="K543">
        <v>2</v>
      </c>
      <c r="L543" s="4">
        <v>147.07291666666666</v>
      </c>
      <c r="M543" s="4">
        <v>5.8829166666666595</v>
      </c>
      <c r="N543" t="s">
        <v>91</v>
      </c>
    </row>
    <row r="544" spans="1:14">
      <c r="A544">
        <v>543</v>
      </c>
      <c r="B544">
        <v>32</v>
      </c>
      <c r="C544" t="s">
        <v>11</v>
      </c>
      <c r="D544" t="s">
        <v>41</v>
      </c>
      <c r="E544" t="s">
        <v>45</v>
      </c>
      <c r="F544">
        <v>158.72</v>
      </c>
      <c r="G544" t="s">
        <v>19</v>
      </c>
      <c r="H544" t="s">
        <v>15</v>
      </c>
      <c r="I544">
        <v>4.9000000000000004</v>
      </c>
      <c r="J544">
        <v>16</v>
      </c>
      <c r="K544">
        <v>3</v>
      </c>
      <c r="L544" s="4">
        <v>188.95238095238096</v>
      </c>
      <c r="M544" s="4">
        <v>30.232380952380964</v>
      </c>
      <c r="N544" t="s">
        <v>91</v>
      </c>
    </row>
    <row r="545" spans="1:14">
      <c r="A545">
        <v>544</v>
      </c>
      <c r="B545">
        <v>32</v>
      </c>
      <c r="C545" t="s">
        <v>11</v>
      </c>
      <c r="D545" t="s">
        <v>33</v>
      </c>
      <c r="E545" t="s">
        <v>34</v>
      </c>
      <c r="F545">
        <v>91.02</v>
      </c>
      <c r="G545" t="s">
        <v>24</v>
      </c>
      <c r="H545" t="s">
        <v>15</v>
      </c>
      <c r="I545">
        <v>4.0999999999999996</v>
      </c>
      <c r="J545">
        <v>17</v>
      </c>
      <c r="K545">
        <v>6</v>
      </c>
      <c r="L545" s="4">
        <v>109.66265060240964</v>
      </c>
      <c r="M545" s="4">
        <v>18.642650602409645</v>
      </c>
      <c r="N545" t="s">
        <v>91</v>
      </c>
    </row>
    <row r="546" spans="1:14">
      <c r="A546">
        <v>545</v>
      </c>
      <c r="B546">
        <v>70</v>
      </c>
      <c r="C546" t="s">
        <v>11</v>
      </c>
      <c r="D546" t="s">
        <v>12</v>
      </c>
      <c r="E546" t="s">
        <v>50</v>
      </c>
      <c r="F546">
        <v>159.31</v>
      </c>
      <c r="G546" t="s">
        <v>14</v>
      </c>
      <c r="H546" t="s">
        <v>15</v>
      </c>
      <c r="I546">
        <v>4.5</v>
      </c>
      <c r="J546">
        <v>17</v>
      </c>
      <c r="K546">
        <v>6</v>
      </c>
      <c r="L546" s="4">
        <v>191.93975903614458</v>
      </c>
      <c r="M546" s="4">
        <v>32.629759036144577</v>
      </c>
      <c r="N546" t="s">
        <v>95</v>
      </c>
    </row>
    <row r="547" spans="1:14">
      <c r="A547">
        <v>546</v>
      </c>
      <c r="B547">
        <v>30</v>
      </c>
      <c r="C547" t="s">
        <v>16</v>
      </c>
      <c r="D547" t="s">
        <v>27</v>
      </c>
      <c r="E547" t="s">
        <v>32</v>
      </c>
      <c r="F547">
        <v>2428.11</v>
      </c>
      <c r="G547" t="s">
        <v>19</v>
      </c>
      <c r="H547" t="s">
        <v>15</v>
      </c>
      <c r="I547">
        <v>3.9</v>
      </c>
      <c r="J547">
        <v>4</v>
      </c>
      <c r="K547">
        <v>2</v>
      </c>
      <c r="L547" s="4">
        <v>2529.28125</v>
      </c>
      <c r="M547" s="4">
        <v>101.17124999999987</v>
      </c>
      <c r="N547" t="s">
        <v>91</v>
      </c>
    </row>
    <row r="548" spans="1:14">
      <c r="A548">
        <v>547</v>
      </c>
      <c r="B548">
        <v>28</v>
      </c>
      <c r="C548" t="s">
        <v>11</v>
      </c>
      <c r="D548" t="s">
        <v>29</v>
      </c>
      <c r="E548" t="s">
        <v>30</v>
      </c>
      <c r="F548">
        <v>25.24</v>
      </c>
      <c r="G548" t="s">
        <v>24</v>
      </c>
      <c r="H548" t="s">
        <v>15</v>
      </c>
      <c r="I548">
        <v>3.7</v>
      </c>
      <c r="J548">
        <v>21</v>
      </c>
      <c r="K548">
        <v>8</v>
      </c>
      <c r="L548" s="4">
        <v>31.949367088607591</v>
      </c>
      <c r="M548" s="4">
        <v>6.7093670886075927</v>
      </c>
      <c r="N548" t="s">
        <v>91</v>
      </c>
    </row>
    <row r="549" spans="1:14">
      <c r="A549">
        <v>548</v>
      </c>
      <c r="B549">
        <v>46</v>
      </c>
      <c r="C549" t="s">
        <v>16</v>
      </c>
      <c r="D549" t="s">
        <v>25</v>
      </c>
      <c r="E549" t="s">
        <v>47</v>
      </c>
      <c r="F549">
        <v>62.51</v>
      </c>
      <c r="G549" t="s">
        <v>24</v>
      </c>
      <c r="H549" t="s">
        <v>37</v>
      </c>
      <c r="I549">
        <v>4.2</v>
      </c>
      <c r="J549">
        <v>11</v>
      </c>
      <c r="K549">
        <v>3</v>
      </c>
      <c r="L549" s="4">
        <v>70.235955056179776</v>
      </c>
      <c r="M549" s="4">
        <v>7.7259550561797781</v>
      </c>
      <c r="N549" t="s">
        <v>93</v>
      </c>
    </row>
    <row r="550" spans="1:14">
      <c r="A550">
        <v>549</v>
      </c>
      <c r="B550">
        <v>22</v>
      </c>
      <c r="C550" t="s">
        <v>16</v>
      </c>
      <c r="D550" t="s">
        <v>33</v>
      </c>
      <c r="E550" t="s">
        <v>34</v>
      </c>
      <c r="F550">
        <v>80.22</v>
      </c>
      <c r="G550" t="s">
        <v>31</v>
      </c>
      <c r="H550" t="s">
        <v>15</v>
      </c>
      <c r="I550">
        <v>4.5999999999999996</v>
      </c>
      <c r="J550">
        <v>8</v>
      </c>
      <c r="K550">
        <v>4</v>
      </c>
      <c r="L550" s="4">
        <v>87.195652173913032</v>
      </c>
      <c r="M550" s="4">
        <v>6.9756521739130335</v>
      </c>
      <c r="N550" t="s">
        <v>100</v>
      </c>
    </row>
    <row r="551" spans="1:14">
      <c r="A551">
        <v>550</v>
      </c>
      <c r="B551">
        <v>28</v>
      </c>
      <c r="C551" t="s">
        <v>16</v>
      </c>
      <c r="D551" t="s">
        <v>27</v>
      </c>
      <c r="E551" t="s">
        <v>53</v>
      </c>
      <c r="F551">
        <v>600.16999999999996</v>
      </c>
      <c r="G551" t="s">
        <v>24</v>
      </c>
      <c r="H551" t="s">
        <v>15</v>
      </c>
      <c r="I551">
        <v>3.8</v>
      </c>
      <c r="J551">
        <v>10</v>
      </c>
      <c r="K551">
        <v>5</v>
      </c>
      <c r="L551" s="4">
        <v>666.8555555555555</v>
      </c>
      <c r="M551" s="4">
        <v>66.685555555555538</v>
      </c>
      <c r="N551" t="s">
        <v>91</v>
      </c>
    </row>
    <row r="552" spans="1:14">
      <c r="A552">
        <v>551</v>
      </c>
      <c r="B552">
        <v>63</v>
      </c>
      <c r="C552" t="s">
        <v>16</v>
      </c>
      <c r="D552" t="s">
        <v>17</v>
      </c>
      <c r="E552" t="s">
        <v>42</v>
      </c>
      <c r="F552">
        <v>106.27</v>
      </c>
      <c r="G552" t="s">
        <v>31</v>
      </c>
      <c r="H552" t="s">
        <v>15</v>
      </c>
      <c r="I552">
        <v>3.5</v>
      </c>
      <c r="J552">
        <v>14</v>
      </c>
      <c r="K552">
        <v>7</v>
      </c>
      <c r="L552" s="4">
        <v>123.56976744186046</v>
      </c>
      <c r="M552" s="4">
        <v>17.299767441860467</v>
      </c>
      <c r="N552" t="s">
        <v>94</v>
      </c>
    </row>
    <row r="553" spans="1:14">
      <c r="A553">
        <v>552</v>
      </c>
      <c r="B553">
        <v>27</v>
      </c>
      <c r="C553" t="s">
        <v>16</v>
      </c>
      <c r="D553" t="s">
        <v>33</v>
      </c>
      <c r="E553" t="s">
        <v>38</v>
      </c>
      <c r="F553">
        <v>141.6</v>
      </c>
      <c r="G553" t="s">
        <v>24</v>
      </c>
      <c r="H553" t="s">
        <v>15</v>
      </c>
      <c r="I553">
        <v>4.0999999999999996</v>
      </c>
      <c r="J553">
        <v>19</v>
      </c>
      <c r="K553">
        <v>7</v>
      </c>
      <c r="L553" s="4">
        <v>174.81481481481481</v>
      </c>
      <c r="M553" s="4">
        <v>33.214814814814815</v>
      </c>
      <c r="N553" t="s">
        <v>91</v>
      </c>
    </row>
    <row r="554" spans="1:14">
      <c r="A554">
        <v>553</v>
      </c>
      <c r="B554">
        <v>43</v>
      </c>
      <c r="C554" t="s">
        <v>16</v>
      </c>
      <c r="D554" t="s">
        <v>33</v>
      </c>
      <c r="E554" t="s">
        <v>34</v>
      </c>
      <c r="F554">
        <v>90.88</v>
      </c>
      <c r="G554" t="s">
        <v>24</v>
      </c>
      <c r="H554" t="s">
        <v>37</v>
      </c>
      <c r="I554">
        <v>3.3</v>
      </c>
      <c r="J554">
        <v>14</v>
      </c>
      <c r="K554">
        <v>2</v>
      </c>
      <c r="L554" s="4">
        <v>105.67441860465117</v>
      </c>
      <c r="M554" s="4">
        <v>14.79441860465117</v>
      </c>
      <c r="N554" t="s">
        <v>92</v>
      </c>
    </row>
    <row r="555" spans="1:14">
      <c r="A555">
        <v>554</v>
      </c>
      <c r="B555">
        <v>20</v>
      </c>
      <c r="C555" t="s">
        <v>11</v>
      </c>
      <c r="D555" t="s">
        <v>33</v>
      </c>
      <c r="E555" t="s">
        <v>40</v>
      </c>
      <c r="F555">
        <v>156.91</v>
      </c>
      <c r="G555" t="s">
        <v>31</v>
      </c>
      <c r="H555" t="s">
        <v>15</v>
      </c>
      <c r="I555">
        <v>4.0999999999999996</v>
      </c>
      <c r="J555">
        <v>22</v>
      </c>
      <c r="K555">
        <v>6</v>
      </c>
      <c r="L555" s="4">
        <v>201.16666666666666</v>
      </c>
      <c r="M555" s="4">
        <v>44.256666666666661</v>
      </c>
      <c r="N555" t="s">
        <v>100</v>
      </c>
    </row>
    <row r="556" spans="1:14">
      <c r="A556">
        <v>555</v>
      </c>
      <c r="B556">
        <v>41</v>
      </c>
      <c r="C556" t="s">
        <v>16</v>
      </c>
      <c r="D556" t="s">
        <v>20</v>
      </c>
      <c r="E556" t="s">
        <v>21</v>
      </c>
      <c r="F556">
        <v>232.73</v>
      </c>
      <c r="G556" t="s">
        <v>24</v>
      </c>
      <c r="H556" t="s">
        <v>15</v>
      </c>
      <c r="I556">
        <v>3.7</v>
      </c>
      <c r="J556">
        <v>15</v>
      </c>
      <c r="K556">
        <v>5</v>
      </c>
      <c r="L556" s="4">
        <v>273.8</v>
      </c>
      <c r="M556" s="4">
        <v>41.070000000000022</v>
      </c>
      <c r="N556" t="s">
        <v>92</v>
      </c>
    </row>
    <row r="557" spans="1:14">
      <c r="A557">
        <v>556</v>
      </c>
      <c r="B557">
        <v>29</v>
      </c>
      <c r="C557" t="s">
        <v>11</v>
      </c>
      <c r="D557" t="s">
        <v>12</v>
      </c>
      <c r="E557" t="s">
        <v>56</v>
      </c>
      <c r="F557">
        <v>53.93</v>
      </c>
      <c r="G557" t="s">
        <v>31</v>
      </c>
      <c r="H557" t="s">
        <v>15</v>
      </c>
      <c r="I557">
        <v>2.5</v>
      </c>
      <c r="J557">
        <v>18</v>
      </c>
      <c r="K557">
        <v>4</v>
      </c>
      <c r="L557" s="4">
        <v>65.768292682926827</v>
      </c>
      <c r="M557" s="4">
        <v>11.838292682926827</v>
      </c>
      <c r="N557" t="s">
        <v>91</v>
      </c>
    </row>
    <row r="558" spans="1:14">
      <c r="A558">
        <v>557</v>
      </c>
      <c r="B558">
        <v>61</v>
      </c>
      <c r="C558" t="s">
        <v>16</v>
      </c>
      <c r="D558" t="s">
        <v>33</v>
      </c>
      <c r="E558" t="s">
        <v>40</v>
      </c>
      <c r="F558">
        <v>65.72</v>
      </c>
      <c r="G558" t="s">
        <v>31</v>
      </c>
      <c r="H558" t="s">
        <v>37</v>
      </c>
      <c r="I558">
        <v>2.8</v>
      </c>
      <c r="J558">
        <v>8</v>
      </c>
      <c r="K558">
        <v>4</v>
      </c>
      <c r="L558" s="4">
        <v>71.434782608695642</v>
      </c>
      <c r="M558" s="4">
        <v>5.7147826086956428</v>
      </c>
      <c r="N558" t="s">
        <v>94</v>
      </c>
    </row>
    <row r="559" spans="1:14">
      <c r="A559">
        <v>558</v>
      </c>
      <c r="B559">
        <v>69</v>
      </c>
      <c r="C559" t="s">
        <v>11</v>
      </c>
      <c r="D559" t="s">
        <v>41</v>
      </c>
      <c r="E559" t="s">
        <v>44</v>
      </c>
      <c r="F559">
        <v>159.87</v>
      </c>
      <c r="G559" t="s">
        <v>24</v>
      </c>
      <c r="H559" t="s">
        <v>15</v>
      </c>
      <c r="I559">
        <v>3.6</v>
      </c>
      <c r="J559">
        <v>10</v>
      </c>
      <c r="K559">
        <v>0</v>
      </c>
      <c r="L559" s="4">
        <v>177.63333333333333</v>
      </c>
      <c r="M559" s="4">
        <v>17.763333333333321</v>
      </c>
      <c r="N559" t="s">
        <v>95</v>
      </c>
    </row>
    <row r="560" spans="1:14">
      <c r="A560">
        <v>559</v>
      </c>
      <c r="B560">
        <v>64</v>
      </c>
      <c r="C560" t="s">
        <v>16</v>
      </c>
      <c r="D560" t="s">
        <v>27</v>
      </c>
      <c r="E560" t="s">
        <v>49</v>
      </c>
      <c r="F560">
        <v>2435.63</v>
      </c>
      <c r="G560" t="s">
        <v>24</v>
      </c>
      <c r="H560" t="s">
        <v>15</v>
      </c>
      <c r="I560">
        <v>3.3</v>
      </c>
      <c r="J560">
        <v>18</v>
      </c>
      <c r="K560">
        <v>4</v>
      </c>
      <c r="L560" s="4">
        <v>2970.2804878048778</v>
      </c>
      <c r="M560" s="4">
        <v>534.65048780487768</v>
      </c>
      <c r="N560" t="s">
        <v>94</v>
      </c>
    </row>
    <row r="561" spans="1:14">
      <c r="A561">
        <v>560</v>
      </c>
      <c r="B561">
        <v>40</v>
      </c>
      <c r="C561" t="s">
        <v>16</v>
      </c>
      <c r="D561" t="s">
        <v>33</v>
      </c>
      <c r="E561" t="s">
        <v>40</v>
      </c>
      <c r="F561">
        <v>90.24</v>
      </c>
      <c r="G561" t="s">
        <v>19</v>
      </c>
      <c r="H561" t="s">
        <v>37</v>
      </c>
      <c r="I561">
        <v>4.3</v>
      </c>
      <c r="J561">
        <v>17</v>
      </c>
      <c r="K561">
        <v>6</v>
      </c>
      <c r="L561" s="4">
        <v>108.72289156626506</v>
      </c>
      <c r="M561" s="4">
        <v>18.482891566265067</v>
      </c>
      <c r="N561" t="s">
        <v>92</v>
      </c>
    </row>
    <row r="562" spans="1:14">
      <c r="A562">
        <v>561</v>
      </c>
      <c r="B562">
        <v>37</v>
      </c>
      <c r="C562" t="s">
        <v>11</v>
      </c>
      <c r="D562" t="s">
        <v>12</v>
      </c>
      <c r="E562" t="s">
        <v>13</v>
      </c>
      <c r="F562">
        <v>117.76</v>
      </c>
      <c r="G562" t="s">
        <v>19</v>
      </c>
      <c r="H562" t="s">
        <v>15</v>
      </c>
      <c r="I562">
        <v>3.5</v>
      </c>
      <c r="J562">
        <v>12</v>
      </c>
      <c r="K562">
        <v>6</v>
      </c>
      <c r="L562" s="4">
        <v>133.81818181818181</v>
      </c>
      <c r="M562" s="4">
        <v>16.058181818181808</v>
      </c>
      <c r="N562" t="s">
        <v>92</v>
      </c>
    </row>
    <row r="563" spans="1:14">
      <c r="A563">
        <v>562</v>
      </c>
      <c r="B563">
        <v>64</v>
      </c>
      <c r="C563" t="s">
        <v>11</v>
      </c>
      <c r="D563" t="s">
        <v>41</v>
      </c>
      <c r="E563" t="s">
        <v>42</v>
      </c>
      <c r="F563">
        <v>97.62</v>
      </c>
      <c r="G563" t="s">
        <v>31</v>
      </c>
      <c r="H563" t="s">
        <v>15</v>
      </c>
      <c r="I563">
        <v>3.8</v>
      </c>
      <c r="J563">
        <v>8</v>
      </c>
      <c r="K563">
        <v>4</v>
      </c>
      <c r="L563" s="4">
        <v>106.10869565217391</v>
      </c>
      <c r="M563" s="4">
        <v>8.4886956521739023</v>
      </c>
      <c r="N563" t="s">
        <v>94</v>
      </c>
    </row>
    <row r="564" spans="1:14">
      <c r="A564">
        <v>563</v>
      </c>
      <c r="B564">
        <v>66</v>
      </c>
      <c r="C564" t="s">
        <v>11</v>
      </c>
      <c r="D564" t="s">
        <v>29</v>
      </c>
      <c r="E564" t="s">
        <v>51</v>
      </c>
      <c r="F564">
        <v>98.66</v>
      </c>
      <c r="G564" t="s">
        <v>14</v>
      </c>
      <c r="H564" t="s">
        <v>15</v>
      </c>
      <c r="I564">
        <v>2.7</v>
      </c>
      <c r="J564">
        <v>22</v>
      </c>
      <c r="K564">
        <v>6</v>
      </c>
      <c r="L564" s="4">
        <v>126.48717948717947</v>
      </c>
      <c r="M564" s="4">
        <v>27.827179487179478</v>
      </c>
      <c r="N564" t="s">
        <v>95</v>
      </c>
    </row>
    <row r="565" spans="1:14">
      <c r="A565">
        <v>564</v>
      </c>
      <c r="B565">
        <v>66</v>
      </c>
      <c r="C565" t="s">
        <v>11</v>
      </c>
      <c r="D565" t="s">
        <v>41</v>
      </c>
      <c r="E565" t="s">
        <v>45</v>
      </c>
      <c r="F565">
        <v>185.56</v>
      </c>
      <c r="G565" t="s">
        <v>19</v>
      </c>
      <c r="H565" t="s">
        <v>15</v>
      </c>
      <c r="I565">
        <v>3.7</v>
      </c>
      <c r="J565">
        <v>21</v>
      </c>
      <c r="K565">
        <v>8</v>
      </c>
      <c r="L565" s="4">
        <v>234.88607594936707</v>
      </c>
      <c r="M565" s="4">
        <v>49.326075949367066</v>
      </c>
      <c r="N565" t="s">
        <v>95</v>
      </c>
    </row>
    <row r="566" spans="1:14">
      <c r="A566">
        <v>565</v>
      </c>
      <c r="B566">
        <v>60</v>
      </c>
      <c r="C566" t="s">
        <v>11</v>
      </c>
      <c r="D566" t="s">
        <v>25</v>
      </c>
      <c r="E566" t="s">
        <v>47</v>
      </c>
      <c r="F566">
        <v>12.59</v>
      </c>
      <c r="G566" t="s">
        <v>19</v>
      </c>
      <c r="H566" t="s">
        <v>15</v>
      </c>
      <c r="I566">
        <v>3.4</v>
      </c>
      <c r="J566">
        <v>12</v>
      </c>
      <c r="K566">
        <v>1</v>
      </c>
      <c r="L566" s="4">
        <v>14.306818181818182</v>
      </c>
      <c r="M566" s="4">
        <v>1.7168181818181818</v>
      </c>
      <c r="N566" t="s">
        <v>94</v>
      </c>
    </row>
    <row r="567" spans="1:14">
      <c r="A567">
        <v>566</v>
      </c>
      <c r="B567">
        <v>41</v>
      </c>
      <c r="C567" t="s">
        <v>11</v>
      </c>
      <c r="D567" t="s">
        <v>29</v>
      </c>
      <c r="E567" t="s">
        <v>51</v>
      </c>
      <c r="F567">
        <v>34.299999999999997</v>
      </c>
      <c r="G567" t="s">
        <v>14</v>
      </c>
      <c r="H567" t="s">
        <v>15</v>
      </c>
      <c r="I567">
        <v>3.3</v>
      </c>
      <c r="J567">
        <v>4</v>
      </c>
      <c r="K567">
        <v>2</v>
      </c>
      <c r="L567" s="4">
        <v>35.729166666666664</v>
      </c>
      <c r="M567" s="4">
        <v>1.4291666666666671</v>
      </c>
      <c r="N567" t="s">
        <v>92</v>
      </c>
    </row>
    <row r="568" spans="1:14">
      <c r="A568">
        <v>567</v>
      </c>
      <c r="B568">
        <v>29</v>
      </c>
      <c r="C568" t="s">
        <v>16</v>
      </c>
      <c r="D568" t="s">
        <v>20</v>
      </c>
      <c r="E568" t="s">
        <v>21</v>
      </c>
      <c r="F568">
        <v>162.96</v>
      </c>
      <c r="G568" t="s">
        <v>31</v>
      </c>
      <c r="H568" t="s">
        <v>15</v>
      </c>
      <c r="I568">
        <v>3.9</v>
      </c>
      <c r="J568">
        <v>19</v>
      </c>
      <c r="K568">
        <v>7</v>
      </c>
      <c r="L568" s="4">
        <v>201.18518518518519</v>
      </c>
      <c r="M568" s="4">
        <v>38.225185185185182</v>
      </c>
      <c r="N568" t="s">
        <v>91</v>
      </c>
    </row>
    <row r="569" spans="1:14">
      <c r="A569">
        <v>568</v>
      </c>
      <c r="B569">
        <v>45</v>
      </c>
      <c r="C569" t="s">
        <v>16</v>
      </c>
      <c r="D569" t="s">
        <v>27</v>
      </c>
      <c r="E569" t="s">
        <v>49</v>
      </c>
      <c r="F569">
        <v>2785.85</v>
      </c>
      <c r="G569" t="s">
        <v>19</v>
      </c>
      <c r="H569" t="s">
        <v>15</v>
      </c>
      <c r="I569">
        <v>3.4</v>
      </c>
      <c r="J569">
        <v>18</v>
      </c>
      <c r="K569">
        <v>4</v>
      </c>
      <c r="L569" s="4">
        <v>3397.3780487804875</v>
      </c>
      <c r="M569" s="4">
        <v>611.52804878048755</v>
      </c>
      <c r="N569" t="s">
        <v>93</v>
      </c>
    </row>
    <row r="570" spans="1:14">
      <c r="A570">
        <v>569</v>
      </c>
      <c r="B570">
        <v>67</v>
      </c>
      <c r="C570" t="s">
        <v>16</v>
      </c>
      <c r="D570" t="s">
        <v>33</v>
      </c>
      <c r="E570" t="s">
        <v>38</v>
      </c>
      <c r="F570">
        <v>79.989999999999995</v>
      </c>
      <c r="G570" t="s">
        <v>19</v>
      </c>
      <c r="H570" t="s">
        <v>15</v>
      </c>
      <c r="I570">
        <v>3.5</v>
      </c>
      <c r="J570">
        <v>12</v>
      </c>
      <c r="K570">
        <v>1</v>
      </c>
      <c r="L570" s="4">
        <v>90.897727272727266</v>
      </c>
      <c r="M570" s="4">
        <v>10.907727272727271</v>
      </c>
      <c r="N570" t="s">
        <v>95</v>
      </c>
    </row>
    <row r="571" spans="1:14">
      <c r="A571">
        <v>570</v>
      </c>
      <c r="B571">
        <v>24</v>
      </c>
      <c r="C571" t="s">
        <v>11</v>
      </c>
      <c r="D571" t="s">
        <v>41</v>
      </c>
      <c r="E571" t="s">
        <v>42</v>
      </c>
      <c r="F571">
        <v>33.979999999999997</v>
      </c>
      <c r="G571" t="s">
        <v>19</v>
      </c>
      <c r="H571" t="s">
        <v>15</v>
      </c>
      <c r="I571">
        <v>2.1</v>
      </c>
      <c r="J571">
        <v>15</v>
      </c>
      <c r="K571">
        <v>5</v>
      </c>
      <c r="L571" s="4">
        <v>39.976470588235294</v>
      </c>
      <c r="M571" s="4">
        <v>5.9964705882352973</v>
      </c>
      <c r="N571" t="s">
        <v>100</v>
      </c>
    </row>
    <row r="572" spans="1:14">
      <c r="A572">
        <v>571</v>
      </c>
      <c r="B572">
        <v>32</v>
      </c>
      <c r="C572" t="s">
        <v>16</v>
      </c>
      <c r="D572" t="s">
        <v>27</v>
      </c>
      <c r="E572" t="s">
        <v>53</v>
      </c>
      <c r="F572">
        <v>2562.09</v>
      </c>
      <c r="G572" t="s">
        <v>24</v>
      </c>
      <c r="H572" t="s">
        <v>15</v>
      </c>
      <c r="I572">
        <v>3.7</v>
      </c>
      <c r="J572">
        <v>14</v>
      </c>
      <c r="K572">
        <v>7</v>
      </c>
      <c r="L572" s="4">
        <v>2979.1744186046512</v>
      </c>
      <c r="M572" s="4">
        <v>417.08441860465109</v>
      </c>
      <c r="N572" t="s">
        <v>91</v>
      </c>
    </row>
    <row r="573" spans="1:14">
      <c r="A573">
        <v>572</v>
      </c>
      <c r="B573">
        <v>69</v>
      </c>
      <c r="C573" t="s">
        <v>11</v>
      </c>
      <c r="D573" t="s">
        <v>29</v>
      </c>
      <c r="E573" t="s">
        <v>51</v>
      </c>
      <c r="F573">
        <v>55.71</v>
      </c>
      <c r="G573" t="s">
        <v>19</v>
      </c>
      <c r="H573" t="s">
        <v>15</v>
      </c>
      <c r="I573">
        <v>2.9</v>
      </c>
      <c r="J573">
        <v>15</v>
      </c>
      <c r="K573">
        <v>5</v>
      </c>
      <c r="L573" s="4">
        <v>65.54117647058824</v>
      </c>
      <c r="M573" s="4">
        <v>9.8311764705882396</v>
      </c>
      <c r="N573" t="s">
        <v>95</v>
      </c>
    </row>
    <row r="574" spans="1:14">
      <c r="A574">
        <v>573</v>
      </c>
      <c r="B574">
        <v>61</v>
      </c>
      <c r="C574" t="s">
        <v>16</v>
      </c>
      <c r="D574" t="s">
        <v>33</v>
      </c>
      <c r="E574" t="s">
        <v>38</v>
      </c>
      <c r="F574">
        <v>41.13</v>
      </c>
      <c r="G574" t="s">
        <v>31</v>
      </c>
      <c r="H574" t="s">
        <v>37</v>
      </c>
      <c r="I574">
        <v>5</v>
      </c>
      <c r="J574">
        <v>17</v>
      </c>
      <c r="K574">
        <v>6</v>
      </c>
      <c r="L574" s="4">
        <v>49.554216867469883</v>
      </c>
      <c r="M574" s="4">
        <v>8.4242168674698803</v>
      </c>
      <c r="N574" t="s">
        <v>94</v>
      </c>
    </row>
    <row r="575" spans="1:14">
      <c r="A575">
        <v>574</v>
      </c>
      <c r="B575">
        <v>46</v>
      </c>
      <c r="C575" t="s">
        <v>11</v>
      </c>
      <c r="D575" t="s">
        <v>41</v>
      </c>
      <c r="E575" t="s">
        <v>44</v>
      </c>
      <c r="F575">
        <v>62.15</v>
      </c>
      <c r="G575" t="s">
        <v>31</v>
      </c>
      <c r="H575" t="s">
        <v>37</v>
      </c>
      <c r="I575">
        <v>3.8</v>
      </c>
      <c r="J575">
        <v>22</v>
      </c>
      <c r="K575">
        <v>6</v>
      </c>
      <c r="L575" s="4">
        <v>79.679487179487168</v>
      </c>
      <c r="M575" s="4">
        <v>17.52948717948717</v>
      </c>
      <c r="N575" t="s">
        <v>93</v>
      </c>
    </row>
    <row r="576" spans="1:14">
      <c r="A576">
        <v>575</v>
      </c>
      <c r="B576">
        <v>44</v>
      </c>
      <c r="C576" t="s">
        <v>16</v>
      </c>
      <c r="D576" t="s">
        <v>22</v>
      </c>
      <c r="E576" t="s">
        <v>23</v>
      </c>
      <c r="F576">
        <v>124.45</v>
      </c>
      <c r="G576" t="s">
        <v>31</v>
      </c>
      <c r="H576" t="s">
        <v>15</v>
      </c>
      <c r="I576">
        <v>5</v>
      </c>
      <c r="J576">
        <v>9</v>
      </c>
      <c r="K576">
        <v>2</v>
      </c>
      <c r="L576" s="4">
        <v>136.75824175824175</v>
      </c>
      <c r="M576" s="4">
        <v>12.308241758241749</v>
      </c>
      <c r="N576" t="s">
        <v>92</v>
      </c>
    </row>
    <row r="577" spans="1:14">
      <c r="A577">
        <v>576</v>
      </c>
      <c r="B577">
        <v>46</v>
      </c>
      <c r="C577" t="s">
        <v>16</v>
      </c>
      <c r="D577" t="s">
        <v>33</v>
      </c>
      <c r="E577" t="s">
        <v>40</v>
      </c>
      <c r="F577">
        <v>75.37</v>
      </c>
      <c r="G577" t="s">
        <v>24</v>
      </c>
      <c r="H577" t="s">
        <v>15</v>
      </c>
      <c r="I577">
        <v>3.7</v>
      </c>
      <c r="J577">
        <v>20</v>
      </c>
      <c r="K577">
        <v>10</v>
      </c>
      <c r="L577" s="4">
        <v>94.212500000000006</v>
      </c>
      <c r="M577" s="4">
        <v>18.842500000000001</v>
      </c>
      <c r="N577" t="s">
        <v>93</v>
      </c>
    </row>
    <row r="578" spans="1:14">
      <c r="A578">
        <v>577</v>
      </c>
      <c r="B578">
        <v>30</v>
      </c>
      <c r="C578" t="s">
        <v>16</v>
      </c>
      <c r="D578" t="s">
        <v>20</v>
      </c>
      <c r="E578" t="s">
        <v>36</v>
      </c>
      <c r="F578">
        <v>141.81</v>
      </c>
      <c r="G578" t="s">
        <v>24</v>
      </c>
      <c r="H578" t="s">
        <v>15</v>
      </c>
      <c r="I578">
        <v>4.9000000000000004</v>
      </c>
      <c r="J578">
        <v>13</v>
      </c>
      <c r="K578">
        <v>4</v>
      </c>
      <c r="L578" s="4">
        <v>163</v>
      </c>
      <c r="M578" s="4">
        <v>21.189999999999998</v>
      </c>
      <c r="N578" t="s">
        <v>91</v>
      </c>
    </row>
    <row r="579" spans="1:14">
      <c r="A579">
        <v>578</v>
      </c>
      <c r="B579">
        <v>38</v>
      </c>
      <c r="C579" t="s">
        <v>16</v>
      </c>
      <c r="D579" t="s">
        <v>17</v>
      </c>
      <c r="E579" t="s">
        <v>42</v>
      </c>
      <c r="F579">
        <v>173.03</v>
      </c>
      <c r="G579" t="s">
        <v>14</v>
      </c>
      <c r="H579" t="s">
        <v>15</v>
      </c>
      <c r="I579">
        <v>2.6</v>
      </c>
      <c r="J579">
        <v>13</v>
      </c>
      <c r="K579">
        <v>4</v>
      </c>
      <c r="L579" s="4">
        <v>198.88505747126436</v>
      </c>
      <c r="M579" s="4">
        <v>25.855057471264359</v>
      </c>
      <c r="N579" t="s">
        <v>92</v>
      </c>
    </row>
    <row r="580" spans="1:14">
      <c r="A580">
        <v>579</v>
      </c>
      <c r="B580">
        <v>26</v>
      </c>
      <c r="C580" t="s">
        <v>11</v>
      </c>
      <c r="D580" t="s">
        <v>22</v>
      </c>
      <c r="E580" t="s">
        <v>23</v>
      </c>
      <c r="F580">
        <v>174.88</v>
      </c>
      <c r="G580" t="s">
        <v>14</v>
      </c>
      <c r="H580" t="s">
        <v>15</v>
      </c>
      <c r="I580">
        <v>4.4000000000000004</v>
      </c>
      <c r="J580">
        <v>14</v>
      </c>
      <c r="K580">
        <v>2</v>
      </c>
      <c r="L580" s="4">
        <v>203.34883720930233</v>
      </c>
      <c r="M580" s="4">
        <v>28.468837209302336</v>
      </c>
      <c r="N580" t="s">
        <v>91</v>
      </c>
    </row>
    <row r="581" spans="1:14">
      <c r="A581">
        <v>580</v>
      </c>
      <c r="B581">
        <v>42</v>
      </c>
      <c r="C581" t="s">
        <v>11</v>
      </c>
      <c r="D581" t="s">
        <v>29</v>
      </c>
      <c r="E581" t="s">
        <v>30</v>
      </c>
      <c r="F581">
        <v>48.19</v>
      </c>
      <c r="G581" t="s">
        <v>24</v>
      </c>
      <c r="H581" t="s">
        <v>15</v>
      </c>
      <c r="I581">
        <v>2.7</v>
      </c>
      <c r="J581">
        <v>12</v>
      </c>
      <c r="K581">
        <v>6</v>
      </c>
      <c r="L581" s="4">
        <v>54.761363636363633</v>
      </c>
      <c r="M581" s="4">
        <v>6.5713636363636354</v>
      </c>
      <c r="N581" t="s">
        <v>92</v>
      </c>
    </row>
    <row r="582" spans="1:14">
      <c r="A582">
        <v>581</v>
      </c>
      <c r="B582">
        <v>37</v>
      </c>
      <c r="C582" t="s">
        <v>16</v>
      </c>
      <c r="D582" t="s">
        <v>27</v>
      </c>
      <c r="E582" t="s">
        <v>49</v>
      </c>
      <c r="F582">
        <v>714.78</v>
      </c>
      <c r="G582" t="s">
        <v>24</v>
      </c>
      <c r="H582" t="s">
        <v>15</v>
      </c>
      <c r="I582">
        <v>4</v>
      </c>
      <c r="J582">
        <v>12</v>
      </c>
      <c r="K582">
        <v>6</v>
      </c>
      <c r="L582" s="4">
        <v>812.25</v>
      </c>
      <c r="M582" s="4">
        <v>97.470000000000027</v>
      </c>
      <c r="N582" t="s">
        <v>92</v>
      </c>
    </row>
    <row r="583" spans="1:14">
      <c r="A583">
        <v>582</v>
      </c>
      <c r="B583">
        <v>54</v>
      </c>
      <c r="C583" t="s">
        <v>11</v>
      </c>
      <c r="D583" t="s">
        <v>20</v>
      </c>
      <c r="E583" t="s">
        <v>39</v>
      </c>
      <c r="F583">
        <v>30.19</v>
      </c>
      <c r="G583" t="s">
        <v>14</v>
      </c>
      <c r="H583" t="s">
        <v>37</v>
      </c>
      <c r="I583">
        <v>4.2</v>
      </c>
      <c r="J583">
        <v>13</v>
      </c>
      <c r="K583">
        <v>4</v>
      </c>
      <c r="L583" s="4">
        <v>34.701149425287355</v>
      </c>
      <c r="M583" s="4">
        <v>4.5111494252873534</v>
      </c>
      <c r="N583" t="s">
        <v>93</v>
      </c>
    </row>
    <row r="584" spans="1:14">
      <c r="A584">
        <v>583</v>
      </c>
      <c r="B584">
        <v>68</v>
      </c>
      <c r="C584" t="s">
        <v>11</v>
      </c>
      <c r="D584" t="s">
        <v>29</v>
      </c>
      <c r="E584" t="s">
        <v>51</v>
      </c>
      <c r="F584">
        <v>120.37</v>
      </c>
      <c r="G584" t="s">
        <v>24</v>
      </c>
      <c r="H584" t="s">
        <v>15</v>
      </c>
      <c r="I584">
        <v>2.9</v>
      </c>
      <c r="J584">
        <v>24</v>
      </c>
      <c r="K584">
        <v>7</v>
      </c>
      <c r="L584" s="4">
        <v>158.38157894736844</v>
      </c>
      <c r="M584" s="4">
        <v>38.011578947368434</v>
      </c>
      <c r="N584" t="s">
        <v>95</v>
      </c>
    </row>
    <row r="585" spans="1:14">
      <c r="A585">
        <v>584</v>
      </c>
      <c r="B585">
        <v>38</v>
      </c>
      <c r="C585" t="s">
        <v>11</v>
      </c>
      <c r="D585" t="s">
        <v>41</v>
      </c>
      <c r="E585" t="s">
        <v>46</v>
      </c>
      <c r="F585">
        <v>185.35</v>
      </c>
      <c r="G585" t="s">
        <v>24</v>
      </c>
      <c r="H585" t="s">
        <v>15</v>
      </c>
      <c r="I585">
        <v>4.9000000000000004</v>
      </c>
      <c r="J585">
        <v>12</v>
      </c>
      <c r="K585">
        <v>6</v>
      </c>
      <c r="L585" s="4">
        <v>210.625</v>
      </c>
      <c r="M585" s="4">
        <v>25.275000000000006</v>
      </c>
      <c r="N585" t="s">
        <v>92</v>
      </c>
    </row>
    <row r="586" spans="1:14">
      <c r="A586">
        <v>585</v>
      </c>
      <c r="B586">
        <v>25</v>
      </c>
      <c r="C586" t="s">
        <v>16</v>
      </c>
      <c r="D586" t="s">
        <v>27</v>
      </c>
      <c r="E586" t="s">
        <v>32</v>
      </c>
      <c r="F586">
        <v>1495.63</v>
      </c>
      <c r="G586" t="s">
        <v>31</v>
      </c>
      <c r="H586" t="s">
        <v>15</v>
      </c>
      <c r="I586">
        <v>3.8</v>
      </c>
      <c r="J586">
        <v>14</v>
      </c>
      <c r="K586">
        <v>2</v>
      </c>
      <c r="L586" s="4">
        <v>1739.1046511627908</v>
      </c>
      <c r="M586" s="4">
        <v>243.47465116279068</v>
      </c>
      <c r="N586" t="s">
        <v>91</v>
      </c>
    </row>
    <row r="587" spans="1:14">
      <c r="A587">
        <v>586</v>
      </c>
      <c r="B587">
        <v>42</v>
      </c>
      <c r="C587" t="s">
        <v>16</v>
      </c>
      <c r="D587" t="s">
        <v>27</v>
      </c>
      <c r="E587" t="s">
        <v>28</v>
      </c>
      <c r="F587">
        <v>1552.24</v>
      </c>
      <c r="G587" t="s">
        <v>14</v>
      </c>
      <c r="H587" t="s">
        <v>15</v>
      </c>
      <c r="I587">
        <v>3.8</v>
      </c>
      <c r="J587">
        <v>17</v>
      </c>
      <c r="K587">
        <v>6</v>
      </c>
      <c r="L587" s="4">
        <v>1870.1686746987953</v>
      </c>
      <c r="M587" s="4">
        <v>317.92867469879525</v>
      </c>
      <c r="N587" t="s">
        <v>92</v>
      </c>
    </row>
    <row r="588" spans="1:14">
      <c r="A588">
        <v>587</v>
      </c>
      <c r="B588">
        <v>26</v>
      </c>
      <c r="C588" t="s">
        <v>16</v>
      </c>
      <c r="D588" t="s">
        <v>20</v>
      </c>
      <c r="E588" t="s">
        <v>21</v>
      </c>
      <c r="F588">
        <v>175.47</v>
      </c>
      <c r="G588" t="s">
        <v>14</v>
      </c>
      <c r="H588" t="s">
        <v>15</v>
      </c>
      <c r="I588">
        <v>3</v>
      </c>
      <c r="J588">
        <v>13</v>
      </c>
      <c r="K588">
        <v>4</v>
      </c>
      <c r="L588" s="4">
        <v>201.68965517241378</v>
      </c>
      <c r="M588" s="4">
        <v>26.219655172413781</v>
      </c>
      <c r="N588" t="s">
        <v>91</v>
      </c>
    </row>
    <row r="589" spans="1:14">
      <c r="A589">
        <v>588</v>
      </c>
      <c r="B589">
        <v>45</v>
      </c>
      <c r="C589" t="s">
        <v>16</v>
      </c>
      <c r="D589" t="s">
        <v>20</v>
      </c>
      <c r="E589" t="s">
        <v>21</v>
      </c>
      <c r="F589">
        <v>136.12</v>
      </c>
      <c r="G589" t="s">
        <v>19</v>
      </c>
      <c r="H589" t="s">
        <v>15</v>
      </c>
      <c r="I589">
        <v>4.5</v>
      </c>
      <c r="J589">
        <v>23</v>
      </c>
      <c r="K589">
        <v>9</v>
      </c>
      <c r="L589" s="4">
        <v>176.77922077922079</v>
      </c>
      <c r="M589" s="4">
        <v>40.659220779220789</v>
      </c>
      <c r="N589" t="s">
        <v>93</v>
      </c>
    </row>
    <row r="590" spans="1:14">
      <c r="A590">
        <v>589</v>
      </c>
      <c r="B590">
        <v>22</v>
      </c>
      <c r="C590" t="s">
        <v>11</v>
      </c>
      <c r="D590" t="s">
        <v>33</v>
      </c>
      <c r="E590" t="s">
        <v>40</v>
      </c>
      <c r="F590">
        <v>174.5</v>
      </c>
      <c r="G590" t="s">
        <v>14</v>
      </c>
      <c r="H590" t="s">
        <v>15</v>
      </c>
      <c r="I590">
        <v>3.7</v>
      </c>
      <c r="J590">
        <v>14</v>
      </c>
      <c r="K590">
        <v>2</v>
      </c>
      <c r="L590" s="4">
        <v>202.90697674418604</v>
      </c>
      <c r="M590" s="4">
        <v>28.406976744186039</v>
      </c>
      <c r="N590" t="s">
        <v>100</v>
      </c>
    </row>
    <row r="591" spans="1:14">
      <c r="A591">
        <v>590</v>
      </c>
      <c r="B591">
        <v>40</v>
      </c>
      <c r="C591" t="s">
        <v>16</v>
      </c>
      <c r="D591" t="s">
        <v>22</v>
      </c>
      <c r="E591" t="s">
        <v>43</v>
      </c>
      <c r="F591">
        <v>136.29</v>
      </c>
      <c r="G591" t="s">
        <v>24</v>
      </c>
      <c r="H591" t="s">
        <v>15</v>
      </c>
      <c r="I591">
        <v>2.9</v>
      </c>
      <c r="J591">
        <v>13</v>
      </c>
      <c r="K591">
        <v>4</v>
      </c>
      <c r="L591" s="4">
        <v>156.65517241379308</v>
      </c>
      <c r="M591" s="4">
        <v>20.36517241379309</v>
      </c>
      <c r="N591" t="s">
        <v>92</v>
      </c>
    </row>
    <row r="592" spans="1:14">
      <c r="A592">
        <v>591</v>
      </c>
      <c r="B592">
        <v>44</v>
      </c>
      <c r="C592" t="s">
        <v>11</v>
      </c>
      <c r="D592" t="s">
        <v>33</v>
      </c>
      <c r="E592" t="s">
        <v>38</v>
      </c>
      <c r="F592">
        <v>62.11</v>
      </c>
      <c r="G592" t="s">
        <v>31</v>
      </c>
      <c r="H592" t="s">
        <v>15</v>
      </c>
      <c r="I592">
        <v>2.9</v>
      </c>
      <c r="J592">
        <v>19</v>
      </c>
      <c r="K592">
        <v>7</v>
      </c>
      <c r="L592" s="4">
        <v>76.679012345679013</v>
      </c>
      <c r="M592" s="4">
        <v>14.569012345679013</v>
      </c>
      <c r="N592" t="s">
        <v>92</v>
      </c>
    </row>
    <row r="593" spans="1:14">
      <c r="A593">
        <v>592</v>
      </c>
      <c r="B593">
        <v>31</v>
      </c>
      <c r="C593" t="s">
        <v>16</v>
      </c>
      <c r="D593" t="s">
        <v>20</v>
      </c>
      <c r="E593" t="s">
        <v>21</v>
      </c>
      <c r="F593">
        <v>209.64</v>
      </c>
      <c r="G593" t="s">
        <v>14</v>
      </c>
      <c r="H593" t="s">
        <v>15</v>
      </c>
      <c r="I593">
        <v>4.5999999999999996</v>
      </c>
      <c r="J593">
        <v>11</v>
      </c>
      <c r="K593">
        <v>3</v>
      </c>
      <c r="L593" s="4">
        <v>235.55056179775278</v>
      </c>
      <c r="M593" s="4">
        <v>25.910561797752791</v>
      </c>
      <c r="N593" t="s">
        <v>91</v>
      </c>
    </row>
    <row r="594" spans="1:14">
      <c r="A594">
        <v>593</v>
      </c>
      <c r="B594">
        <v>23</v>
      </c>
      <c r="C594" t="s">
        <v>16</v>
      </c>
      <c r="D594" t="s">
        <v>33</v>
      </c>
      <c r="E594" t="s">
        <v>38</v>
      </c>
      <c r="F594">
        <v>188.15</v>
      </c>
      <c r="G594" t="s">
        <v>24</v>
      </c>
      <c r="H594" t="s">
        <v>15</v>
      </c>
      <c r="I594">
        <v>3.5</v>
      </c>
      <c r="J594">
        <v>4</v>
      </c>
      <c r="K594">
        <v>2</v>
      </c>
      <c r="L594" s="4">
        <v>195.98958333333334</v>
      </c>
      <c r="M594" s="4">
        <v>7.8395833333333371</v>
      </c>
      <c r="N594" t="s">
        <v>100</v>
      </c>
    </row>
    <row r="595" spans="1:14">
      <c r="A595">
        <v>594</v>
      </c>
      <c r="B595">
        <v>27</v>
      </c>
      <c r="C595" t="s">
        <v>11</v>
      </c>
      <c r="D595" t="s">
        <v>12</v>
      </c>
      <c r="E595" t="s">
        <v>13</v>
      </c>
      <c r="F595">
        <v>31.87</v>
      </c>
      <c r="G595" t="s">
        <v>24</v>
      </c>
      <c r="H595" t="s">
        <v>37</v>
      </c>
      <c r="I595">
        <v>5</v>
      </c>
      <c r="J595">
        <v>22</v>
      </c>
      <c r="K595">
        <v>6</v>
      </c>
      <c r="L595" s="4">
        <v>40.858974358974358</v>
      </c>
      <c r="M595" s="4">
        <v>8.9889743589743567</v>
      </c>
      <c r="N595" t="s">
        <v>91</v>
      </c>
    </row>
    <row r="596" spans="1:14">
      <c r="A596">
        <v>595</v>
      </c>
      <c r="B596">
        <v>24</v>
      </c>
      <c r="C596" t="s">
        <v>16</v>
      </c>
      <c r="D596" t="s">
        <v>17</v>
      </c>
      <c r="E596" t="s">
        <v>42</v>
      </c>
      <c r="F596">
        <v>128.63999999999999</v>
      </c>
      <c r="G596" t="s">
        <v>14</v>
      </c>
      <c r="H596" t="s">
        <v>15</v>
      </c>
      <c r="I596">
        <v>4.4000000000000004</v>
      </c>
      <c r="J596">
        <v>22</v>
      </c>
      <c r="K596">
        <v>6</v>
      </c>
      <c r="L596" s="4">
        <v>164.92307692307691</v>
      </c>
      <c r="M596" s="4">
        <v>36.283076923076919</v>
      </c>
      <c r="N596" t="s">
        <v>100</v>
      </c>
    </row>
    <row r="597" spans="1:14">
      <c r="A597">
        <v>596</v>
      </c>
      <c r="B597">
        <v>57</v>
      </c>
      <c r="C597" t="s">
        <v>11</v>
      </c>
      <c r="D597" t="s">
        <v>33</v>
      </c>
      <c r="E597" t="s">
        <v>40</v>
      </c>
      <c r="F597">
        <v>107.31</v>
      </c>
      <c r="G597" t="s">
        <v>24</v>
      </c>
      <c r="H597" t="s">
        <v>15</v>
      </c>
      <c r="I597">
        <v>3.6</v>
      </c>
      <c r="J597">
        <v>16</v>
      </c>
      <c r="K597">
        <v>8</v>
      </c>
      <c r="L597" s="4">
        <v>127.75000000000001</v>
      </c>
      <c r="M597" s="4">
        <v>20.440000000000012</v>
      </c>
      <c r="N597" t="s">
        <v>94</v>
      </c>
    </row>
    <row r="598" spans="1:14">
      <c r="A598">
        <v>597</v>
      </c>
      <c r="B598">
        <v>37</v>
      </c>
      <c r="C598" t="s">
        <v>11</v>
      </c>
      <c r="D598" t="s">
        <v>20</v>
      </c>
      <c r="E598" t="s">
        <v>21</v>
      </c>
      <c r="F598">
        <v>160.72</v>
      </c>
      <c r="G598" t="s">
        <v>19</v>
      </c>
      <c r="H598" t="s">
        <v>15</v>
      </c>
      <c r="I598">
        <v>3.8</v>
      </c>
      <c r="J598">
        <v>8</v>
      </c>
      <c r="K598">
        <v>4</v>
      </c>
      <c r="L598" s="4">
        <v>174.69565217391303</v>
      </c>
      <c r="M598" s="4">
        <v>13.975652173913033</v>
      </c>
      <c r="N598" t="s">
        <v>92</v>
      </c>
    </row>
    <row r="599" spans="1:14">
      <c r="A599">
        <v>598</v>
      </c>
      <c r="B599">
        <v>44</v>
      </c>
      <c r="C599" t="s">
        <v>16</v>
      </c>
      <c r="D599" t="s">
        <v>17</v>
      </c>
      <c r="E599" t="s">
        <v>48</v>
      </c>
      <c r="F599">
        <v>74.66</v>
      </c>
      <c r="G599" t="s">
        <v>14</v>
      </c>
      <c r="H599" t="s">
        <v>37</v>
      </c>
      <c r="I599">
        <v>3</v>
      </c>
      <c r="J599">
        <v>13</v>
      </c>
      <c r="K599">
        <v>4</v>
      </c>
      <c r="L599" s="4">
        <v>85.81609195402298</v>
      </c>
      <c r="M599" s="4">
        <v>11.156091954022983</v>
      </c>
      <c r="N599" t="s">
        <v>92</v>
      </c>
    </row>
    <row r="600" spans="1:14">
      <c r="A600">
        <v>599</v>
      </c>
      <c r="B600">
        <v>69</v>
      </c>
      <c r="C600" t="s">
        <v>16</v>
      </c>
      <c r="D600" t="s">
        <v>33</v>
      </c>
      <c r="E600" t="s">
        <v>40</v>
      </c>
      <c r="F600">
        <v>210.5</v>
      </c>
      <c r="G600" t="s">
        <v>24</v>
      </c>
      <c r="H600" t="s">
        <v>15</v>
      </c>
      <c r="I600">
        <v>3.8</v>
      </c>
      <c r="J600">
        <v>13</v>
      </c>
      <c r="K600">
        <v>4</v>
      </c>
      <c r="L600" s="4">
        <v>241.95402298850576</v>
      </c>
      <c r="M600" s="4">
        <v>31.454022988505756</v>
      </c>
      <c r="N600" t="s">
        <v>95</v>
      </c>
    </row>
    <row r="601" spans="1:14">
      <c r="A601">
        <v>600</v>
      </c>
      <c r="B601">
        <v>24</v>
      </c>
      <c r="C601" t="s">
        <v>16</v>
      </c>
      <c r="D601" t="s">
        <v>17</v>
      </c>
      <c r="E601" t="s">
        <v>18</v>
      </c>
      <c r="F601">
        <v>35.35</v>
      </c>
      <c r="G601" t="s">
        <v>24</v>
      </c>
      <c r="H601" t="s">
        <v>15</v>
      </c>
      <c r="I601">
        <v>3.6</v>
      </c>
      <c r="J601">
        <v>21</v>
      </c>
      <c r="K601">
        <v>8</v>
      </c>
      <c r="L601" s="4">
        <v>44.746835443037973</v>
      </c>
      <c r="M601" s="4">
        <v>9.3968354430379719</v>
      </c>
      <c r="N601" t="s">
        <v>100</v>
      </c>
    </row>
    <row r="602" spans="1:14">
      <c r="A602">
        <v>601</v>
      </c>
      <c r="B602">
        <v>48</v>
      </c>
      <c r="C602" t="s">
        <v>16</v>
      </c>
      <c r="D602" t="s">
        <v>20</v>
      </c>
      <c r="E602" t="s">
        <v>39</v>
      </c>
      <c r="F602">
        <v>63.8</v>
      </c>
      <c r="G602" t="s">
        <v>24</v>
      </c>
      <c r="H602" t="s">
        <v>37</v>
      </c>
      <c r="I602">
        <v>4.2</v>
      </c>
      <c r="J602">
        <v>15</v>
      </c>
      <c r="K602">
        <v>5</v>
      </c>
      <c r="L602" s="4">
        <v>75.058823529411768</v>
      </c>
      <c r="M602" s="4">
        <v>11.258823529411771</v>
      </c>
      <c r="N602" t="s">
        <v>93</v>
      </c>
    </row>
    <row r="603" spans="1:14">
      <c r="A603">
        <v>602</v>
      </c>
      <c r="B603">
        <v>50</v>
      </c>
      <c r="C603" t="s">
        <v>16</v>
      </c>
      <c r="D603" t="s">
        <v>33</v>
      </c>
      <c r="E603" t="s">
        <v>38</v>
      </c>
      <c r="F603">
        <v>66.64</v>
      </c>
      <c r="G603" t="s">
        <v>31</v>
      </c>
      <c r="H603" t="s">
        <v>15</v>
      </c>
      <c r="I603">
        <v>5</v>
      </c>
      <c r="J603">
        <v>15</v>
      </c>
      <c r="K603">
        <v>5</v>
      </c>
      <c r="L603" s="4">
        <v>78.400000000000006</v>
      </c>
      <c r="M603" s="4">
        <v>11.760000000000005</v>
      </c>
      <c r="N603" t="s">
        <v>93</v>
      </c>
    </row>
    <row r="604" spans="1:14">
      <c r="A604">
        <v>603</v>
      </c>
      <c r="B604">
        <v>33</v>
      </c>
      <c r="C604" t="s">
        <v>11</v>
      </c>
      <c r="D604" t="s">
        <v>20</v>
      </c>
      <c r="E604" t="s">
        <v>39</v>
      </c>
      <c r="F604">
        <v>26.47</v>
      </c>
      <c r="G604" t="s">
        <v>19</v>
      </c>
      <c r="H604" t="s">
        <v>37</v>
      </c>
      <c r="I604">
        <v>2.7</v>
      </c>
      <c r="J604">
        <v>4</v>
      </c>
      <c r="K604">
        <v>2</v>
      </c>
      <c r="L604" s="4">
        <v>27.572916666666668</v>
      </c>
      <c r="M604" s="4">
        <v>1.102916666666669</v>
      </c>
      <c r="N604" t="s">
        <v>91</v>
      </c>
    </row>
    <row r="605" spans="1:14">
      <c r="A605">
        <v>604</v>
      </c>
      <c r="B605">
        <v>67</v>
      </c>
      <c r="C605" t="s">
        <v>16</v>
      </c>
      <c r="D605" t="s">
        <v>33</v>
      </c>
      <c r="E605" t="s">
        <v>34</v>
      </c>
      <c r="F605">
        <v>233.68</v>
      </c>
      <c r="G605" t="s">
        <v>14</v>
      </c>
      <c r="H605" t="s">
        <v>15</v>
      </c>
      <c r="I605">
        <v>3.3</v>
      </c>
      <c r="J605">
        <v>13</v>
      </c>
      <c r="K605">
        <v>4</v>
      </c>
      <c r="L605" s="4">
        <v>268.59770114942529</v>
      </c>
      <c r="M605" s="4">
        <v>34.917701149425284</v>
      </c>
      <c r="N605" t="s">
        <v>95</v>
      </c>
    </row>
    <row r="606" spans="1:14">
      <c r="A606">
        <v>605</v>
      </c>
      <c r="B606">
        <v>48</v>
      </c>
      <c r="C606" t="s">
        <v>11</v>
      </c>
      <c r="D606" t="s">
        <v>20</v>
      </c>
      <c r="E606" t="s">
        <v>39</v>
      </c>
      <c r="F606">
        <v>184.2</v>
      </c>
      <c r="G606" t="s">
        <v>19</v>
      </c>
      <c r="H606" t="s">
        <v>15</v>
      </c>
      <c r="I606">
        <v>4.3</v>
      </c>
      <c r="J606">
        <v>19</v>
      </c>
      <c r="K606">
        <v>7</v>
      </c>
      <c r="L606" s="4">
        <v>227.40740740740739</v>
      </c>
      <c r="M606" s="4">
        <v>43.207407407407402</v>
      </c>
      <c r="N606" t="s">
        <v>93</v>
      </c>
    </row>
    <row r="607" spans="1:14">
      <c r="A607">
        <v>606</v>
      </c>
      <c r="B607">
        <v>43</v>
      </c>
      <c r="C607" t="s">
        <v>11</v>
      </c>
      <c r="D607" t="s">
        <v>33</v>
      </c>
      <c r="E607" t="s">
        <v>34</v>
      </c>
      <c r="F607">
        <v>209.23</v>
      </c>
      <c r="G607" t="s">
        <v>24</v>
      </c>
      <c r="H607" t="s">
        <v>15</v>
      </c>
      <c r="I607">
        <v>3</v>
      </c>
      <c r="J607">
        <v>13</v>
      </c>
      <c r="K607">
        <v>4</v>
      </c>
      <c r="L607" s="4">
        <v>240.4942528735632</v>
      </c>
      <c r="M607" s="4">
        <v>31.264252873563208</v>
      </c>
      <c r="N607" t="s">
        <v>92</v>
      </c>
    </row>
    <row r="608" spans="1:14">
      <c r="A608">
        <v>607</v>
      </c>
      <c r="B608">
        <v>55</v>
      </c>
      <c r="C608" t="s">
        <v>16</v>
      </c>
      <c r="D608" t="s">
        <v>20</v>
      </c>
      <c r="E608" t="s">
        <v>21</v>
      </c>
      <c r="F608">
        <v>225.1</v>
      </c>
      <c r="G608" t="s">
        <v>24</v>
      </c>
      <c r="H608" t="s">
        <v>15</v>
      </c>
      <c r="I608">
        <v>4.8</v>
      </c>
      <c r="J608">
        <v>12</v>
      </c>
      <c r="K608">
        <v>6</v>
      </c>
      <c r="L608" s="4">
        <v>255.79545454545453</v>
      </c>
      <c r="M608" s="4">
        <v>30.695454545454538</v>
      </c>
      <c r="N608" t="s">
        <v>94</v>
      </c>
    </row>
    <row r="609" spans="1:14">
      <c r="A609">
        <v>608</v>
      </c>
      <c r="B609">
        <v>26</v>
      </c>
      <c r="C609" t="s">
        <v>16</v>
      </c>
      <c r="D609" t="s">
        <v>17</v>
      </c>
      <c r="E609" t="s">
        <v>48</v>
      </c>
      <c r="F609">
        <v>172.87</v>
      </c>
      <c r="G609" t="s">
        <v>31</v>
      </c>
      <c r="H609" t="s">
        <v>15</v>
      </c>
      <c r="I609">
        <v>3.3</v>
      </c>
      <c r="J609">
        <v>17</v>
      </c>
      <c r="K609">
        <v>6</v>
      </c>
      <c r="L609" s="4">
        <v>208.27710843373495</v>
      </c>
      <c r="M609" s="4">
        <v>35.407108433734948</v>
      </c>
      <c r="N609" t="s">
        <v>91</v>
      </c>
    </row>
    <row r="610" spans="1:14">
      <c r="A610">
        <v>609</v>
      </c>
      <c r="B610">
        <v>56</v>
      </c>
      <c r="C610" t="s">
        <v>16</v>
      </c>
      <c r="D610" t="s">
        <v>27</v>
      </c>
      <c r="E610" t="s">
        <v>49</v>
      </c>
      <c r="F610">
        <v>2831.6</v>
      </c>
      <c r="G610" t="s">
        <v>14</v>
      </c>
      <c r="H610" t="s">
        <v>15</v>
      </c>
      <c r="I610">
        <v>4.7</v>
      </c>
      <c r="J610">
        <v>15</v>
      </c>
      <c r="K610">
        <v>5</v>
      </c>
      <c r="L610" s="4">
        <v>3331.294117647059</v>
      </c>
      <c r="M610" s="4">
        <v>499.6941176470591</v>
      </c>
      <c r="N610" t="s">
        <v>94</v>
      </c>
    </row>
    <row r="611" spans="1:14">
      <c r="A611">
        <v>610</v>
      </c>
      <c r="B611">
        <v>52</v>
      </c>
      <c r="C611" t="s">
        <v>11</v>
      </c>
      <c r="D611" t="s">
        <v>12</v>
      </c>
      <c r="E611" t="s">
        <v>13</v>
      </c>
      <c r="F611">
        <v>20.11</v>
      </c>
      <c r="G611" t="s">
        <v>19</v>
      </c>
      <c r="H611" t="s">
        <v>15</v>
      </c>
      <c r="I611">
        <v>5</v>
      </c>
      <c r="J611">
        <v>8</v>
      </c>
      <c r="K611">
        <v>4</v>
      </c>
      <c r="L611" s="4">
        <v>21.85869565217391</v>
      </c>
      <c r="M611" s="4">
        <v>1.748695652173911</v>
      </c>
      <c r="N611" t="s">
        <v>93</v>
      </c>
    </row>
    <row r="612" spans="1:14">
      <c r="A612">
        <v>611</v>
      </c>
      <c r="B612">
        <v>32</v>
      </c>
      <c r="C612" t="s">
        <v>16</v>
      </c>
      <c r="D612" t="s">
        <v>25</v>
      </c>
      <c r="E612" t="s">
        <v>26</v>
      </c>
      <c r="F612">
        <v>58.96</v>
      </c>
      <c r="G612" t="s">
        <v>24</v>
      </c>
      <c r="H612" t="s">
        <v>37</v>
      </c>
      <c r="I612">
        <v>4.8</v>
      </c>
      <c r="J612">
        <v>4</v>
      </c>
      <c r="K612">
        <v>2</v>
      </c>
      <c r="L612" s="4">
        <v>61.416666666666671</v>
      </c>
      <c r="M612" s="4">
        <v>2.4566666666666706</v>
      </c>
      <c r="N612" t="s">
        <v>91</v>
      </c>
    </row>
    <row r="613" spans="1:14">
      <c r="A613">
        <v>612</v>
      </c>
      <c r="B613">
        <v>44</v>
      </c>
      <c r="C613" t="s">
        <v>11</v>
      </c>
      <c r="D613" t="s">
        <v>12</v>
      </c>
      <c r="E613" t="s">
        <v>56</v>
      </c>
      <c r="F613">
        <v>170.49</v>
      </c>
      <c r="G613" t="s">
        <v>14</v>
      </c>
      <c r="H613" t="s">
        <v>15</v>
      </c>
      <c r="I613">
        <v>2.9</v>
      </c>
      <c r="J613">
        <v>18</v>
      </c>
      <c r="K613">
        <v>9</v>
      </c>
      <c r="L613" s="4">
        <v>207.91463414634146</v>
      </c>
      <c r="M613" s="4">
        <v>37.424634146341447</v>
      </c>
      <c r="N613" t="s">
        <v>92</v>
      </c>
    </row>
    <row r="614" spans="1:14">
      <c r="A614">
        <v>613</v>
      </c>
      <c r="B614">
        <v>44</v>
      </c>
      <c r="C614" t="s">
        <v>11</v>
      </c>
      <c r="D614" t="s">
        <v>41</v>
      </c>
      <c r="E614" t="s">
        <v>44</v>
      </c>
      <c r="F614">
        <v>65.05</v>
      </c>
      <c r="G614" t="s">
        <v>31</v>
      </c>
      <c r="H614" t="s">
        <v>37</v>
      </c>
      <c r="I614">
        <v>3.4</v>
      </c>
      <c r="J614">
        <v>19</v>
      </c>
      <c r="K614">
        <v>7</v>
      </c>
      <c r="L614" s="4">
        <v>80.308641975308632</v>
      </c>
      <c r="M614" s="4">
        <v>15.258641975308635</v>
      </c>
      <c r="N614" t="s">
        <v>92</v>
      </c>
    </row>
    <row r="615" spans="1:14">
      <c r="A615">
        <v>614</v>
      </c>
      <c r="B615">
        <v>32</v>
      </c>
      <c r="C615" t="s">
        <v>11</v>
      </c>
      <c r="D615" t="s">
        <v>41</v>
      </c>
      <c r="E615" t="s">
        <v>42</v>
      </c>
      <c r="F615">
        <v>35.659999999999997</v>
      </c>
      <c r="G615" t="s">
        <v>31</v>
      </c>
      <c r="H615" t="s">
        <v>37</v>
      </c>
      <c r="I615">
        <v>4.0999999999999996</v>
      </c>
      <c r="J615">
        <v>17</v>
      </c>
      <c r="K615">
        <v>6</v>
      </c>
      <c r="L615" s="4">
        <v>42.963855421686745</v>
      </c>
      <c r="M615" s="4">
        <v>7.3038554216867482</v>
      </c>
      <c r="N615" t="s">
        <v>91</v>
      </c>
    </row>
    <row r="616" spans="1:14">
      <c r="A616">
        <v>615</v>
      </c>
      <c r="B616">
        <v>32</v>
      </c>
      <c r="C616" t="s">
        <v>11</v>
      </c>
      <c r="D616" t="s">
        <v>20</v>
      </c>
      <c r="E616" t="s">
        <v>39</v>
      </c>
      <c r="F616">
        <v>37.450000000000003</v>
      </c>
      <c r="G616" t="s">
        <v>24</v>
      </c>
      <c r="H616" t="s">
        <v>15</v>
      </c>
      <c r="I616">
        <v>3.2</v>
      </c>
      <c r="J616">
        <v>2</v>
      </c>
      <c r="K616">
        <v>1</v>
      </c>
      <c r="L616" s="4">
        <v>38.214285714285715</v>
      </c>
      <c r="M616" s="4">
        <v>0.76428571428571246</v>
      </c>
      <c r="N616" t="s">
        <v>91</v>
      </c>
    </row>
    <row r="617" spans="1:14">
      <c r="A617">
        <v>616</v>
      </c>
      <c r="B617">
        <v>26</v>
      </c>
      <c r="C617" t="s">
        <v>11</v>
      </c>
      <c r="D617" t="s">
        <v>12</v>
      </c>
      <c r="E617" t="s">
        <v>50</v>
      </c>
      <c r="F617">
        <v>170.43</v>
      </c>
      <c r="G617" t="s">
        <v>19</v>
      </c>
      <c r="H617" t="s">
        <v>15</v>
      </c>
      <c r="I617">
        <v>3.1</v>
      </c>
      <c r="J617">
        <v>17</v>
      </c>
      <c r="K617">
        <v>6</v>
      </c>
      <c r="L617" s="4">
        <v>205.33734939759037</v>
      </c>
      <c r="M617" s="4">
        <v>34.907349397590366</v>
      </c>
      <c r="N617" t="s">
        <v>91</v>
      </c>
    </row>
    <row r="618" spans="1:14">
      <c r="A618">
        <v>617</v>
      </c>
      <c r="B618">
        <v>30</v>
      </c>
      <c r="C618" t="s">
        <v>11</v>
      </c>
      <c r="D618" t="s">
        <v>33</v>
      </c>
      <c r="E618" t="s">
        <v>38</v>
      </c>
      <c r="F618">
        <v>61.98</v>
      </c>
      <c r="G618" t="s">
        <v>19</v>
      </c>
      <c r="H618" t="s">
        <v>15</v>
      </c>
      <c r="I618">
        <v>3.5</v>
      </c>
      <c r="J618">
        <v>10</v>
      </c>
      <c r="K618">
        <v>5</v>
      </c>
      <c r="L618" s="4">
        <v>68.86666666666666</v>
      </c>
      <c r="M618" s="4">
        <v>6.8866666666666632</v>
      </c>
      <c r="N618" t="s">
        <v>91</v>
      </c>
    </row>
    <row r="619" spans="1:14">
      <c r="A619">
        <v>618</v>
      </c>
      <c r="B619">
        <v>54</v>
      </c>
      <c r="C619" t="s">
        <v>11</v>
      </c>
      <c r="D619" t="s">
        <v>41</v>
      </c>
      <c r="E619" t="s">
        <v>46</v>
      </c>
      <c r="F619">
        <v>97.85</v>
      </c>
      <c r="G619" t="s">
        <v>14</v>
      </c>
      <c r="H619" t="s">
        <v>37</v>
      </c>
      <c r="I619">
        <v>3.6</v>
      </c>
      <c r="J619">
        <v>12</v>
      </c>
      <c r="K619">
        <v>6</v>
      </c>
      <c r="L619" s="4">
        <v>111.19318181818181</v>
      </c>
      <c r="M619" s="4">
        <v>13.343181818181819</v>
      </c>
      <c r="N619" t="s">
        <v>93</v>
      </c>
    </row>
    <row r="620" spans="1:14">
      <c r="A620">
        <v>619</v>
      </c>
      <c r="B620">
        <v>44</v>
      </c>
      <c r="C620" t="s">
        <v>16</v>
      </c>
      <c r="D620" t="s">
        <v>33</v>
      </c>
      <c r="E620" t="s">
        <v>38</v>
      </c>
      <c r="F620">
        <v>180.53</v>
      </c>
      <c r="G620" t="s">
        <v>14</v>
      </c>
      <c r="H620" t="s">
        <v>15</v>
      </c>
      <c r="I620">
        <v>3.4</v>
      </c>
      <c r="J620">
        <v>26</v>
      </c>
      <c r="K620">
        <v>8</v>
      </c>
      <c r="L620" s="4">
        <v>243.95945945945945</v>
      </c>
      <c r="M620" s="4">
        <v>63.429459459459451</v>
      </c>
      <c r="N620" t="s">
        <v>92</v>
      </c>
    </row>
    <row r="621" spans="1:14">
      <c r="A621">
        <v>620</v>
      </c>
      <c r="B621">
        <v>70</v>
      </c>
      <c r="C621" t="s">
        <v>16</v>
      </c>
      <c r="D621" t="s">
        <v>27</v>
      </c>
      <c r="E621" t="s">
        <v>28</v>
      </c>
      <c r="F621">
        <v>2658.73</v>
      </c>
      <c r="G621" t="s">
        <v>31</v>
      </c>
      <c r="H621" t="s">
        <v>15</v>
      </c>
      <c r="I621">
        <v>4.3</v>
      </c>
      <c r="J621">
        <v>22</v>
      </c>
      <c r="K621">
        <v>6</v>
      </c>
      <c r="L621" s="4">
        <v>3408.6282051282051</v>
      </c>
      <c r="M621" s="4">
        <v>749.89820512820506</v>
      </c>
      <c r="N621" t="s">
        <v>95</v>
      </c>
    </row>
    <row r="622" spans="1:14">
      <c r="A622">
        <v>621</v>
      </c>
      <c r="B622">
        <v>32</v>
      </c>
      <c r="C622" t="s">
        <v>16</v>
      </c>
      <c r="D622" t="s">
        <v>33</v>
      </c>
      <c r="E622" t="s">
        <v>38</v>
      </c>
      <c r="F622">
        <v>158.28</v>
      </c>
      <c r="G622" t="s">
        <v>14</v>
      </c>
      <c r="H622" t="s">
        <v>15</v>
      </c>
      <c r="I622">
        <v>4.0999999999999996</v>
      </c>
      <c r="J622">
        <v>26</v>
      </c>
      <c r="K622">
        <v>8</v>
      </c>
      <c r="L622" s="4">
        <v>213.8918918918919</v>
      </c>
      <c r="M622" s="4">
        <v>55.611891891891901</v>
      </c>
      <c r="N622" t="s">
        <v>91</v>
      </c>
    </row>
    <row r="623" spans="1:14">
      <c r="A623">
        <v>622</v>
      </c>
      <c r="B623">
        <v>57</v>
      </c>
      <c r="C623" t="s">
        <v>16</v>
      </c>
      <c r="D623" t="s">
        <v>20</v>
      </c>
      <c r="E623" t="s">
        <v>36</v>
      </c>
      <c r="F623">
        <v>222.98</v>
      </c>
      <c r="G623" t="s">
        <v>24</v>
      </c>
      <c r="H623" t="s">
        <v>15</v>
      </c>
      <c r="I623">
        <v>3.5</v>
      </c>
      <c r="J623">
        <v>24</v>
      </c>
      <c r="K623">
        <v>7</v>
      </c>
      <c r="L623" s="4">
        <v>293.39473684210526</v>
      </c>
      <c r="M623" s="4">
        <v>70.41473684210527</v>
      </c>
      <c r="N623" t="s">
        <v>94</v>
      </c>
    </row>
    <row r="624" spans="1:14">
      <c r="A624">
        <v>623</v>
      </c>
      <c r="B624">
        <v>49</v>
      </c>
      <c r="C624" t="s">
        <v>16</v>
      </c>
      <c r="D624" t="s">
        <v>17</v>
      </c>
      <c r="E624" t="s">
        <v>18</v>
      </c>
      <c r="F624">
        <v>197.05</v>
      </c>
      <c r="G624" t="s">
        <v>24</v>
      </c>
      <c r="H624" t="s">
        <v>15</v>
      </c>
      <c r="I624">
        <v>4.4000000000000004</v>
      </c>
      <c r="J624">
        <v>17</v>
      </c>
      <c r="K624">
        <v>6</v>
      </c>
      <c r="L624" s="4">
        <v>237.40963855421688</v>
      </c>
      <c r="M624" s="4">
        <v>40.359638554216872</v>
      </c>
      <c r="N624" t="s">
        <v>93</v>
      </c>
    </row>
    <row r="625" spans="1:14">
      <c r="A625">
        <v>624</v>
      </c>
      <c r="B625">
        <v>48</v>
      </c>
      <c r="C625" t="s">
        <v>16</v>
      </c>
      <c r="D625" t="s">
        <v>20</v>
      </c>
      <c r="E625" t="s">
        <v>36</v>
      </c>
      <c r="F625">
        <v>97.69</v>
      </c>
      <c r="G625" t="s">
        <v>31</v>
      </c>
      <c r="H625" t="s">
        <v>37</v>
      </c>
      <c r="I625">
        <v>3.4</v>
      </c>
      <c r="J625">
        <v>19</v>
      </c>
      <c r="K625">
        <v>7</v>
      </c>
      <c r="L625" s="4">
        <v>120.60493827160492</v>
      </c>
      <c r="M625" s="4">
        <v>22.914938271604925</v>
      </c>
      <c r="N625" t="s">
        <v>93</v>
      </c>
    </row>
    <row r="626" spans="1:14">
      <c r="A626">
        <v>625</v>
      </c>
      <c r="B626">
        <v>35</v>
      </c>
      <c r="C626" t="s">
        <v>16</v>
      </c>
      <c r="D626" t="s">
        <v>27</v>
      </c>
      <c r="E626" t="s">
        <v>28</v>
      </c>
      <c r="F626">
        <v>761.2</v>
      </c>
      <c r="G626" t="s">
        <v>31</v>
      </c>
      <c r="H626" t="s">
        <v>15</v>
      </c>
      <c r="I626">
        <v>5</v>
      </c>
      <c r="J626">
        <v>24</v>
      </c>
      <c r="K626">
        <v>7</v>
      </c>
      <c r="L626" s="4">
        <v>1001.5789473684212</v>
      </c>
      <c r="M626" s="4">
        <v>240.37894736842111</v>
      </c>
      <c r="N626" t="s">
        <v>92</v>
      </c>
    </row>
    <row r="627" spans="1:14">
      <c r="A627">
        <v>626</v>
      </c>
      <c r="B627">
        <v>63</v>
      </c>
      <c r="C627" t="s">
        <v>11</v>
      </c>
      <c r="D627" t="s">
        <v>33</v>
      </c>
      <c r="E627" t="s">
        <v>34</v>
      </c>
      <c r="F627">
        <v>208.69</v>
      </c>
      <c r="G627" t="s">
        <v>24</v>
      </c>
      <c r="H627" t="s">
        <v>15</v>
      </c>
      <c r="I627">
        <v>3.2</v>
      </c>
      <c r="J627">
        <v>13</v>
      </c>
      <c r="K627">
        <v>4</v>
      </c>
      <c r="L627" s="4">
        <v>239.87356321839081</v>
      </c>
      <c r="M627" s="4">
        <v>31.183563218390816</v>
      </c>
      <c r="N627" t="s">
        <v>94</v>
      </c>
    </row>
    <row r="628" spans="1:14">
      <c r="A628">
        <v>627</v>
      </c>
      <c r="B628">
        <v>60</v>
      </c>
      <c r="C628" t="s">
        <v>11</v>
      </c>
      <c r="D628" t="s">
        <v>41</v>
      </c>
      <c r="E628" t="s">
        <v>46</v>
      </c>
      <c r="F628">
        <v>31.81</v>
      </c>
      <c r="G628" t="s">
        <v>19</v>
      </c>
      <c r="H628" t="s">
        <v>15</v>
      </c>
      <c r="I628">
        <v>3.5</v>
      </c>
      <c r="J628">
        <v>12</v>
      </c>
      <c r="K628">
        <v>6</v>
      </c>
      <c r="L628" s="4">
        <v>36.147727272727273</v>
      </c>
      <c r="M628" s="4">
        <v>4.3377272727272747</v>
      </c>
      <c r="N628" t="s">
        <v>94</v>
      </c>
    </row>
    <row r="629" spans="1:14">
      <c r="A629">
        <v>628</v>
      </c>
      <c r="B629">
        <v>29</v>
      </c>
      <c r="C629" t="s">
        <v>16</v>
      </c>
      <c r="D629" t="s">
        <v>27</v>
      </c>
      <c r="E629" t="s">
        <v>49</v>
      </c>
      <c r="F629">
        <v>1170.69</v>
      </c>
      <c r="G629" t="s">
        <v>31</v>
      </c>
      <c r="H629" t="s">
        <v>15</v>
      </c>
      <c r="I629">
        <v>3.5</v>
      </c>
      <c r="J629">
        <v>16</v>
      </c>
      <c r="K629">
        <v>3</v>
      </c>
      <c r="L629" s="4">
        <v>1393.6785714285716</v>
      </c>
      <c r="M629" s="4">
        <v>222.9885714285715</v>
      </c>
      <c r="N629" t="s">
        <v>91</v>
      </c>
    </row>
    <row r="630" spans="1:14">
      <c r="A630">
        <v>629</v>
      </c>
      <c r="B630">
        <v>54</v>
      </c>
      <c r="C630" t="s">
        <v>16</v>
      </c>
      <c r="D630" t="s">
        <v>33</v>
      </c>
      <c r="E630" t="s">
        <v>34</v>
      </c>
      <c r="F630">
        <v>66.739999999999995</v>
      </c>
      <c r="G630" t="s">
        <v>14</v>
      </c>
      <c r="H630" t="s">
        <v>37</v>
      </c>
      <c r="I630">
        <v>4.3</v>
      </c>
      <c r="J630">
        <v>12</v>
      </c>
      <c r="K630">
        <v>6</v>
      </c>
      <c r="L630" s="4">
        <v>75.840909090909079</v>
      </c>
      <c r="M630" s="4">
        <v>9.1009090909090844</v>
      </c>
      <c r="N630" t="s">
        <v>93</v>
      </c>
    </row>
    <row r="631" spans="1:14">
      <c r="A631">
        <v>630</v>
      </c>
      <c r="B631">
        <v>23</v>
      </c>
      <c r="C631" t="s">
        <v>11</v>
      </c>
      <c r="D631" t="s">
        <v>29</v>
      </c>
      <c r="E631" t="s">
        <v>55</v>
      </c>
      <c r="F631">
        <v>39.909999999999997</v>
      </c>
      <c r="G631" t="s">
        <v>19</v>
      </c>
      <c r="H631" t="s">
        <v>37</v>
      </c>
      <c r="I631">
        <v>3.3</v>
      </c>
      <c r="J631">
        <v>2</v>
      </c>
      <c r="K631">
        <v>1</v>
      </c>
      <c r="L631" s="4">
        <v>40.724489795918366</v>
      </c>
      <c r="M631" s="4">
        <v>0.81448979591836945</v>
      </c>
      <c r="N631" t="s">
        <v>100</v>
      </c>
    </row>
    <row r="632" spans="1:14">
      <c r="A632">
        <v>631</v>
      </c>
      <c r="B632">
        <v>42</v>
      </c>
      <c r="C632" t="s">
        <v>11</v>
      </c>
      <c r="D632" t="s">
        <v>25</v>
      </c>
      <c r="E632" t="s">
        <v>54</v>
      </c>
      <c r="F632">
        <v>10.19</v>
      </c>
      <c r="G632" t="s">
        <v>14</v>
      </c>
      <c r="H632" t="s">
        <v>37</v>
      </c>
      <c r="I632">
        <v>4.0999999999999996</v>
      </c>
      <c r="J632">
        <v>14</v>
      </c>
      <c r="K632">
        <v>7</v>
      </c>
      <c r="L632" s="4">
        <v>11.848837209302324</v>
      </c>
      <c r="M632" s="4">
        <v>1.6588372093023249</v>
      </c>
      <c r="N632" t="s">
        <v>92</v>
      </c>
    </row>
    <row r="633" spans="1:14">
      <c r="A633">
        <v>632</v>
      </c>
      <c r="B633">
        <v>70</v>
      </c>
      <c r="C633" t="s">
        <v>16</v>
      </c>
      <c r="D633" t="s">
        <v>17</v>
      </c>
      <c r="E633" t="s">
        <v>42</v>
      </c>
      <c r="F633">
        <v>69.05</v>
      </c>
      <c r="G633" t="s">
        <v>14</v>
      </c>
      <c r="H633" t="s">
        <v>15</v>
      </c>
      <c r="I633">
        <v>3.9</v>
      </c>
      <c r="J633">
        <v>8</v>
      </c>
      <c r="K633">
        <v>4</v>
      </c>
      <c r="L633" s="4">
        <v>75.054347826086953</v>
      </c>
      <c r="M633" s="4">
        <v>6.0043478260869563</v>
      </c>
      <c r="N633" t="s">
        <v>95</v>
      </c>
    </row>
    <row r="634" spans="1:14">
      <c r="A634">
        <v>633</v>
      </c>
      <c r="B634">
        <v>29</v>
      </c>
      <c r="C634" t="s">
        <v>16</v>
      </c>
      <c r="D634" t="s">
        <v>33</v>
      </c>
      <c r="E634" t="s">
        <v>40</v>
      </c>
      <c r="F634">
        <v>91.99</v>
      </c>
      <c r="G634" t="s">
        <v>24</v>
      </c>
      <c r="H634" t="s">
        <v>15</v>
      </c>
      <c r="I634">
        <v>2.9</v>
      </c>
      <c r="J634">
        <v>25</v>
      </c>
      <c r="K634">
        <v>10</v>
      </c>
      <c r="L634" s="4">
        <v>122.65333333333332</v>
      </c>
      <c r="M634" s="4">
        <v>30.663333333333327</v>
      </c>
      <c r="N634" t="s">
        <v>91</v>
      </c>
    </row>
    <row r="635" spans="1:14">
      <c r="A635">
        <v>634</v>
      </c>
      <c r="B635">
        <v>38</v>
      </c>
      <c r="C635" t="s">
        <v>11</v>
      </c>
      <c r="D635" t="s">
        <v>33</v>
      </c>
      <c r="E635" t="s">
        <v>34</v>
      </c>
      <c r="F635">
        <v>247.76</v>
      </c>
      <c r="G635" t="s">
        <v>24</v>
      </c>
      <c r="H635" t="s">
        <v>15</v>
      </c>
      <c r="I635">
        <v>3.3</v>
      </c>
      <c r="J635">
        <v>11</v>
      </c>
      <c r="K635">
        <v>3</v>
      </c>
      <c r="L635" s="4">
        <v>278.38202247191009</v>
      </c>
      <c r="M635" s="4">
        <v>30.6220224719101</v>
      </c>
      <c r="N635" t="s">
        <v>92</v>
      </c>
    </row>
    <row r="636" spans="1:14">
      <c r="A636">
        <v>635</v>
      </c>
      <c r="B636">
        <v>45</v>
      </c>
      <c r="C636" t="s">
        <v>16</v>
      </c>
      <c r="D636" t="s">
        <v>33</v>
      </c>
      <c r="E636" t="s">
        <v>34</v>
      </c>
      <c r="F636">
        <v>203.46</v>
      </c>
      <c r="G636" t="s">
        <v>14</v>
      </c>
      <c r="H636" t="s">
        <v>15</v>
      </c>
      <c r="I636">
        <v>3.1</v>
      </c>
      <c r="J636">
        <v>10</v>
      </c>
      <c r="K636">
        <v>5</v>
      </c>
      <c r="L636" s="4">
        <v>226.06666666666666</v>
      </c>
      <c r="M636" s="4">
        <v>22.606666666666655</v>
      </c>
      <c r="N636" t="s">
        <v>93</v>
      </c>
    </row>
    <row r="637" spans="1:14">
      <c r="A637">
        <v>636</v>
      </c>
      <c r="B637">
        <v>61</v>
      </c>
      <c r="C637" t="s">
        <v>16</v>
      </c>
      <c r="D637" t="s">
        <v>33</v>
      </c>
      <c r="E637" t="s">
        <v>34</v>
      </c>
      <c r="F637">
        <v>118.53</v>
      </c>
      <c r="G637" t="s">
        <v>31</v>
      </c>
      <c r="H637" t="s">
        <v>15</v>
      </c>
      <c r="I637">
        <v>4.9000000000000004</v>
      </c>
      <c r="J637">
        <v>14</v>
      </c>
      <c r="K637">
        <v>2</v>
      </c>
      <c r="L637" s="4">
        <v>137.82558139534885</v>
      </c>
      <c r="M637" s="4">
        <v>19.295581395348847</v>
      </c>
      <c r="N637" t="s">
        <v>94</v>
      </c>
    </row>
    <row r="638" spans="1:14">
      <c r="A638">
        <v>637</v>
      </c>
      <c r="B638">
        <v>66</v>
      </c>
      <c r="C638" t="s">
        <v>16</v>
      </c>
      <c r="D638" t="s">
        <v>17</v>
      </c>
      <c r="E638" t="s">
        <v>18</v>
      </c>
      <c r="F638">
        <v>63.45</v>
      </c>
      <c r="G638" t="s">
        <v>24</v>
      </c>
      <c r="H638" t="s">
        <v>15</v>
      </c>
      <c r="I638">
        <v>3.6</v>
      </c>
      <c r="J638">
        <v>15</v>
      </c>
      <c r="K638">
        <v>5</v>
      </c>
      <c r="L638" s="4">
        <v>74.64705882352942</v>
      </c>
      <c r="M638" s="4">
        <v>11.197058823529417</v>
      </c>
      <c r="N638" t="s">
        <v>95</v>
      </c>
    </row>
    <row r="639" spans="1:14">
      <c r="A639">
        <v>638</v>
      </c>
      <c r="B639">
        <v>66</v>
      </c>
      <c r="C639" t="s">
        <v>11</v>
      </c>
      <c r="D639" t="s">
        <v>12</v>
      </c>
      <c r="E639" t="s">
        <v>50</v>
      </c>
      <c r="F639">
        <v>129.69</v>
      </c>
      <c r="G639" t="s">
        <v>24</v>
      </c>
      <c r="H639" t="s">
        <v>15</v>
      </c>
      <c r="I639">
        <v>3.1</v>
      </c>
      <c r="J639">
        <v>17</v>
      </c>
      <c r="K639">
        <v>6</v>
      </c>
      <c r="L639" s="4">
        <v>156.25301204819277</v>
      </c>
      <c r="M639" s="4">
        <v>26.563012048192775</v>
      </c>
      <c r="N639" t="s">
        <v>95</v>
      </c>
    </row>
    <row r="640" spans="1:14">
      <c r="A640">
        <v>639</v>
      </c>
      <c r="B640">
        <v>27</v>
      </c>
      <c r="C640" t="s">
        <v>16</v>
      </c>
      <c r="D640" t="s">
        <v>27</v>
      </c>
      <c r="E640" t="s">
        <v>32</v>
      </c>
      <c r="F640">
        <v>736.92</v>
      </c>
      <c r="G640" t="s">
        <v>14</v>
      </c>
      <c r="H640" t="s">
        <v>15</v>
      </c>
      <c r="I640">
        <v>3.3</v>
      </c>
      <c r="J640">
        <v>12</v>
      </c>
      <c r="K640">
        <v>1</v>
      </c>
      <c r="L640" s="4">
        <v>837.40909090909088</v>
      </c>
      <c r="M640" s="4">
        <v>100.48909090909092</v>
      </c>
      <c r="N640" t="s">
        <v>91</v>
      </c>
    </row>
    <row r="641" spans="1:14">
      <c r="A641">
        <v>640</v>
      </c>
      <c r="B641">
        <v>52</v>
      </c>
      <c r="C641" t="s">
        <v>11</v>
      </c>
      <c r="D641" t="s">
        <v>29</v>
      </c>
      <c r="E641" t="s">
        <v>55</v>
      </c>
      <c r="F641">
        <v>87.62</v>
      </c>
      <c r="G641" t="s">
        <v>14</v>
      </c>
      <c r="H641" t="s">
        <v>15</v>
      </c>
      <c r="I641">
        <v>2.9</v>
      </c>
      <c r="J641">
        <v>10</v>
      </c>
      <c r="K641">
        <v>5</v>
      </c>
      <c r="L641" s="4">
        <v>97.355555555555554</v>
      </c>
      <c r="M641" s="4">
        <v>9.7355555555555497</v>
      </c>
      <c r="N641" t="s">
        <v>93</v>
      </c>
    </row>
    <row r="642" spans="1:14">
      <c r="A642">
        <v>641</v>
      </c>
      <c r="B642">
        <v>43</v>
      </c>
      <c r="C642" t="s">
        <v>11</v>
      </c>
      <c r="D642" t="s">
        <v>22</v>
      </c>
      <c r="E642" t="s">
        <v>52</v>
      </c>
      <c r="F642">
        <v>140</v>
      </c>
      <c r="G642" t="s">
        <v>31</v>
      </c>
      <c r="H642" t="s">
        <v>15</v>
      </c>
      <c r="I642">
        <v>3.9</v>
      </c>
      <c r="J642">
        <v>15</v>
      </c>
      <c r="K642">
        <v>5</v>
      </c>
      <c r="L642" s="4">
        <v>164.70588235294119</v>
      </c>
      <c r="M642" s="4">
        <v>24.705882352941188</v>
      </c>
      <c r="N642" t="s">
        <v>92</v>
      </c>
    </row>
    <row r="643" spans="1:14">
      <c r="A643">
        <v>642</v>
      </c>
      <c r="B643">
        <v>35</v>
      </c>
      <c r="C643" t="s">
        <v>16</v>
      </c>
      <c r="D643" t="s">
        <v>20</v>
      </c>
      <c r="E643" t="s">
        <v>21</v>
      </c>
      <c r="F643">
        <v>107.57</v>
      </c>
      <c r="G643" t="s">
        <v>31</v>
      </c>
      <c r="H643" t="s">
        <v>15</v>
      </c>
      <c r="I643">
        <v>3.9</v>
      </c>
      <c r="J643">
        <v>12</v>
      </c>
      <c r="K643">
        <v>6</v>
      </c>
      <c r="L643" s="4">
        <v>122.23863636363636</v>
      </c>
      <c r="M643" s="4">
        <v>14.668636363636367</v>
      </c>
      <c r="N643" t="s">
        <v>92</v>
      </c>
    </row>
    <row r="644" spans="1:14">
      <c r="A644">
        <v>643</v>
      </c>
      <c r="B644">
        <v>34</v>
      </c>
      <c r="C644" t="s">
        <v>16</v>
      </c>
      <c r="D644" t="s">
        <v>25</v>
      </c>
      <c r="E644" t="s">
        <v>54</v>
      </c>
      <c r="F644">
        <v>78.16</v>
      </c>
      <c r="G644" t="s">
        <v>19</v>
      </c>
      <c r="H644" t="s">
        <v>37</v>
      </c>
      <c r="I644">
        <v>2.2000000000000002</v>
      </c>
      <c r="J644">
        <v>4</v>
      </c>
      <c r="K644">
        <v>2</v>
      </c>
      <c r="L644" s="4">
        <v>81.416666666666671</v>
      </c>
      <c r="M644" s="4">
        <v>3.2566666666666748</v>
      </c>
      <c r="N644" t="s">
        <v>91</v>
      </c>
    </row>
    <row r="645" spans="1:14">
      <c r="A645">
        <v>644</v>
      </c>
      <c r="B645">
        <v>51</v>
      </c>
      <c r="C645" t="s">
        <v>11</v>
      </c>
      <c r="D645" t="s">
        <v>41</v>
      </c>
      <c r="E645" t="s">
        <v>46</v>
      </c>
      <c r="F645">
        <v>47.3</v>
      </c>
      <c r="G645" t="s">
        <v>14</v>
      </c>
      <c r="H645" t="s">
        <v>37</v>
      </c>
      <c r="I645">
        <v>3.9</v>
      </c>
      <c r="J645">
        <v>7</v>
      </c>
      <c r="K645">
        <v>1</v>
      </c>
      <c r="L645" s="4">
        <v>50.86021505376344</v>
      </c>
      <c r="M645" s="4">
        <v>3.5602150537634429</v>
      </c>
      <c r="N645" t="s">
        <v>93</v>
      </c>
    </row>
    <row r="646" spans="1:14">
      <c r="A646">
        <v>645</v>
      </c>
      <c r="B646">
        <v>43</v>
      </c>
      <c r="C646" t="s">
        <v>11</v>
      </c>
      <c r="D646" t="s">
        <v>41</v>
      </c>
      <c r="E646" t="s">
        <v>44</v>
      </c>
      <c r="F646">
        <v>143.80000000000001</v>
      </c>
      <c r="G646" t="s">
        <v>14</v>
      </c>
      <c r="H646" t="s">
        <v>15</v>
      </c>
      <c r="I646">
        <v>3.6</v>
      </c>
      <c r="J646">
        <v>12</v>
      </c>
      <c r="K646">
        <v>6</v>
      </c>
      <c r="L646" s="4">
        <v>163.40909090909093</v>
      </c>
      <c r="M646" s="4">
        <v>19.609090909090924</v>
      </c>
      <c r="N646" t="s">
        <v>92</v>
      </c>
    </row>
    <row r="647" spans="1:14">
      <c r="A647">
        <v>646</v>
      </c>
      <c r="B647">
        <v>50</v>
      </c>
      <c r="C647" t="s">
        <v>16</v>
      </c>
      <c r="D647" t="s">
        <v>20</v>
      </c>
      <c r="E647" t="s">
        <v>39</v>
      </c>
      <c r="F647">
        <v>208.8</v>
      </c>
      <c r="G647" t="s">
        <v>31</v>
      </c>
      <c r="H647" t="s">
        <v>15</v>
      </c>
      <c r="I647">
        <v>3.4</v>
      </c>
      <c r="J647">
        <v>4</v>
      </c>
      <c r="K647">
        <v>2</v>
      </c>
      <c r="L647" s="4">
        <v>217.50000000000003</v>
      </c>
      <c r="M647" s="4">
        <v>8.7000000000000171</v>
      </c>
      <c r="N647" t="s">
        <v>93</v>
      </c>
    </row>
    <row r="648" spans="1:14">
      <c r="A648">
        <v>647</v>
      </c>
      <c r="B648">
        <v>33</v>
      </c>
      <c r="C648" t="s">
        <v>16</v>
      </c>
      <c r="D648" t="s">
        <v>22</v>
      </c>
      <c r="E648" t="s">
        <v>43</v>
      </c>
      <c r="F648">
        <v>170.58</v>
      </c>
      <c r="G648" t="s">
        <v>31</v>
      </c>
      <c r="H648" t="s">
        <v>15</v>
      </c>
      <c r="I648">
        <v>4.2</v>
      </c>
      <c r="J648">
        <v>8</v>
      </c>
      <c r="K648">
        <v>4</v>
      </c>
      <c r="L648" s="4">
        <v>185.41304347826087</v>
      </c>
      <c r="M648" s="4">
        <v>14.833043478260862</v>
      </c>
      <c r="N648" t="s">
        <v>91</v>
      </c>
    </row>
    <row r="649" spans="1:14">
      <c r="A649">
        <v>648</v>
      </c>
      <c r="B649">
        <v>30</v>
      </c>
      <c r="C649" t="s">
        <v>16</v>
      </c>
      <c r="D649" t="s">
        <v>17</v>
      </c>
      <c r="E649" t="s">
        <v>42</v>
      </c>
      <c r="F649">
        <v>42.67</v>
      </c>
      <c r="G649" t="s">
        <v>14</v>
      </c>
      <c r="H649" t="s">
        <v>37</v>
      </c>
      <c r="I649">
        <v>4.0999999999999996</v>
      </c>
      <c r="J649">
        <v>8</v>
      </c>
      <c r="K649">
        <v>4</v>
      </c>
      <c r="L649" s="4">
        <v>46.380434782608695</v>
      </c>
      <c r="M649" s="4">
        <v>3.7104347826086936</v>
      </c>
      <c r="N649" t="s">
        <v>91</v>
      </c>
    </row>
    <row r="650" spans="1:14">
      <c r="A650">
        <v>649</v>
      </c>
      <c r="B650">
        <v>54</v>
      </c>
      <c r="C650" t="s">
        <v>16</v>
      </c>
      <c r="D650" t="s">
        <v>17</v>
      </c>
      <c r="E650" t="s">
        <v>42</v>
      </c>
      <c r="F650">
        <v>170.85</v>
      </c>
      <c r="G650" t="s">
        <v>31</v>
      </c>
      <c r="H650" t="s">
        <v>15</v>
      </c>
      <c r="I650">
        <v>3.4</v>
      </c>
      <c r="J650">
        <v>13</v>
      </c>
      <c r="K650">
        <v>4</v>
      </c>
      <c r="L650" s="4">
        <v>196.37931034482759</v>
      </c>
      <c r="M650" s="4">
        <v>25.529310344827593</v>
      </c>
      <c r="N650" t="s">
        <v>93</v>
      </c>
    </row>
    <row r="651" spans="1:14">
      <c r="A651">
        <v>650</v>
      </c>
      <c r="B651">
        <v>70</v>
      </c>
      <c r="C651" t="s">
        <v>16</v>
      </c>
      <c r="D651" t="s">
        <v>33</v>
      </c>
      <c r="E651" t="s">
        <v>34</v>
      </c>
      <c r="F651">
        <v>174.39</v>
      </c>
      <c r="G651" t="s">
        <v>31</v>
      </c>
      <c r="H651" t="s">
        <v>15</v>
      </c>
      <c r="I651">
        <v>3.2</v>
      </c>
      <c r="J651">
        <v>20</v>
      </c>
      <c r="K651">
        <v>5</v>
      </c>
      <c r="L651" s="4">
        <v>217.98749999999998</v>
      </c>
      <c r="M651" s="4">
        <v>43.597499999999997</v>
      </c>
      <c r="N651" t="s">
        <v>95</v>
      </c>
    </row>
    <row r="652" spans="1:14">
      <c r="A652">
        <v>651</v>
      </c>
      <c r="B652">
        <v>58</v>
      </c>
      <c r="C652" t="s">
        <v>16</v>
      </c>
      <c r="D652" t="s">
        <v>20</v>
      </c>
      <c r="E652" t="s">
        <v>21</v>
      </c>
      <c r="F652">
        <v>124.28</v>
      </c>
      <c r="G652" t="s">
        <v>19</v>
      </c>
      <c r="H652" t="s">
        <v>15</v>
      </c>
      <c r="I652">
        <v>3.1</v>
      </c>
      <c r="J652">
        <v>16</v>
      </c>
      <c r="K652">
        <v>3</v>
      </c>
      <c r="L652" s="4">
        <v>147.95238095238096</v>
      </c>
      <c r="M652" s="4">
        <v>23.672380952380962</v>
      </c>
      <c r="N652" t="s">
        <v>94</v>
      </c>
    </row>
    <row r="653" spans="1:14">
      <c r="A653">
        <v>652</v>
      </c>
      <c r="B653">
        <v>69</v>
      </c>
      <c r="C653" t="s">
        <v>16</v>
      </c>
      <c r="D653" t="s">
        <v>20</v>
      </c>
      <c r="E653" t="s">
        <v>39</v>
      </c>
      <c r="F653">
        <v>100.45</v>
      </c>
      <c r="G653" t="s">
        <v>24</v>
      </c>
      <c r="H653" t="s">
        <v>15</v>
      </c>
      <c r="I653">
        <v>3.6</v>
      </c>
      <c r="J653">
        <v>13</v>
      </c>
      <c r="K653">
        <v>4</v>
      </c>
      <c r="L653" s="4">
        <v>115.45977011494253</v>
      </c>
      <c r="M653" s="4">
        <v>15.009770114942526</v>
      </c>
      <c r="N653" t="s">
        <v>95</v>
      </c>
    </row>
    <row r="654" spans="1:14">
      <c r="A654">
        <v>653</v>
      </c>
      <c r="B654">
        <v>52</v>
      </c>
      <c r="C654" t="s">
        <v>16</v>
      </c>
      <c r="D654" t="s">
        <v>22</v>
      </c>
      <c r="E654" t="s">
        <v>52</v>
      </c>
      <c r="F654">
        <v>56.48</v>
      </c>
      <c r="G654" t="s">
        <v>19</v>
      </c>
      <c r="H654" t="s">
        <v>37</v>
      </c>
      <c r="I654">
        <v>5</v>
      </c>
      <c r="J654">
        <v>29</v>
      </c>
      <c r="K654">
        <v>12</v>
      </c>
      <c r="L654" s="4">
        <v>79.549295774647888</v>
      </c>
      <c r="M654" s="4">
        <v>23.069295774647891</v>
      </c>
      <c r="N654" t="s">
        <v>93</v>
      </c>
    </row>
    <row r="655" spans="1:14">
      <c r="A655">
        <v>654</v>
      </c>
      <c r="B655">
        <v>60</v>
      </c>
      <c r="C655" t="s">
        <v>11</v>
      </c>
      <c r="D655" t="s">
        <v>12</v>
      </c>
      <c r="E655" t="s">
        <v>56</v>
      </c>
      <c r="F655">
        <v>30.06</v>
      </c>
      <c r="G655" t="s">
        <v>14</v>
      </c>
      <c r="H655" t="s">
        <v>15</v>
      </c>
      <c r="I655">
        <v>4.5999999999999996</v>
      </c>
      <c r="J655">
        <v>22</v>
      </c>
      <c r="K655">
        <v>6</v>
      </c>
      <c r="L655" s="4">
        <v>38.538461538461533</v>
      </c>
      <c r="M655" s="4">
        <v>8.4784615384615343</v>
      </c>
      <c r="N655" t="s">
        <v>94</v>
      </c>
    </row>
    <row r="656" spans="1:14">
      <c r="A656">
        <v>655</v>
      </c>
      <c r="B656">
        <v>70</v>
      </c>
      <c r="C656" t="s">
        <v>11</v>
      </c>
      <c r="D656" t="s">
        <v>33</v>
      </c>
      <c r="E656" t="s">
        <v>38</v>
      </c>
      <c r="F656">
        <v>54</v>
      </c>
      <c r="G656" t="s">
        <v>14</v>
      </c>
      <c r="H656" t="s">
        <v>15</v>
      </c>
      <c r="I656">
        <v>2.8</v>
      </c>
      <c r="J656">
        <v>30</v>
      </c>
      <c r="K656">
        <v>10</v>
      </c>
      <c r="L656" s="4">
        <v>77.142857142857153</v>
      </c>
      <c r="M656" s="4">
        <v>23.142857142857153</v>
      </c>
      <c r="N656" t="s">
        <v>95</v>
      </c>
    </row>
    <row r="657" spans="1:14">
      <c r="A657">
        <v>656</v>
      </c>
      <c r="B657">
        <v>67</v>
      </c>
      <c r="C657" t="s">
        <v>16</v>
      </c>
      <c r="D657" t="s">
        <v>17</v>
      </c>
      <c r="E657" t="s">
        <v>42</v>
      </c>
      <c r="F657">
        <v>174.5</v>
      </c>
      <c r="G657" t="s">
        <v>31</v>
      </c>
      <c r="H657" t="s">
        <v>15</v>
      </c>
      <c r="I657">
        <v>4.5</v>
      </c>
      <c r="J657">
        <v>15</v>
      </c>
      <c r="K657">
        <v>5</v>
      </c>
      <c r="L657" s="4">
        <v>205.29411764705884</v>
      </c>
      <c r="M657" s="4">
        <v>30.79411764705884</v>
      </c>
      <c r="N657" t="s">
        <v>95</v>
      </c>
    </row>
    <row r="658" spans="1:14">
      <c r="A658">
        <v>657</v>
      </c>
      <c r="B658">
        <v>20</v>
      </c>
      <c r="C658" t="s">
        <v>11</v>
      </c>
      <c r="D658" t="s">
        <v>12</v>
      </c>
      <c r="E658" t="s">
        <v>50</v>
      </c>
      <c r="F658">
        <v>92.35</v>
      </c>
      <c r="G658" t="s">
        <v>14</v>
      </c>
      <c r="H658" t="s">
        <v>15</v>
      </c>
      <c r="I658">
        <v>3.3</v>
      </c>
      <c r="J658">
        <v>12</v>
      </c>
      <c r="K658">
        <v>1</v>
      </c>
      <c r="L658" s="4">
        <v>104.94318181818181</v>
      </c>
      <c r="M658" s="4">
        <v>12.593181818181819</v>
      </c>
      <c r="N658" t="s">
        <v>100</v>
      </c>
    </row>
    <row r="659" spans="1:14">
      <c r="A659">
        <v>658</v>
      </c>
      <c r="B659">
        <v>33</v>
      </c>
      <c r="C659" t="s">
        <v>11</v>
      </c>
      <c r="D659" t="s">
        <v>12</v>
      </c>
      <c r="E659" t="s">
        <v>56</v>
      </c>
      <c r="F659">
        <v>40.85</v>
      </c>
      <c r="G659" t="s">
        <v>31</v>
      </c>
      <c r="H659" t="s">
        <v>37</v>
      </c>
      <c r="I659">
        <v>4.2</v>
      </c>
      <c r="J659">
        <v>18</v>
      </c>
      <c r="K659">
        <v>4</v>
      </c>
      <c r="L659" s="4">
        <v>49.817073170731703</v>
      </c>
      <c r="M659" s="4">
        <v>8.9670731707317017</v>
      </c>
      <c r="N659" t="s">
        <v>91</v>
      </c>
    </row>
    <row r="660" spans="1:14">
      <c r="A660">
        <v>659</v>
      </c>
      <c r="B660">
        <v>27</v>
      </c>
      <c r="C660" t="s">
        <v>16</v>
      </c>
      <c r="D660" t="s">
        <v>20</v>
      </c>
      <c r="E660" t="s">
        <v>36</v>
      </c>
      <c r="F660">
        <v>68.16</v>
      </c>
      <c r="G660" t="s">
        <v>19</v>
      </c>
      <c r="H660" t="s">
        <v>15</v>
      </c>
      <c r="I660">
        <v>4.0999999999999996</v>
      </c>
      <c r="J660">
        <v>10</v>
      </c>
      <c r="K660">
        <v>5</v>
      </c>
      <c r="L660" s="4">
        <v>75.733333333333334</v>
      </c>
      <c r="M660" s="4">
        <v>7.5733333333333377</v>
      </c>
      <c r="N660" t="s">
        <v>91</v>
      </c>
    </row>
    <row r="661" spans="1:14">
      <c r="A661">
        <v>660</v>
      </c>
      <c r="B661">
        <v>33</v>
      </c>
      <c r="C661" t="s">
        <v>11</v>
      </c>
      <c r="D661" t="s">
        <v>29</v>
      </c>
      <c r="E661" t="s">
        <v>51</v>
      </c>
      <c r="F661">
        <v>107.56</v>
      </c>
      <c r="G661" t="s">
        <v>19</v>
      </c>
      <c r="H661" t="s">
        <v>15</v>
      </c>
      <c r="I661">
        <v>2.6</v>
      </c>
      <c r="J661">
        <v>8</v>
      </c>
      <c r="K661">
        <v>4</v>
      </c>
      <c r="L661" s="4">
        <v>116.91304347826086</v>
      </c>
      <c r="M661" s="4">
        <v>9.353043478260858</v>
      </c>
      <c r="N661" t="s">
        <v>91</v>
      </c>
    </row>
    <row r="662" spans="1:14">
      <c r="A662">
        <v>661</v>
      </c>
      <c r="B662">
        <v>54</v>
      </c>
      <c r="C662" t="s">
        <v>11</v>
      </c>
      <c r="D662" t="s">
        <v>33</v>
      </c>
      <c r="E662" t="s">
        <v>40</v>
      </c>
      <c r="F662">
        <v>242.06</v>
      </c>
      <c r="G662" t="s">
        <v>19</v>
      </c>
      <c r="H662" t="s">
        <v>15</v>
      </c>
      <c r="I662">
        <v>4.0999999999999996</v>
      </c>
      <c r="J662">
        <v>19</v>
      </c>
      <c r="K662">
        <v>7</v>
      </c>
      <c r="L662" s="4">
        <v>298.83950617283949</v>
      </c>
      <c r="M662" s="4">
        <v>56.77950617283949</v>
      </c>
      <c r="N662" t="s">
        <v>93</v>
      </c>
    </row>
    <row r="663" spans="1:14">
      <c r="A663">
        <v>662</v>
      </c>
      <c r="B663">
        <v>45</v>
      </c>
      <c r="C663" t="s">
        <v>11</v>
      </c>
      <c r="D663" t="s">
        <v>29</v>
      </c>
      <c r="E663" t="s">
        <v>30</v>
      </c>
      <c r="F663">
        <v>144.31</v>
      </c>
      <c r="G663" t="s">
        <v>14</v>
      </c>
      <c r="H663" t="s">
        <v>15</v>
      </c>
      <c r="I663">
        <v>3.8</v>
      </c>
      <c r="J663">
        <v>0</v>
      </c>
      <c r="K663">
        <v>0</v>
      </c>
      <c r="L663" s="4">
        <v>144.31</v>
      </c>
      <c r="M663" s="4">
        <v>0</v>
      </c>
      <c r="N663" t="s">
        <v>93</v>
      </c>
    </row>
    <row r="664" spans="1:14">
      <c r="A664">
        <v>663</v>
      </c>
      <c r="B664">
        <v>28</v>
      </c>
      <c r="C664" t="s">
        <v>11</v>
      </c>
      <c r="D664" t="s">
        <v>29</v>
      </c>
      <c r="E664" t="s">
        <v>30</v>
      </c>
      <c r="F664">
        <v>119.55</v>
      </c>
      <c r="G664" t="s">
        <v>24</v>
      </c>
      <c r="H664" t="s">
        <v>15</v>
      </c>
      <c r="I664">
        <v>3.6</v>
      </c>
      <c r="J664">
        <v>6</v>
      </c>
      <c r="K664">
        <v>3</v>
      </c>
      <c r="L664" s="4">
        <v>127.18085106382979</v>
      </c>
      <c r="M664" s="4">
        <v>7.6308510638297946</v>
      </c>
      <c r="N664" t="s">
        <v>91</v>
      </c>
    </row>
    <row r="665" spans="1:14">
      <c r="A665">
        <v>664</v>
      </c>
      <c r="B665">
        <v>46</v>
      </c>
      <c r="C665" t="s">
        <v>16</v>
      </c>
      <c r="D665" t="s">
        <v>20</v>
      </c>
      <c r="E665" t="s">
        <v>21</v>
      </c>
      <c r="F665">
        <v>56.34</v>
      </c>
      <c r="G665" t="s">
        <v>24</v>
      </c>
      <c r="H665" t="s">
        <v>37</v>
      </c>
      <c r="I665">
        <v>2.9</v>
      </c>
      <c r="J665">
        <v>11</v>
      </c>
      <c r="K665">
        <v>3</v>
      </c>
      <c r="L665" s="4">
        <v>63.303370786516858</v>
      </c>
      <c r="M665" s="4">
        <v>6.9633707865168546</v>
      </c>
      <c r="N665" t="s">
        <v>93</v>
      </c>
    </row>
    <row r="666" spans="1:14">
      <c r="A666">
        <v>665</v>
      </c>
      <c r="B666">
        <v>25</v>
      </c>
      <c r="C666" t="s">
        <v>16</v>
      </c>
      <c r="D666" t="s">
        <v>22</v>
      </c>
      <c r="E666" t="s">
        <v>43</v>
      </c>
      <c r="F666">
        <v>279.19</v>
      </c>
      <c r="G666" t="s">
        <v>31</v>
      </c>
      <c r="H666" t="s">
        <v>15</v>
      </c>
      <c r="I666">
        <v>4.5</v>
      </c>
      <c r="J666">
        <v>8</v>
      </c>
      <c r="K666">
        <v>4</v>
      </c>
      <c r="L666" s="4">
        <v>303.46739130434781</v>
      </c>
      <c r="M666" s="4">
        <v>24.277391304347816</v>
      </c>
      <c r="N666" t="s">
        <v>91</v>
      </c>
    </row>
    <row r="667" spans="1:14">
      <c r="A667">
        <v>666</v>
      </c>
      <c r="B667">
        <v>31</v>
      </c>
      <c r="C667" t="s">
        <v>11</v>
      </c>
      <c r="D667" t="s">
        <v>29</v>
      </c>
      <c r="E667" t="s">
        <v>51</v>
      </c>
      <c r="F667">
        <v>34.01</v>
      </c>
      <c r="G667" t="s">
        <v>31</v>
      </c>
      <c r="H667" t="s">
        <v>15</v>
      </c>
      <c r="I667">
        <v>3.8</v>
      </c>
      <c r="J667">
        <v>22</v>
      </c>
      <c r="K667">
        <v>6</v>
      </c>
      <c r="L667" s="4">
        <v>43.602564102564095</v>
      </c>
      <c r="M667" s="4">
        <v>9.5925641025640971</v>
      </c>
      <c r="N667" t="s">
        <v>91</v>
      </c>
    </row>
    <row r="668" spans="1:14">
      <c r="A668">
        <v>667</v>
      </c>
      <c r="B668">
        <v>60</v>
      </c>
      <c r="C668" t="s">
        <v>16</v>
      </c>
      <c r="D668" t="s">
        <v>33</v>
      </c>
      <c r="E668" t="s">
        <v>40</v>
      </c>
      <c r="F668">
        <v>99.93</v>
      </c>
      <c r="G668" t="s">
        <v>24</v>
      </c>
      <c r="H668" t="s">
        <v>15</v>
      </c>
      <c r="I668">
        <v>3.5</v>
      </c>
      <c r="J668">
        <v>28</v>
      </c>
      <c r="K668">
        <v>9</v>
      </c>
      <c r="L668" s="4">
        <v>138.79166666666669</v>
      </c>
      <c r="M668" s="4">
        <v>38.861666666666679</v>
      </c>
      <c r="N668" t="s">
        <v>94</v>
      </c>
    </row>
    <row r="669" spans="1:14">
      <c r="A669">
        <v>668</v>
      </c>
      <c r="B669">
        <v>64</v>
      </c>
      <c r="C669" t="s">
        <v>16</v>
      </c>
      <c r="D669" t="s">
        <v>27</v>
      </c>
      <c r="E669" t="s">
        <v>53</v>
      </c>
      <c r="F669">
        <v>1514.05</v>
      </c>
      <c r="G669" t="s">
        <v>24</v>
      </c>
      <c r="H669" t="s">
        <v>15</v>
      </c>
      <c r="I669">
        <v>3.7</v>
      </c>
      <c r="J669">
        <v>20</v>
      </c>
      <c r="K669">
        <v>5</v>
      </c>
      <c r="L669" s="4">
        <v>1892.5624999999998</v>
      </c>
      <c r="M669" s="4">
        <v>378.51249999999982</v>
      </c>
      <c r="N669" t="s">
        <v>94</v>
      </c>
    </row>
    <row r="670" spans="1:14">
      <c r="A670">
        <v>669</v>
      </c>
      <c r="B670">
        <v>62</v>
      </c>
      <c r="C670" t="s">
        <v>16</v>
      </c>
      <c r="D670" t="s">
        <v>17</v>
      </c>
      <c r="E670" t="s">
        <v>35</v>
      </c>
      <c r="F670">
        <v>182.98</v>
      </c>
      <c r="G670" t="s">
        <v>14</v>
      </c>
      <c r="H670" t="s">
        <v>15</v>
      </c>
      <c r="I670">
        <v>3.1</v>
      </c>
      <c r="J670">
        <v>13</v>
      </c>
      <c r="K670">
        <v>4</v>
      </c>
      <c r="L670" s="4">
        <v>210.32183908045977</v>
      </c>
      <c r="M670" s="4">
        <v>27.341839080459778</v>
      </c>
      <c r="N670" t="s">
        <v>94</v>
      </c>
    </row>
    <row r="671" spans="1:14">
      <c r="A671">
        <v>670</v>
      </c>
      <c r="B671">
        <v>24</v>
      </c>
      <c r="C671" t="s">
        <v>16</v>
      </c>
      <c r="D671" t="s">
        <v>22</v>
      </c>
      <c r="E671" t="s">
        <v>23</v>
      </c>
      <c r="F671">
        <v>237.47</v>
      </c>
      <c r="G671" t="s">
        <v>24</v>
      </c>
      <c r="H671" t="s">
        <v>15</v>
      </c>
      <c r="I671">
        <v>3.2</v>
      </c>
      <c r="J671">
        <v>28</v>
      </c>
      <c r="K671">
        <v>9</v>
      </c>
      <c r="L671" s="4">
        <v>329.81944444444446</v>
      </c>
      <c r="M671" s="4">
        <v>92.349444444444458</v>
      </c>
      <c r="N671" t="s">
        <v>100</v>
      </c>
    </row>
    <row r="672" spans="1:14">
      <c r="A672">
        <v>671</v>
      </c>
      <c r="B672">
        <v>64</v>
      </c>
      <c r="C672" t="s">
        <v>16</v>
      </c>
      <c r="D672" t="s">
        <v>27</v>
      </c>
      <c r="E672" t="s">
        <v>49</v>
      </c>
      <c r="F672">
        <v>1417.01</v>
      </c>
      <c r="G672" t="s">
        <v>19</v>
      </c>
      <c r="H672" t="s">
        <v>15</v>
      </c>
      <c r="I672">
        <v>4</v>
      </c>
      <c r="J672">
        <v>2</v>
      </c>
      <c r="K672">
        <v>1</v>
      </c>
      <c r="L672" s="4">
        <v>1445.9285714285716</v>
      </c>
      <c r="M672" s="4">
        <v>28.918571428571568</v>
      </c>
      <c r="N672" t="s">
        <v>94</v>
      </c>
    </row>
    <row r="673" spans="1:14">
      <c r="A673">
        <v>672</v>
      </c>
      <c r="B673">
        <v>27</v>
      </c>
      <c r="C673" t="s">
        <v>11</v>
      </c>
      <c r="D673" t="s">
        <v>41</v>
      </c>
      <c r="E673" t="s">
        <v>44</v>
      </c>
      <c r="F673">
        <v>43.52</v>
      </c>
      <c r="G673" t="s">
        <v>31</v>
      </c>
      <c r="H673" t="s">
        <v>37</v>
      </c>
      <c r="I673">
        <v>4.0999999999999996</v>
      </c>
      <c r="J673">
        <v>13</v>
      </c>
      <c r="K673">
        <v>4</v>
      </c>
      <c r="L673" s="4">
        <v>50.022988505747129</v>
      </c>
      <c r="M673" s="4">
        <v>6.5029885057471262</v>
      </c>
      <c r="N673" t="s">
        <v>91</v>
      </c>
    </row>
    <row r="674" spans="1:14">
      <c r="A674">
        <v>673</v>
      </c>
      <c r="B674">
        <v>33</v>
      </c>
      <c r="C674" t="s">
        <v>11</v>
      </c>
      <c r="D674" t="s">
        <v>41</v>
      </c>
      <c r="E674" t="s">
        <v>44</v>
      </c>
      <c r="F674">
        <v>116.95</v>
      </c>
      <c r="G674" t="s">
        <v>31</v>
      </c>
      <c r="H674" t="s">
        <v>15</v>
      </c>
      <c r="I674">
        <v>4.5999999999999996</v>
      </c>
      <c r="J674">
        <v>21</v>
      </c>
      <c r="K674">
        <v>8</v>
      </c>
      <c r="L674" s="4">
        <v>148.03797468354429</v>
      </c>
      <c r="M674" s="4">
        <v>31.087974683544289</v>
      </c>
      <c r="N674" t="s">
        <v>91</v>
      </c>
    </row>
    <row r="675" spans="1:14">
      <c r="A675">
        <v>674</v>
      </c>
      <c r="B675">
        <v>61</v>
      </c>
      <c r="C675" t="s">
        <v>11</v>
      </c>
      <c r="D675" t="s">
        <v>41</v>
      </c>
      <c r="E675" t="s">
        <v>42</v>
      </c>
      <c r="F675">
        <v>196.34</v>
      </c>
      <c r="G675" t="s">
        <v>24</v>
      </c>
      <c r="H675" t="s">
        <v>15</v>
      </c>
      <c r="I675">
        <v>3</v>
      </c>
      <c r="J675">
        <v>16</v>
      </c>
      <c r="K675">
        <v>8</v>
      </c>
      <c r="L675" s="4">
        <v>233.73809523809524</v>
      </c>
      <c r="M675" s="4">
        <v>37.398095238095237</v>
      </c>
      <c r="N675" t="s">
        <v>94</v>
      </c>
    </row>
    <row r="676" spans="1:14">
      <c r="A676">
        <v>675</v>
      </c>
      <c r="B676">
        <v>68</v>
      </c>
      <c r="C676" t="s">
        <v>11</v>
      </c>
      <c r="D676" t="s">
        <v>33</v>
      </c>
      <c r="E676" t="s">
        <v>38</v>
      </c>
      <c r="F676">
        <v>163.6</v>
      </c>
      <c r="G676" t="s">
        <v>19</v>
      </c>
      <c r="H676" t="s">
        <v>15</v>
      </c>
      <c r="I676">
        <v>4.3</v>
      </c>
      <c r="J676">
        <v>22</v>
      </c>
      <c r="K676">
        <v>6</v>
      </c>
      <c r="L676" s="4">
        <v>209.74358974358972</v>
      </c>
      <c r="M676" s="4">
        <v>46.143589743589729</v>
      </c>
      <c r="N676" t="s">
        <v>95</v>
      </c>
    </row>
    <row r="677" spans="1:14">
      <c r="A677">
        <v>676</v>
      </c>
      <c r="B677">
        <v>54</v>
      </c>
      <c r="C677" t="s">
        <v>16</v>
      </c>
      <c r="D677" t="s">
        <v>33</v>
      </c>
      <c r="E677" t="s">
        <v>40</v>
      </c>
      <c r="F677">
        <v>144.58000000000001</v>
      </c>
      <c r="G677" t="s">
        <v>19</v>
      </c>
      <c r="H677" t="s">
        <v>15</v>
      </c>
      <c r="I677">
        <v>3.9</v>
      </c>
      <c r="J677">
        <v>24</v>
      </c>
      <c r="K677">
        <v>7</v>
      </c>
      <c r="L677" s="4">
        <v>190.23684210526318</v>
      </c>
      <c r="M677" s="4">
        <v>45.656842105263166</v>
      </c>
      <c r="N677" t="s">
        <v>93</v>
      </c>
    </row>
    <row r="678" spans="1:14">
      <c r="A678">
        <v>677</v>
      </c>
      <c r="B678">
        <v>22</v>
      </c>
      <c r="C678" t="s">
        <v>16</v>
      </c>
      <c r="D678" t="s">
        <v>20</v>
      </c>
      <c r="E678" t="s">
        <v>36</v>
      </c>
      <c r="F678">
        <v>158.63999999999999</v>
      </c>
      <c r="G678" t="s">
        <v>19</v>
      </c>
      <c r="H678" t="s">
        <v>15</v>
      </c>
      <c r="I678">
        <v>3.9</v>
      </c>
      <c r="J678">
        <v>21</v>
      </c>
      <c r="K678">
        <v>8</v>
      </c>
      <c r="L678" s="4">
        <v>200.81012658227846</v>
      </c>
      <c r="M678" s="4">
        <v>42.170126582278471</v>
      </c>
      <c r="N678" t="s">
        <v>100</v>
      </c>
    </row>
    <row r="679" spans="1:14">
      <c r="A679">
        <v>678</v>
      </c>
      <c r="B679">
        <v>52</v>
      </c>
      <c r="C679" t="s">
        <v>11</v>
      </c>
      <c r="D679" t="s">
        <v>25</v>
      </c>
      <c r="E679" t="s">
        <v>57</v>
      </c>
      <c r="F679">
        <v>5.89</v>
      </c>
      <c r="G679" t="s">
        <v>31</v>
      </c>
      <c r="H679" t="s">
        <v>15</v>
      </c>
      <c r="I679">
        <v>3.6</v>
      </c>
      <c r="J679">
        <v>7</v>
      </c>
      <c r="K679">
        <v>1</v>
      </c>
      <c r="L679" s="4">
        <v>6.333333333333333</v>
      </c>
      <c r="M679" s="4">
        <v>0.44333333333333336</v>
      </c>
      <c r="N679" t="s">
        <v>93</v>
      </c>
    </row>
    <row r="680" spans="1:14">
      <c r="A680">
        <v>679</v>
      </c>
      <c r="B680">
        <v>63</v>
      </c>
      <c r="C680" t="s">
        <v>11</v>
      </c>
      <c r="D680" t="s">
        <v>12</v>
      </c>
      <c r="E680" t="s">
        <v>13</v>
      </c>
      <c r="F680">
        <v>168.46</v>
      </c>
      <c r="G680" t="s">
        <v>24</v>
      </c>
      <c r="H680" t="s">
        <v>15</v>
      </c>
      <c r="I680">
        <v>3.1</v>
      </c>
      <c r="J680">
        <v>20</v>
      </c>
      <c r="K680">
        <v>5</v>
      </c>
      <c r="L680" s="4">
        <v>210.57499999999999</v>
      </c>
      <c r="M680" s="4">
        <v>42.114999999999981</v>
      </c>
      <c r="N680" t="s">
        <v>94</v>
      </c>
    </row>
    <row r="681" spans="1:14">
      <c r="A681">
        <v>680</v>
      </c>
      <c r="B681">
        <v>53</v>
      </c>
      <c r="C681" t="s">
        <v>11</v>
      </c>
      <c r="D681" t="s">
        <v>41</v>
      </c>
      <c r="E681" t="s">
        <v>42</v>
      </c>
      <c r="F681">
        <v>102.52</v>
      </c>
      <c r="G681" t="s">
        <v>19</v>
      </c>
      <c r="H681" t="s">
        <v>15</v>
      </c>
      <c r="I681">
        <v>4.3</v>
      </c>
      <c r="J681">
        <v>16</v>
      </c>
      <c r="K681">
        <v>8</v>
      </c>
      <c r="L681" s="4">
        <v>122.04761904761905</v>
      </c>
      <c r="M681" s="4">
        <v>19.527619047619055</v>
      </c>
      <c r="N681" t="s">
        <v>93</v>
      </c>
    </row>
    <row r="682" spans="1:14">
      <c r="A682">
        <v>681</v>
      </c>
      <c r="B682">
        <v>31</v>
      </c>
      <c r="C682" t="s">
        <v>11</v>
      </c>
      <c r="D682" t="s">
        <v>29</v>
      </c>
      <c r="E682" t="s">
        <v>55</v>
      </c>
      <c r="F682">
        <v>47.92</v>
      </c>
      <c r="G682" t="s">
        <v>31</v>
      </c>
      <c r="H682" t="s">
        <v>15</v>
      </c>
      <c r="I682">
        <v>3.6</v>
      </c>
      <c r="J682">
        <v>8</v>
      </c>
      <c r="K682">
        <v>4</v>
      </c>
      <c r="L682" s="4">
        <v>52.086956521739133</v>
      </c>
      <c r="M682" s="4">
        <v>4.1669565217391309</v>
      </c>
      <c r="N682" t="s">
        <v>91</v>
      </c>
    </row>
    <row r="683" spans="1:14">
      <c r="A683">
        <v>682</v>
      </c>
      <c r="B683">
        <v>27</v>
      </c>
      <c r="C683" t="s">
        <v>16</v>
      </c>
      <c r="D683" t="s">
        <v>20</v>
      </c>
      <c r="E683" t="s">
        <v>39</v>
      </c>
      <c r="F683">
        <v>119.22</v>
      </c>
      <c r="G683" t="s">
        <v>24</v>
      </c>
      <c r="H683" t="s">
        <v>15</v>
      </c>
      <c r="I683">
        <v>4</v>
      </c>
      <c r="J683">
        <v>16</v>
      </c>
      <c r="K683">
        <v>3</v>
      </c>
      <c r="L683" s="4">
        <v>141.92857142857144</v>
      </c>
      <c r="M683" s="4">
        <v>22.708571428571446</v>
      </c>
      <c r="N683" t="s">
        <v>91</v>
      </c>
    </row>
    <row r="684" spans="1:14">
      <c r="A684">
        <v>683</v>
      </c>
      <c r="B684">
        <v>22</v>
      </c>
      <c r="C684" t="s">
        <v>16</v>
      </c>
      <c r="D684" t="s">
        <v>22</v>
      </c>
      <c r="E684" t="s">
        <v>43</v>
      </c>
      <c r="F684">
        <v>83.17</v>
      </c>
      <c r="G684" t="s">
        <v>31</v>
      </c>
      <c r="H684" t="s">
        <v>37</v>
      </c>
      <c r="I684">
        <v>4.5999999999999996</v>
      </c>
      <c r="J684">
        <v>22</v>
      </c>
      <c r="K684">
        <v>6</v>
      </c>
      <c r="L684" s="4">
        <v>106.62820512820512</v>
      </c>
      <c r="M684" s="4">
        <v>23.458205128205122</v>
      </c>
      <c r="N684" t="s">
        <v>100</v>
      </c>
    </row>
    <row r="685" spans="1:14">
      <c r="A685">
        <v>684</v>
      </c>
      <c r="B685">
        <v>41</v>
      </c>
      <c r="C685" t="s">
        <v>16</v>
      </c>
      <c r="D685" t="s">
        <v>27</v>
      </c>
      <c r="E685" t="s">
        <v>49</v>
      </c>
      <c r="F685">
        <v>1496.4</v>
      </c>
      <c r="G685" t="s">
        <v>19</v>
      </c>
      <c r="H685" t="s">
        <v>15</v>
      </c>
      <c r="I685">
        <v>3.9</v>
      </c>
      <c r="J685">
        <v>16</v>
      </c>
      <c r="K685">
        <v>3</v>
      </c>
      <c r="L685" s="4">
        <v>1781.4285714285716</v>
      </c>
      <c r="M685" s="4">
        <v>285.02857142857147</v>
      </c>
      <c r="N685" t="s">
        <v>92</v>
      </c>
    </row>
    <row r="686" spans="1:14">
      <c r="A686">
        <v>685</v>
      </c>
      <c r="B686">
        <v>35</v>
      </c>
      <c r="C686" t="s">
        <v>11</v>
      </c>
      <c r="D686" t="s">
        <v>22</v>
      </c>
      <c r="E686" t="s">
        <v>23</v>
      </c>
      <c r="F686">
        <v>121.52</v>
      </c>
      <c r="G686" t="s">
        <v>31</v>
      </c>
      <c r="H686" t="s">
        <v>15</v>
      </c>
      <c r="I686">
        <v>3.6</v>
      </c>
      <c r="J686">
        <v>10</v>
      </c>
      <c r="K686">
        <v>5</v>
      </c>
      <c r="L686" s="4">
        <v>135.02222222222221</v>
      </c>
      <c r="M686" s="4">
        <v>13.502222222222215</v>
      </c>
      <c r="N686" t="s">
        <v>92</v>
      </c>
    </row>
    <row r="687" spans="1:14">
      <c r="A687">
        <v>686</v>
      </c>
      <c r="B687">
        <v>51</v>
      </c>
      <c r="C687" t="s">
        <v>11</v>
      </c>
      <c r="D687" t="s">
        <v>29</v>
      </c>
      <c r="E687" t="s">
        <v>51</v>
      </c>
      <c r="F687">
        <v>101.58</v>
      </c>
      <c r="G687" t="s">
        <v>19</v>
      </c>
      <c r="H687" t="s">
        <v>15</v>
      </c>
      <c r="I687">
        <v>3.7</v>
      </c>
      <c r="J687">
        <v>14</v>
      </c>
      <c r="K687">
        <v>2</v>
      </c>
      <c r="L687" s="4">
        <v>118.11627906976744</v>
      </c>
      <c r="M687" s="4">
        <v>16.536279069767446</v>
      </c>
      <c r="N687" t="s">
        <v>93</v>
      </c>
    </row>
    <row r="688" spans="1:14">
      <c r="A688">
        <v>687</v>
      </c>
      <c r="B688">
        <v>20</v>
      </c>
      <c r="C688" t="s">
        <v>11</v>
      </c>
      <c r="D688" t="s">
        <v>12</v>
      </c>
      <c r="E688" t="s">
        <v>56</v>
      </c>
      <c r="F688">
        <v>96.93</v>
      </c>
      <c r="G688" t="s">
        <v>19</v>
      </c>
      <c r="H688" t="s">
        <v>37</v>
      </c>
      <c r="I688">
        <v>3.2</v>
      </c>
      <c r="J688">
        <v>12</v>
      </c>
      <c r="K688">
        <v>6</v>
      </c>
      <c r="L688" s="4">
        <v>110.14772727272728</v>
      </c>
      <c r="M688" s="4">
        <v>13.217727272727274</v>
      </c>
      <c r="N688" t="s">
        <v>100</v>
      </c>
    </row>
    <row r="689" spans="1:14">
      <c r="A689">
        <v>688</v>
      </c>
      <c r="B689">
        <v>63</v>
      </c>
      <c r="C689" t="s">
        <v>16</v>
      </c>
      <c r="D689" t="s">
        <v>20</v>
      </c>
      <c r="E689" t="s">
        <v>21</v>
      </c>
      <c r="F689">
        <v>195.87</v>
      </c>
      <c r="G689" t="s">
        <v>19</v>
      </c>
      <c r="H689" t="s">
        <v>15</v>
      </c>
      <c r="I689">
        <v>4</v>
      </c>
      <c r="J689">
        <v>18</v>
      </c>
      <c r="K689">
        <v>4</v>
      </c>
      <c r="L689" s="4">
        <v>238.86585365853657</v>
      </c>
      <c r="M689" s="4">
        <v>42.995853658536561</v>
      </c>
      <c r="N689" t="s">
        <v>94</v>
      </c>
    </row>
    <row r="690" spans="1:14">
      <c r="A690">
        <v>689</v>
      </c>
      <c r="B690">
        <v>57</v>
      </c>
      <c r="C690" t="s">
        <v>11</v>
      </c>
      <c r="D690" t="s">
        <v>33</v>
      </c>
      <c r="E690" t="s">
        <v>40</v>
      </c>
      <c r="F690">
        <v>152.19</v>
      </c>
      <c r="G690" t="s">
        <v>19</v>
      </c>
      <c r="H690" t="s">
        <v>15</v>
      </c>
      <c r="I690">
        <v>5</v>
      </c>
      <c r="J690">
        <v>13</v>
      </c>
      <c r="K690">
        <v>4</v>
      </c>
      <c r="L690" s="4">
        <v>174.93103448275861</v>
      </c>
      <c r="M690" s="4">
        <v>22.741034482758607</v>
      </c>
      <c r="N690" t="s">
        <v>94</v>
      </c>
    </row>
    <row r="691" spans="1:14">
      <c r="A691">
        <v>690</v>
      </c>
      <c r="B691">
        <v>68</v>
      </c>
      <c r="C691" t="s">
        <v>16</v>
      </c>
      <c r="D691" t="s">
        <v>17</v>
      </c>
      <c r="E691" t="s">
        <v>35</v>
      </c>
      <c r="F691">
        <v>71.13</v>
      </c>
      <c r="G691" t="s">
        <v>24</v>
      </c>
      <c r="H691" t="s">
        <v>37</v>
      </c>
      <c r="I691">
        <v>3.8</v>
      </c>
      <c r="J691">
        <v>10</v>
      </c>
      <c r="K691">
        <v>5</v>
      </c>
      <c r="L691" s="4">
        <v>79.033333333333331</v>
      </c>
      <c r="M691" s="4">
        <v>7.903333333333336</v>
      </c>
      <c r="N691" t="s">
        <v>95</v>
      </c>
    </row>
    <row r="692" spans="1:14">
      <c r="A692">
        <v>691</v>
      </c>
      <c r="B692">
        <v>68</v>
      </c>
      <c r="C692" t="s">
        <v>11</v>
      </c>
      <c r="D692" t="s">
        <v>29</v>
      </c>
      <c r="E692" t="s">
        <v>55</v>
      </c>
      <c r="F692">
        <v>139.63999999999999</v>
      </c>
      <c r="G692" t="s">
        <v>19</v>
      </c>
      <c r="H692" t="s">
        <v>15</v>
      </c>
      <c r="I692">
        <v>4.0999999999999996</v>
      </c>
      <c r="J692">
        <v>20</v>
      </c>
      <c r="K692">
        <v>5</v>
      </c>
      <c r="L692" s="4">
        <v>174.54999999999998</v>
      </c>
      <c r="M692" s="4">
        <v>34.909999999999997</v>
      </c>
      <c r="N692" t="s">
        <v>95</v>
      </c>
    </row>
    <row r="693" spans="1:14">
      <c r="A693">
        <v>692</v>
      </c>
      <c r="B693">
        <v>65</v>
      </c>
      <c r="C693" t="s">
        <v>16</v>
      </c>
      <c r="D693" t="s">
        <v>33</v>
      </c>
      <c r="E693" t="s">
        <v>38</v>
      </c>
      <c r="F693">
        <v>134.93</v>
      </c>
      <c r="G693" t="s">
        <v>31</v>
      </c>
      <c r="H693" t="s">
        <v>15</v>
      </c>
      <c r="I693">
        <v>4</v>
      </c>
      <c r="J693">
        <v>15</v>
      </c>
      <c r="K693">
        <v>5</v>
      </c>
      <c r="L693" s="4">
        <v>158.74117647058824</v>
      </c>
      <c r="M693" s="4">
        <v>23.811176470588236</v>
      </c>
      <c r="N693" t="s">
        <v>95</v>
      </c>
    </row>
    <row r="694" spans="1:14">
      <c r="A694">
        <v>693</v>
      </c>
      <c r="B694">
        <v>30</v>
      </c>
      <c r="C694" t="s">
        <v>16</v>
      </c>
      <c r="D694" t="s">
        <v>33</v>
      </c>
      <c r="E694" t="s">
        <v>38</v>
      </c>
      <c r="F694">
        <v>75.61</v>
      </c>
      <c r="G694" t="s">
        <v>14</v>
      </c>
      <c r="H694" t="s">
        <v>37</v>
      </c>
      <c r="I694">
        <v>3.1</v>
      </c>
      <c r="J694">
        <v>17</v>
      </c>
      <c r="K694">
        <v>6</v>
      </c>
      <c r="L694" s="4">
        <v>91.096385542168676</v>
      </c>
      <c r="M694" s="4">
        <v>15.486385542168676</v>
      </c>
      <c r="N694" t="s">
        <v>91</v>
      </c>
    </row>
    <row r="695" spans="1:14">
      <c r="A695">
        <v>694</v>
      </c>
      <c r="B695">
        <v>23</v>
      </c>
      <c r="C695" t="s">
        <v>11</v>
      </c>
      <c r="D695" t="s">
        <v>12</v>
      </c>
      <c r="E695" t="s">
        <v>50</v>
      </c>
      <c r="F695">
        <v>115.77</v>
      </c>
      <c r="G695" t="s">
        <v>24</v>
      </c>
      <c r="H695" t="s">
        <v>15</v>
      </c>
      <c r="I695">
        <v>4.5</v>
      </c>
      <c r="J695">
        <v>13</v>
      </c>
      <c r="K695">
        <v>4</v>
      </c>
      <c r="L695" s="4">
        <v>133.06896551724137</v>
      </c>
      <c r="M695" s="4">
        <v>17.298965517241371</v>
      </c>
      <c r="N695" t="s">
        <v>100</v>
      </c>
    </row>
    <row r="696" spans="1:14">
      <c r="A696">
        <v>695</v>
      </c>
      <c r="B696">
        <v>23</v>
      </c>
      <c r="C696" t="s">
        <v>11</v>
      </c>
      <c r="D696" t="s">
        <v>33</v>
      </c>
      <c r="E696" t="s">
        <v>38</v>
      </c>
      <c r="F696">
        <v>223.09</v>
      </c>
      <c r="G696" t="s">
        <v>19</v>
      </c>
      <c r="H696" t="s">
        <v>15</v>
      </c>
      <c r="I696">
        <v>4.0999999999999996</v>
      </c>
      <c r="J696">
        <v>16</v>
      </c>
      <c r="K696">
        <v>3</v>
      </c>
      <c r="L696" s="4">
        <v>265.58333333333337</v>
      </c>
      <c r="M696" s="4">
        <v>42.493333333333368</v>
      </c>
      <c r="N696" t="s">
        <v>100</v>
      </c>
    </row>
    <row r="697" spans="1:14">
      <c r="A697">
        <v>696</v>
      </c>
      <c r="B697">
        <v>59</v>
      </c>
      <c r="C697" t="s">
        <v>11</v>
      </c>
      <c r="D697" t="s">
        <v>29</v>
      </c>
      <c r="E697" t="s">
        <v>55</v>
      </c>
      <c r="F697">
        <v>127.79</v>
      </c>
      <c r="G697" t="s">
        <v>24</v>
      </c>
      <c r="H697" t="s">
        <v>15</v>
      </c>
      <c r="I697">
        <v>3.8</v>
      </c>
      <c r="J697">
        <v>6</v>
      </c>
      <c r="K697">
        <v>3</v>
      </c>
      <c r="L697" s="4">
        <v>135.94680851063831</v>
      </c>
      <c r="M697" s="4">
        <v>8.1568085106382995</v>
      </c>
      <c r="N697" t="s">
        <v>94</v>
      </c>
    </row>
    <row r="698" spans="1:14">
      <c r="A698">
        <v>697</v>
      </c>
      <c r="B698">
        <v>35</v>
      </c>
      <c r="C698" t="s">
        <v>16</v>
      </c>
      <c r="D698" t="s">
        <v>25</v>
      </c>
      <c r="E698" t="s">
        <v>54</v>
      </c>
      <c r="F698">
        <v>49.52</v>
      </c>
      <c r="G698" t="s">
        <v>19</v>
      </c>
      <c r="H698" t="s">
        <v>37</v>
      </c>
      <c r="I698">
        <v>3.6</v>
      </c>
      <c r="J698">
        <v>13</v>
      </c>
      <c r="K698">
        <v>4</v>
      </c>
      <c r="L698" s="4">
        <v>56.919540229885058</v>
      </c>
      <c r="M698" s="4">
        <v>7.399540229885055</v>
      </c>
      <c r="N698" t="s">
        <v>92</v>
      </c>
    </row>
    <row r="699" spans="1:14">
      <c r="A699">
        <v>698</v>
      </c>
      <c r="B699">
        <v>59</v>
      </c>
      <c r="C699" t="s">
        <v>11</v>
      </c>
      <c r="D699" t="s">
        <v>33</v>
      </c>
      <c r="E699" t="s">
        <v>40</v>
      </c>
      <c r="F699">
        <v>105.81</v>
      </c>
      <c r="G699" t="s">
        <v>24</v>
      </c>
      <c r="H699" t="s">
        <v>15</v>
      </c>
      <c r="I699">
        <v>3.8</v>
      </c>
      <c r="J699">
        <v>23</v>
      </c>
      <c r="K699">
        <v>9</v>
      </c>
      <c r="L699" s="4">
        <v>137.41558441558442</v>
      </c>
      <c r="M699" s="4">
        <v>31.605584415584417</v>
      </c>
      <c r="N699" t="s">
        <v>94</v>
      </c>
    </row>
    <row r="700" spans="1:14">
      <c r="A700">
        <v>699</v>
      </c>
      <c r="B700">
        <v>42</v>
      </c>
      <c r="C700" t="s">
        <v>11</v>
      </c>
      <c r="D700" t="s">
        <v>41</v>
      </c>
      <c r="E700" t="s">
        <v>46</v>
      </c>
      <c r="F700">
        <v>178.77</v>
      </c>
      <c r="G700" t="s">
        <v>31</v>
      </c>
      <c r="H700" t="s">
        <v>15</v>
      </c>
      <c r="I700">
        <v>3.4</v>
      </c>
      <c r="J700">
        <v>9</v>
      </c>
      <c r="K700">
        <v>2</v>
      </c>
      <c r="L700" s="4">
        <v>196.45054945054946</v>
      </c>
      <c r="M700" s="4">
        <v>17.680549450549449</v>
      </c>
      <c r="N700" t="s">
        <v>92</v>
      </c>
    </row>
    <row r="701" spans="1:14">
      <c r="A701">
        <v>700</v>
      </c>
      <c r="B701">
        <v>28</v>
      </c>
      <c r="C701" t="s">
        <v>16</v>
      </c>
      <c r="D701" t="s">
        <v>25</v>
      </c>
      <c r="E701" t="s">
        <v>47</v>
      </c>
      <c r="F701">
        <v>54.61</v>
      </c>
      <c r="G701" t="s">
        <v>24</v>
      </c>
      <c r="H701" t="s">
        <v>15</v>
      </c>
      <c r="I701">
        <v>4.0999999999999996</v>
      </c>
      <c r="J701">
        <v>8</v>
      </c>
      <c r="K701">
        <v>4</v>
      </c>
      <c r="L701" s="4">
        <v>59.358695652173907</v>
      </c>
      <c r="M701" s="4">
        <v>4.7486956521739074</v>
      </c>
      <c r="N701" t="s">
        <v>91</v>
      </c>
    </row>
    <row r="702" spans="1:14">
      <c r="A702">
        <v>701</v>
      </c>
      <c r="B702">
        <v>49</v>
      </c>
      <c r="C702" t="s">
        <v>16</v>
      </c>
      <c r="D702" t="s">
        <v>27</v>
      </c>
      <c r="E702" t="s">
        <v>32</v>
      </c>
      <c r="F702">
        <v>1321.86</v>
      </c>
      <c r="G702" t="s">
        <v>19</v>
      </c>
      <c r="H702" t="s">
        <v>15</v>
      </c>
      <c r="I702">
        <v>4.4000000000000004</v>
      </c>
      <c r="J702">
        <v>24</v>
      </c>
      <c r="K702">
        <v>7</v>
      </c>
      <c r="L702" s="4">
        <v>1739.2894736842104</v>
      </c>
      <c r="M702" s="4">
        <v>417.42947368421051</v>
      </c>
      <c r="N702" t="s">
        <v>93</v>
      </c>
    </row>
    <row r="703" spans="1:14">
      <c r="A703">
        <v>702</v>
      </c>
      <c r="B703">
        <v>36</v>
      </c>
      <c r="C703" t="s">
        <v>16</v>
      </c>
      <c r="D703" t="s">
        <v>33</v>
      </c>
      <c r="E703" t="s">
        <v>40</v>
      </c>
      <c r="F703">
        <v>157.33000000000001</v>
      </c>
      <c r="G703" t="s">
        <v>31</v>
      </c>
      <c r="H703" t="s">
        <v>15</v>
      </c>
      <c r="I703">
        <v>3.7</v>
      </c>
      <c r="J703">
        <v>17</v>
      </c>
      <c r="K703">
        <v>6</v>
      </c>
      <c r="L703" s="4">
        <v>189.5542168674699</v>
      </c>
      <c r="M703" s="4">
        <v>32.224216867469892</v>
      </c>
      <c r="N703" t="s">
        <v>92</v>
      </c>
    </row>
    <row r="704" spans="1:14">
      <c r="A704">
        <v>703</v>
      </c>
      <c r="B704">
        <v>31</v>
      </c>
      <c r="C704" t="s">
        <v>16</v>
      </c>
      <c r="D704" t="s">
        <v>33</v>
      </c>
      <c r="E704" t="s">
        <v>34</v>
      </c>
      <c r="F704">
        <v>157.43</v>
      </c>
      <c r="G704" t="s">
        <v>24</v>
      </c>
      <c r="H704" t="s">
        <v>15</v>
      </c>
      <c r="I704">
        <v>3</v>
      </c>
      <c r="J704">
        <v>6</v>
      </c>
      <c r="K704">
        <v>3</v>
      </c>
      <c r="L704" s="4">
        <v>167.47872340425533</v>
      </c>
      <c r="M704" s="4">
        <v>10.048723404255327</v>
      </c>
      <c r="N704" t="s">
        <v>91</v>
      </c>
    </row>
    <row r="705" spans="1:14">
      <c r="A705">
        <v>704</v>
      </c>
      <c r="B705">
        <v>38</v>
      </c>
      <c r="C705" t="s">
        <v>16</v>
      </c>
      <c r="D705" t="s">
        <v>17</v>
      </c>
      <c r="E705" t="s">
        <v>48</v>
      </c>
      <c r="F705">
        <v>160.97999999999999</v>
      </c>
      <c r="G705" t="s">
        <v>19</v>
      </c>
      <c r="H705" t="s">
        <v>15</v>
      </c>
      <c r="I705">
        <v>2.9</v>
      </c>
      <c r="J705">
        <v>20</v>
      </c>
      <c r="K705">
        <v>5</v>
      </c>
      <c r="L705" s="4">
        <v>201.22499999999997</v>
      </c>
      <c r="M705" s="4">
        <v>40.244999999999976</v>
      </c>
      <c r="N705" t="s">
        <v>92</v>
      </c>
    </row>
    <row r="706" spans="1:14">
      <c r="A706">
        <v>705</v>
      </c>
      <c r="B706">
        <v>46</v>
      </c>
      <c r="C706" t="s">
        <v>16</v>
      </c>
      <c r="D706" t="s">
        <v>20</v>
      </c>
      <c r="E706" t="s">
        <v>36</v>
      </c>
      <c r="F706">
        <v>107.82</v>
      </c>
      <c r="G706" t="s">
        <v>24</v>
      </c>
      <c r="H706" t="s">
        <v>15</v>
      </c>
      <c r="I706">
        <v>3.9</v>
      </c>
      <c r="J706">
        <v>7</v>
      </c>
      <c r="K706">
        <v>1</v>
      </c>
      <c r="L706" s="4">
        <v>115.93548387096774</v>
      </c>
      <c r="M706" s="4">
        <v>8.1154838709677506</v>
      </c>
      <c r="N706" t="s">
        <v>93</v>
      </c>
    </row>
    <row r="707" spans="1:14">
      <c r="A707">
        <v>706</v>
      </c>
      <c r="B707">
        <v>39</v>
      </c>
      <c r="C707" t="s">
        <v>11</v>
      </c>
      <c r="D707" t="s">
        <v>33</v>
      </c>
      <c r="E707" t="s">
        <v>34</v>
      </c>
      <c r="F707">
        <v>217.69</v>
      </c>
      <c r="G707" t="s">
        <v>31</v>
      </c>
      <c r="H707" t="s">
        <v>15</v>
      </c>
      <c r="I707">
        <v>2.6</v>
      </c>
      <c r="J707">
        <v>10</v>
      </c>
      <c r="K707">
        <v>5</v>
      </c>
      <c r="L707" s="4">
        <v>241.87777777777777</v>
      </c>
      <c r="M707" s="4">
        <v>24.187777777777768</v>
      </c>
      <c r="N707" t="s">
        <v>92</v>
      </c>
    </row>
    <row r="708" spans="1:14">
      <c r="A708">
        <v>707</v>
      </c>
      <c r="B708">
        <v>45</v>
      </c>
      <c r="C708" t="s">
        <v>16</v>
      </c>
      <c r="D708" t="s">
        <v>20</v>
      </c>
      <c r="E708" t="s">
        <v>36</v>
      </c>
      <c r="F708">
        <v>141.27000000000001</v>
      </c>
      <c r="G708" t="s">
        <v>14</v>
      </c>
      <c r="H708" t="s">
        <v>15</v>
      </c>
      <c r="I708">
        <v>3.2</v>
      </c>
      <c r="J708">
        <v>16</v>
      </c>
      <c r="K708">
        <v>3</v>
      </c>
      <c r="L708" s="4">
        <v>168.17857142857144</v>
      </c>
      <c r="M708" s="4">
        <v>26.908571428571435</v>
      </c>
      <c r="N708" t="s">
        <v>93</v>
      </c>
    </row>
    <row r="709" spans="1:14">
      <c r="A709">
        <v>708</v>
      </c>
      <c r="B709">
        <v>57</v>
      </c>
      <c r="C709" t="s">
        <v>16</v>
      </c>
      <c r="D709" t="s">
        <v>33</v>
      </c>
      <c r="E709" t="s">
        <v>38</v>
      </c>
      <c r="F709">
        <v>233.72</v>
      </c>
      <c r="G709" t="s">
        <v>31</v>
      </c>
      <c r="H709" t="s">
        <v>15</v>
      </c>
      <c r="I709">
        <v>2.8</v>
      </c>
      <c r="J709">
        <v>14</v>
      </c>
      <c r="K709">
        <v>7</v>
      </c>
      <c r="L709" s="4">
        <v>271.76744186046511</v>
      </c>
      <c r="M709" s="4">
        <v>38.047441860465113</v>
      </c>
      <c r="N709" t="s">
        <v>94</v>
      </c>
    </row>
    <row r="710" spans="1:14">
      <c r="A710">
        <v>709</v>
      </c>
      <c r="B710">
        <v>53</v>
      </c>
      <c r="C710" t="s">
        <v>16</v>
      </c>
      <c r="D710" t="s">
        <v>27</v>
      </c>
      <c r="E710" t="s">
        <v>53</v>
      </c>
      <c r="F710">
        <v>1792.88</v>
      </c>
      <c r="G710" t="s">
        <v>24</v>
      </c>
      <c r="H710" t="s">
        <v>15</v>
      </c>
      <c r="I710">
        <v>3.6</v>
      </c>
      <c r="J710">
        <v>19</v>
      </c>
      <c r="K710">
        <v>7</v>
      </c>
      <c r="L710" s="4">
        <v>2213.4320987654319</v>
      </c>
      <c r="M710" s="4">
        <v>420.55209876543177</v>
      </c>
      <c r="N710" t="s">
        <v>93</v>
      </c>
    </row>
    <row r="711" spans="1:14">
      <c r="A711">
        <v>710</v>
      </c>
      <c r="B711">
        <v>24</v>
      </c>
      <c r="C711" t="s">
        <v>16</v>
      </c>
      <c r="D711" t="s">
        <v>27</v>
      </c>
      <c r="E711" t="s">
        <v>32</v>
      </c>
      <c r="F711">
        <v>1064.7</v>
      </c>
      <c r="G711" t="s">
        <v>24</v>
      </c>
      <c r="H711" t="s">
        <v>15</v>
      </c>
      <c r="I711">
        <v>5</v>
      </c>
      <c r="J711">
        <v>18</v>
      </c>
      <c r="K711">
        <v>4</v>
      </c>
      <c r="L711" s="4">
        <v>1298.4146341463413</v>
      </c>
      <c r="M711" s="4">
        <v>233.71463414634127</v>
      </c>
      <c r="N711" t="s">
        <v>100</v>
      </c>
    </row>
    <row r="712" spans="1:14">
      <c r="A712">
        <v>711</v>
      </c>
      <c r="B712">
        <v>44</v>
      </c>
      <c r="C712" t="s">
        <v>11</v>
      </c>
      <c r="D712" t="s">
        <v>12</v>
      </c>
      <c r="E712" t="s">
        <v>50</v>
      </c>
      <c r="F712">
        <v>103.15</v>
      </c>
      <c r="G712" t="s">
        <v>14</v>
      </c>
      <c r="H712" t="s">
        <v>15</v>
      </c>
      <c r="I712">
        <v>3.6</v>
      </c>
      <c r="J712">
        <v>13</v>
      </c>
      <c r="K712">
        <v>4</v>
      </c>
      <c r="L712" s="4">
        <v>118.56321839080461</v>
      </c>
      <c r="M712" s="4">
        <v>15.413218390804602</v>
      </c>
      <c r="N712" t="s">
        <v>92</v>
      </c>
    </row>
    <row r="713" spans="1:14">
      <c r="A713">
        <v>712</v>
      </c>
      <c r="B713">
        <v>69</v>
      </c>
      <c r="C713" t="s">
        <v>16</v>
      </c>
      <c r="D713" t="s">
        <v>33</v>
      </c>
      <c r="E713" t="s">
        <v>38</v>
      </c>
      <c r="F713">
        <v>48.78</v>
      </c>
      <c r="G713" t="s">
        <v>31</v>
      </c>
      <c r="H713" t="s">
        <v>15</v>
      </c>
      <c r="I713">
        <v>1.9</v>
      </c>
      <c r="J713">
        <v>17</v>
      </c>
      <c r="K713">
        <v>6</v>
      </c>
      <c r="L713" s="4">
        <v>58.7710843373494</v>
      </c>
      <c r="M713" s="4">
        <v>9.9910843373493989</v>
      </c>
      <c r="N713" t="s">
        <v>95</v>
      </c>
    </row>
    <row r="714" spans="1:14">
      <c r="A714">
        <v>713</v>
      </c>
      <c r="B714">
        <v>64</v>
      </c>
      <c r="C714" t="s">
        <v>11</v>
      </c>
      <c r="D714" t="s">
        <v>29</v>
      </c>
      <c r="E714" t="s">
        <v>30</v>
      </c>
      <c r="F714">
        <v>74.05</v>
      </c>
      <c r="G714" t="s">
        <v>19</v>
      </c>
      <c r="H714" t="s">
        <v>15</v>
      </c>
      <c r="I714">
        <v>4.9000000000000004</v>
      </c>
      <c r="J714">
        <v>21</v>
      </c>
      <c r="K714">
        <v>8</v>
      </c>
      <c r="L714" s="4">
        <v>93.73417721518986</v>
      </c>
      <c r="M714" s="4">
        <v>19.684177215189862</v>
      </c>
      <c r="N714" t="s">
        <v>94</v>
      </c>
    </row>
    <row r="715" spans="1:14">
      <c r="A715">
        <v>714</v>
      </c>
      <c r="B715">
        <v>59</v>
      </c>
      <c r="C715" t="s">
        <v>11</v>
      </c>
      <c r="D715" t="s">
        <v>41</v>
      </c>
      <c r="E715" t="s">
        <v>46</v>
      </c>
      <c r="F715">
        <v>35.33</v>
      </c>
      <c r="G715" t="s">
        <v>31</v>
      </c>
      <c r="H715" t="s">
        <v>37</v>
      </c>
      <c r="I715">
        <v>3.7</v>
      </c>
      <c r="J715">
        <v>13</v>
      </c>
      <c r="K715">
        <v>4</v>
      </c>
      <c r="L715" s="4">
        <v>40.609195402298852</v>
      </c>
      <c r="M715" s="4">
        <v>5.2791954022988534</v>
      </c>
      <c r="N715" t="s">
        <v>94</v>
      </c>
    </row>
    <row r="716" spans="1:14">
      <c r="A716">
        <v>715</v>
      </c>
      <c r="B716">
        <v>68</v>
      </c>
      <c r="C716" t="s">
        <v>11</v>
      </c>
      <c r="D716" t="s">
        <v>41</v>
      </c>
      <c r="E716" t="s">
        <v>42</v>
      </c>
      <c r="F716">
        <v>114.33</v>
      </c>
      <c r="G716" t="s">
        <v>31</v>
      </c>
      <c r="H716" t="s">
        <v>15</v>
      </c>
      <c r="I716">
        <v>2.9</v>
      </c>
      <c r="J716">
        <v>10</v>
      </c>
      <c r="K716">
        <v>5</v>
      </c>
      <c r="L716" s="4">
        <v>127.03333333333333</v>
      </c>
      <c r="M716" s="4">
        <v>12.703333333333333</v>
      </c>
      <c r="N716" t="s">
        <v>95</v>
      </c>
    </row>
    <row r="717" spans="1:14">
      <c r="A717">
        <v>716</v>
      </c>
      <c r="B717">
        <v>48</v>
      </c>
      <c r="C717" t="s">
        <v>11</v>
      </c>
      <c r="D717" t="s">
        <v>12</v>
      </c>
      <c r="E717" t="s">
        <v>13</v>
      </c>
      <c r="F717">
        <v>41.13</v>
      </c>
      <c r="G717" t="s">
        <v>24</v>
      </c>
      <c r="H717" t="s">
        <v>15</v>
      </c>
      <c r="I717">
        <v>3.2</v>
      </c>
      <c r="J717">
        <v>9</v>
      </c>
      <c r="K717">
        <v>2</v>
      </c>
      <c r="L717" s="4">
        <v>45.197802197802197</v>
      </c>
      <c r="M717" s="4">
        <v>4.0678021978021945</v>
      </c>
      <c r="N717" t="s">
        <v>93</v>
      </c>
    </row>
    <row r="718" spans="1:14">
      <c r="A718">
        <v>717</v>
      </c>
      <c r="B718">
        <v>56</v>
      </c>
      <c r="C718" t="s">
        <v>11</v>
      </c>
      <c r="D718" t="s">
        <v>22</v>
      </c>
      <c r="E718" t="s">
        <v>52</v>
      </c>
      <c r="F718">
        <v>245.44</v>
      </c>
      <c r="G718" t="s">
        <v>19</v>
      </c>
      <c r="H718" t="s">
        <v>15</v>
      </c>
      <c r="I718">
        <v>3.2</v>
      </c>
      <c r="J718">
        <v>2</v>
      </c>
      <c r="K718">
        <v>1</v>
      </c>
      <c r="L718" s="4">
        <v>250.44897959183675</v>
      </c>
      <c r="M718" s="4">
        <v>5.0089795918367486</v>
      </c>
      <c r="N718" t="s">
        <v>94</v>
      </c>
    </row>
    <row r="719" spans="1:14">
      <c r="A719">
        <v>718</v>
      </c>
      <c r="B719">
        <v>36</v>
      </c>
      <c r="C719" t="s">
        <v>11</v>
      </c>
      <c r="D719" t="s">
        <v>41</v>
      </c>
      <c r="E719" t="s">
        <v>42</v>
      </c>
      <c r="F719">
        <v>153.84</v>
      </c>
      <c r="G719" t="s">
        <v>24</v>
      </c>
      <c r="H719" t="s">
        <v>15</v>
      </c>
      <c r="I719">
        <v>3.2</v>
      </c>
      <c r="J719">
        <v>0</v>
      </c>
      <c r="K719">
        <v>0</v>
      </c>
      <c r="L719" s="4">
        <v>153.84</v>
      </c>
      <c r="M719" s="4">
        <v>0</v>
      </c>
      <c r="N719" t="s">
        <v>92</v>
      </c>
    </row>
    <row r="720" spans="1:14">
      <c r="A720">
        <v>719</v>
      </c>
      <c r="B720">
        <v>44</v>
      </c>
      <c r="C720" t="s">
        <v>11</v>
      </c>
      <c r="D720" t="s">
        <v>33</v>
      </c>
      <c r="E720" t="s">
        <v>38</v>
      </c>
      <c r="F720">
        <v>236.11</v>
      </c>
      <c r="G720" t="s">
        <v>31</v>
      </c>
      <c r="H720" t="s">
        <v>15</v>
      </c>
      <c r="I720">
        <v>5</v>
      </c>
      <c r="J720">
        <v>23</v>
      </c>
      <c r="K720">
        <v>9</v>
      </c>
      <c r="L720" s="4">
        <v>306.63636363636363</v>
      </c>
      <c r="M720" s="4">
        <v>70.526363636363612</v>
      </c>
      <c r="N720" t="s">
        <v>92</v>
      </c>
    </row>
    <row r="721" spans="1:14">
      <c r="A721">
        <v>720</v>
      </c>
      <c r="B721">
        <v>54</v>
      </c>
      <c r="C721" t="s">
        <v>11</v>
      </c>
      <c r="D721" t="s">
        <v>41</v>
      </c>
      <c r="E721" t="s">
        <v>46</v>
      </c>
      <c r="F721">
        <v>165.35</v>
      </c>
      <c r="G721" t="s">
        <v>14</v>
      </c>
      <c r="H721" t="s">
        <v>15</v>
      </c>
      <c r="I721">
        <v>3.7</v>
      </c>
      <c r="J721">
        <v>10</v>
      </c>
      <c r="K721">
        <v>0</v>
      </c>
      <c r="L721" s="4">
        <v>183.7222222222222</v>
      </c>
      <c r="M721" s="4">
        <v>18.372222222222206</v>
      </c>
      <c r="N721" t="s">
        <v>93</v>
      </c>
    </row>
    <row r="722" spans="1:14">
      <c r="A722">
        <v>721</v>
      </c>
      <c r="B722">
        <v>30</v>
      </c>
      <c r="C722" t="s">
        <v>11</v>
      </c>
      <c r="D722" t="s">
        <v>12</v>
      </c>
      <c r="E722" t="s">
        <v>50</v>
      </c>
      <c r="F722">
        <v>59.51</v>
      </c>
      <c r="G722" t="s">
        <v>24</v>
      </c>
      <c r="H722" t="s">
        <v>15</v>
      </c>
      <c r="I722">
        <v>3.8</v>
      </c>
      <c r="J722">
        <v>24</v>
      </c>
      <c r="K722">
        <v>7</v>
      </c>
      <c r="L722" s="4">
        <v>78.30263157894737</v>
      </c>
      <c r="M722" s="4">
        <v>18.792631578947372</v>
      </c>
      <c r="N722" t="s">
        <v>91</v>
      </c>
    </row>
    <row r="723" spans="1:14">
      <c r="A723">
        <v>722</v>
      </c>
      <c r="B723">
        <v>61</v>
      </c>
      <c r="C723" t="s">
        <v>16</v>
      </c>
      <c r="D723" t="s">
        <v>20</v>
      </c>
      <c r="E723" t="s">
        <v>39</v>
      </c>
      <c r="F723">
        <v>190.26</v>
      </c>
      <c r="G723" t="s">
        <v>24</v>
      </c>
      <c r="H723" t="s">
        <v>15</v>
      </c>
      <c r="I723">
        <v>4.4000000000000004</v>
      </c>
      <c r="J723">
        <v>14</v>
      </c>
      <c r="K723">
        <v>2</v>
      </c>
      <c r="L723" s="4">
        <v>221.23255813953489</v>
      </c>
      <c r="M723" s="4">
        <v>30.972558139534897</v>
      </c>
      <c r="N723" t="s">
        <v>94</v>
      </c>
    </row>
    <row r="724" spans="1:14">
      <c r="A724">
        <v>723</v>
      </c>
      <c r="B724">
        <v>63</v>
      </c>
      <c r="C724" t="s">
        <v>11</v>
      </c>
      <c r="D724" t="s">
        <v>22</v>
      </c>
      <c r="E724" t="s">
        <v>52</v>
      </c>
      <c r="F724">
        <v>168.64</v>
      </c>
      <c r="G724" t="s">
        <v>14</v>
      </c>
      <c r="H724" t="s">
        <v>15</v>
      </c>
      <c r="I724">
        <v>3.2</v>
      </c>
      <c r="J724">
        <v>6</v>
      </c>
      <c r="K724">
        <v>3</v>
      </c>
      <c r="L724" s="4">
        <v>179.40425531914894</v>
      </c>
      <c r="M724" s="4">
        <v>10.764255319148958</v>
      </c>
      <c r="N724" t="s">
        <v>94</v>
      </c>
    </row>
    <row r="725" spans="1:14">
      <c r="A725">
        <v>724</v>
      </c>
      <c r="B725">
        <v>42</v>
      </c>
      <c r="C725" t="s">
        <v>16</v>
      </c>
      <c r="D725" t="s">
        <v>27</v>
      </c>
      <c r="E725" t="s">
        <v>53</v>
      </c>
      <c r="F725">
        <v>2517.98</v>
      </c>
      <c r="G725" t="s">
        <v>31</v>
      </c>
      <c r="H725" t="s">
        <v>15</v>
      </c>
      <c r="I725">
        <v>3.2</v>
      </c>
      <c r="J725">
        <v>17</v>
      </c>
      <c r="K725">
        <v>6</v>
      </c>
      <c r="L725" s="4">
        <v>3033.7108433734943</v>
      </c>
      <c r="M725" s="4">
        <v>515.73084337349428</v>
      </c>
      <c r="N725" t="s">
        <v>92</v>
      </c>
    </row>
    <row r="726" spans="1:14">
      <c r="A726">
        <v>725</v>
      </c>
      <c r="B726">
        <v>35</v>
      </c>
      <c r="C726" t="s">
        <v>16</v>
      </c>
      <c r="D726" t="s">
        <v>20</v>
      </c>
      <c r="E726" t="s">
        <v>21</v>
      </c>
      <c r="F726">
        <v>240.4</v>
      </c>
      <c r="G726" t="s">
        <v>24</v>
      </c>
      <c r="H726" t="s">
        <v>15</v>
      </c>
      <c r="I726">
        <v>3.7</v>
      </c>
      <c r="J726">
        <v>10</v>
      </c>
      <c r="K726">
        <v>5</v>
      </c>
      <c r="L726" s="4">
        <v>267.11111111111109</v>
      </c>
      <c r="M726" s="4">
        <v>26.71111111111108</v>
      </c>
      <c r="N726" t="s">
        <v>92</v>
      </c>
    </row>
    <row r="727" spans="1:14">
      <c r="A727">
        <v>726</v>
      </c>
      <c r="B727">
        <v>66</v>
      </c>
      <c r="C727" t="s">
        <v>11</v>
      </c>
      <c r="D727" t="s">
        <v>25</v>
      </c>
      <c r="E727" t="s">
        <v>57</v>
      </c>
      <c r="F727">
        <v>75.72</v>
      </c>
      <c r="G727" t="s">
        <v>19</v>
      </c>
      <c r="H727" t="s">
        <v>15</v>
      </c>
      <c r="I727">
        <v>3.9</v>
      </c>
      <c r="J727">
        <v>14</v>
      </c>
      <c r="K727">
        <v>7</v>
      </c>
      <c r="L727" s="4">
        <v>88.04651162790698</v>
      </c>
      <c r="M727" s="4">
        <v>12.326511627906982</v>
      </c>
      <c r="N727" t="s">
        <v>95</v>
      </c>
    </row>
    <row r="728" spans="1:14">
      <c r="A728">
        <v>727</v>
      </c>
      <c r="B728">
        <v>37</v>
      </c>
      <c r="C728" t="s">
        <v>16</v>
      </c>
      <c r="D728" t="s">
        <v>33</v>
      </c>
      <c r="E728" t="s">
        <v>34</v>
      </c>
      <c r="F728">
        <v>229.47</v>
      </c>
      <c r="G728" t="s">
        <v>19</v>
      </c>
      <c r="H728" t="s">
        <v>15</v>
      </c>
      <c r="I728">
        <v>4.2</v>
      </c>
      <c r="J728">
        <v>14</v>
      </c>
      <c r="K728">
        <v>7</v>
      </c>
      <c r="L728" s="4">
        <v>266.82558139534882</v>
      </c>
      <c r="M728" s="4">
        <v>37.355581395348821</v>
      </c>
      <c r="N728" t="s">
        <v>92</v>
      </c>
    </row>
    <row r="729" spans="1:14">
      <c r="A729">
        <v>728</v>
      </c>
      <c r="B729">
        <v>31</v>
      </c>
      <c r="C729" t="s">
        <v>11</v>
      </c>
      <c r="D729" t="s">
        <v>20</v>
      </c>
      <c r="E729" t="s">
        <v>21</v>
      </c>
      <c r="F729">
        <v>103.72</v>
      </c>
      <c r="G729" t="s">
        <v>24</v>
      </c>
      <c r="H729" t="s">
        <v>15</v>
      </c>
      <c r="I729">
        <v>3.4</v>
      </c>
      <c r="J729">
        <v>20</v>
      </c>
      <c r="K729">
        <v>5</v>
      </c>
      <c r="L729" s="4">
        <v>129.64999999999998</v>
      </c>
      <c r="M729" s="4">
        <v>25.929999999999978</v>
      </c>
      <c r="N729" t="s">
        <v>91</v>
      </c>
    </row>
    <row r="730" spans="1:14">
      <c r="A730">
        <v>729</v>
      </c>
      <c r="B730">
        <v>46</v>
      </c>
      <c r="C730" t="s">
        <v>11</v>
      </c>
      <c r="D730" t="s">
        <v>41</v>
      </c>
      <c r="E730" t="s">
        <v>42</v>
      </c>
      <c r="F730">
        <v>134.76</v>
      </c>
      <c r="G730" t="s">
        <v>31</v>
      </c>
      <c r="H730" t="s">
        <v>15</v>
      </c>
      <c r="I730">
        <v>4.5999999999999996</v>
      </c>
      <c r="J730">
        <v>20</v>
      </c>
      <c r="K730">
        <v>5</v>
      </c>
      <c r="L730" s="4">
        <v>168.45</v>
      </c>
      <c r="M730" s="4">
        <v>33.69</v>
      </c>
      <c r="N730" t="s">
        <v>93</v>
      </c>
    </row>
    <row r="731" spans="1:14">
      <c r="A731">
        <v>730</v>
      </c>
      <c r="B731">
        <v>46</v>
      </c>
      <c r="C731" t="s">
        <v>16</v>
      </c>
      <c r="D731" t="s">
        <v>25</v>
      </c>
      <c r="E731" t="s">
        <v>47</v>
      </c>
      <c r="F731">
        <v>59.16</v>
      </c>
      <c r="G731" t="s">
        <v>14</v>
      </c>
      <c r="H731" t="s">
        <v>15</v>
      </c>
      <c r="I731">
        <v>4.5</v>
      </c>
      <c r="J731">
        <v>24</v>
      </c>
      <c r="K731">
        <v>7</v>
      </c>
      <c r="L731" s="4">
        <v>77.84210526315789</v>
      </c>
      <c r="M731" s="4">
        <v>18.682105263157894</v>
      </c>
      <c r="N731" t="s">
        <v>93</v>
      </c>
    </row>
    <row r="732" spans="1:14">
      <c r="A732">
        <v>731</v>
      </c>
      <c r="B732">
        <v>51</v>
      </c>
      <c r="C732" t="s">
        <v>16</v>
      </c>
      <c r="D732" t="s">
        <v>17</v>
      </c>
      <c r="E732" t="s">
        <v>35</v>
      </c>
      <c r="F732">
        <v>99.13</v>
      </c>
      <c r="G732" t="s">
        <v>31</v>
      </c>
      <c r="H732" t="s">
        <v>15</v>
      </c>
      <c r="I732">
        <v>4.0999999999999996</v>
      </c>
      <c r="J732">
        <v>17</v>
      </c>
      <c r="K732">
        <v>6</v>
      </c>
      <c r="L732" s="4">
        <v>119.43373493975903</v>
      </c>
      <c r="M732" s="4">
        <v>20.303734939759039</v>
      </c>
      <c r="N732" t="s">
        <v>93</v>
      </c>
    </row>
    <row r="733" spans="1:14">
      <c r="A733">
        <v>732</v>
      </c>
      <c r="B733">
        <v>38</v>
      </c>
      <c r="C733" t="s">
        <v>16</v>
      </c>
      <c r="D733" t="s">
        <v>20</v>
      </c>
      <c r="E733" t="s">
        <v>39</v>
      </c>
      <c r="F733">
        <v>205.6</v>
      </c>
      <c r="G733" t="s">
        <v>19</v>
      </c>
      <c r="H733" t="s">
        <v>15</v>
      </c>
      <c r="I733">
        <v>4.5</v>
      </c>
      <c r="J733">
        <v>22</v>
      </c>
      <c r="K733">
        <v>6</v>
      </c>
      <c r="L733" s="4">
        <v>263.58974358974359</v>
      </c>
      <c r="M733" s="4">
        <v>57.989743589743597</v>
      </c>
      <c r="N733" t="s">
        <v>92</v>
      </c>
    </row>
    <row r="734" spans="1:14">
      <c r="A734">
        <v>733</v>
      </c>
      <c r="B734">
        <v>31</v>
      </c>
      <c r="C734" t="s">
        <v>16</v>
      </c>
      <c r="D734" t="s">
        <v>33</v>
      </c>
      <c r="E734" t="s">
        <v>34</v>
      </c>
      <c r="F734">
        <v>51.91</v>
      </c>
      <c r="G734" t="s">
        <v>31</v>
      </c>
      <c r="H734" t="s">
        <v>37</v>
      </c>
      <c r="I734">
        <v>2.2000000000000002</v>
      </c>
      <c r="J734">
        <v>2</v>
      </c>
      <c r="K734">
        <v>1</v>
      </c>
      <c r="L734" s="4">
        <v>52.969387755102041</v>
      </c>
      <c r="M734" s="4">
        <v>1.0593877551020441</v>
      </c>
      <c r="N734" t="s">
        <v>91</v>
      </c>
    </row>
    <row r="735" spans="1:14">
      <c r="A735">
        <v>734</v>
      </c>
      <c r="B735">
        <v>26</v>
      </c>
      <c r="C735" t="s">
        <v>11</v>
      </c>
      <c r="D735" t="s">
        <v>29</v>
      </c>
      <c r="E735" t="s">
        <v>51</v>
      </c>
      <c r="F735">
        <v>64.09</v>
      </c>
      <c r="G735" t="s">
        <v>24</v>
      </c>
      <c r="H735" t="s">
        <v>15</v>
      </c>
      <c r="I735">
        <v>4.5</v>
      </c>
      <c r="J735">
        <v>11</v>
      </c>
      <c r="K735">
        <v>3</v>
      </c>
      <c r="L735" s="4">
        <v>72.011235955056179</v>
      </c>
      <c r="M735" s="4">
        <v>7.9212359550561757</v>
      </c>
      <c r="N735" t="s">
        <v>91</v>
      </c>
    </row>
    <row r="736" spans="1:14">
      <c r="A736">
        <v>735</v>
      </c>
      <c r="B736">
        <v>46</v>
      </c>
      <c r="C736" t="s">
        <v>11</v>
      </c>
      <c r="D736" t="s">
        <v>33</v>
      </c>
      <c r="E736" t="s">
        <v>38</v>
      </c>
      <c r="F736">
        <v>44.74</v>
      </c>
      <c r="G736" t="s">
        <v>24</v>
      </c>
      <c r="H736" t="s">
        <v>37</v>
      </c>
      <c r="I736">
        <v>3.6</v>
      </c>
      <c r="J736">
        <v>13</v>
      </c>
      <c r="K736">
        <v>4</v>
      </c>
      <c r="L736" s="4">
        <v>51.425287356321839</v>
      </c>
      <c r="M736" s="4">
        <v>6.6852873563218367</v>
      </c>
      <c r="N736" t="s">
        <v>93</v>
      </c>
    </row>
    <row r="737" spans="1:14">
      <c r="A737">
        <v>736</v>
      </c>
      <c r="B737">
        <v>42</v>
      </c>
      <c r="C737" t="s">
        <v>11</v>
      </c>
      <c r="D737" t="s">
        <v>22</v>
      </c>
      <c r="E737" t="s">
        <v>43</v>
      </c>
      <c r="F737">
        <v>44.21</v>
      </c>
      <c r="G737" t="s">
        <v>31</v>
      </c>
      <c r="H737" t="s">
        <v>15</v>
      </c>
      <c r="I737">
        <v>3.4</v>
      </c>
      <c r="J737">
        <v>15</v>
      </c>
      <c r="K737">
        <v>5</v>
      </c>
      <c r="L737" s="4">
        <v>52.011764705882356</v>
      </c>
      <c r="M737" s="4">
        <v>7.8017647058823556</v>
      </c>
      <c r="N737" t="s">
        <v>92</v>
      </c>
    </row>
    <row r="738" spans="1:14">
      <c r="A738">
        <v>737</v>
      </c>
      <c r="B738">
        <v>24</v>
      </c>
      <c r="C738" t="s">
        <v>11</v>
      </c>
      <c r="D738" t="s">
        <v>12</v>
      </c>
      <c r="E738" t="s">
        <v>13</v>
      </c>
      <c r="F738">
        <v>177.47</v>
      </c>
      <c r="G738" t="s">
        <v>24</v>
      </c>
      <c r="H738" t="s">
        <v>15</v>
      </c>
      <c r="I738">
        <v>3.3</v>
      </c>
      <c r="J738">
        <v>8</v>
      </c>
      <c r="K738">
        <v>4</v>
      </c>
      <c r="L738" s="4">
        <v>192.90217391304347</v>
      </c>
      <c r="M738" s="4">
        <v>15.432173913043471</v>
      </c>
      <c r="N738" t="s">
        <v>100</v>
      </c>
    </row>
    <row r="739" spans="1:14">
      <c r="A739">
        <v>738</v>
      </c>
      <c r="B739">
        <v>30</v>
      </c>
      <c r="C739" t="s">
        <v>11</v>
      </c>
      <c r="D739" t="s">
        <v>29</v>
      </c>
      <c r="E739" t="s">
        <v>51</v>
      </c>
      <c r="F739">
        <v>114.32</v>
      </c>
      <c r="G739" t="s">
        <v>19</v>
      </c>
      <c r="H739" t="s">
        <v>15</v>
      </c>
      <c r="I739">
        <v>4</v>
      </c>
      <c r="J739">
        <v>7</v>
      </c>
      <c r="K739">
        <v>1</v>
      </c>
      <c r="L739" s="4">
        <v>122.9247311827957</v>
      </c>
      <c r="M739" s="4">
        <v>8.6047311827957031</v>
      </c>
      <c r="N739" t="s">
        <v>91</v>
      </c>
    </row>
    <row r="740" spans="1:14">
      <c r="A740">
        <v>739</v>
      </c>
      <c r="B740">
        <v>53</v>
      </c>
      <c r="C740" t="s">
        <v>16</v>
      </c>
      <c r="D740" t="s">
        <v>33</v>
      </c>
      <c r="E740" t="s">
        <v>34</v>
      </c>
      <c r="F740">
        <v>139.94</v>
      </c>
      <c r="G740" t="s">
        <v>14</v>
      </c>
      <c r="H740" t="s">
        <v>15</v>
      </c>
      <c r="I740">
        <v>3.5</v>
      </c>
      <c r="J740">
        <v>13</v>
      </c>
      <c r="K740">
        <v>4</v>
      </c>
      <c r="L740" s="4">
        <v>160.85057471264366</v>
      </c>
      <c r="M740" s="4">
        <v>20.910574712643665</v>
      </c>
      <c r="N740" t="s">
        <v>93</v>
      </c>
    </row>
    <row r="741" spans="1:14">
      <c r="A741">
        <v>740</v>
      </c>
      <c r="B741">
        <v>29</v>
      </c>
      <c r="C741" t="s">
        <v>16</v>
      </c>
      <c r="D741" t="s">
        <v>33</v>
      </c>
      <c r="E741" t="s">
        <v>40</v>
      </c>
      <c r="F741">
        <v>247.94</v>
      </c>
      <c r="G741" t="s">
        <v>24</v>
      </c>
      <c r="H741" t="s">
        <v>15</v>
      </c>
      <c r="I741">
        <v>3.4</v>
      </c>
      <c r="J741">
        <v>8</v>
      </c>
      <c r="K741">
        <v>4</v>
      </c>
      <c r="L741" s="4">
        <v>269.5</v>
      </c>
      <c r="M741" s="4">
        <v>21.560000000000002</v>
      </c>
      <c r="N741" t="s">
        <v>91</v>
      </c>
    </row>
    <row r="742" spans="1:14">
      <c r="A742">
        <v>741</v>
      </c>
      <c r="B742">
        <v>49</v>
      </c>
      <c r="C742" t="s">
        <v>16</v>
      </c>
      <c r="D742" t="s">
        <v>27</v>
      </c>
      <c r="E742" t="s">
        <v>49</v>
      </c>
      <c r="F742">
        <v>2588.27</v>
      </c>
      <c r="G742" t="s">
        <v>31</v>
      </c>
      <c r="H742" t="s">
        <v>15</v>
      </c>
      <c r="I742">
        <v>4.9000000000000004</v>
      </c>
      <c r="J742">
        <v>11</v>
      </c>
      <c r="K742">
        <v>3</v>
      </c>
      <c r="L742" s="4">
        <v>2908.1685393258426</v>
      </c>
      <c r="M742" s="4">
        <v>319.89853932584265</v>
      </c>
      <c r="N742" t="s">
        <v>93</v>
      </c>
    </row>
    <row r="743" spans="1:14">
      <c r="A743">
        <v>742</v>
      </c>
      <c r="B743">
        <v>70</v>
      </c>
      <c r="C743" t="s">
        <v>16</v>
      </c>
      <c r="D743" t="s">
        <v>27</v>
      </c>
      <c r="E743" t="s">
        <v>28</v>
      </c>
      <c r="F743">
        <v>780.6</v>
      </c>
      <c r="G743" t="s">
        <v>14</v>
      </c>
      <c r="H743" t="s">
        <v>15</v>
      </c>
      <c r="I743">
        <v>4.7</v>
      </c>
      <c r="J743">
        <v>20</v>
      </c>
      <c r="K743">
        <v>5</v>
      </c>
      <c r="L743" s="4">
        <v>975.75</v>
      </c>
      <c r="M743" s="4">
        <v>195.14999999999998</v>
      </c>
      <c r="N743" t="s">
        <v>95</v>
      </c>
    </row>
    <row r="744" spans="1:14">
      <c r="A744">
        <v>743</v>
      </c>
      <c r="B744">
        <v>35</v>
      </c>
      <c r="C744" t="s">
        <v>16</v>
      </c>
      <c r="D744" t="s">
        <v>33</v>
      </c>
      <c r="E744" t="s">
        <v>38</v>
      </c>
      <c r="F744">
        <v>113.18</v>
      </c>
      <c r="G744" t="s">
        <v>19</v>
      </c>
      <c r="H744" t="s">
        <v>15</v>
      </c>
      <c r="I744">
        <v>3.8</v>
      </c>
      <c r="J744">
        <v>12</v>
      </c>
      <c r="K744">
        <v>6</v>
      </c>
      <c r="L744" s="4">
        <v>128.61363636363637</v>
      </c>
      <c r="M744" s="4">
        <v>15.433636363636367</v>
      </c>
      <c r="N744" t="s">
        <v>92</v>
      </c>
    </row>
    <row r="745" spans="1:14">
      <c r="A745">
        <v>744</v>
      </c>
      <c r="B745">
        <v>57</v>
      </c>
      <c r="C745" t="s">
        <v>16</v>
      </c>
      <c r="D745" t="s">
        <v>22</v>
      </c>
      <c r="E745" t="s">
        <v>43</v>
      </c>
      <c r="F745">
        <v>107.82</v>
      </c>
      <c r="G745" t="s">
        <v>24</v>
      </c>
      <c r="H745" t="s">
        <v>15</v>
      </c>
      <c r="I745">
        <v>4.0999999999999996</v>
      </c>
      <c r="J745">
        <v>16</v>
      </c>
      <c r="K745">
        <v>3</v>
      </c>
      <c r="L745" s="4">
        <v>128.35714285714286</v>
      </c>
      <c r="M745" s="4">
        <v>20.537142857142868</v>
      </c>
      <c r="N745" t="s">
        <v>94</v>
      </c>
    </row>
    <row r="746" spans="1:14">
      <c r="A746">
        <v>745</v>
      </c>
      <c r="B746">
        <v>36</v>
      </c>
      <c r="C746" t="s">
        <v>16</v>
      </c>
      <c r="D746" t="s">
        <v>22</v>
      </c>
      <c r="E746" t="s">
        <v>43</v>
      </c>
      <c r="F746">
        <v>224.49</v>
      </c>
      <c r="G746" t="s">
        <v>14</v>
      </c>
      <c r="H746" t="s">
        <v>15</v>
      </c>
      <c r="I746">
        <v>4.5</v>
      </c>
      <c r="J746">
        <v>12</v>
      </c>
      <c r="K746">
        <v>6</v>
      </c>
      <c r="L746" s="4">
        <v>255.10227272727275</v>
      </c>
      <c r="M746" s="4">
        <v>30.612272727272739</v>
      </c>
      <c r="N746" t="s">
        <v>92</v>
      </c>
    </row>
    <row r="747" spans="1:14">
      <c r="A747">
        <v>746</v>
      </c>
      <c r="B747">
        <v>52</v>
      </c>
      <c r="C747" t="s">
        <v>16</v>
      </c>
      <c r="D747" t="s">
        <v>17</v>
      </c>
      <c r="E747" t="s">
        <v>48</v>
      </c>
      <c r="F747">
        <v>132.43</v>
      </c>
      <c r="G747" t="s">
        <v>31</v>
      </c>
      <c r="H747" t="s">
        <v>15</v>
      </c>
      <c r="I747">
        <v>3.5</v>
      </c>
      <c r="J747">
        <v>12</v>
      </c>
      <c r="K747">
        <v>1</v>
      </c>
      <c r="L747" s="4">
        <v>150.48863636363637</v>
      </c>
      <c r="M747" s="4">
        <v>18.058636363636367</v>
      </c>
      <c r="N747" t="s">
        <v>93</v>
      </c>
    </row>
    <row r="748" spans="1:14">
      <c r="A748">
        <v>747</v>
      </c>
      <c r="B748">
        <v>47</v>
      </c>
      <c r="C748" t="s">
        <v>11</v>
      </c>
      <c r="D748" t="s">
        <v>20</v>
      </c>
      <c r="E748" t="s">
        <v>21</v>
      </c>
      <c r="F748">
        <v>57.77</v>
      </c>
      <c r="G748" t="s">
        <v>19</v>
      </c>
      <c r="H748" t="s">
        <v>37</v>
      </c>
      <c r="I748">
        <v>2.9</v>
      </c>
      <c r="J748">
        <v>16</v>
      </c>
      <c r="K748">
        <v>3</v>
      </c>
      <c r="L748" s="4">
        <v>68.773809523809533</v>
      </c>
      <c r="M748" s="4">
        <v>11.003809523809529</v>
      </c>
      <c r="N748" t="s">
        <v>93</v>
      </c>
    </row>
    <row r="749" spans="1:14">
      <c r="A749">
        <v>748</v>
      </c>
      <c r="B749">
        <v>24</v>
      </c>
      <c r="C749" t="s">
        <v>16</v>
      </c>
      <c r="D749" t="s">
        <v>20</v>
      </c>
      <c r="E749" t="s">
        <v>36</v>
      </c>
      <c r="F749">
        <v>139.11000000000001</v>
      </c>
      <c r="G749" t="s">
        <v>19</v>
      </c>
      <c r="H749" t="s">
        <v>15</v>
      </c>
      <c r="I749">
        <v>3.1</v>
      </c>
      <c r="J749">
        <v>19</v>
      </c>
      <c r="K749">
        <v>7</v>
      </c>
      <c r="L749" s="4">
        <v>171.74074074074073</v>
      </c>
      <c r="M749" s="4">
        <v>32.63074074074072</v>
      </c>
      <c r="N749" t="s">
        <v>100</v>
      </c>
    </row>
    <row r="750" spans="1:14">
      <c r="A750">
        <v>749</v>
      </c>
      <c r="B750">
        <v>55</v>
      </c>
      <c r="C750" t="s">
        <v>11</v>
      </c>
      <c r="D750" t="s">
        <v>12</v>
      </c>
      <c r="E750" t="s">
        <v>56</v>
      </c>
      <c r="F750">
        <v>159.49</v>
      </c>
      <c r="G750" t="s">
        <v>19</v>
      </c>
      <c r="H750" t="s">
        <v>15</v>
      </c>
      <c r="I750">
        <v>3.4</v>
      </c>
      <c r="J750">
        <v>18</v>
      </c>
      <c r="K750">
        <v>4</v>
      </c>
      <c r="L750" s="4">
        <v>194.5</v>
      </c>
      <c r="M750" s="4">
        <v>35.009999999999991</v>
      </c>
      <c r="N750" t="s">
        <v>94</v>
      </c>
    </row>
    <row r="751" spans="1:14">
      <c r="A751">
        <v>750</v>
      </c>
      <c r="B751">
        <v>22</v>
      </c>
      <c r="C751" t="s">
        <v>16</v>
      </c>
      <c r="D751" t="s">
        <v>25</v>
      </c>
      <c r="E751" t="s">
        <v>54</v>
      </c>
      <c r="F751">
        <v>36.590000000000003</v>
      </c>
      <c r="G751" t="s">
        <v>19</v>
      </c>
      <c r="H751" t="s">
        <v>37</v>
      </c>
      <c r="I751">
        <v>3.2</v>
      </c>
      <c r="J751">
        <v>15</v>
      </c>
      <c r="K751">
        <v>5</v>
      </c>
      <c r="L751" s="4">
        <v>43.047058823529419</v>
      </c>
      <c r="M751" s="4">
        <v>6.4570588235294153</v>
      </c>
      <c r="N751" t="s">
        <v>100</v>
      </c>
    </row>
    <row r="752" spans="1:14">
      <c r="A752">
        <v>751</v>
      </c>
      <c r="B752">
        <v>36</v>
      </c>
      <c r="C752" t="s">
        <v>11</v>
      </c>
      <c r="D752" t="s">
        <v>41</v>
      </c>
      <c r="E752" t="s">
        <v>45</v>
      </c>
      <c r="F752">
        <v>114.62</v>
      </c>
      <c r="G752" t="s">
        <v>31</v>
      </c>
      <c r="H752" t="s">
        <v>15</v>
      </c>
      <c r="I752">
        <v>3.4</v>
      </c>
      <c r="J752">
        <v>16</v>
      </c>
      <c r="K752">
        <v>3</v>
      </c>
      <c r="L752" s="4">
        <v>136.45238095238096</v>
      </c>
      <c r="M752" s="4">
        <v>21.832380952380959</v>
      </c>
      <c r="N752" t="s">
        <v>92</v>
      </c>
    </row>
    <row r="753" spans="1:14">
      <c r="A753">
        <v>752</v>
      </c>
      <c r="B753">
        <v>60</v>
      </c>
      <c r="C753" t="s">
        <v>16</v>
      </c>
      <c r="D753" t="s">
        <v>20</v>
      </c>
      <c r="E753" t="s">
        <v>39</v>
      </c>
      <c r="F753">
        <v>79.86</v>
      </c>
      <c r="G753" t="s">
        <v>19</v>
      </c>
      <c r="H753" t="s">
        <v>37</v>
      </c>
      <c r="I753">
        <v>4.4000000000000004</v>
      </c>
      <c r="J753">
        <v>19</v>
      </c>
      <c r="K753">
        <v>7</v>
      </c>
      <c r="L753" s="4">
        <v>98.592592592592581</v>
      </c>
      <c r="M753" s="4">
        <v>18.732592592592582</v>
      </c>
      <c r="N753" t="s">
        <v>94</v>
      </c>
    </row>
    <row r="754" spans="1:14">
      <c r="A754">
        <v>753</v>
      </c>
      <c r="B754">
        <v>43</v>
      </c>
      <c r="C754" t="s">
        <v>16</v>
      </c>
      <c r="D754" t="s">
        <v>17</v>
      </c>
      <c r="E754" t="s">
        <v>48</v>
      </c>
      <c r="F754">
        <v>110.06</v>
      </c>
      <c r="G754" t="s">
        <v>31</v>
      </c>
      <c r="H754" t="s">
        <v>15</v>
      </c>
      <c r="I754">
        <v>3.3</v>
      </c>
      <c r="J754">
        <v>20</v>
      </c>
      <c r="K754">
        <v>10</v>
      </c>
      <c r="L754" s="4">
        <v>137.57499999999999</v>
      </c>
      <c r="M754" s="4">
        <v>27.514999999999986</v>
      </c>
      <c r="N754" t="s">
        <v>92</v>
      </c>
    </row>
    <row r="755" spans="1:14">
      <c r="A755">
        <v>754</v>
      </c>
      <c r="B755">
        <v>57</v>
      </c>
      <c r="C755" t="s">
        <v>16</v>
      </c>
      <c r="D755" t="s">
        <v>20</v>
      </c>
      <c r="E755" t="s">
        <v>36</v>
      </c>
      <c r="F755">
        <v>203.13</v>
      </c>
      <c r="G755" t="s">
        <v>24</v>
      </c>
      <c r="H755" t="s">
        <v>15</v>
      </c>
      <c r="I755">
        <v>3.3</v>
      </c>
      <c r="J755">
        <v>11</v>
      </c>
      <c r="K755">
        <v>3</v>
      </c>
      <c r="L755" s="4">
        <v>228.23595505617976</v>
      </c>
      <c r="M755" s="4">
        <v>25.105955056179766</v>
      </c>
      <c r="N755" t="s">
        <v>94</v>
      </c>
    </row>
    <row r="756" spans="1:14">
      <c r="A756">
        <v>755</v>
      </c>
      <c r="B756">
        <v>54</v>
      </c>
      <c r="C756" t="s">
        <v>16</v>
      </c>
      <c r="D756" t="s">
        <v>27</v>
      </c>
      <c r="E756" t="s">
        <v>49</v>
      </c>
      <c r="F756">
        <v>1829.89</v>
      </c>
      <c r="G756" t="s">
        <v>24</v>
      </c>
      <c r="H756" t="s">
        <v>15</v>
      </c>
      <c r="I756">
        <v>4.9000000000000004</v>
      </c>
      <c r="J756">
        <v>30</v>
      </c>
      <c r="K756">
        <v>10</v>
      </c>
      <c r="L756" s="4">
        <v>2614.1285714285718</v>
      </c>
      <c r="M756" s="4">
        <v>784.23857142857173</v>
      </c>
      <c r="N756" t="s">
        <v>93</v>
      </c>
    </row>
    <row r="757" spans="1:14">
      <c r="A757">
        <v>756</v>
      </c>
      <c r="B757">
        <v>33</v>
      </c>
      <c r="C757" t="s">
        <v>11</v>
      </c>
      <c r="D757" t="s">
        <v>20</v>
      </c>
      <c r="E757" t="s">
        <v>21</v>
      </c>
      <c r="F757">
        <v>183.9</v>
      </c>
      <c r="G757" t="s">
        <v>31</v>
      </c>
      <c r="H757" t="s">
        <v>15</v>
      </c>
      <c r="I757">
        <v>2.6</v>
      </c>
      <c r="J757">
        <v>15</v>
      </c>
      <c r="K757">
        <v>5</v>
      </c>
      <c r="L757" s="4">
        <v>216.35294117647061</v>
      </c>
      <c r="M757" s="4">
        <v>32.452941176470603</v>
      </c>
      <c r="N757" t="s">
        <v>91</v>
      </c>
    </row>
    <row r="758" spans="1:14">
      <c r="A758">
        <v>757</v>
      </c>
      <c r="B758">
        <v>63</v>
      </c>
      <c r="C758" t="s">
        <v>11</v>
      </c>
      <c r="D758" t="s">
        <v>33</v>
      </c>
      <c r="E758" t="s">
        <v>34</v>
      </c>
      <c r="F758">
        <v>108.4</v>
      </c>
      <c r="G758" t="s">
        <v>19</v>
      </c>
      <c r="H758" t="s">
        <v>15</v>
      </c>
      <c r="I758">
        <v>2.6</v>
      </c>
      <c r="J758">
        <v>16</v>
      </c>
      <c r="K758">
        <v>3</v>
      </c>
      <c r="L758" s="4">
        <v>129.04761904761907</v>
      </c>
      <c r="M758" s="4">
        <v>20.64761904761906</v>
      </c>
      <c r="N758" t="s">
        <v>94</v>
      </c>
    </row>
    <row r="759" spans="1:14">
      <c r="A759">
        <v>758</v>
      </c>
      <c r="B759">
        <v>66</v>
      </c>
      <c r="C759" t="s">
        <v>16</v>
      </c>
      <c r="D759" t="s">
        <v>25</v>
      </c>
      <c r="E759" t="s">
        <v>26</v>
      </c>
      <c r="F759">
        <v>37.9</v>
      </c>
      <c r="G759" t="s">
        <v>24</v>
      </c>
      <c r="H759" t="s">
        <v>15</v>
      </c>
      <c r="I759">
        <v>3.5</v>
      </c>
      <c r="J759">
        <v>14</v>
      </c>
      <c r="K759">
        <v>7</v>
      </c>
      <c r="L759" s="4">
        <v>44.069767441860463</v>
      </c>
      <c r="M759" s="4">
        <v>6.1697674418604649</v>
      </c>
      <c r="N759" t="s">
        <v>95</v>
      </c>
    </row>
    <row r="760" spans="1:14">
      <c r="A760">
        <v>759</v>
      </c>
      <c r="B760">
        <v>30</v>
      </c>
      <c r="C760" t="s">
        <v>16</v>
      </c>
      <c r="D760" t="s">
        <v>17</v>
      </c>
      <c r="E760" t="s">
        <v>35</v>
      </c>
      <c r="F760">
        <v>30.45</v>
      </c>
      <c r="G760" t="s">
        <v>31</v>
      </c>
      <c r="H760" t="s">
        <v>15</v>
      </c>
      <c r="I760">
        <v>3.6</v>
      </c>
      <c r="J760">
        <v>15</v>
      </c>
      <c r="K760">
        <v>5</v>
      </c>
      <c r="L760" s="4">
        <v>35.823529411764703</v>
      </c>
      <c r="M760" s="4">
        <v>5.3735294117647037</v>
      </c>
      <c r="N760" t="s">
        <v>91</v>
      </c>
    </row>
    <row r="761" spans="1:14">
      <c r="A761">
        <v>760</v>
      </c>
      <c r="B761">
        <v>55</v>
      </c>
      <c r="C761" t="s">
        <v>16</v>
      </c>
      <c r="D761" t="s">
        <v>20</v>
      </c>
      <c r="E761" t="s">
        <v>36</v>
      </c>
      <c r="F761">
        <v>54.84</v>
      </c>
      <c r="G761" t="s">
        <v>19</v>
      </c>
      <c r="H761" t="s">
        <v>37</v>
      </c>
      <c r="I761">
        <v>1.1000000000000001</v>
      </c>
      <c r="J761">
        <v>8</v>
      </c>
      <c r="K761">
        <v>4</v>
      </c>
      <c r="L761" s="4">
        <v>59.608695652173914</v>
      </c>
      <c r="M761" s="4">
        <v>4.7686956521739106</v>
      </c>
      <c r="N761" t="s">
        <v>94</v>
      </c>
    </row>
    <row r="762" spans="1:14">
      <c r="A762">
        <v>761</v>
      </c>
      <c r="B762">
        <v>35</v>
      </c>
      <c r="C762" t="s">
        <v>11</v>
      </c>
      <c r="D762" t="s">
        <v>12</v>
      </c>
      <c r="E762" t="s">
        <v>50</v>
      </c>
      <c r="F762">
        <v>154.72</v>
      </c>
      <c r="G762" t="s">
        <v>19</v>
      </c>
      <c r="H762" t="s">
        <v>15</v>
      </c>
      <c r="I762">
        <v>3.2</v>
      </c>
      <c r="J762">
        <v>26</v>
      </c>
      <c r="K762">
        <v>8</v>
      </c>
      <c r="L762" s="4">
        <v>209.08108108108109</v>
      </c>
      <c r="M762" s="4">
        <v>54.361081081081096</v>
      </c>
      <c r="N762" t="s">
        <v>92</v>
      </c>
    </row>
    <row r="763" spans="1:14">
      <c r="A763">
        <v>762</v>
      </c>
      <c r="B763">
        <v>33</v>
      </c>
      <c r="C763" t="s">
        <v>16</v>
      </c>
      <c r="D763" t="s">
        <v>27</v>
      </c>
      <c r="E763" t="s">
        <v>53</v>
      </c>
      <c r="F763">
        <v>2603.54</v>
      </c>
      <c r="G763" t="s">
        <v>14</v>
      </c>
      <c r="H763" t="s">
        <v>15</v>
      </c>
      <c r="I763">
        <v>4.4000000000000004</v>
      </c>
      <c r="J763">
        <v>12</v>
      </c>
      <c r="K763">
        <v>6</v>
      </c>
      <c r="L763" s="4">
        <v>2958.568181818182</v>
      </c>
      <c r="M763" s="4">
        <v>355.02818181818202</v>
      </c>
      <c r="N763" t="s">
        <v>91</v>
      </c>
    </row>
    <row r="764" spans="1:14">
      <c r="A764">
        <v>763</v>
      </c>
      <c r="B764">
        <v>28</v>
      </c>
      <c r="C764" t="s">
        <v>16</v>
      </c>
      <c r="D764" t="s">
        <v>33</v>
      </c>
      <c r="E764" t="s">
        <v>38</v>
      </c>
      <c r="F764">
        <v>192.41</v>
      </c>
      <c r="G764" t="s">
        <v>24</v>
      </c>
      <c r="H764" t="s">
        <v>15</v>
      </c>
      <c r="I764">
        <v>3.2</v>
      </c>
      <c r="J764">
        <v>8</v>
      </c>
      <c r="K764">
        <v>4</v>
      </c>
      <c r="L764" s="4">
        <v>209.14130434782606</v>
      </c>
      <c r="M764" s="4">
        <v>16.731304347826068</v>
      </c>
      <c r="N764" t="s">
        <v>91</v>
      </c>
    </row>
    <row r="765" spans="1:14">
      <c r="A765">
        <v>764</v>
      </c>
      <c r="B765">
        <v>38</v>
      </c>
      <c r="C765" t="s">
        <v>16</v>
      </c>
      <c r="D765" t="s">
        <v>20</v>
      </c>
      <c r="E765" t="s">
        <v>36</v>
      </c>
      <c r="F765">
        <v>248.91</v>
      </c>
      <c r="G765" t="s">
        <v>14</v>
      </c>
      <c r="H765" t="s">
        <v>15</v>
      </c>
      <c r="I765">
        <v>4.8</v>
      </c>
      <c r="J765">
        <v>26</v>
      </c>
      <c r="K765">
        <v>8</v>
      </c>
      <c r="L765" s="4">
        <v>336.36486486486484</v>
      </c>
      <c r="M765" s="4">
        <v>87.454864864864845</v>
      </c>
      <c r="N765" t="s">
        <v>92</v>
      </c>
    </row>
    <row r="766" spans="1:14">
      <c r="A766">
        <v>765</v>
      </c>
      <c r="B766">
        <v>51</v>
      </c>
      <c r="C766" t="s">
        <v>16</v>
      </c>
      <c r="D766" t="s">
        <v>25</v>
      </c>
      <c r="E766" t="s">
        <v>57</v>
      </c>
      <c r="F766">
        <v>43.81</v>
      </c>
      <c r="G766" t="s">
        <v>24</v>
      </c>
      <c r="H766" t="s">
        <v>37</v>
      </c>
      <c r="I766">
        <v>4.0999999999999996</v>
      </c>
      <c r="J766">
        <v>7</v>
      </c>
      <c r="K766">
        <v>1</v>
      </c>
      <c r="L766" s="4">
        <v>47.107526881720439</v>
      </c>
      <c r="M766" s="4">
        <v>3.2975268817204366</v>
      </c>
      <c r="N766" t="s">
        <v>93</v>
      </c>
    </row>
    <row r="767" spans="1:14">
      <c r="A767">
        <v>766</v>
      </c>
      <c r="B767">
        <v>24</v>
      </c>
      <c r="C767" t="s">
        <v>16</v>
      </c>
      <c r="D767" t="s">
        <v>25</v>
      </c>
      <c r="E767" t="s">
        <v>54</v>
      </c>
      <c r="F767">
        <v>63.21</v>
      </c>
      <c r="G767" t="s">
        <v>19</v>
      </c>
      <c r="H767" t="s">
        <v>37</v>
      </c>
      <c r="I767">
        <v>4</v>
      </c>
      <c r="J767">
        <v>10</v>
      </c>
      <c r="K767">
        <v>5</v>
      </c>
      <c r="L767" s="4">
        <v>70.233333333333334</v>
      </c>
      <c r="M767" s="4">
        <v>7.0233333333333334</v>
      </c>
      <c r="N767" t="s">
        <v>100</v>
      </c>
    </row>
    <row r="768" spans="1:14">
      <c r="A768">
        <v>767</v>
      </c>
      <c r="B768">
        <v>62</v>
      </c>
      <c r="C768" t="s">
        <v>16</v>
      </c>
      <c r="D768" t="s">
        <v>22</v>
      </c>
      <c r="E768" t="s">
        <v>23</v>
      </c>
      <c r="F768">
        <v>98</v>
      </c>
      <c r="G768" t="s">
        <v>19</v>
      </c>
      <c r="H768" t="s">
        <v>37</v>
      </c>
      <c r="I768">
        <v>5</v>
      </c>
      <c r="J768">
        <v>28</v>
      </c>
      <c r="K768">
        <v>9</v>
      </c>
      <c r="L768" s="4">
        <v>136.11111111111111</v>
      </c>
      <c r="M768" s="4">
        <v>38.111111111111114</v>
      </c>
      <c r="N768" t="s">
        <v>94</v>
      </c>
    </row>
    <row r="769" spans="1:14">
      <c r="A769">
        <v>768</v>
      </c>
      <c r="B769">
        <v>63</v>
      </c>
      <c r="C769" t="s">
        <v>16</v>
      </c>
      <c r="D769" t="s">
        <v>20</v>
      </c>
      <c r="E769" t="s">
        <v>36</v>
      </c>
      <c r="F769">
        <v>117.1</v>
      </c>
      <c r="G769" t="s">
        <v>14</v>
      </c>
      <c r="H769" t="s">
        <v>15</v>
      </c>
      <c r="I769">
        <v>3.6</v>
      </c>
      <c r="J769">
        <v>8</v>
      </c>
      <c r="K769">
        <v>4</v>
      </c>
      <c r="L769" s="4">
        <v>127.28260869565216</v>
      </c>
      <c r="M769" s="4">
        <v>10.182608695652164</v>
      </c>
      <c r="N769" t="s">
        <v>94</v>
      </c>
    </row>
    <row r="770" spans="1:14">
      <c r="A770">
        <v>769</v>
      </c>
      <c r="B770">
        <v>60</v>
      </c>
      <c r="C770" t="s">
        <v>11</v>
      </c>
      <c r="D770" t="s">
        <v>20</v>
      </c>
      <c r="E770" t="s">
        <v>39</v>
      </c>
      <c r="F770">
        <v>248.11</v>
      </c>
      <c r="G770" t="s">
        <v>14</v>
      </c>
      <c r="H770" t="s">
        <v>15</v>
      </c>
      <c r="I770">
        <v>3.9</v>
      </c>
      <c r="J770">
        <v>20</v>
      </c>
      <c r="K770">
        <v>5</v>
      </c>
      <c r="L770" s="4">
        <v>310.13749999999999</v>
      </c>
      <c r="M770" s="4">
        <v>62.027499999999975</v>
      </c>
      <c r="N770" t="s">
        <v>94</v>
      </c>
    </row>
    <row r="771" spans="1:14">
      <c r="A771">
        <v>770</v>
      </c>
      <c r="B771">
        <v>26</v>
      </c>
      <c r="C771" t="s">
        <v>11</v>
      </c>
      <c r="D771" t="s">
        <v>41</v>
      </c>
      <c r="E771" t="s">
        <v>46</v>
      </c>
      <c r="F771">
        <v>43.35</v>
      </c>
      <c r="G771" t="s">
        <v>19</v>
      </c>
      <c r="H771" t="s">
        <v>15</v>
      </c>
      <c r="I771">
        <v>4.4000000000000004</v>
      </c>
      <c r="J771">
        <v>14</v>
      </c>
      <c r="K771">
        <v>7</v>
      </c>
      <c r="L771" s="4">
        <v>50.406976744186046</v>
      </c>
      <c r="M771" s="4">
        <v>7.0569767441860449</v>
      </c>
      <c r="N771" t="s">
        <v>91</v>
      </c>
    </row>
    <row r="772" spans="1:14">
      <c r="A772">
        <v>771</v>
      </c>
      <c r="B772">
        <v>56</v>
      </c>
      <c r="C772" t="s">
        <v>11</v>
      </c>
      <c r="D772" t="s">
        <v>25</v>
      </c>
      <c r="E772" t="s">
        <v>57</v>
      </c>
      <c r="F772">
        <v>62.63</v>
      </c>
      <c r="G772" t="s">
        <v>14</v>
      </c>
      <c r="H772" t="s">
        <v>15</v>
      </c>
      <c r="I772">
        <v>3.7</v>
      </c>
      <c r="J772">
        <v>18</v>
      </c>
      <c r="K772">
        <v>4</v>
      </c>
      <c r="L772" s="4">
        <v>76.378048780487802</v>
      </c>
      <c r="M772" s="4">
        <v>13.7480487804878</v>
      </c>
      <c r="N772" t="s">
        <v>94</v>
      </c>
    </row>
    <row r="773" spans="1:14">
      <c r="A773">
        <v>772</v>
      </c>
      <c r="B773">
        <v>21</v>
      </c>
      <c r="C773" t="s">
        <v>11</v>
      </c>
      <c r="D773" t="s">
        <v>41</v>
      </c>
      <c r="E773" t="s">
        <v>45</v>
      </c>
      <c r="F773">
        <v>92.13</v>
      </c>
      <c r="G773" t="s">
        <v>24</v>
      </c>
      <c r="H773" t="s">
        <v>37</v>
      </c>
      <c r="I773">
        <v>3.5</v>
      </c>
      <c r="J773">
        <v>20</v>
      </c>
      <c r="K773">
        <v>5</v>
      </c>
      <c r="L773" s="4">
        <v>115.16249999999999</v>
      </c>
      <c r="M773" s="4">
        <v>23.032499999999999</v>
      </c>
      <c r="N773" t="s">
        <v>100</v>
      </c>
    </row>
    <row r="774" spans="1:14">
      <c r="A774">
        <v>773</v>
      </c>
      <c r="B774">
        <v>31</v>
      </c>
      <c r="C774" t="s">
        <v>11</v>
      </c>
      <c r="D774" t="s">
        <v>12</v>
      </c>
      <c r="E774" t="s">
        <v>56</v>
      </c>
      <c r="F774">
        <v>136.74</v>
      </c>
      <c r="G774" t="s">
        <v>24</v>
      </c>
      <c r="H774" t="s">
        <v>15</v>
      </c>
      <c r="I774">
        <v>2.9</v>
      </c>
      <c r="J774">
        <v>8</v>
      </c>
      <c r="K774">
        <v>4</v>
      </c>
      <c r="L774" s="4">
        <v>148.63043478260869</v>
      </c>
      <c r="M774" s="4">
        <v>11.890434782608679</v>
      </c>
      <c r="N774" t="s">
        <v>91</v>
      </c>
    </row>
    <row r="775" spans="1:14">
      <c r="A775">
        <v>774</v>
      </c>
      <c r="B775">
        <v>51</v>
      </c>
      <c r="C775" t="s">
        <v>11</v>
      </c>
      <c r="D775" t="s">
        <v>29</v>
      </c>
      <c r="E775" t="s">
        <v>51</v>
      </c>
      <c r="F775">
        <v>101.97</v>
      </c>
      <c r="G775" t="s">
        <v>14</v>
      </c>
      <c r="H775" t="s">
        <v>15</v>
      </c>
      <c r="I775">
        <v>3.4</v>
      </c>
      <c r="J775">
        <v>9</v>
      </c>
      <c r="K775">
        <v>2</v>
      </c>
      <c r="L775" s="4">
        <v>112.05494505494505</v>
      </c>
      <c r="M775" s="4">
        <v>10.084945054945052</v>
      </c>
      <c r="N775" t="s">
        <v>93</v>
      </c>
    </row>
    <row r="776" spans="1:14">
      <c r="A776">
        <v>775</v>
      </c>
      <c r="B776">
        <v>38</v>
      </c>
      <c r="C776" t="s">
        <v>11</v>
      </c>
      <c r="D776" t="s">
        <v>41</v>
      </c>
      <c r="E776" t="s">
        <v>45</v>
      </c>
      <c r="F776">
        <v>50.83</v>
      </c>
      <c r="G776" t="s">
        <v>14</v>
      </c>
      <c r="H776" t="s">
        <v>15</v>
      </c>
      <c r="I776">
        <v>3.9</v>
      </c>
      <c r="J776">
        <v>7</v>
      </c>
      <c r="K776">
        <v>1</v>
      </c>
      <c r="L776" s="4">
        <v>54.655913978494624</v>
      </c>
      <c r="M776" s="4">
        <v>3.8259139784946257</v>
      </c>
      <c r="N776" t="s">
        <v>92</v>
      </c>
    </row>
    <row r="777" spans="1:14">
      <c r="A777">
        <v>776</v>
      </c>
      <c r="B777">
        <v>52</v>
      </c>
      <c r="C777" t="s">
        <v>16</v>
      </c>
      <c r="D777" t="s">
        <v>33</v>
      </c>
      <c r="E777" t="s">
        <v>38</v>
      </c>
      <c r="F777">
        <v>161.58000000000001</v>
      </c>
      <c r="G777" t="s">
        <v>19</v>
      </c>
      <c r="H777" t="s">
        <v>15</v>
      </c>
      <c r="I777">
        <v>2.6</v>
      </c>
      <c r="J777">
        <v>22</v>
      </c>
      <c r="K777">
        <v>11</v>
      </c>
      <c r="L777" s="4">
        <v>207.15384615384616</v>
      </c>
      <c r="M777" s="4">
        <v>45.573846153846148</v>
      </c>
      <c r="N777" t="s">
        <v>93</v>
      </c>
    </row>
    <row r="778" spans="1:14">
      <c r="A778">
        <v>777</v>
      </c>
      <c r="B778">
        <v>36</v>
      </c>
      <c r="C778" t="s">
        <v>11</v>
      </c>
      <c r="D778" t="s">
        <v>25</v>
      </c>
      <c r="E778" t="s">
        <v>57</v>
      </c>
      <c r="F778">
        <v>11.85</v>
      </c>
      <c r="G778" t="s">
        <v>19</v>
      </c>
      <c r="H778" t="s">
        <v>37</v>
      </c>
      <c r="I778">
        <v>3.6</v>
      </c>
      <c r="J778">
        <v>19</v>
      </c>
      <c r="K778">
        <v>7</v>
      </c>
      <c r="L778" s="4">
        <v>14.629629629629628</v>
      </c>
      <c r="M778" s="4">
        <v>2.7796296296296283</v>
      </c>
      <c r="N778" t="s">
        <v>92</v>
      </c>
    </row>
    <row r="779" spans="1:14">
      <c r="A779">
        <v>778</v>
      </c>
      <c r="B779">
        <v>42</v>
      </c>
      <c r="C779" t="s">
        <v>16</v>
      </c>
      <c r="D779" t="s">
        <v>33</v>
      </c>
      <c r="E779" t="s">
        <v>40</v>
      </c>
      <c r="F779">
        <v>205.2</v>
      </c>
      <c r="G779" t="s">
        <v>24</v>
      </c>
      <c r="H779" t="s">
        <v>15</v>
      </c>
      <c r="I779">
        <v>2.9</v>
      </c>
      <c r="J779">
        <v>4</v>
      </c>
      <c r="K779">
        <v>2</v>
      </c>
      <c r="L779" s="4">
        <v>213.75</v>
      </c>
      <c r="M779" s="4">
        <v>8.5500000000000114</v>
      </c>
      <c r="N779" t="s">
        <v>92</v>
      </c>
    </row>
    <row r="780" spans="1:14">
      <c r="A780">
        <v>779</v>
      </c>
      <c r="B780">
        <v>69</v>
      </c>
      <c r="C780" t="s">
        <v>16</v>
      </c>
      <c r="D780" t="s">
        <v>22</v>
      </c>
      <c r="E780" t="s">
        <v>43</v>
      </c>
      <c r="F780">
        <v>120.93</v>
      </c>
      <c r="G780" t="s">
        <v>31</v>
      </c>
      <c r="H780" t="s">
        <v>15</v>
      </c>
      <c r="I780">
        <v>4.5</v>
      </c>
      <c r="J780">
        <v>28</v>
      </c>
      <c r="K780">
        <v>9</v>
      </c>
      <c r="L780" s="4">
        <v>167.95833333333334</v>
      </c>
      <c r="M780" s="4">
        <v>47.028333333333336</v>
      </c>
      <c r="N780" t="s">
        <v>95</v>
      </c>
    </row>
    <row r="781" spans="1:14">
      <c r="A781">
        <v>780</v>
      </c>
      <c r="B781">
        <v>67</v>
      </c>
      <c r="C781" t="s">
        <v>16</v>
      </c>
      <c r="D781" t="s">
        <v>17</v>
      </c>
      <c r="E781" t="s">
        <v>48</v>
      </c>
      <c r="F781">
        <v>35.68</v>
      </c>
      <c r="G781" t="s">
        <v>14</v>
      </c>
      <c r="H781" t="s">
        <v>37</v>
      </c>
      <c r="I781">
        <v>3.5</v>
      </c>
      <c r="J781">
        <v>10</v>
      </c>
      <c r="K781">
        <v>5</v>
      </c>
      <c r="L781" s="4">
        <v>39.644444444444446</v>
      </c>
      <c r="M781" s="4">
        <v>3.964444444444446</v>
      </c>
      <c r="N781" t="s">
        <v>95</v>
      </c>
    </row>
    <row r="782" spans="1:14">
      <c r="A782">
        <v>781</v>
      </c>
      <c r="B782">
        <v>69</v>
      </c>
      <c r="C782" t="s">
        <v>16</v>
      </c>
      <c r="D782" t="s">
        <v>20</v>
      </c>
      <c r="E782" t="s">
        <v>39</v>
      </c>
      <c r="F782">
        <v>109.07</v>
      </c>
      <c r="G782" t="s">
        <v>24</v>
      </c>
      <c r="H782" t="s">
        <v>15</v>
      </c>
      <c r="I782">
        <v>3.3</v>
      </c>
      <c r="J782">
        <v>10</v>
      </c>
      <c r="K782">
        <v>5</v>
      </c>
      <c r="L782" s="4">
        <v>121.18888888888888</v>
      </c>
      <c r="M782" s="4">
        <v>12.11888888888889</v>
      </c>
      <c r="N782" t="s">
        <v>95</v>
      </c>
    </row>
    <row r="783" spans="1:14">
      <c r="A783">
        <v>782</v>
      </c>
      <c r="B783">
        <v>30</v>
      </c>
      <c r="C783" t="s">
        <v>11</v>
      </c>
      <c r="D783" t="s">
        <v>33</v>
      </c>
      <c r="E783" t="s">
        <v>34</v>
      </c>
      <c r="F783">
        <v>109.86</v>
      </c>
      <c r="G783" t="s">
        <v>24</v>
      </c>
      <c r="H783" t="s">
        <v>15</v>
      </c>
      <c r="I783">
        <v>3.6</v>
      </c>
      <c r="J783">
        <v>9</v>
      </c>
      <c r="K783">
        <v>2</v>
      </c>
      <c r="L783" s="4">
        <v>120.72527472527472</v>
      </c>
      <c r="M783" s="4">
        <v>10.865274725274716</v>
      </c>
      <c r="N783" t="s">
        <v>91</v>
      </c>
    </row>
    <row r="784" spans="1:14">
      <c r="A784">
        <v>783</v>
      </c>
      <c r="B784">
        <v>40</v>
      </c>
      <c r="C784" t="s">
        <v>11</v>
      </c>
      <c r="D784" t="s">
        <v>41</v>
      </c>
      <c r="E784" t="s">
        <v>44</v>
      </c>
      <c r="F784">
        <v>34.85</v>
      </c>
      <c r="G784" t="s">
        <v>31</v>
      </c>
      <c r="H784" t="s">
        <v>37</v>
      </c>
      <c r="I784">
        <v>3</v>
      </c>
      <c r="J784">
        <v>14</v>
      </c>
      <c r="K784">
        <v>2</v>
      </c>
      <c r="L784" s="4">
        <v>40.52325581395349</v>
      </c>
      <c r="M784" s="4">
        <v>5.6732558139534888</v>
      </c>
      <c r="N784" t="s">
        <v>92</v>
      </c>
    </row>
    <row r="785" spans="1:14">
      <c r="A785">
        <v>784</v>
      </c>
      <c r="B785">
        <v>41</v>
      </c>
      <c r="C785" t="s">
        <v>11</v>
      </c>
      <c r="D785" t="s">
        <v>25</v>
      </c>
      <c r="E785" t="s">
        <v>26</v>
      </c>
      <c r="F785">
        <v>70.84</v>
      </c>
      <c r="G785" t="s">
        <v>14</v>
      </c>
      <c r="H785" t="s">
        <v>15</v>
      </c>
      <c r="I785">
        <v>4.4000000000000004</v>
      </c>
      <c r="J785">
        <v>12</v>
      </c>
      <c r="K785">
        <v>6</v>
      </c>
      <c r="L785" s="4">
        <v>80.5</v>
      </c>
      <c r="M785" s="4">
        <v>9.6599999999999966</v>
      </c>
      <c r="N785" t="s">
        <v>92</v>
      </c>
    </row>
    <row r="786" spans="1:14">
      <c r="A786">
        <v>785</v>
      </c>
      <c r="B786">
        <v>20</v>
      </c>
      <c r="C786" t="s">
        <v>16</v>
      </c>
      <c r="D786" t="s">
        <v>33</v>
      </c>
      <c r="E786" t="s">
        <v>38</v>
      </c>
      <c r="F786">
        <v>170.06</v>
      </c>
      <c r="G786" t="s">
        <v>24</v>
      </c>
      <c r="H786" t="s">
        <v>15</v>
      </c>
      <c r="I786">
        <v>4.4000000000000004</v>
      </c>
      <c r="J786">
        <v>12</v>
      </c>
      <c r="K786">
        <v>1</v>
      </c>
      <c r="L786" s="4">
        <v>193.25</v>
      </c>
      <c r="M786" s="4">
        <v>23.189999999999998</v>
      </c>
      <c r="N786" t="s">
        <v>100</v>
      </c>
    </row>
    <row r="787" spans="1:14">
      <c r="A787">
        <v>786</v>
      </c>
      <c r="B787">
        <v>39</v>
      </c>
      <c r="C787" t="s">
        <v>11</v>
      </c>
      <c r="D787" t="s">
        <v>22</v>
      </c>
      <c r="E787" t="s">
        <v>43</v>
      </c>
      <c r="F787">
        <v>80.69</v>
      </c>
      <c r="G787" t="s">
        <v>19</v>
      </c>
      <c r="H787" t="s">
        <v>37</v>
      </c>
      <c r="I787">
        <v>3.8</v>
      </c>
      <c r="J787">
        <v>16</v>
      </c>
      <c r="K787">
        <v>8</v>
      </c>
      <c r="L787" s="4">
        <v>96.05952380952381</v>
      </c>
      <c r="M787" s="4">
        <v>15.369523809523812</v>
      </c>
      <c r="N787" t="s">
        <v>92</v>
      </c>
    </row>
    <row r="788" spans="1:14">
      <c r="A788">
        <v>787</v>
      </c>
      <c r="B788">
        <v>54</v>
      </c>
      <c r="C788" t="s">
        <v>16</v>
      </c>
      <c r="D788" t="s">
        <v>27</v>
      </c>
      <c r="E788" t="s">
        <v>49</v>
      </c>
      <c r="F788">
        <v>980.43</v>
      </c>
      <c r="G788" t="s">
        <v>31</v>
      </c>
      <c r="H788" t="s">
        <v>15</v>
      </c>
      <c r="I788">
        <v>3.6</v>
      </c>
      <c r="J788">
        <v>14</v>
      </c>
      <c r="K788">
        <v>2</v>
      </c>
      <c r="L788" s="4">
        <v>1140.0348837209301</v>
      </c>
      <c r="M788" s="4">
        <v>159.60488372093016</v>
      </c>
      <c r="N788" t="s">
        <v>93</v>
      </c>
    </row>
    <row r="789" spans="1:14">
      <c r="A789">
        <v>788</v>
      </c>
      <c r="B789">
        <v>66</v>
      </c>
      <c r="C789" t="s">
        <v>16</v>
      </c>
      <c r="D789" t="s">
        <v>20</v>
      </c>
      <c r="E789" t="s">
        <v>21</v>
      </c>
      <c r="F789">
        <v>103.3</v>
      </c>
      <c r="G789" t="s">
        <v>19</v>
      </c>
      <c r="H789" t="s">
        <v>15</v>
      </c>
      <c r="I789">
        <v>2.6</v>
      </c>
      <c r="J789">
        <v>6</v>
      </c>
      <c r="K789">
        <v>3</v>
      </c>
      <c r="L789" s="4">
        <v>109.8936170212766</v>
      </c>
      <c r="M789" s="4">
        <v>6.5936170212766001</v>
      </c>
      <c r="N789" t="s">
        <v>95</v>
      </c>
    </row>
    <row r="790" spans="1:14">
      <c r="A790">
        <v>789</v>
      </c>
      <c r="B790">
        <v>39</v>
      </c>
      <c r="C790" t="s">
        <v>16</v>
      </c>
      <c r="D790" t="s">
        <v>20</v>
      </c>
      <c r="E790" t="s">
        <v>21</v>
      </c>
      <c r="F790">
        <v>245.18</v>
      </c>
      <c r="G790" t="s">
        <v>24</v>
      </c>
      <c r="H790" t="s">
        <v>15</v>
      </c>
      <c r="I790">
        <v>4</v>
      </c>
      <c r="J790">
        <v>20</v>
      </c>
      <c r="K790">
        <v>5</v>
      </c>
      <c r="L790" s="4">
        <v>306.47499999999997</v>
      </c>
      <c r="M790" s="4">
        <v>61.294999999999959</v>
      </c>
      <c r="N790" t="s">
        <v>92</v>
      </c>
    </row>
    <row r="791" spans="1:14">
      <c r="A791">
        <v>790</v>
      </c>
      <c r="B791">
        <v>39</v>
      </c>
      <c r="C791" t="s">
        <v>11</v>
      </c>
      <c r="D791" t="s">
        <v>12</v>
      </c>
      <c r="E791" t="s">
        <v>13</v>
      </c>
      <c r="F791">
        <v>128.03</v>
      </c>
      <c r="G791" t="s">
        <v>19</v>
      </c>
      <c r="H791" t="s">
        <v>15</v>
      </c>
      <c r="I791">
        <v>3.7</v>
      </c>
      <c r="J791">
        <v>8</v>
      </c>
      <c r="K791">
        <v>4</v>
      </c>
      <c r="L791" s="4">
        <v>139.16304347826087</v>
      </c>
      <c r="M791" s="4">
        <v>11.133043478260873</v>
      </c>
      <c r="N791" t="s">
        <v>92</v>
      </c>
    </row>
    <row r="792" spans="1:14">
      <c r="A792">
        <v>791</v>
      </c>
      <c r="B792">
        <v>21</v>
      </c>
      <c r="C792" t="s">
        <v>16</v>
      </c>
      <c r="D792" t="s">
        <v>20</v>
      </c>
      <c r="E792" t="s">
        <v>36</v>
      </c>
      <c r="F792">
        <v>231.08</v>
      </c>
      <c r="G792" t="s">
        <v>19</v>
      </c>
      <c r="H792" t="s">
        <v>15</v>
      </c>
      <c r="I792">
        <v>4.7</v>
      </c>
      <c r="J792">
        <v>18</v>
      </c>
      <c r="K792">
        <v>4</v>
      </c>
      <c r="L792" s="4">
        <v>281.80487804878049</v>
      </c>
      <c r="M792" s="4">
        <v>50.724878048780482</v>
      </c>
      <c r="N792" t="s">
        <v>100</v>
      </c>
    </row>
    <row r="793" spans="1:14">
      <c r="A793">
        <v>792</v>
      </c>
      <c r="B793">
        <v>60</v>
      </c>
      <c r="C793" t="s">
        <v>11</v>
      </c>
      <c r="D793" t="s">
        <v>41</v>
      </c>
      <c r="E793" t="s">
        <v>42</v>
      </c>
      <c r="F793">
        <v>48.29</v>
      </c>
      <c r="G793" t="s">
        <v>24</v>
      </c>
      <c r="H793" t="s">
        <v>37</v>
      </c>
      <c r="I793">
        <v>3.9</v>
      </c>
      <c r="J793">
        <v>22</v>
      </c>
      <c r="K793">
        <v>6</v>
      </c>
      <c r="L793" s="4">
        <v>61.910256410256409</v>
      </c>
      <c r="M793" s="4">
        <v>13.62025641025641</v>
      </c>
      <c r="N793" t="s">
        <v>94</v>
      </c>
    </row>
    <row r="794" spans="1:14">
      <c r="A794">
        <v>793</v>
      </c>
      <c r="B794">
        <v>27</v>
      </c>
      <c r="C794" t="s">
        <v>16</v>
      </c>
      <c r="D794" t="s">
        <v>27</v>
      </c>
      <c r="E794" t="s">
        <v>49</v>
      </c>
      <c r="F794">
        <v>677.89</v>
      </c>
      <c r="G794" t="s">
        <v>31</v>
      </c>
      <c r="H794" t="s">
        <v>15</v>
      </c>
      <c r="I794">
        <v>3.3</v>
      </c>
      <c r="J794">
        <v>16</v>
      </c>
      <c r="K794">
        <v>8</v>
      </c>
      <c r="L794" s="4">
        <v>807.01190476190482</v>
      </c>
      <c r="M794" s="4">
        <v>129.12190476190483</v>
      </c>
      <c r="N794" t="s">
        <v>91</v>
      </c>
    </row>
    <row r="795" spans="1:14">
      <c r="A795">
        <v>794</v>
      </c>
      <c r="B795">
        <v>36</v>
      </c>
      <c r="C795" t="s">
        <v>16</v>
      </c>
      <c r="D795" t="s">
        <v>20</v>
      </c>
      <c r="E795" t="s">
        <v>21</v>
      </c>
      <c r="F795">
        <v>163.62</v>
      </c>
      <c r="G795" t="s">
        <v>24</v>
      </c>
      <c r="H795" t="s">
        <v>15</v>
      </c>
      <c r="I795">
        <v>2.9</v>
      </c>
      <c r="J795">
        <v>15</v>
      </c>
      <c r="K795">
        <v>5</v>
      </c>
      <c r="L795" s="4">
        <v>192.49411764705883</v>
      </c>
      <c r="M795" s="4">
        <v>28.874117647058824</v>
      </c>
      <c r="N795" t="s">
        <v>92</v>
      </c>
    </row>
    <row r="796" spans="1:14">
      <c r="A796">
        <v>795</v>
      </c>
      <c r="B796">
        <v>21</v>
      </c>
      <c r="C796" t="s">
        <v>11</v>
      </c>
      <c r="D796" t="s">
        <v>25</v>
      </c>
      <c r="E796" t="s">
        <v>47</v>
      </c>
      <c r="F796">
        <v>23.18</v>
      </c>
      <c r="G796" t="s">
        <v>19</v>
      </c>
      <c r="H796" t="s">
        <v>15</v>
      </c>
      <c r="I796">
        <v>4.4000000000000004</v>
      </c>
      <c r="J796">
        <v>11</v>
      </c>
      <c r="K796">
        <v>3</v>
      </c>
      <c r="L796" s="4">
        <v>26.04494382022472</v>
      </c>
      <c r="M796" s="4">
        <v>2.8649438202247204</v>
      </c>
      <c r="N796" t="s">
        <v>100</v>
      </c>
    </row>
    <row r="797" spans="1:14">
      <c r="A797">
        <v>796</v>
      </c>
      <c r="B797">
        <v>63</v>
      </c>
      <c r="C797" t="s">
        <v>16</v>
      </c>
      <c r="D797" t="s">
        <v>20</v>
      </c>
      <c r="E797" t="s">
        <v>39</v>
      </c>
      <c r="F797">
        <v>136.33000000000001</v>
      </c>
      <c r="G797" t="s">
        <v>14</v>
      </c>
      <c r="H797" t="s">
        <v>15</v>
      </c>
      <c r="I797">
        <v>4.5999999999999996</v>
      </c>
      <c r="J797">
        <v>15</v>
      </c>
      <c r="K797">
        <v>5</v>
      </c>
      <c r="L797" s="4">
        <v>160.38823529411766</v>
      </c>
      <c r="M797" s="4">
        <v>24.058235294117651</v>
      </c>
      <c r="N797" t="s">
        <v>94</v>
      </c>
    </row>
    <row r="798" spans="1:14">
      <c r="A798">
        <v>797</v>
      </c>
      <c r="B798">
        <v>67</v>
      </c>
      <c r="C798" t="s">
        <v>16</v>
      </c>
      <c r="D798" t="s">
        <v>27</v>
      </c>
      <c r="E798" t="s">
        <v>49</v>
      </c>
      <c r="F798">
        <v>2406.63</v>
      </c>
      <c r="G798" t="s">
        <v>24</v>
      </c>
      <c r="H798" t="s">
        <v>15</v>
      </c>
      <c r="I798">
        <v>3.2</v>
      </c>
      <c r="J798">
        <v>16</v>
      </c>
      <c r="K798">
        <v>3</v>
      </c>
      <c r="L798" s="4">
        <v>2865.0357142857147</v>
      </c>
      <c r="M798" s="4">
        <v>458.40571428571457</v>
      </c>
      <c r="N798" t="s">
        <v>95</v>
      </c>
    </row>
    <row r="799" spans="1:14">
      <c r="A799">
        <v>798</v>
      </c>
      <c r="B799">
        <v>27</v>
      </c>
      <c r="C799" t="s">
        <v>16</v>
      </c>
      <c r="D799" t="s">
        <v>33</v>
      </c>
      <c r="E799" t="s">
        <v>40</v>
      </c>
      <c r="F799">
        <v>172.16</v>
      </c>
      <c r="G799" t="s">
        <v>24</v>
      </c>
      <c r="H799" t="s">
        <v>15</v>
      </c>
      <c r="I799">
        <v>3.4</v>
      </c>
      <c r="J799">
        <v>14</v>
      </c>
      <c r="K799">
        <v>7</v>
      </c>
      <c r="L799" s="4">
        <v>200.18604651162789</v>
      </c>
      <c r="M799" s="4">
        <v>28.026046511627897</v>
      </c>
      <c r="N799" t="s">
        <v>91</v>
      </c>
    </row>
    <row r="800" spans="1:14">
      <c r="A800">
        <v>799</v>
      </c>
      <c r="B800">
        <v>69</v>
      </c>
      <c r="C800" t="s">
        <v>16</v>
      </c>
      <c r="D800" t="s">
        <v>33</v>
      </c>
      <c r="E800" t="s">
        <v>40</v>
      </c>
      <c r="F800">
        <v>242.66</v>
      </c>
      <c r="G800" t="s">
        <v>19</v>
      </c>
      <c r="H800" t="s">
        <v>15</v>
      </c>
      <c r="I800">
        <v>5</v>
      </c>
      <c r="J800">
        <v>2</v>
      </c>
      <c r="K800">
        <v>1</v>
      </c>
      <c r="L800" s="4">
        <v>247.61224489795919</v>
      </c>
      <c r="M800" s="4">
        <v>4.95224489795919</v>
      </c>
      <c r="N800" t="s">
        <v>95</v>
      </c>
    </row>
    <row r="801" spans="1:14">
      <c r="A801">
        <v>800</v>
      </c>
      <c r="B801">
        <v>64</v>
      </c>
      <c r="C801" t="s">
        <v>16</v>
      </c>
      <c r="D801" t="s">
        <v>20</v>
      </c>
      <c r="E801" t="s">
        <v>21</v>
      </c>
      <c r="F801">
        <v>99.39</v>
      </c>
      <c r="G801" t="s">
        <v>14</v>
      </c>
      <c r="H801" t="s">
        <v>15</v>
      </c>
      <c r="I801">
        <v>3.6</v>
      </c>
      <c r="J801">
        <v>16</v>
      </c>
      <c r="K801">
        <v>8</v>
      </c>
      <c r="L801" s="4">
        <v>118.32142857142857</v>
      </c>
      <c r="M801" s="4">
        <v>18.931428571428569</v>
      </c>
      <c r="N801" t="s">
        <v>94</v>
      </c>
    </row>
    <row r="802" spans="1:14">
      <c r="A802">
        <v>801</v>
      </c>
      <c r="B802">
        <v>62</v>
      </c>
      <c r="C802" t="s">
        <v>11</v>
      </c>
      <c r="D802" t="s">
        <v>29</v>
      </c>
      <c r="E802" t="s">
        <v>30</v>
      </c>
      <c r="F802">
        <v>36.869999999999997</v>
      </c>
      <c r="G802" t="s">
        <v>24</v>
      </c>
      <c r="H802" t="s">
        <v>15</v>
      </c>
      <c r="I802">
        <v>4.7</v>
      </c>
      <c r="J802">
        <v>23</v>
      </c>
      <c r="K802">
        <v>9</v>
      </c>
      <c r="L802" s="4">
        <v>47.883116883116877</v>
      </c>
      <c r="M802" s="4">
        <v>11.013116883116879</v>
      </c>
      <c r="N802" t="s">
        <v>94</v>
      </c>
    </row>
    <row r="803" spans="1:14">
      <c r="A803">
        <v>802</v>
      </c>
      <c r="B803">
        <v>55</v>
      </c>
      <c r="C803" t="s">
        <v>16</v>
      </c>
      <c r="D803" t="s">
        <v>27</v>
      </c>
      <c r="E803" t="s">
        <v>49</v>
      </c>
      <c r="F803">
        <v>2855.84</v>
      </c>
      <c r="G803" t="s">
        <v>14</v>
      </c>
      <c r="H803" t="s">
        <v>15</v>
      </c>
      <c r="I803">
        <v>3.7</v>
      </c>
      <c r="J803">
        <v>11</v>
      </c>
      <c r="K803">
        <v>3</v>
      </c>
      <c r="L803" s="4">
        <v>3208.8089887640449</v>
      </c>
      <c r="M803" s="4">
        <v>352.96898876404475</v>
      </c>
      <c r="N803" t="s">
        <v>94</v>
      </c>
    </row>
    <row r="804" spans="1:14">
      <c r="A804">
        <v>803</v>
      </c>
      <c r="B804">
        <v>49</v>
      </c>
      <c r="C804" t="s">
        <v>11</v>
      </c>
      <c r="D804" t="s">
        <v>12</v>
      </c>
      <c r="E804" t="s">
        <v>13</v>
      </c>
      <c r="F804">
        <v>135.05000000000001</v>
      </c>
      <c r="G804" t="s">
        <v>19</v>
      </c>
      <c r="H804" t="s">
        <v>15</v>
      </c>
      <c r="I804">
        <v>2.9</v>
      </c>
      <c r="J804">
        <v>6</v>
      </c>
      <c r="K804">
        <v>3</v>
      </c>
      <c r="L804" s="4">
        <v>143.67021276595747</v>
      </c>
      <c r="M804" s="4">
        <v>8.6202127659574614</v>
      </c>
      <c r="N804" t="s">
        <v>93</v>
      </c>
    </row>
    <row r="805" spans="1:14">
      <c r="A805">
        <v>804</v>
      </c>
      <c r="B805">
        <v>34</v>
      </c>
      <c r="C805" t="s">
        <v>16</v>
      </c>
      <c r="D805" t="s">
        <v>20</v>
      </c>
      <c r="E805" t="s">
        <v>21</v>
      </c>
      <c r="F805">
        <v>49.52</v>
      </c>
      <c r="G805" t="s">
        <v>19</v>
      </c>
      <c r="H805" t="s">
        <v>37</v>
      </c>
      <c r="I805">
        <v>2.2999999999999998</v>
      </c>
      <c r="J805">
        <v>9</v>
      </c>
      <c r="K805">
        <v>2</v>
      </c>
      <c r="L805" s="4">
        <v>54.417582417582416</v>
      </c>
      <c r="M805" s="4">
        <v>4.897582417582413</v>
      </c>
      <c r="N805" t="s">
        <v>91</v>
      </c>
    </row>
    <row r="806" spans="1:14">
      <c r="A806">
        <v>805</v>
      </c>
      <c r="B806">
        <v>42</v>
      </c>
      <c r="C806" t="s">
        <v>16</v>
      </c>
      <c r="D806" t="s">
        <v>33</v>
      </c>
      <c r="E806" t="s">
        <v>40</v>
      </c>
      <c r="F806">
        <v>161.18</v>
      </c>
      <c r="G806" t="s">
        <v>19</v>
      </c>
      <c r="H806" t="s">
        <v>15</v>
      </c>
      <c r="I806">
        <v>4.5</v>
      </c>
      <c r="J806">
        <v>20</v>
      </c>
      <c r="K806">
        <v>5</v>
      </c>
      <c r="L806" s="4">
        <v>201.47499999999999</v>
      </c>
      <c r="M806" s="4">
        <v>40.294999999999987</v>
      </c>
      <c r="N806" t="s">
        <v>92</v>
      </c>
    </row>
    <row r="807" spans="1:14">
      <c r="A807">
        <v>806</v>
      </c>
      <c r="B807">
        <v>70</v>
      </c>
      <c r="C807" t="s">
        <v>11</v>
      </c>
      <c r="D807" t="s">
        <v>25</v>
      </c>
      <c r="E807" t="s">
        <v>54</v>
      </c>
      <c r="F807">
        <v>36.299999999999997</v>
      </c>
      <c r="G807" t="s">
        <v>24</v>
      </c>
      <c r="H807" t="s">
        <v>15</v>
      </c>
      <c r="I807">
        <v>3.1</v>
      </c>
      <c r="J807">
        <v>12</v>
      </c>
      <c r="K807">
        <v>6</v>
      </c>
      <c r="L807" s="4">
        <v>41.25</v>
      </c>
      <c r="M807" s="4">
        <v>4.9500000000000028</v>
      </c>
      <c r="N807" t="s">
        <v>95</v>
      </c>
    </row>
    <row r="808" spans="1:14">
      <c r="A808">
        <v>807</v>
      </c>
      <c r="B808">
        <v>42</v>
      </c>
      <c r="C808" t="s">
        <v>16</v>
      </c>
      <c r="D808" t="s">
        <v>27</v>
      </c>
      <c r="E808" t="s">
        <v>28</v>
      </c>
      <c r="F808">
        <v>2889.05</v>
      </c>
      <c r="G808" t="s">
        <v>19</v>
      </c>
      <c r="H808" t="s">
        <v>15</v>
      </c>
      <c r="I808">
        <v>4.0999999999999996</v>
      </c>
      <c r="J808">
        <v>12</v>
      </c>
      <c r="K808">
        <v>1</v>
      </c>
      <c r="L808" s="4">
        <v>3283.011363636364</v>
      </c>
      <c r="M808" s="4">
        <v>393.96136363636379</v>
      </c>
      <c r="N808" t="s">
        <v>92</v>
      </c>
    </row>
    <row r="809" spans="1:14">
      <c r="A809">
        <v>808</v>
      </c>
      <c r="B809">
        <v>49</v>
      </c>
      <c r="C809" t="s">
        <v>11</v>
      </c>
      <c r="D809" t="s">
        <v>33</v>
      </c>
      <c r="E809" t="s">
        <v>34</v>
      </c>
      <c r="F809">
        <v>185.74</v>
      </c>
      <c r="G809" t="s">
        <v>19</v>
      </c>
      <c r="H809" t="s">
        <v>15</v>
      </c>
      <c r="I809">
        <v>2.5</v>
      </c>
      <c r="J809">
        <v>13</v>
      </c>
      <c r="K809">
        <v>4</v>
      </c>
      <c r="L809" s="4">
        <v>213.49425287356323</v>
      </c>
      <c r="M809" s="4">
        <v>27.754252873563217</v>
      </c>
      <c r="N809" t="s">
        <v>93</v>
      </c>
    </row>
    <row r="810" spans="1:14">
      <c r="A810">
        <v>809</v>
      </c>
      <c r="B810">
        <v>57</v>
      </c>
      <c r="C810" t="s">
        <v>11</v>
      </c>
      <c r="D810" t="s">
        <v>41</v>
      </c>
      <c r="E810" t="s">
        <v>46</v>
      </c>
      <c r="F810">
        <v>149.82</v>
      </c>
      <c r="G810" t="s">
        <v>19</v>
      </c>
      <c r="H810" t="s">
        <v>15</v>
      </c>
      <c r="I810">
        <v>3.3</v>
      </c>
      <c r="J810">
        <v>16</v>
      </c>
      <c r="K810">
        <v>8</v>
      </c>
      <c r="L810" s="4">
        <v>178.35714285714286</v>
      </c>
      <c r="M810" s="4">
        <v>28.537142857142868</v>
      </c>
      <c r="N810" t="s">
        <v>94</v>
      </c>
    </row>
    <row r="811" spans="1:14">
      <c r="A811">
        <v>810</v>
      </c>
      <c r="B811">
        <v>45</v>
      </c>
      <c r="C811" t="s">
        <v>11</v>
      </c>
      <c r="D811" t="s">
        <v>20</v>
      </c>
      <c r="E811" t="s">
        <v>36</v>
      </c>
      <c r="F811">
        <v>159.87</v>
      </c>
      <c r="G811" t="s">
        <v>24</v>
      </c>
      <c r="H811" t="s">
        <v>15</v>
      </c>
      <c r="I811">
        <v>3.6</v>
      </c>
      <c r="J811">
        <v>11</v>
      </c>
      <c r="K811">
        <v>3</v>
      </c>
      <c r="L811" s="4">
        <v>179.62921348314606</v>
      </c>
      <c r="M811" s="4">
        <v>19.759213483146056</v>
      </c>
      <c r="N811" t="s">
        <v>93</v>
      </c>
    </row>
    <row r="812" spans="1:14">
      <c r="A812">
        <v>811</v>
      </c>
      <c r="B812">
        <v>47</v>
      </c>
      <c r="C812" t="s">
        <v>11</v>
      </c>
      <c r="D812" t="s">
        <v>33</v>
      </c>
      <c r="E812" t="s">
        <v>40</v>
      </c>
      <c r="F812">
        <v>116.66</v>
      </c>
      <c r="G812" t="s">
        <v>19</v>
      </c>
      <c r="H812" t="s">
        <v>15</v>
      </c>
      <c r="I812">
        <v>4.0999999999999996</v>
      </c>
      <c r="J812">
        <v>16</v>
      </c>
      <c r="K812">
        <v>8</v>
      </c>
      <c r="L812" s="4">
        <v>138.88095238095238</v>
      </c>
      <c r="M812" s="4">
        <v>22.220952380952383</v>
      </c>
      <c r="N812" t="s">
        <v>93</v>
      </c>
    </row>
    <row r="813" spans="1:14">
      <c r="A813">
        <v>812</v>
      </c>
      <c r="B813">
        <v>60</v>
      </c>
      <c r="C813" t="s">
        <v>16</v>
      </c>
      <c r="D813" t="s">
        <v>33</v>
      </c>
      <c r="E813" t="s">
        <v>34</v>
      </c>
      <c r="F813">
        <v>69.97</v>
      </c>
      <c r="G813" t="s">
        <v>24</v>
      </c>
      <c r="H813" t="s">
        <v>15</v>
      </c>
      <c r="I813">
        <v>4.5999999999999996</v>
      </c>
      <c r="J813">
        <v>24</v>
      </c>
      <c r="K813">
        <v>7</v>
      </c>
      <c r="L813" s="4">
        <v>92.065789473684205</v>
      </c>
      <c r="M813" s="4">
        <v>22.095789473684206</v>
      </c>
      <c r="N813" t="s">
        <v>94</v>
      </c>
    </row>
    <row r="814" spans="1:14">
      <c r="A814">
        <v>813</v>
      </c>
      <c r="B814">
        <v>43</v>
      </c>
      <c r="C814" t="s">
        <v>11</v>
      </c>
      <c r="D814" t="s">
        <v>33</v>
      </c>
      <c r="E814" t="s">
        <v>40</v>
      </c>
      <c r="F814">
        <v>243.54</v>
      </c>
      <c r="G814" t="s">
        <v>24</v>
      </c>
      <c r="H814" t="s">
        <v>15</v>
      </c>
      <c r="I814">
        <v>4.0999999999999996</v>
      </c>
      <c r="J814">
        <v>22</v>
      </c>
      <c r="K814">
        <v>6</v>
      </c>
      <c r="L814" s="4">
        <v>312.23076923076923</v>
      </c>
      <c r="M814" s="4">
        <v>68.690769230769234</v>
      </c>
      <c r="N814" t="s">
        <v>92</v>
      </c>
    </row>
    <row r="815" spans="1:14">
      <c r="A815">
        <v>814</v>
      </c>
      <c r="B815">
        <v>64</v>
      </c>
      <c r="C815" t="s">
        <v>16</v>
      </c>
      <c r="D815" t="s">
        <v>20</v>
      </c>
      <c r="E815" t="s">
        <v>21</v>
      </c>
      <c r="F815">
        <v>182</v>
      </c>
      <c r="G815" t="s">
        <v>31</v>
      </c>
      <c r="H815" t="s">
        <v>15</v>
      </c>
      <c r="I815">
        <v>4.5</v>
      </c>
      <c r="J815">
        <v>11</v>
      </c>
      <c r="K815">
        <v>3</v>
      </c>
      <c r="L815" s="4">
        <v>204.49438202247191</v>
      </c>
      <c r="M815" s="4">
        <v>22.49438202247191</v>
      </c>
      <c r="N815" t="s">
        <v>94</v>
      </c>
    </row>
    <row r="816" spans="1:14">
      <c r="A816">
        <v>815</v>
      </c>
      <c r="B816">
        <v>55</v>
      </c>
      <c r="C816" t="s">
        <v>11</v>
      </c>
      <c r="D816" t="s">
        <v>29</v>
      </c>
      <c r="E816" t="s">
        <v>51</v>
      </c>
      <c r="F816">
        <v>129.26</v>
      </c>
      <c r="G816" t="s">
        <v>19</v>
      </c>
      <c r="H816" t="s">
        <v>15</v>
      </c>
      <c r="I816">
        <v>3.2</v>
      </c>
      <c r="J816">
        <v>8</v>
      </c>
      <c r="K816">
        <v>4</v>
      </c>
      <c r="L816" s="4">
        <v>140.49999999999997</v>
      </c>
      <c r="M816" s="4">
        <v>11.239999999999981</v>
      </c>
      <c r="N816" t="s">
        <v>94</v>
      </c>
    </row>
    <row r="817" spans="1:14">
      <c r="A817">
        <v>816</v>
      </c>
      <c r="B817">
        <v>62</v>
      </c>
      <c r="C817" t="s">
        <v>11</v>
      </c>
      <c r="D817" t="s">
        <v>33</v>
      </c>
      <c r="E817" t="s">
        <v>34</v>
      </c>
      <c r="F817">
        <v>199.51</v>
      </c>
      <c r="G817" t="s">
        <v>19</v>
      </c>
      <c r="H817" t="s">
        <v>15</v>
      </c>
      <c r="I817">
        <v>5</v>
      </c>
      <c r="J817">
        <v>26</v>
      </c>
      <c r="K817">
        <v>13</v>
      </c>
      <c r="L817" s="4">
        <v>269.60810810810813</v>
      </c>
      <c r="M817" s="4">
        <v>70.098108108108136</v>
      </c>
      <c r="N817" t="s">
        <v>94</v>
      </c>
    </row>
    <row r="818" spans="1:14">
      <c r="A818">
        <v>817</v>
      </c>
      <c r="B818">
        <v>48</v>
      </c>
      <c r="C818" t="s">
        <v>11</v>
      </c>
      <c r="D818" t="s">
        <v>25</v>
      </c>
      <c r="E818" t="s">
        <v>26</v>
      </c>
      <c r="F818">
        <v>42.88</v>
      </c>
      <c r="G818" t="s">
        <v>31</v>
      </c>
      <c r="H818" t="s">
        <v>37</v>
      </c>
      <c r="I818">
        <v>3.9</v>
      </c>
      <c r="J818">
        <v>22</v>
      </c>
      <c r="K818">
        <v>6</v>
      </c>
      <c r="L818" s="4">
        <v>54.974358974358978</v>
      </c>
      <c r="M818" s="4">
        <v>12.094358974358975</v>
      </c>
      <c r="N818" t="s">
        <v>93</v>
      </c>
    </row>
    <row r="819" spans="1:14">
      <c r="A819">
        <v>818</v>
      </c>
      <c r="B819">
        <v>65</v>
      </c>
      <c r="C819" t="s">
        <v>11</v>
      </c>
      <c r="D819" t="s">
        <v>41</v>
      </c>
      <c r="E819" t="s">
        <v>44</v>
      </c>
      <c r="F819">
        <v>108.5</v>
      </c>
      <c r="G819" t="s">
        <v>31</v>
      </c>
      <c r="H819" t="s">
        <v>15</v>
      </c>
      <c r="I819">
        <v>3.4</v>
      </c>
      <c r="J819">
        <v>16</v>
      </c>
      <c r="K819">
        <v>8</v>
      </c>
      <c r="L819" s="4">
        <v>129.16666666666669</v>
      </c>
      <c r="M819" s="4">
        <v>20.666666666666686</v>
      </c>
      <c r="N819" t="s">
        <v>95</v>
      </c>
    </row>
    <row r="820" spans="1:14">
      <c r="A820">
        <v>819</v>
      </c>
      <c r="B820">
        <v>27</v>
      </c>
      <c r="C820" t="s">
        <v>11</v>
      </c>
      <c r="D820" t="s">
        <v>29</v>
      </c>
      <c r="E820" t="s">
        <v>51</v>
      </c>
      <c r="F820">
        <v>38.35</v>
      </c>
      <c r="G820" t="s">
        <v>31</v>
      </c>
      <c r="H820" t="s">
        <v>37</v>
      </c>
      <c r="I820">
        <v>5</v>
      </c>
      <c r="J820">
        <v>13</v>
      </c>
      <c r="K820">
        <v>4</v>
      </c>
      <c r="L820" s="4">
        <v>44.080459770114942</v>
      </c>
      <c r="M820" s="4">
        <v>5.7304597701149405</v>
      </c>
      <c r="N820" t="s">
        <v>91</v>
      </c>
    </row>
    <row r="821" spans="1:14">
      <c r="A821">
        <v>820</v>
      </c>
      <c r="B821">
        <v>68</v>
      </c>
      <c r="C821" t="s">
        <v>11</v>
      </c>
      <c r="D821" t="s">
        <v>25</v>
      </c>
      <c r="E821" t="s">
        <v>47</v>
      </c>
      <c r="F821">
        <v>28.85</v>
      </c>
      <c r="G821" t="s">
        <v>31</v>
      </c>
      <c r="H821" t="s">
        <v>15</v>
      </c>
      <c r="I821">
        <v>4.4000000000000004</v>
      </c>
      <c r="J821">
        <v>17</v>
      </c>
      <c r="K821">
        <v>6</v>
      </c>
      <c r="L821" s="4">
        <v>34.759036144578317</v>
      </c>
      <c r="M821" s="4">
        <v>5.9090361445783159</v>
      </c>
      <c r="N821" t="s">
        <v>95</v>
      </c>
    </row>
    <row r="822" spans="1:14">
      <c r="A822">
        <v>821</v>
      </c>
      <c r="B822">
        <v>64</v>
      </c>
      <c r="C822" t="s">
        <v>16</v>
      </c>
      <c r="D822" t="s">
        <v>27</v>
      </c>
      <c r="E822" t="s">
        <v>49</v>
      </c>
      <c r="F822">
        <v>1305.74</v>
      </c>
      <c r="G822" t="s">
        <v>31</v>
      </c>
      <c r="H822" t="s">
        <v>15</v>
      </c>
      <c r="I822">
        <v>4.8</v>
      </c>
      <c r="J822">
        <v>12</v>
      </c>
      <c r="K822">
        <v>6</v>
      </c>
      <c r="L822" s="4">
        <v>1483.7954545454545</v>
      </c>
      <c r="M822" s="4">
        <v>178.0554545454545</v>
      </c>
      <c r="N822" t="s">
        <v>94</v>
      </c>
    </row>
    <row r="823" spans="1:14">
      <c r="A823">
        <v>822</v>
      </c>
      <c r="B823">
        <v>31</v>
      </c>
      <c r="C823" t="s">
        <v>16</v>
      </c>
      <c r="D823" t="s">
        <v>27</v>
      </c>
      <c r="E823" t="s">
        <v>28</v>
      </c>
      <c r="F823">
        <v>2370.9899999999998</v>
      </c>
      <c r="G823" t="s">
        <v>19</v>
      </c>
      <c r="H823" t="s">
        <v>15</v>
      </c>
      <c r="I823">
        <v>3.6</v>
      </c>
      <c r="J823">
        <v>20</v>
      </c>
      <c r="K823">
        <v>5</v>
      </c>
      <c r="L823" s="4">
        <v>2963.7374999999997</v>
      </c>
      <c r="M823" s="4">
        <v>592.74749999999995</v>
      </c>
      <c r="N823" t="s">
        <v>91</v>
      </c>
    </row>
    <row r="824" spans="1:14">
      <c r="A824">
        <v>823</v>
      </c>
      <c r="B824">
        <v>56</v>
      </c>
      <c r="C824" t="s">
        <v>11</v>
      </c>
      <c r="D824" t="s">
        <v>20</v>
      </c>
      <c r="E824" t="s">
        <v>21</v>
      </c>
      <c r="F824">
        <v>197.64</v>
      </c>
      <c r="G824" t="s">
        <v>31</v>
      </c>
      <c r="H824" t="s">
        <v>15</v>
      </c>
      <c r="I824">
        <v>5</v>
      </c>
      <c r="J824">
        <v>22</v>
      </c>
      <c r="K824">
        <v>6</v>
      </c>
      <c r="L824" s="4">
        <v>253.38461538461536</v>
      </c>
      <c r="M824" s="4">
        <v>55.744615384615372</v>
      </c>
      <c r="N824" t="s">
        <v>94</v>
      </c>
    </row>
    <row r="825" spans="1:14">
      <c r="A825">
        <v>824</v>
      </c>
      <c r="B825">
        <v>55</v>
      </c>
      <c r="C825" t="s">
        <v>11</v>
      </c>
      <c r="D825" t="s">
        <v>41</v>
      </c>
      <c r="E825" t="s">
        <v>45</v>
      </c>
      <c r="F825">
        <v>33.4</v>
      </c>
      <c r="G825" t="s">
        <v>31</v>
      </c>
      <c r="H825" t="s">
        <v>37</v>
      </c>
      <c r="I825">
        <v>4.9000000000000004</v>
      </c>
      <c r="J825">
        <v>14</v>
      </c>
      <c r="K825">
        <v>2</v>
      </c>
      <c r="L825" s="4">
        <v>38.837209302325583</v>
      </c>
      <c r="M825" s="4">
        <v>5.4372093023255843</v>
      </c>
      <c r="N825" t="s">
        <v>94</v>
      </c>
    </row>
    <row r="826" spans="1:14">
      <c r="A826">
        <v>825</v>
      </c>
      <c r="B826">
        <v>57</v>
      </c>
      <c r="C826" t="s">
        <v>11</v>
      </c>
      <c r="D826" t="s">
        <v>25</v>
      </c>
      <c r="E826" t="s">
        <v>57</v>
      </c>
      <c r="F826">
        <v>68.77</v>
      </c>
      <c r="G826" t="s">
        <v>19</v>
      </c>
      <c r="H826" t="s">
        <v>15</v>
      </c>
      <c r="I826">
        <v>4.2</v>
      </c>
      <c r="J826">
        <v>32</v>
      </c>
      <c r="K826">
        <v>11</v>
      </c>
      <c r="L826" s="4">
        <v>101.13235294117648</v>
      </c>
      <c r="M826" s="4">
        <v>32.362352941176482</v>
      </c>
      <c r="N826" t="s">
        <v>94</v>
      </c>
    </row>
    <row r="827" spans="1:14">
      <c r="A827">
        <v>826</v>
      </c>
      <c r="B827">
        <v>36</v>
      </c>
      <c r="C827" t="s">
        <v>11</v>
      </c>
      <c r="D827" t="s">
        <v>41</v>
      </c>
      <c r="E827" t="s">
        <v>42</v>
      </c>
      <c r="F827">
        <v>42.75</v>
      </c>
      <c r="G827" t="s">
        <v>31</v>
      </c>
      <c r="H827" t="s">
        <v>15</v>
      </c>
      <c r="I827">
        <v>3.8</v>
      </c>
      <c r="J827">
        <v>17</v>
      </c>
      <c r="K827">
        <v>6</v>
      </c>
      <c r="L827" s="4">
        <v>51.506024096385545</v>
      </c>
      <c r="M827" s="4">
        <v>8.7560240963855449</v>
      </c>
      <c r="N827" t="s">
        <v>92</v>
      </c>
    </row>
    <row r="828" spans="1:14">
      <c r="A828">
        <v>827</v>
      </c>
      <c r="B828">
        <v>41</v>
      </c>
      <c r="C828" t="s">
        <v>11</v>
      </c>
      <c r="D828" t="s">
        <v>22</v>
      </c>
      <c r="E828" t="s">
        <v>23</v>
      </c>
      <c r="F828">
        <v>157.96</v>
      </c>
      <c r="G828" t="s">
        <v>31</v>
      </c>
      <c r="H828" t="s">
        <v>15</v>
      </c>
      <c r="I828">
        <v>4.4000000000000004</v>
      </c>
      <c r="J828">
        <v>10</v>
      </c>
      <c r="K828">
        <v>5</v>
      </c>
      <c r="L828" s="4">
        <v>175.51111111111112</v>
      </c>
      <c r="M828" s="4">
        <v>17.551111111111112</v>
      </c>
      <c r="N828" t="s">
        <v>92</v>
      </c>
    </row>
    <row r="829" spans="1:14">
      <c r="A829">
        <v>828</v>
      </c>
      <c r="B829">
        <v>38</v>
      </c>
      <c r="C829" t="s">
        <v>16</v>
      </c>
      <c r="D829" t="s">
        <v>27</v>
      </c>
      <c r="E829" t="s">
        <v>53</v>
      </c>
      <c r="F829">
        <v>2502.52</v>
      </c>
      <c r="G829" t="s">
        <v>14</v>
      </c>
      <c r="H829" t="s">
        <v>15</v>
      </c>
      <c r="I829">
        <v>2.9</v>
      </c>
      <c r="J829">
        <v>15</v>
      </c>
      <c r="K829">
        <v>5</v>
      </c>
      <c r="L829" s="4">
        <v>2944.1411764705881</v>
      </c>
      <c r="M829" s="4">
        <v>441.62117647058813</v>
      </c>
      <c r="N829" t="s">
        <v>92</v>
      </c>
    </row>
    <row r="830" spans="1:14">
      <c r="A830">
        <v>829</v>
      </c>
      <c r="B830">
        <v>43</v>
      </c>
      <c r="C830" t="s">
        <v>11</v>
      </c>
      <c r="D830" t="s">
        <v>20</v>
      </c>
      <c r="E830" t="s">
        <v>36</v>
      </c>
      <c r="F830">
        <v>93.26</v>
      </c>
      <c r="G830" t="s">
        <v>24</v>
      </c>
      <c r="H830" t="s">
        <v>15</v>
      </c>
      <c r="I830">
        <v>4.3</v>
      </c>
      <c r="J830">
        <v>10</v>
      </c>
      <c r="K830">
        <v>5</v>
      </c>
      <c r="L830" s="4">
        <v>103.62222222222222</v>
      </c>
      <c r="M830" s="4">
        <v>10.362222222222215</v>
      </c>
      <c r="N830" t="s">
        <v>92</v>
      </c>
    </row>
    <row r="831" spans="1:14">
      <c r="A831">
        <v>830</v>
      </c>
      <c r="B831">
        <v>46</v>
      </c>
      <c r="C831" t="s">
        <v>16</v>
      </c>
      <c r="D831" t="s">
        <v>33</v>
      </c>
      <c r="E831" t="s">
        <v>38</v>
      </c>
      <c r="F831">
        <v>160.09</v>
      </c>
      <c r="G831" t="s">
        <v>14</v>
      </c>
      <c r="H831" t="s">
        <v>15</v>
      </c>
      <c r="I831">
        <v>4</v>
      </c>
      <c r="J831">
        <v>8</v>
      </c>
      <c r="K831">
        <v>4</v>
      </c>
      <c r="L831" s="4">
        <v>174.01086956521738</v>
      </c>
      <c r="M831" s="4">
        <v>13.920869565217373</v>
      </c>
      <c r="N831" t="s">
        <v>93</v>
      </c>
    </row>
    <row r="832" spans="1:14">
      <c r="A832">
        <v>831</v>
      </c>
      <c r="B832">
        <v>38</v>
      </c>
      <c r="C832" t="s">
        <v>16</v>
      </c>
      <c r="D832" t="s">
        <v>27</v>
      </c>
      <c r="E832" t="s">
        <v>53</v>
      </c>
      <c r="F832">
        <v>2841.72</v>
      </c>
      <c r="G832" t="s">
        <v>14</v>
      </c>
      <c r="H832" t="s">
        <v>15</v>
      </c>
      <c r="I832">
        <v>4</v>
      </c>
      <c r="J832">
        <v>23</v>
      </c>
      <c r="K832">
        <v>9</v>
      </c>
      <c r="L832" s="4">
        <v>3690.545454545454</v>
      </c>
      <c r="M832" s="4">
        <v>848.82545454545425</v>
      </c>
      <c r="N832" t="s">
        <v>92</v>
      </c>
    </row>
    <row r="833" spans="1:14">
      <c r="A833">
        <v>832</v>
      </c>
      <c r="B833">
        <v>32</v>
      </c>
      <c r="C833" t="s">
        <v>16</v>
      </c>
      <c r="D833" t="s">
        <v>22</v>
      </c>
      <c r="E833" t="s">
        <v>23</v>
      </c>
      <c r="F833">
        <v>220.24</v>
      </c>
      <c r="G833" t="s">
        <v>31</v>
      </c>
      <c r="H833" t="s">
        <v>15</v>
      </c>
      <c r="I833">
        <v>5</v>
      </c>
      <c r="J833">
        <v>16</v>
      </c>
      <c r="K833">
        <v>3</v>
      </c>
      <c r="L833" s="4">
        <v>262.1904761904762</v>
      </c>
      <c r="M833" s="4">
        <v>41.950476190476195</v>
      </c>
      <c r="N833" t="s">
        <v>91</v>
      </c>
    </row>
    <row r="834" spans="1:14">
      <c r="A834">
        <v>833</v>
      </c>
      <c r="B834">
        <v>59</v>
      </c>
      <c r="C834" t="s">
        <v>16</v>
      </c>
      <c r="D834" t="s">
        <v>33</v>
      </c>
      <c r="E834" t="s">
        <v>38</v>
      </c>
      <c r="F834">
        <v>239.65</v>
      </c>
      <c r="G834" t="s">
        <v>24</v>
      </c>
      <c r="H834" t="s">
        <v>15</v>
      </c>
      <c r="I834">
        <v>2.7</v>
      </c>
      <c r="J834">
        <v>9</v>
      </c>
      <c r="K834">
        <v>2</v>
      </c>
      <c r="L834" s="4">
        <v>263.35164835164835</v>
      </c>
      <c r="M834" s="4">
        <v>23.701648351648345</v>
      </c>
      <c r="N834" t="s">
        <v>94</v>
      </c>
    </row>
    <row r="835" spans="1:14">
      <c r="A835">
        <v>834</v>
      </c>
      <c r="B835">
        <v>37</v>
      </c>
      <c r="C835" t="s">
        <v>11</v>
      </c>
      <c r="D835" t="s">
        <v>41</v>
      </c>
      <c r="E835" t="s">
        <v>42</v>
      </c>
      <c r="F835">
        <v>41.62</v>
      </c>
      <c r="G835" t="s">
        <v>24</v>
      </c>
      <c r="H835" t="s">
        <v>15</v>
      </c>
      <c r="I835">
        <v>3.5</v>
      </c>
      <c r="J835">
        <v>21</v>
      </c>
      <c r="K835">
        <v>8</v>
      </c>
      <c r="L835" s="4">
        <v>52.683544303797461</v>
      </c>
      <c r="M835" s="4">
        <v>11.063544303797464</v>
      </c>
      <c r="N835" t="s">
        <v>92</v>
      </c>
    </row>
    <row r="836" spans="1:14">
      <c r="A836">
        <v>835</v>
      </c>
      <c r="B836">
        <v>36</v>
      </c>
      <c r="C836" t="s">
        <v>16</v>
      </c>
      <c r="D836" t="s">
        <v>22</v>
      </c>
      <c r="E836" t="s">
        <v>43</v>
      </c>
      <c r="F836">
        <v>254.85</v>
      </c>
      <c r="G836" t="s">
        <v>31</v>
      </c>
      <c r="H836" t="s">
        <v>15</v>
      </c>
      <c r="I836">
        <v>3</v>
      </c>
      <c r="J836">
        <v>8</v>
      </c>
      <c r="K836">
        <v>4</v>
      </c>
      <c r="L836" s="4">
        <v>277.01086956521738</v>
      </c>
      <c r="M836" s="4">
        <v>22.160869565217382</v>
      </c>
      <c r="N836" t="s">
        <v>92</v>
      </c>
    </row>
    <row r="837" spans="1:14">
      <c r="A837">
        <v>836</v>
      </c>
      <c r="B837">
        <v>34</v>
      </c>
      <c r="C837" t="s">
        <v>11</v>
      </c>
      <c r="D837" t="s">
        <v>41</v>
      </c>
      <c r="E837" t="s">
        <v>46</v>
      </c>
      <c r="F837">
        <v>46.13</v>
      </c>
      <c r="G837" t="s">
        <v>31</v>
      </c>
      <c r="H837" t="s">
        <v>37</v>
      </c>
      <c r="I837">
        <v>3.5</v>
      </c>
      <c r="J837">
        <v>21</v>
      </c>
      <c r="K837">
        <v>8</v>
      </c>
      <c r="L837" s="4">
        <v>58.392405063291143</v>
      </c>
      <c r="M837" s="4">
        <v>12.262405063291141</v>
      </c>
      <c r="N837" t="s">
        <v>91</v>
      </c>
    </row>
    <row r="838" spans="1:14">
      <c r="A838">
        <v>837</v>
      </c>
      <c r="B838">
        <v>62</v>
      </c>
      <c r="C838" t="s">
        <v>11</v>
      </c>
      <c r="D838" t="s">
        <v>12</v>
      </c>
      <c r="E838" t="s">
        <v>13</v>
      </c>
      <c r="F838">
        <v>144.18</v>
      </c>
      <c r="G838" t="s">
        <v>24</v>
      </c>
      <c r="H838" t="s">
        <v>15</v>
      </c>
      <c r="I838">
        <v>3.7</v>
      </c>
      <c r="J838">
        <v>6</v>
      </c>
      <c r="K838">
        <v>3</v>
      </c>
      <c r="L838" s="4">
        <v>153.38297872340428</v>
      </c>
      <c r="M838" s="4">
        <v>9.2029787234042715</v>
      </c>
      <c r="N838" t="s">
        <v>94</v>
      </c>
    </row>
    <row r="839" spans="1:14">
      <c r="A839">
        <v>838</v>
      </c>
      <c r="B839">
        <v>59</v>
      </c>
      <c r="C839" t="s">
        <v>16</v>
      </c>
      <c r="D839" t="s">
        <v>20</v>
      </c>
      <c r="E839" t="s">
        <v>21</v>
      </c>
      <c r="F839">
        <v>140.99</v>
      </c>
      <c r="G839" t="s">
        <v>19</v>
      </c>
      <c r="H839" t="s">
        <v>15</v>
      </c>
      <c r="I839">
        <v>2.7</v>
      </c>
      <c r="J839">
        <v>12</v>
      </c>
      <c r="K839">
        <v>6</v>
      </c>
      <c r="L839" s="4">
        <v>160.21590909090909</v>
      </c>
      <c r="M839" s="4">
        <v>19.225909090909084</v>
      </c>
      <c r="N839" t="s">
        <v>94</v>
      </c>
    </row>
    <row r="840" spans="1:14">
      <c r="A840">
        <v>839</v>
      </c>
      <c r="B840">
        <v>38</v>
      </c>
      <c r="C840" t="s">
        <v>16</v>
      </c>
      <c r="D840" t="s">
        <v>22</v>
      </c>
      <c r="E840" t="s">
        <v>43</v>
      </c>
      <c r="F840">
        <v>140.12</v>
      </c>
      <c r="G840" t="s">
        <v>31</v>
      </c>
      <c r="H840" t="s">
        <v>15</v>
      </c>
      <c r="I840">
        <v>4.9000000000000004</v>
      </c>
      <c r="J840">
        <v>14</v>
      </c>
      <c r="K840">
        <v>7</v>
      </c>
      <c r="L840" s="4">
        <v>162.93023255813955</v>
      </c>
      <c r="M840" s="4">
        <v>22.810232558139546</v>
      </c>
      <c r="N840" t="s">
        <v>92</v>
      </c>
    </row>
    <row r="841" spans="1:14">
      <c r="A841">
        <v>840</v>
      </c>
      <c r="B841">
        <v>31</v>
      </c>
      <c r="C841" t="s">
        <v>16</v>
      </c>
      <c r="D841" t="s">
        <v>17</v>
      </c>
      <c r="E841" t="s">
        <v>48</v>
      </c>
      <c r="F841">
        <v>81.16</v>
      </c>
      <c r="G841" t="s">
        <v>14</v>
      </c>
      <c r="H841" t="s">
        <v>15</v>
      </c>
      <c r="I841">
        <v>3.9</v>
      </c>
      <c r="J841">
        <v>21</v>
      </c>
      <c r="K841">
        <v>8</v>
      </c>
      <c r="L841" s="4">
        <v>102.73417721518986</v>
      </c>
      <c r="M841" s="4">
        <v>21.574177215189863</v>
      </c>
      <c r="N841" t="s">
        <v>91</v>
      </c>
    </row>
    <row r="842" spans="1:14">
      <c r="A842">
        <v>841</v>
      </c>
      <c r="B842">
        <v>40</v>
      </c>
      <c r="C842" t="s">
        <v>11</v>
      </c>
      <c r="D842" t="s">
        <v>12</v>
      </c>
      <c r="E842" t="s">
        <v>13</v>
      </c>
      <c r="F842">
        <v>74.23</v>
      </c>
      <c r="G842" t="s">
        <v>19</v>
      </c>
      <c r="H842" t="s">
        <v>15</v>
      </c>
      <c r="I842">
        <v>4.4000000000000004</v>
      </c>
      <c r="J842">
        <v>11</v>
      </c>
      <c r="K842">
        <v>3</v>
      </c>
      <c r="L842" s="4">
        <v>83.404494382022477</v>
      </c>
      <c r="M842" s="4">
        <v>9.1744943820224734</v>
      </c>
      <c r="N842" t="s">
        <v>92</v>
      </c>
    </row>
    <row r="843" spans="1:14">
      <c r="A843">
        <v>842</v>
      </c>
      <c r="B843">
        <v>51</v>
      </c>
      <c r="C843" t="s">
        <v>11</v>
      </c>
      <c r="D843" t="s">
        <v>12</v>
      </c>
      <c r="E843" t="s">
        <v>50</v>
      </c>
      <c r="F843">
        <v>125.26</v>
      </c>
      <c r="G843" t="s">
        <v>19</v>
      </c>
      <c r="H843" t="s">
        <v>15</v>
      </c>
      <c r="I843">
        <v>4.7</v>
      </c>
      <c r="J843">
        <v>14</v>
      </c>
      <c r="K843">
        <v>2</v>
      </c>
      <c r="L843" s="4">
        <v>145.65116279069767</v>
      </c>
      <c r="M843" s="4">
        <v>20.391162790697663</v>
      </c>
      <c r="N843" t="s">
        <v>93</v>
      </c>
    </row>
    <row r="844" spans="1:14">
      <c r="A844">
        <v>843</v>
      </c>
      <c r="B844">
        <v>24</v>
      </c>
      <c r="C844" t="s">
        <v>16</v>
      </c>
      <c r="D844" t="s">
        <v>33</v>
      </c>
      <c r="E844" t="s">
        <v>38</v>
      </c>
      <c r="F844">
        <v>214.97</v>
      </c>
      <c r="G844" t="s">
        <v>24</v>
      </c>
      <c r="H844" t="s">
        <v>15</v>
      </c>
      <c r="I844">
        <v>4.2</v>
      </c>
      <c r="J844">
        <v>19</v>
      </c>
      <c r="K844">
        <v>7</v>
      </c>
      <c r="L844" s="4">
        <v>265.39506172839504</v>
      </c>
      <c r="M844" s="4">
        <v>50.425061728395036</v>
      </c>
      <c r="N844" t="s">
        <v>100</v>
      </c>
    </row>
    <row r="845" spans="1:14">
      <c r="A845">
        <v>844</v>
      </c>
      <c r="B845">
        <v>23</v>
      </c>
      <c r="C845" t="s">
        <v>16</v>
      </c>
      <c r="D845" t="s">
        <v>27</v>
      </c>
      <c r="E845" t="s">
        <v>28</v>
      </c>
      <c r="F845">
        <v>1810.64</v>
      </c>
      <c r="G845" t="s">
        <v>14</v>
      </c>
      <c r="H845" t="s">
        <v>15</v>
      </c>
      <c r="I845">
        <v>4.5</v>
      </c>
      <c r="J845">
        <v>11</v>
      </c>
      <c r="K845">
        <v>3</v>
      </c>
      <c r="L845" s="4">
        <v>2034.4269662921349</v>
      </c>
      <c r="M845" s="4">
        <v>223.78696629213482</v>
      </c>
      <c r="N845" t="s">
        <v>100</v>
      </c>
    </row>
    <row r="846" spans="1:14">
      <c r="A846">
        <v>845</v>
      </c>
      <c r="B846">
        <v>33</v>
      </c>
      <c r="C846" t="s">
        <v>16</v>
      </c>
      <c r="D846" t="s">
        <v>17</v>
      </c>
      <c r="E846" t="s">
        <v>42</v>
      </c>
      <c r="F846">
        <v>140.65</v>
      </c>
      <c r="G846" t="s">
        <v>31</v>
      </c>
      <c r="H846" t="s">
        <v>15</v>
      </c>
      <c r="I846">
        <v>4.7</v>
      </c>
      <c r="J846">
        <v>20</v>
      </c>
      <c r="K846">
        <v>5</v>
      </c>
      <c r="L846" s="4">
        <v>175.8125</v>
      </c>
      <c r="M846" s="4">
        <v>35.162499999999994</v>
      </c>
      <c r="N846" t="s">
        <v>91</v>
      </c>
    </row>
    <row r="847" spans="1:14">
      <c r="A847">
        <v>846</v>
      </c>
      <c r="B847">
        <v>33</v>
      </c>
      <c r="C847" t="s">
        <v>16</v>
      </c>
      <c r="D847" t="s">
        <v>27</v>
      </c>
      <c r="E847" t="s">
        <v>28</v>
      </c>
      <c r="F847">
        <v>2064.65</v>
      </c>
      <c r="G847" t="s">
        <v>14</v>
      </c>
      <c r="H847" t="s">
        <v>15</v>
      </c>
      <c r="I847">
        <v>4.7</v>
      </c>
      <c r="J847">
        <v>17</v>
      </c>
      <c r="K847">
        <v>6</v>
      </c>
      <c r="L847" s="4">
        <v>2487.530120481928</v>
      </c>
      <c r="M847" s="4">
        <v>422.88012048192786</v>
      </c>
      <c r="N847" t="s">
        <v>91</v>
      </c>
    </row>
    <row r="848" spans="1:14">
      <c r="A848">
        <v>847</v>
      </c>
      <c r="B848">
        <v>36</v>
      </c>
      <c r="C848" t="s">
        <v>11</v>
      </c>
      <c r="D848" t="s">
        <v>25</v>
      </c>
      <c r="E848" t="s">
        <v>54</v>
      </c>
      <c r="F848">
        <v>11.44</v>
      </c>
      <c r="G848" t="s">
        <v>14</v>
      </c>
      <c r="H848" t="s">
        <v>15</v>
      </c>
      <c r="I848">
        <v>3.1</v>
      </c>
      <c r="J848">
        <v>13</v>
      </c>
      <c r="K848">
        <v>4</v>
      </c>
      <c r="L848" s="4">
        <v>13.149425287356321</v>
      </c>
      <c r="M848" s="4">
        <v>1.7094252873563214</v>
      </c>
      <c r="N848" t="s">
        <v>92</v>
      </c>
    </row>
    <row r="849" spans="1:14">
      <c r="A849">
        <v>848</v>
      </c>
      <c r="B849">
        <v>54</v>
      </c>
      <c r="C849" t="s">
        <v>11</v>
      </c>
      <c r="D849" t="s">
        <v>29</v>
      </c>
      <c r="E849" t="s">
        <v>30</v>
      </c>
      <c r="F849">
        <v>76.66</v>
      </c>
      <c r="G849" t="s">
        <v>19</v>
      </c>
      <c r="H849" t="s">
        <v>37</v>
      </c>
      <c r="I849">
        <v>4.3</v>
      </c>
      <c r="J849">
        <v>12</v>
      </c>
      <c r="K849">
        <v>6</v>
      </c>
      <c r="L849" s="4">
        <v>87.11363636363636</v>
      </c>
      <c r="M849" s="4">
        <v>10.453636363636363</v>
      </c>
      <c r="N849" t="s">
        <v>93</v>
      </c>
    </row>
    <row r="850" spans="1:14">
      <c r="A850">
        <v>849</v>
      </c>
      <c r="B850">
        <v>64</v>
      </c>
      <c r="C850" t="s">
        <v>11</v>
      </c>
      <c r="D850" t="s">
        <v>12</v>
      </c>
      <c r="E850" t="s">
        <v>56</v>
      </c>
      <c r="F850">
        <v>97.05</v>
      </c>
      <c r="G850" t="s">
        <v>14</v>
      </c>
      <c r="H850" t="s">
        <v>37</v>
      </c>
      <c r="I850">
        <v>4.3</v>
      </c>
      <c r="J850">
        <v>17</v>
      </c>
      <c r="K850">
        <v>6</v>
      </c>
      <c r="L850" s="4">
        <v>116.92771084337349</v>
      </c>
      <c r="M850" s="4">
        <v>19.877710843373492</v>
      </c>
      <c r="N850" t="s">
        <v>94</v>
      </c>
    </row>
    <row r="851" spans="1:14">
      <c r="A851">
        <v>850</v>
      </c>
      <c r="B851">
        <v>24</v>
      </c>
      <c r="C851" t="s">
        <v>16</v>
      </c>
      <c r="D851" t="s">
        <v>20</v>
      </c>
      <c r="E851" t="s">
        <v>21</v>
      </c>
      <c r="F851">
        <v>214.49</v>
      </c>
      <c r="G851" t="s">
        <v>14</v>
      </c>
      <c r="H851" t="s">
        <v>15</v>
      </c>
      <c r="I851">
        <v>4.4000000000000004</v>
      </c>
      <c r="J851">
        <v>7</v>
      </c>
      <c r="K851">
        <v>1</v>
      </c>
      <c r="L851" s="4">
        <v>230.63440860215056</v>
      </c>
      <c r="M851" s="4">
        <v>16.144408602150548</v>
      </c>
      <c r="N851" t="s">
        <v>100</v>
      </c>
    </row>
    <row r="852" spans="1:14">
      <c r="A852">
        <v>851</v>
      </c>
      <c r="B852">
        <v>27</v>
      </c>
      <c r="C852" t="s">
        <v>16</v>
      </c>
      <c r="D852" t="s">
        <v>17</v>
      </c>
      <c r="E852" t="s">
        <v>48</v>
      </c>
      <c r="F852">
        <v>43.04</v>
      </c>
      <c r="G852" t="s">
        <v>31</v>
      </c>
      <c r="H852" t="s">
        <v>37</v>
      </c>
      <c r="I852">
        <v>2</v>
      </c>
      <c r="J852">
        <v>13</v>
      </c>
      <c r="K852">
        <v>4</v>
      </c>
      <c r="L852" s="4">
        <v>49.47126436781609</v>
      </c>
      <c r="M852" s="4">
        <v>6.431264367816091</v>
      </c>
      <c r="N852" t="s">
        <v>91</v>
      </c>
    </row>
    <row r="853" spans="1:14">
      <c r="A853">
        <v>852</v>
      </c>
      <c r="B853">
        <v>42</v>
      </c>
      <c r="C853" t="s">
        <v>11</v>
      </c>
      <c r="D853" t="s">
        <v>12</v>
      </c>
      <c r="E853" t="s">
        <v>50</v>
      </c>
      <c r="F853">
        <v>60.96</v>
      </c>
      <c r="G853" t="s">
        <v>19</v>
      </c>
      <c r="H853" t="s">
        <v>15</v>
      </c>
      <c r="I853">
        <v>3.2</v>
      </c>
      <c r="J853">
        <v>4</v>
      </c>
      <c r="K853">
        <v>2</v>
      </c>
      <c r="L853" s="4">
        <v>63.5</v>
      </c>
      <c r="M853" s="4">
        <v>2.5399999999999991</v>
      </c>
      <c r="N853" t="s">
        <v>92</v>
      </c>
    </row>
    <row r="854" spans="1:14">
      <c r="A854">
        <v>853</v>
      </c>
      <c r="B854">
        <v>40</v>
      </c>
      <c r="C854" t="s">
        <v>11</v>
      </c>
      <c r="D854" t="s">
        <v>22</v>
      </c>
      <c r="E854" t="s">
        <v>43</v>
      </c>
      <c r="F854">
        <v>198.03</v>
      </c>
      <c r="G854" t="s">
        <v>14</v>
      </c>
      <c r="H854" t="s">
        <v>15</v>
      </c>
      <c r="I854">
        <v>3</v>
      </c>
      <c r="J854">
        <v>20</v>
      </c>
      <c r="K854">
        <v>5</v>
      </c>
      <c r="L854" s="4">
        <v>247.53749999999999</v>
      </c>
      <c r="M854" s="4">
        <v>49.507499999999993</v>
      </c>
      <c r="N854" t="s">
        <v>92</v>
      </c>
    </row>
    <row r="855" spans="1:14">
      <c r="A855">
        <v>854</v>
      </c>
      <c r="B855">
        <v>44</v>
      </c>
      <c r="C855" t="s">
        <v>11</v>
      </c>
      <c r="D855" t="s">
        <v>20</v>
      </c>
      <c r="E855" t="s">
        <v>39</v>
      </c>
      <c r="F855">
        <v>218.22</v>
      </c>
      <c r="G855" t="s">
        <v>19</v>
      </c>
      <c r="H855" t="s">
        <v>15</v>
      </c>
      <c r="I855">
        <v>3.3</v>
      </c>
      <c r="J855">
        <v>19</v>
      </c>
      <c r="K855">
        <v>7</v>
      </c>
      <c r="L855" s="4">
        <v>269.40740740740739</v>
      </c>
      <c r="M855" s="4">
        <v>51.187407407407392</v>
      </c>
      <c r="N855" t="s">
        <v>92</v>
      </c>
    </row>
    <row r="856" spans="1:14">
      <c r="A856">
        <v>855</v>
      </c>
      <c r="B856">
        <v>51</v>
      </c>
      <c r="C856" t="s">
        <v>11</v>
      </c>
      <c r="D856" t="s">
        <v>22</v>
      </c>
      <c r="E856" t="s">
        <v>23</v>
      </c>
      <c r="F856">
        <v>207.52</v>
      </c>
      <c r="G856" t="s">
        <v>19</v>
      </c>
      <c r="H856" t="s">
        <v>15</v>
      </c>
      <c r="I856">
        <v>3.6</v>
      </c>
      <c r="J856">
        <v>17</v>
      </c>
      <c r="K856">
        <v>6</v>
      </c>
      <c r="L856" s="4">
        <v>250.02409638554218</v>
      </c>
      <c r="M856" s="4">
        <v>42.504096385542169</v>
      </c>
      <c r="N856" t="s">
        <v>93</v>
      </c>
    </row>
    <row r="857" spans="1:14">
      <c r="A857">
        <v>856</v>
      </c>
      <c r="B857">
        <v>55</v>
      </c>
      <c r="C857" t="s">
        <v>11</v>
      </c>
      <c r="D857" t="s">
        <v>29</v>
      </c>
      <c r="E857" t="s">
        <v>55</v>
      </c>
      <c r="F857">
        <v>72.03</v>
      </c>
      <c r="G857" t="s">
        <v>14</v>
      </c>
      <c r="H857" t="s">
        <v>15</v>
      </c>
      <c r="I857">
        <v>4.2</v>
      </c>
      <c r="J857">
        <v>12</v>
      </c>
      <c r="K857">
        <v>6</v>
      </c>
      <c r="L857" s="4">
        <v>81.852272727272734</v>
      </c>
      <c r="M857" s="4">
        <v>9.8222727272727326</v>
      </c>
      <c r="N857" t="s">
        <v>94</v>
      </c>
    </row>
    <row r="858" spans="1:14">
      <c r="A858">
        <v>857</v>
      </c>
      <c r="B858">
        <v>60</v>
      </c>
      <c r="C858" t="s">
        <v>16</v>
      </c>
      <c r="D858" t="s">
        <v>33</v>
      </c>
      <c r="E858" t="s">
        <v>38</v>
      </c>
      <c r="F858">
        <v>186.72</v>
      </c>
      <c r="G858" t="s">
        <v>19</v>
      </c>
      <c r="H858" t="s">
        <v>15</v>
      </c>
      <c r="I858">
        <v>4</v>
      </c>
      <c r="J858">
        <v>18</v>
      </c>
      <c r="K858">
        <v>4</v>
      </c>
      <c r="L858" s="4">
        <v>227.70731707317071</v>
      </c>
      <c r="M858" s="4">
        <v>40.987317073170715</v>
      </c>
      <c r="N858" t="s">
        <v>94</v>
      </c>
    </row>
    <row r="859" spans="1:14">
      <c r="A859">
        <v>858</v>
      </c>
      <c r="B859">
        <v>62</v>
      </c>
      <c r="C859" t="s">
        <v>16</v>
      </c>
      <c r="D859" t="s">
        <v>33</v>
      </c>
      <c r="E859" t="s">
        <v>34</v>
      </c>
      <c r="F859">
        <v>114.97</v>
      </c>
      <c r="G859" t="s">
        <v>14</v>
      </c>
      <c r="H859" t="s">
        <v>15</v>
      </c>
      <c r="I859">
        <v>2.9</v>
      </c>
      <c r="J859">
        <v>22</v>
      </c>
      <c r="K859">
        <v>11</v>
      </c>
      <c r="L859" s="4">
        <v>147.39743589743588</v>
      </c>
      <c r="M859" s="4">
        <v>32.427435897435885</v>
      </c>
      <c r="N859" t="s">
        <v>94</v>
      </c>
    </row>
    <row r="860" spans="1:14">
      <c r="A860">
        <v>859</v>
      </c>
      <c r="B860">
        <v>22</v>
      </c>
      <c r="C860" t="s">
        <v>16</v>
      </c>
      <c r="D860" t="s">
        <v>25</v>
      </c>
      <c r="E860" t="s">
        <v>26</v>
      </c>
      <c r="F860">
        <v>40.19</v>
      </c>
      <c r="G860" t="s">
        <v>19</v>
      </c>
      <c r="H860" t="s">
        <v>37</v>
      </c>
      <c r="I860">
        <v>3.7</v>
      </c>
      <c r="J860">
        <v>14</v>
      </c>
      <c r="K860">
        <v>2</v>
      </c>
      <c r="L860" s="4">
        <v>46.732558139534881</v>
      </c>
      <c r="M860" s="4">
        <v>6.5425581395348829</v>
      </c>
      <c r="N860" t="s">
        <v>100</v>
      </c>
    </row>
    <row r="861" spans="1:14">
      <c r="A861">
        <v>860</v>
      </c>
      <c r="B861">
        <v>32</v>
      </c>
      <c r="C861" t="s">
        <v>11</v>
      </c>
      <c r="D861" t="s">
        <v>41</v>
      </c>
      <c r="E861" t="s">
        <v>42</v>
      </c>
      <c r="F861">
        <v>120.08</v>
      </c>
      <c r="G861" t="s">
        <v>19</v>
      </c>
      <c r="H861" t="s">
        <v>15</v>
      </c>
      <c r="I861">
        <v>3.5</v>
      </c>
      <c r="J861">
        <v>8</v>
      </c>
      <c r="K861">
        <v>4</v>
      </c>
      <c r="L861" s="4">
        <v>130.52173913043478</v>
      </c>
      <c r="M861" s="4">
        <v>10.441739130434783</v>
      </c>
      <c r="N861" t="s">
        <v>91</v>
      </c>
    </row>
    <row r="862" spans="1:14">
      <c r="A862">
        <v>861</v>
      </c>
      <c r="B862">
        <v>58</v>
      </c>
      <c r="C862" t="s">
        <v>16</v>
      </c>
      <c r="D862" t="s">
        <v>27</v>
      </c>
      <c r="E862" t="s">
        <v>49</v>
      </c>
      <c r="F862">
        <v>2431.86</v>
      </c>
      <c r="G862" t="s">
        <v>31</v>
      </c>
      <c r="H862" t="s">
        <v>15</v>
      </c>
      <c r="I862">
        <v>4.5999999999999996</v>
      </c>
      <c r="J862">
        <v>15</v>
      </c>
      <c r="K862">
        <v>5</v>
      </c>
      <c r="L862" s="4">
        <v>2861.0117647058828</v>
      </c>
      <c r="M862" s="4">
        <v>429.15176470588267</v>
      </c>
      <c r="N862" t="s">
        <v>94</v>
      </c>
    </row>
    <row r="863" spans="1:14">
      <c r="A863">
        <v>862</v>
      </c>
      <c r="B863">
        <v>59</v>
      </c>
      <c r="C863" t="s">
        <v>16</v>
      </c>
      <c r="D863" t="s">
        <v>27</v>
      </c>
      <c r="E863" t="s">
        <v>53</v>
      </c>
      <c r="F863">
        <v>1129</v>
      </c>
      <c r="G863" t="s">
        <v>24</v>
      </c>
      <c r="H863" t="s">
        <v>15</v>
      </c>
      <c r="I863">
        <v>2.5</v>
      </c>
      <c r="J863">
        <v>11</v>
      </c>
      <c r="K863">
        <v>3</v>
      </c>
      <c r="L863" s="4">
        <v>1268.5393258426966</v>
      </c>
      <c r="M863" s="4">
        <v>139.5393258426966</v>
      </c>
      <c r="N863" t="s">
        <v>94</v>
      </c>
    </row>
    <row r="864" spans="1:14">
      <c r="A864">
        <v>863</v>
      </c>
      <c r="B864">
        <v>40</v>
      </c>
      <c r="C864" t="s">
        <v>16</v>
      </c>
      <c r="D864" t="s">
        <v>33</v>
      </c>
      <c r="E864" t="s">
        <v>40</v>
      </c>
      <c r="F864">
        <v>96.21</v>
      </c>
      <c r="G864" t="s">
        <v>24</v>
      </c>
      <c r="H864" t="s">
        <v>37</v>
      </c>
      <c r="I864">
        <v>2.6</v>
      </c>
      <c r="J864">
        <v>11</v>
      </c>
      <c r="K864">
        <v>3</v>
      </c>
      <c r="L864" s="4">
        <v>108.10112359550561</v>
      </c>
      <c r="M864" s="4">
        <v>11.891123595505618</v>
      </c>
      <c r="N864" t="s">
        <v>92</v>
      </c>
    </row>
    <row r="865" spans="1:14">
      <c r="A865">
        <v>864</v>
      </c>
      <c r="B865">
        <v>46</v>
      </c>
      <c r="C865" t="s">
        <v>16</v>
      </c>
      <c r="D865" t="s">
        <v>27</v>
      </c>
      <c r="E865" t="s">
        <v>53</v>
      </c>
      <c r="F865">
        <v>1454.05</v>
      </c>
      <c r="G865" t="s">
        <v>31</v>
      </c>
      <c r="H865" t="s">
        <v>15</v>
      </c>
      <c r="I865">
        <v>3.5</v>
      </c>
      <c r="J865">
        <v>23</v>
      </c>
      <c r="K865">
        <v>9</v>
      </c>
      <c r="L865" s="4">
        <v>1888.3766233766232</v>
      </c>
      <c r="M865" s="4">
        <v>434.32662337662327</v>
      </c>
      <c r="N865" t="s">
        <v>93</v>
      </c>
    </row>
    <row r="866" spans="1:14">
      <c r="A866">
        <v>865</v>
      </c>
      <c r="B866">
        <v>22</v>
      </c>
      <c r="C866" t="s">
        <v>16</v>
      </c>
      <c r="D866" t="s">
        <v>20</v>
      </c>
      <c r="E866" t="s">
        <v>36</v>
      </c>
      <c r="F866">
        <v>210.91</v>
      </c>
      <c r="G866" t="s">
        <v>19</v>
      </c>
      <c r="H866" t="s">
        <v>15</v>
      </c>
      <c r="I866">
        <v>3.8</v>
      </c>
      <c r="J866">
        <v>24</v>
      </c>
      <c r="K866">
        <v>7</v>
      </c>
      <c r="L866" s="4">
        <v>277.51315789473682</v>
      </c>
      <c r="M866" s="4">
        <v>66.603157894736825</v>
      </c>
      <c r="N866" t="s">
        <v>100</v>
      </c>
    </row>
    <row r="867" spans="1:14">
      <c r="A867">
        <v>866</v>
      </c>
      <c r="B867">
        <v>52</v>
      </c>
      <c r="C867" t="s">
        <v>11</v>
      </c>
      <c r="D867" t="s">
        <v>41</v>
      </c>
      <c r="E867" t="s">
        <v>46</v>
      </c>
      <c r="F867">
        <v>35.17</v>
      </c>
      <c r="G867" t="s">
        <v>14</v>
      </c>
      <c r="H867" t="s">
        <v>15</v>
      </c>
      <c r="I867">
        <v>4.0999999999999996</v>
      </c>
      <c r="J867">
        <v>26</v>
      </c>
      <c r="K867">
        <v>8</v>
      </c>
      <c r="L867" s="4">
        <v>47.527027027027032</v>
      </c>
      <c r="M867" s="4">
        <v>12.35702702702703</v>
      </c>
      <c r="N867" t="s">
        <v>93</v>
      </c>
    </row>
    <row r="868" spans="1:14">
      <c r="A868">
        <v>867</v>
      </c>
      <c r="B868">
        <v>70</v>
      </c>
      <c r="C868" t="s">
        <v>16</v>
      </c>
      <c r="D868" t="s">
        <v>27</v>
      </c>
      <c r="E868" t="s">
        <v>28</v>
      </c>
      <c r="F868">
        <v>2108.89</v>
      </c>
      <c r="G868" t="s">
        <v>24</v>
      </c>
      <c r="H868" t="s">
        <v>15</v>
      </c>
      <c r="I868">
        <v>4.4000000000000004</v>
      </c>
      <c r="J868">
        <v>23</v>
      </c>
      <c r="K868">
        <v>9</v>
      </c>
      <c r="L868" s="4">
        <v>2738.8181818181815</v>
      </c>
      <c r="M868" s="4">
        <v>629.92818181818166</v>
      </c>
      <c r="N868" t="s">
        <v>95</v>
      </c>
    </row>
    <row r="869" spans="1:14">
      <c r="A869">
        <v>868</v>
      </c>
      <c r="B869">
        <v>51</v>
      </c>
      <c r="C869" t="s">
        <v>16</v>
      </c>
      <c r="D869" t="s">
        <v>20</v>
      </c>
      <c r="E869" t="s">
        <v>39</v>
      </c>
      <c r="F869">
        <v>219.04</v>
      </c>
      <c r="G869" t="s">
        <v>31</v>
      </c>
      <c r="H869" t="s">
        <v>15</v>
      </c>
      <c r="I869">
        <v>3.2</v>
      </c>
      <c r="J869">
        <v>11</v>
      </c>
      <c r="K869">
        <v>3</v>
      </c>
      <c r="L869" s="4">
        <v>246.11235955056179</v>
      </c>
      <c r="M869" s="4">
        <v>27.072359550561799</v>
      </c>
      <c r="N869" t="s">
        <v>93</v>
      </c>
    </row>
    <row r="870" spans="1:14">
      <c r="A870">
        <v>869</v>
      </c>
      <c r="B870">
        <v>67</v>
      </c>
      <c r="C870" t="s">
        <v>11</v>
      </c>
      <c r="D870" t="s">
        <v>12</v>
      </c>
      <c r="E870" t="s">
        <v>50</v>
      </c>
      <c r="F870">
        <v>48.74</v>
      </c>
      <c r="G870" t="s">
        <v>14</v>
      </c>
      <c r="H870" t="s">
        <v>15</v>
      </c>
      <c r="I870">
        <v>3.1</v>
      </c>
      <c r="J870">
        <v>24</v>
      </c>
      <c r="K870">
        <v>7</v>
      </c>
      <c r="L870" s="4">
        <v>64.131578947368425</v>
      </c>
      <c r="M870" s="4">
        <v>15.391578947368423</v>
      </c>
      <c r="N870" t="s">
        <v>95</v>
      </c>
    </row>
    <row r="871" spans="1:14">
      <c r="A871">
        <v>870</v>
      </c>
      <c r="B871">
        <v>31</v>
      </c>
      <c r="C871" t="s">
        <v>11</v>
      </c>
      <c r="D871" t="s">
        <v>41</v>
      </c>
      <c r="E871" t="s">
        <v>42</v>
      </c>
      <c r="F871">
        <v>93.29</v>
      </c>
      <c r="G871" t="s">
        <v>14</v>
      </c>
      <c r="H871" t="s">
        <v>15</v>
      </c>
      <c r="I871">
        <v>5</v>
      </c>
      <c r="J871">
        <v>16</v>
      </c>
      <c r="K871">
        <v>3</v>
      </c>
      <c r="L871" s="4">
        <v>111.05952380952382</v>
      </c>
      <c r="M871" s="4">
        <v>17.769523809523818</v>
      </c>
      <c r="N871" t="s">
        <v>91</v>
      </c>
    </row>
    <row r="872" spans="1:14">
      <c r="A872">
        <v>871</v>
      </c>
      <c r="B872">
        <v>58</v>
      </c>
      <c r="C872" t="s">
        <v>11</v>
      </c>
      <c r="D872" t="s">
        <v>33</v>
      </c>
      <c r="E872" t="s">
        <v>38</v>
      </c>
      <c r="F872">
        <v>59.04</v>
      </c>
      <c r="G872" t="s">
        <v>14</v>
      </c>
      <c r="H872" t="s">
        <v>15</v>
      </c>
      <c r="I872">
        <v>2.9</v>
      </c>
      <c r="J872">
        <v>10</v>
      </c>
      <c r="K872">
        <v>5</v>
      </c>
      <c r="L872" s="4">
        <v>65.599999999999994</v>
      </c>
      <c r="M872" s="4">
        <v>6.5599999999999952</v>
      </c>
      <c r="N872" t="s">
        <v>94</v>
      </c>
    </row>
    <row r="873" spans="1:14">
      <c r="A873">
        <v>872</v>
      </c>
      <c r="B873">
        <v>30</v>
      </c>
      <c r="C873" t="s">
        <v>16</v>
      </c>
      <c r="D873" t="s">
        <v>33</v>
      </c>
      <c r="E873" t="s">
        <v>34</v>
      </c>
      <c r="F873">
        <v>87.7</v>
      </c>
      <c r="G873" t="s">
        <v>14</v>
      </c>
      <c r="H873" t="s">
        <v>15</v>
      </c>
      <c r="I873">
        <v>4.2</v>
      </c>
      <c r="J873">
        <v>19</v>
      </c>
      <c r="K873">
        <v>7</v>
      </c>
      <c r="L873" s="4">
        <v>108.27160493827161</v>
      </c>
      <c r="M873" s="4">
        <v>20.571604938271605</v>
      </c>
      <c r="N873" t="s">
        <v>91</v>
      </c>
    </row>
    <row r="874" spans="1:14">
      <c r="A874">
        <v>873</v>
      </c>
      <c r="B874">
        <v>39</v>
      </c>
      <c r="C874" t="s">
        <v>11</v>
      </c>
      <c r="D874" t="s">
        <v>29</v>
      </c>
      <c r="E874" t="s">
        <v>30</v>
      </c>
      <c r="F874">
        <v>58.21</v>
      </c>
      <c r="G874" t="s">
        <v>24</v>
      </c>
      <c r="H874" t="s">
        <v>15</v>
      </c>
      <c r="I874">
        <v>2.5</v>
      </c>
      <c r="J874">
        <v>7</v>
      </c>
      <c r="K874">
        <v>1</v>
      </c>
      <c r="L874" s="4">
        <v>62.591397849462368</v>
      </c>
      <c r="M874" s="4">
        <v>4.3813978494623669</v>
      </c>
      <c r="N874" t="s">
        <v>92</v>
      </c>
    </row>
    <row r="875" spans="1:14">
      <c r="A875">
        <v>874</v>
      </c>
      <c r="B875">
        <v>69</v>
      </c>
      <c r="C875" t="s">
        <v>11</v>
      </c>
      <c r="D875" t="s">
        <v>41</v>
      </c>
      <c r="E875" t="s">
        <v>42</v>
      </c>
      <c r="F875">
        <v>100.29</v>
      </c>
      <c r="G875" t="s">
        <v>24</v>
      </c>
      <c r="H875" t="s">
        <v>15</v>
      </c>
      <c r="I875">
        <v>2.6</v>
      </c>
      <c r="J875">
        <v>24</v>
      </c>
      <c r="K875">
        <v>7</v>
      </c>
      <c r="L875" s="4">
        <v>131.96052631578948</v>
      </c>
      <c r="M875" s="4">
        <v>31.670526315789473</v>
      </c>
      <c r="N875" t="s">
        <v>95</v>
      </c>
    </row>
    <row r="876" spans="1:14">
      <c r="A876">
        <v>875</v>
      </c>
      <c r="B876">
        <v>22</v>
      </c>
      <c r="C876" t="s">
        <v>16</v>
      </c>
      <c r="D876" t="s">
        <v>33</v>
      </c>
      <c r="E876" t="s">
        <v>38</v>
      </c>
      <c r="F876">
        <v>154.19999999999999</v>
      </c>
      <c r="G876" t="s">
        <v>31</v>
      </c>
      <c r="H876" t="s">
        <v>15</v>
      </c>
      <c r="I876">
        <v>3.4</v>
      </c>
      <c r="J876">
        <v>4</v>
      </c>
      <c r="K876">
        <v>2</v>
      </c>
      <c r="L876" s="4">
        <v>160.625</v>
      </c>
      <c r="M876" s="4">
        <v>6.4250000000000114</v>
      </c>
      <c r="N876" t="s">
        <v>100</v>
      </c>
    </row>
    <row r="877" spans="1:14">
      <c r="A877">
        <v>876</v>
      </c>
      <c r="B877">
        <v>32</v>
      </c>
      <c r="C877" t="s">
        <v>16</v>
      </c>
      <c r="D877" t="s">
        <v>27</v>
      </c>
      <c r="E877" t="s">
        <v>49</v>
      </c>
      <c r="F877">
        <v>1370.18</v>
      </c>
      <c r="G877" t="s">
        <v>19</v>
      </c>
      <c r="H877" t="s">
        <v>15</v>
      </c>
      <c r="I877">
        <v>3</v>
      </c>
      <c r="J877">
        <v>20</v>
      </c>
      <c r="K877">
        <v>5</v>
      </c>
      <c r="L877" s="4">
        <v>1712.7249999999999</v>
      </c>
      <c r="M877" s="4">
        <v>342.54499999999985</v>
      </c>
      <c r="N877" t="s">
        <v>91</v>
      </c>
    </row>
    <row r="878" spans="1:14">
      <c r="A878">
        <v>877</v>
      </c>
      <c r="B878">
        <v>40</v>
      </c>
      <c r="C878" t="s">
        <v>16</v>
      </c>
      <c r="D878" t="s">
        <v>33</v>
      </c>
      <c r="E878" t="s">
        <v>40</v>
      </c>
      <c r="F878">
        <v>123.96</v>
      </c>
      <c r="G878" t="s">
        <v>31</v>
      </c>
      <c r="H878" t="s">
        <v>15</v>
      </c>
      <c r="I878">
        <v>4.0999999999999996</v>
      </c>
      <c r="J878">
        <v>11</v>
      </c>
      <c r="K878">
        <v>3</v>
      </c>
      <c r="L878" s="4">
        <v>139.28089887640448</v>
      </c>
      <c r="M878" s="4">
        <v>15.320898876404485</v>
      </c>
      <c r="N878" t="s">
        <v>92</v>
      </c>
    </row>
    <row r="879" spans="1:14">
      <c r="A879">
        <v>878</v>
      </c>
      <c r="B879">
        <v>32</v>
      </c>
      <c r="C879" t="s">
        <v>11</v>
      </c>
      <c r="D879" t="s">
        <v>33</v>
      </c>
      <c r="E879" t="s">
        <v>34</v>
      </c>
      <c r="F879">
        <v>151.91</v>
      </c>
      <c r="G879" t="s">
        <v>31</v>
      </c>
      <c r="H879" t="s">
        <v>15</v>
      </c>
      <c r="I879">
        <v>4.2</v>
      </c>
      <c r="J879">
        <v>22</v>
      </c>
      <c r="K879">
        <v>6</v>
      </c>
      <c r="L879" s="4">
        <v>194.75641025641025</v>
      </c>
      <c r="M879" s="4">
        <v>42.846410256410252</v>
      </c>
      <c r="N879" t="s">
        <v>91</v>
      </c>
    </row>
    <row r="880" spans="1:14">
      <c r="A880">
        <v>879</v>
      </c>
      <c r="B880">
        <v>69</v>
      </c>
      <c r="C880" t="s">
        <v>11</v>
      </c>
      <c r="D880" t="s">
        <v>22</v>
      </c>
      <c r="E880" t="s">
        <v>23</v>
      </c>
      <c r="F880">
        <v>201.11</v>
      </c>
      <c r="G880" t="s">
        <v>19</v>
      </c>
      <c r="H880" t="s">
        <v>15</v>
      </c>
      <c r="I880">
        <v>3.9</v>
      </c>
      <c r="J880">
        <v>11</v>
      </c>
      <c r="K880">
        <v>3</v>
      </c>
      <c r="L880" s="4">
        <v>225.96629213483146</v>
      </c>
      <c r="M880" s="4">
        <v>24.856292134831449</v>
      </c>
      <c r="N880" t="s">
        <v>95</v>
      </c>
    </row>
    <row r="881" spans="1:14">
      <c r="A881">
        <v>880</v>
      </c>
      <c r="B881">
        <v>59</v>
      </c>
      <c r="C881" t="s">
        <v>16</v>
      </c>
      <c r="D881" t="s">
        <v>33</v>
      </c>
      <c r="E881" t="s">
        <v>40</v>
      </c>
      <c r="F881">
        <v>42.35</v>
      </c>
      <c r="G881" t="s">
        <v>19</v>
      </c>
      <c r="H881" t="s">
        <v>37</v>
      </c>
      <c r="I881">
        <v>3.6</v>
      </c>
      <c r="J881">
        <v>13</v>
      </c>
      <c r="K881">
        <v>4</v>
      </c>
      <c r="L881" s="4">
        <v>48.678160919540232</v>
      </c>
      <c r="M881" s="4">
        <v>6.3281609195402311</v>
      </c>
      <c r="N881" t="s">
        <v>94</v>
      </c>
    </row>
    <row r="882" spans="1:14">
      <c r="A882">
        <v>881</v>
      </c>
      <c r="B882">
        <v>70</v>
      </c>
      <c r="C882" t="s">
        <v>11</v>
      </c>
      <c r="D882" t="s">
        <v>29</v>
      </c>
      <c r="E882" t="s">
        <v>51</v>
      </c>
      <c r="F882">
        <v>142.85</v>
      </c>
      <c r="G882" t="s">
        <v>24</v>
      </c>
      <c r="H882" t="s">
        <v>15</v>
      </c>
      <c r="I882">
        <v>3.2</v>
      </c>
      <c r="J882">
        <v>20</v>
      </c>
      <c r="K882">
        <v>5</v>
      </c>
      <c r="L882" s="4">
        <v>178.56249999999997</v>
      </c>
      <c r="M882" s="4">
        <v>35.712499999999977</v>
      </c>
      <c r="N882" t="s">
        <v>95</v>
      </c>
    </row>
    <row r="883" spans="1:14">
      <c r="A883">
        <v>882</v>
      </c>
      <c r="B883">
        <v>46</v>
      </c>
      <c r="C883" t="s">
        <v>16</v>
      </c>
      <c r="D883" t="s">
        <v>27</v>
      </c>
      <c r="E883" t="s">
        <v>28</v>
      </c>
      <c r="F883">
        <v>533.08000000000004</v>
      </c>
      <c r="G883" t="s">
        <v>31</v>
      </c>
      <c r="H883" t="s">
        <v>15</v>
      </c>
      <c r="I883">
        <v>5</v>
      </c>
      <c r="J883">
        <v>16</v>
      </c>
      <c r="K883">
        <v>3</v>
      </c>
      <c r="L883" s="4">
        <v>634.61904761904771</v>
      </c>
      <c r="M883" s="4">
        <v>101.53904761904766</v>
      </c>
      <c r="N883" t="s">
        <v>93</v>
      </c>
    </row>
    <row r="884" spans="1:14">
      <c r="A884">
        <v>883</v>
      </c>
      <c r="B884">
        <v>36</v>
      </c>
      <c r="C884" t="s">
        <v>11</v>
      </c>
      <c r="D884" t="s">
        <v>22</v>
      </c>
      <c r="E884" t="s">
        <v>52</v>
      </c>
      <c r="F884">
        <v>100.72</v>
      </c>
      <c r="G884" t="s">
        <v>14</v>
      </c>
      <c r="H884" t="s">
        <v>15</v>
      </c>
      <c r="I884">
        <v>2.8</v>
      </c>
      <c r="J884">
        <v>22</v>
      </c>
      <c r="K884">
        <v>6</v>
      </c>
      <c r="L884" s="4">
        <v>129.12820512820511</v>
      </c>
      <c r="M884" s="4">
        <v>28.408205128205111</v>
      </c>
      <c r="N884" t="s">
        <v>92</v>
      </c>
    </row>
    <row r="885" spans="1:14">
      <c r="A885">
        <v>884</v>
      </c>
      <c r="B885">
        <v>31</v>
      </c>
      <c r="C885" t="s">
        <v>11</v>
      </c>
      <c r="D885" t="s">
        <v>12</v>
      </c>
      <c r="E885" t="s">
        <v>50</v>
      </c>
      <c r="F885">
        <v>172.26</v>
      </c>
      <c r="G885" t="s">
        <v>31</v>
      </c>
      <c r="H885" t="s">
        <v>15</v>
      </c>
      <c r="I885">
        <v>2.8</v>
      </c>
      <c r="J885">
        <v>20</v>
      </c>
      <c r="K885">
        <v>5</v>
      </c>
      <c r="L885" s="4">
        <v>215.32499999999999</v>
      </c>
      <c r="M885" s="4">
        <v>43.064999999999998</v>
      </c>
      <c r="N885" t="s">
        <v>91</v>
      </c>
    </row>
    <row r="886" spans="1:14">
      <c r="A886">
        <v>885</v>
      </c>
      <c r="B886">
        <v>46</v>
      </c>
      <c r="C886" t="s">
        <v>11</v>
      </c>
      <c r="D886" t="s">
        <v>20</v>
      </c>
      <c r="E886" t="s">
        <v>39</v>
      </c>
      <c r="F886">
        <v>200.96</v>
      </c>
      <c r="G886" t="s">
        <v>31</v>
      </c>
      <c r="H886" t="s">
        <v>15</v>
      </c>
      <c r="I886">
        <v>4.2</v>
      </c>
      <c r="J886">
        <v>16</v>
      </c>
      <c r="K886">
        <v>3</v>
      </c>
      <c r="L886" s="4">
        <v>239.23809523809527</v>
      </c>
      <c r="M886" s="4">
        <v>38.278095238095261</v>
      </c>
      <c r="N886" t="s">
        <v>93</v>
      </c>
    </row>
    <row r="887" spans="1:14">
      <c r="A887">
        <v>886</v>
      </c>
      <c r="B887">
        <v>66</v>
      </c>
      <c r="C887" t="s">
        <v>11</v>
      </c>
      <c r="D887" t="s">
        <v>33</v>
      </c>
      <c r="E887" t="s">
        <v>40</v>
      </c>
      <c r="F887">
        <v>113.39</v>
      </c>
      <c r="G887" t="s">
        <v>19</v>
      </c>
      <c r="H887" t="s">
        <v>15</v>
      </c>
      <c r="I887">
        <v>3.4</v>
      </c>
      <c r="J887">
        <v>23</v>
      </c>
      <c r="K887">
        <v>9</v>
      </c>
      <c r="L887" s="4">
        <v>147.25974025974025</v>
      </c>
      <c r="M887" s="4">
        <v>33.869740259740254</v>
      </c>
      <c r="N887" t="s">
        <v>95</v>
      </c>
    </row>
    <row r="888" spans="1:14">
      <c r="A888">
        <v>887</v>
      </c>
      <c r="B888">
        <v>36</v>
      </c>
      <c r="C888" t="s">
        <v>11</v>
      </c>
      <c r="D888" t="s">
        <v>12</v>
      </c>
      <c r="E888" t="s">
        <v>56</v>
      </c>
      <c r="F888">
        <v>65.17</v>
      </c>
      <c r="G888" t="s">
        <v>31</v>
      </c>
      <c r="H888" t="s">
        <v>37</v>
      </c>
      <c r="I888">
        <v>4.5999999999999996</v>
      </c>
      <c r="J888">
        <v>15</v>
      </c>
      <c r="K888">
        <v>5</v>
      </c>
      <c r="L888" s="4">
        <v>76.670588235294119</v>
      </c>
      <c r="M888" s="4">
        <v>11.500588235294117</v>
      </c>
      <c r="N888" t="s">
        <v>92</v>
      </c>
    </row>
    <row r="889" spans="1:14">
      <c r="A889">
        <v>888</v>
      </c>
      <c r="B889">
        <v>42</v>
      </c>
      <c r="C889" t="s">
        <v>16</v>
      </c>
      <c r="D889" t="s">
        <v>33</v>
      </c>
      <c r="E889" t="s">
        <v>40</v>
      </c>
      <c r="F889">
        <v>154.55000000000001</v>
      </c>
      <c r="G889" t="s">
        <v>24</v>
      </c>
      <c r="H889" t="s">
        <v>15</v>
      </c>
      <c r="I889">
        <v>5</v>
      </c>
      <c r="J889">
        <v>17</v>
      </c>
      <c r="K889">
        <v>6</v>
      </c>
      <c r="L889" s="4">
        <v>186.20481927710847</v>
      </c>
      <c r="M889" s="4">
        <v>31.654819277108459</v>
      </c>
      <c r="N889" t="s">
        <v>92</v>
      </c>
    </row>
    <row r="890" spans="1:14">
      <c r="A890">
        <v>889</v>
      </c>
      <c r="B890">
        <v>26</v>
      </c>
      <c r="C890" t="s">
        <v>16</v>
      </c>
      <c r="D890" t="s">
        <v>17</v>
      </c>
      <c r="E890" t="s">
        <v>42</v>
      </c>
      <c r="F890">
        <v>100.84</v>
      </c>
      <c r="G890" t="s">
        <v>19</v>
      </c>
      <c r="H890" t="s">
        <v>15</v>
      </c>
      <c r="I890">
        <v>3.6</v>
      </c>
      <c r="J890">
        <v>14</v>
      </c>
      <c r="K890">
        <v>2</v>
      </c>
      <c r="L890" s="4">
        <v>117.25581395348837</v>
      </c>
      <c r="M890" s="4">
        <v>16.415813953488367</v>
      </c>
      <c r="N890" t="s">
        <v>91</v>
      </c>
    </row>
    <row r="891" spans="1:14">
      <c r="A891">
        <v>890</v>
      </c>
      <c r="B891">
        <v>31</v>
      </c>
      <c r="C891" t="s">
        <v>16</v>
      </c>
      <c r="D891" t="s">
        <v>27</v>
      </c>
      <c r="E891" t="s">
        <v>28</v>
      </c>
      <c r="F891">
        <v>1142.03</v>
      </c>
      <c r="G891" t="s">
        <v>24</v>
      </c>
      <c r="H891" t="s">
        <v>15</v>
      </c>
      <c r="I891">
        <v>4.2</v>
      </c>
      <c r="J891">
        <v>10</v>
      </c>
      <c r="K891">
        <v>5</v>
      </c>
      <c r="L891" s="4">
        <v>1268.9222222222222</v>
      </c>
      <c r="M891" s="4">
        <v>126.89222222222224</v>
      </c>
      <c r="N891" t="s">
        <v>91</v>
      </c>
    </row>
    <row r="892" spans="1:14">
      <c r="A892">
        <v>891</v>
      </c>
      <c r="B892">
        <v>39</v>
      </c>
      <c r="C892" t="s">
        <v>16</v>
      </c>
      <c r="D892" t="s">
        <v>17</v>
      </c>
      <c r="E892" t="s">
        <v>18</v>
      </c>
      <c r="F892">
        <v>168.97</v>
      </c>
      <c r="G892" t="s">
        <v>31</v>
      </c>
      <c r="H892" t="s">
        <v>15</v>
      </c>
      <c r="I892">
        <v>4.5999999999999996</v>
      </c>
      <c r="J892">
        <v>24</v>
      </c>
      <c r="K892">
        <v>7</v>
      </c>
      <c r="L892" s="4">
        <v>222.32894736842104</v>
      </c>
      <c r="M892" s="4">
        <v>53.358947368421042</v>
      </c>
      <c r="N892" t="s">
        <v>92</v>
      </c>
    </row>
    <row r="893" spans="1:14">
      <c r="A893">
        <v>892</v>
      </c>
      <c r="B893">
        <v>64</v>
      </c>
      <c r="C893" t="s">
        <v>16</v>
      </c>
      <c r="D893" t="s">
        <v>33</v>
      </c>
      <c r="E893" t="s">
        <v>38</v>
      </c>
      <c r="F893">
        <v>220.97</v>
      </c>
      <c r="G893" t="s">
        <v>14</v>
      </c>
      <c r="H893" t="s">
        <v>15</v>
      </c>
      <c r="I893">
        <v>5</v>
      </c>
      <c r="J893">
        <v>4</v>
      </c>
      <c r="K893">
        <v>2</v>
      </c>
      <c r="L893" s="4">
        <v>230.17708333333334</v>
      </c>
      <c r="M893" s="4">
        <v>9.2070833333333439</v>
      </c>
      <c r="N893" t="s">
        <v>94</v>
      </c>
    </row>
    <row r="894" spans="1:14">
      <c r="A894">
        <v>893</v>
      </c>
      <c r="B894">
        <v>59</v>
      </c>
      <c r="C894" t="s">
        <v>11</v>
      </c>
      <c r="D894" t="s">
        <v>22</v>
      </c>
      <c r="E894" t="s">
        <v>23</v>
      </c>
      <c r="F894">
        <v>181.46</v>
      </c>
      <c r="G894" t="s">
        <v>14</v>
      </c>
      <c r="H894" t="s">
        <v>15</v>
      </c>
      <c r="I894">
        <v>3.1</v>
      </c>
      <c r="J894">
        <v>18</v>
      </c>
      <c r="K894">
        <v>4</v>
      </c>
      <c r="L894" s="4">
        <v>221.29268292682926</v>
      </c>
      <c r="M894" s="4">
        <v>39.83268292682925</v>
      </c>
      <c r="N894" t="s">
        <v>94</v>
      </c>
    </row>
    <row r="895" spans="1:14">
      <c r="A895">
        <v>894</v>
      </c>
      <c r="B895">
        <v>30</v>
      </c>
      <c r="C895" t="s">
        <v>11</v>
      </c>
      <c r="D895" t="s">
        <v>33</v>
      </c>
      <c r="E895" t="s">
        <v>40</v>
      </c>
      <c r="F895">
        <v>212.78</v>
      </c>
      <c r="G895" t="s">
        <v>19</v>
      </c>
      <c r="H895" t="s">
        <v>15</v>
      </c>
      <c r="I895">
        <v>4.4000000000000004</v>
      </c>
      <c r="J895">
        <v>22</v>
      </c>
      <c r="K895">
        <v>6</v>
      </c>
      <c r="L895" s="4">
        <v>272.79487179487177</v>
      </c>
      <c r="M895" s="4">
        <v>60.014871794871766</v>
      </c>
      <c r="N895" t="s">
        <v>91</v>
      </c>
    </row>
    <row r="896" spans="1:14">
      <c r="A896">
        <v>895</v>
      </c>
      <c r="B896">
        <v>30</v>
      </c>
      <c r="C896" t="s">
        <v>11</v>
      </c>
      <c r="D896" t="s">
        <v>20</v>
      </c>
      <c r="E896" t="s">
        <v>36</v>
      </c>
      <c r="F896">
        <v>102.27</v>
      </c>
      <c r="G896" t="s">
        <v>19</v>
      </c>
      <c r="H896" t="s">
        <v>15</v>
      </c>
      <c r="I896">
        <v>3.1</v>
      </c>
      <c r="J896">
        <v>16</v>
      </c>
      <c r="K896">
        <v>8</v>
      </c>
      <c r="L896" s="4">
        <v>121.75</v>
      </c>
      <c r="M896" s="4">
        <v>19.480000000000004</v>
      </c>
      <c r="N896" t="s">
        <v>91</v>
      </c>
    </row>
    <row r="897" spans="1:14">
      <c r="A897">
        <v>896</v>
      </c>
      <c r="B897">
        <v>40</v>
      </c>
      <c r="C897" t="s">
        <v>16</v>
      </c>
      <c r="D897" t="s">
        <v>20</v>
      </c>
      <c r="E897" t="s">
        <v>39</v>
      </c>
      <c r="F897">
        <v>101.71</v>
      </c>
      <c r="G897" t="s">
        <v>19</v>
      </c>
      <c r="H897" t="s">
        <v>15</v>
      </c>
      <c r="I897">
        <v>3.8</v>
      </c>
      <c r="J897">
        <v>17</v>
      </c>
      <c r="K897">
        <v>6</v>
      </c>
      <c r="L897" s="4">
        <v>122.5421686746988</v>
      </c>
      <c r="M897" s="4">
        <v>20.832168674698806</v>
      </c>
      <c r="N897" t="s">
        <v>92</v>
      </c>
    </row>
    <row r="898" spans="1:14">
      <c r="A898">
        <v>897</v>
      </c>
      <c r="B898">
        <v>57</v>
      </c>
      <c r="C898" t="s">
        <v>16</v>
      </c>
      <c r="D898" t="s">
        <v>20</v>
      </c>
      <c r="E898" t="s">
        <v>36</v>
      </c>
      <c r="F898">
        <v>166.23</v>
      </c>
      <c r="G898" t="s">
        <v>19</v>
      </c>
      <c r="H898" t="s">
        <v>15</v>
      </c>
      <c r="I898">
        <v>4</v>
      </c>
      <c r="J898">
        <v>20</v>
      </c>
      <c r="K898">
        <v>5</v>
      </c>
      <c r="L898" s="4">
        <v>207.78749999999997</v>
      </c>
      <c r="M898" s="4">
        <v>41.557499999999976</v>
      </c>
      <c r="N898" t="s">
        <v>94</v>
      </c>
    </row>
    <row r="899" spans="1:14">
      <c r="A899">
        <v>898</v>
      </c>
      <c r="B899">
        <v>59</v>
      </c>
      <c r="C899" t="s">
        <v>16</v>
      </c>
      <c r="D899" t="s">
        <v>33</v>
      </c>
      <c r="E899" t="s">
        <v>40</v>
      </c>
      <c r="F899">
        <v>82.01</v>
      </c>
      <c r="G899" t="s">
        <v>19</v>
      </c>
      <c r="H899" t="s">
        <v>37</v>
      </c>
      <c r="I899">
        <v>3.3</v>
      </c>
      <c r="J899">
        <v>16</v>
      </c>
      <c r="K899">
        <v>3</v>
      </c>
      <c r="L899" s="4">
        <v>97.630952380952394</v>
      </c>
      <c r="M899" s="4">
        <v>15.620952380952389</v>
      </c>
      <c r="N899" t="s">
        <v>94</v>
      </c>
    </row>
    <row r="900" spans="1:14">
      <c r="A900">
        <v>899</v>
      </c>
      <c r="B900">
        <v>23</v>
      </c>
      <c r="C900" t="s">
        <v>11</v>
      </c>
      <c r="D900" t="s">
        <v>33</v>
      </c>
      <c r="E900" t="s">
        <v>38</v>
      </c>
      <c r="F900">
        <v>214.88</v>
      </c>
      <c r="G900" t="s">
        <v>24</v>
      </c>
      <c r="H900" t="s">
        <v>15</v>
      </c>
      <c r="I900">
        <v>5</v>
      </c>
      <c r="J900">
        <v>20</v>
      </c>
      <c r="K900">
        <v>5</v>
      </c>
      <c r="L900" s="4">
        <v>268.59999999999997</v>
      </c>
      <c r="M900" s="4">
        <v>53.71999999999997</v>
      </c>
      <c r="N900" t="s">
        <v>100</v>
      </c>
    </row>
    <row r="901" spans="1:14">
      <c r="A901">
        <v>900</v>
      </c>
      <c r="B901">
        <v>64</v>
      </c>
      <c r="C901" t="s">
        <v>11</v>
      </c>
      <c r="D901" t="s">
        <v>12</v>
      </c>
      <c r="E901" t="s">
        <v>13</v>
      </c>
      <c r="F901">
        <v>110.37</v>
      </c>
      <c r="G901" t="s">
        <v>19</v>
      </c>
      <c r="H901" t="s">
        <v>15</v>
      </c>
      <c r="I901">
        <v>4.2</v>
      </c>
      <c r="J901">
        <v>17</v>
      </c>
      <c r="K901">
        <v>6</v>
      </c>
      <c r="L901" s="4">
        <v>132.97590361445785</v>
      </c>
      <c r="M901" s="4">
        <v>22.605903614457844</v>
      </c>
      <c r="N901" t="s">
        <v>94</v>
      </c>
    </row>
    <row r="902" spans="1:14">
      <c r="A902">
        <v>901</v>
      </c>
      <c r="B902">
        <v>23</v>
      </c>
      <c r="C902" t="s">
        <v>16</v>
      </c>
      <c r="D902" t="s">
        <v>33</v>
      </c>
      <c r="E902" t="s">
        <v>40</v>
      </c>
      <c r="F902">
        <v>144.05000000000001</v>
      </c>
      <c r="G902" t="s">
        <v>31</v>
      </c>
      <c r="H902" t="s">
        <v>15</v>
      </c>
      <c r="I902">
        <v>2.6</v>
      </c>
      <c r="J902">
        <v>18</v>
      </c>
      <c r="K902">
        <v>4</v>
      </c>
      <c r="L902" s="4">
        <v>175.67073170731706</v>
      </c>
      <c r="M902" s="4">
        <v>31.620731707317049</v>
      </c>
      <c r="N902" t="s">
        <v>100</v>
      </c>
    </row>
    <row r="903" spans="1:14">
      <c r="A903">
        <v>902</v>
      </c>
      <c r="B903">
        <v>47</v>
      </c>
      <c r="C903" t="s">
        <v>11</v>
      </c>
      <c r="D903" t="s">
        <v>12</v>
      </c>
      <c r="E903" t="s">
        <v>50</v>
      </c>
      <c r="F903">
        <v>134.41999999999999</v>
      </c>
      <c r="G903" t="s">
        <v>24</v>
      </c>
      <c r="H903" t="s">
        <v>15</v>
      </c>
      <c r="I903">
        <v>4.0999999999999996</v>
      </c>
      <c r="J903">
        <v>8</v>
      </c>
      <c r="K903">
        <v>4</v>
      </c>
      <c r="L903" s="4">
        <v>146.10869565217391</v>
      </c>
      <c r="M903" s="4">
        <v>11.688695652173919</v>
      </c>
      <c r="N903" t="s">
        <v>93</v>
      </c>
    </row>
    <row r="904" spans="1:14">
      <c r="A904">
        <v>903</v>
      </c>
      <c r="B904">
        <v>64</v>
      </c>
      <c r="C904" t="s">
        <v>11</v>
      </c>
      <c r="D904" t="s">
        <v>29</v>
      </c>
      <c r="E904" t="s">
        <v>55</v>
      </c>
      <c r="F904">
        <v>133.46</v>
      </c>
      <c r="G904" t="s">
        <v>24</v>
      </c>
      <c r="H904" t="s">
        <v>15</v>
      </c>
      <c r="I904">
        <v>4.5999999999999996</v>
      </c>
      <c r="J904">
        <v>10</v>
      </c>
      <c r="K904">
        <v>5</v>
      </c>
      <c r="L904" s="4">
        <v>148.28888888888889</v>
      </c>
      <c r="M904" s="4">
        <v>14.828888888888883</v>
      </c>
      <c r="N904" t="s">
        <v>94</v>
      </c>
    </row>
    <row r="905" spans="1:14">
      <c r="A905">
        <v>904</v>
      </c>
      <c r="B905">
        <v>70</v>
      </c>
      <c r="C905" t="s">
        <v>11</v>
      </c>
      <c r="D905" t="s">
        <v>22</v>
      </c>
      <c r="E905" t="s">
        <v>43</v>
      </c>
      <c r="F905">
        <v>256.37</v>
      </c>
      <c r="G905" t="s">
        <v>31</v>
      </c>
      <c r="H905" t="s">
        <v>15</v>
      </c>
      <c r="I905">
        <v>3.6</v>
      </c>
      <c r="J905">
        <v>24</v>
      </c>
      <c r="K905">
        <v>7</v>
      </c>
      <c r="L905" s="4">
        <v>337.32894736842104</v>
      </c>
      <c r="M905" s="4">
        <v>80.958947368421036</v>
      </c>
      <c r="N905" t="s">
        <v>95</v>
      </c>
    </row>
    <row r="906" spans="1:14">
      <c r="A906">
        <v>905</v>
      </c>
      <c r="B906">
        <v>59</v>
      </c>
      <c r="C906" t="s">
        <v>16</v>
      </c>
      <c r="D906" t="s">
        <v>20</v>
      </c>
      <c r="E906" t="s">
        <v>39</v>
      </c>
      <c r="F906">
        <v>160.41999999999999</v>
      </c>
      <c r="G906" t="s">
        <v>19</v>
      </c>
      <c r="H906" t="s">
        <v>15</v>
      </c>
      <c r="I906">
        <v>4.3</v>
      </c>
      <c r="J906">
        <v>22</v>
      </c>
      <c r="K906">
        <v>6</v>
      </c>
      <c r="L906" s="4">
        <v>205.66666666666666</v>
      </c>
      <c r="M906" s="4">
        <v>45.24666666666667</v>
      </c>
      <c r="N906" t="s">
        <v>94</v>
      </c>
    </row>
    <row r="907" spans="1:14">
      <c r="A907">
        <v>906</v>
      </c>
      <c r="B907">
        <v>31</v>
      </c>
      <c r="C907" t="s">
        <v>16</v>
      </c>
      <c r="D907" t="s">
        <v>27</v>
      </c>
      <c r="E907" t="s">
        <v>28</v>
      </c>
      <c r="F907">
        <v>1501.64</v>
      </c>
      <c r="G907" t="s">
        <v>14</v>
      </c>
      <c r="H907" t="s">
        <v>15</v>
      </c>
      <c r="I907">
        <v>3.2</v>
      </c>
      <c r="J907">
        <v>12</v>
      </c>
      <c r="K907">
        <v>6</v>
      </c>
      <c r="L907" s="4">
        <v>1706.409090909091</v>
      </c>
      <c r="M907" s="4">
        <v>204.76909090909089</v>
      </c>
      <c r="N907" t="s">
        <v>91</v>
      </c>
    </row>
    <row r="908" spans="1:14">
      <c r="A908">
        <v>907</v>
      </c>
      <c r="B908">
        <v>69</v>
      </c>
      <c r="C908" t="s">
        <v>16</v>
      </c>
      <c r="D908" t="s">
        <v>33</v>
      </c>
      <c r="E908" t="s">
        <v>34</v>
      </c>
      <c r="F908">
        <v>145.19999999999999</v>
      </c>
      <c r="G908" t="s">
        <v>14</v>
      </c>
      <c r="H908" t="s">
        <v>15</v>
      </c>
      <c r="I908">
        <v>2.8</v>
      </c>
      <c r="J908">
        <v>18</v>
      </c>
      <c r="K908">
        <v>4</v>
      </c>
      <c r="L908" s="4">
        <v>177.07317073170728</v>
      </c>
      <c r="M908" s="4">
        <v>31.87317073170729</v>
      </c>
      <c r="N908" t="s">
        <v>95</v>
      </c>
    </row>
    <row r="909" spans="1:14">
      <c r="A909">
        <v>908</v>
      </c>
      <c r="B909">
        <v>50</v>
      </c>
      <c r="C909" t="s">
        <v>16</v>
      </c>
      <c r="D909" t="s">
        <v>17</v>
      </c>
      <c r="E909" t="s">
        <v>18</v>
      </c>
      <c r="F909">
        <v>66.680000000000007</v>
      </c>
      <c r="G909" t="s">
        <v>24</v>
      </c>
      <c r="H909" t="s">
        <v>15</v>
      </c>
      <c r="I909">
        <v>3.1</v>
      </c>
      <c r="J909">
        <v>13</v>
      </c>
      <c r="K909">
        <v>4</v>
      </c>
      <c r="L909" s="4">
        <v>76.643678160919549</v>
      </c>
      <c r="M909" s="4">
        <v>9.9636781609195424</v>
      </c>
      <c r="N909" t="s">
        <v>93</v>
      </c>
    </row>
    <row r="910" spans="1:14">
      <c r="A910">
        <v>909</v>
      </c>
      <c r="B910">
        <v>60</v>
      </c>
      <c r="C910" t="s">
        <v>16</v>
      </c>
      <c r="D910" t="s">
        <v>27</v>
      </c>
      <c r="E910" t="s">
        <v>32</v>
      </c>
      <c r="F910">
        <v>592.23</v>
      </c>
      <c r="G910" t="s">
        <v>19</v>
      </c>
      <c r="H910" t="s">
        <v>15</v>
      </c>
      <c r="I910">
        <v>3.6</v>
      </c>
      <c r="J910">
        <v>13</v>
      </c>
      <c r="K910">
        <v>4</v>
      </c>
      <c r="L910" s="4">
        <v>680.72413793103453</v>
      </c>
      <c r="M910" s="4">
        <v>88.494137931034516</v>
      </c>
      <c r="N910" t="s">
        <v>94</v>
      </c>
    </row>
    <row r="911" spans="1:14">
      <c r="A911">
        <v>910</v>
      </c>
      <c r="B911">
        <v>39</v>
      </c>
      <c r="C911" t="s">
        <v>16</v>
      </c>
      <c r="D911" t="s">
        <v>27</v>
      </c>
      <c r="E911" t="s">
        <v>28</v>
      </c>
      <c r="F911">
        <v>646.99</v>
      </c>
      <c r="G911" t="s">
        <v>24</v>
      </c>
      <c r="H911" t="s">
        <v>15</v>
      </c>
      <c r="I911">
        <v>4.0999999999999996</v>
      </c>
      <c r="J911">
        <v>24</v>
      </c>
      <c r="K911">
        <v>7</v>
      </c>
      <c r="L911" s="4">
        <v>851.3026315789474</v>
      </c>
      <c r="M911" s="4">
        <v>204.31263157894739</v>
      </c>
      <c r="N911" t="s">
        <v>92</v>
      </c>
    </row>
    <row r="912" spans="1:14">
      <c r="A912">
        <v>911</v>
      </c>
      <c r="B912">
        <v>50</v>
      </c>
      <c r="C912" t="s">
        <v>16</v>
      </c>
      <c r="D912" t="s">
        <v>33</v>
      </c>
      <c r="E912" t="s">
        <v>38</v>
      </c>
      <c r="F912">
        <v>58.87</v>
      </c>
      <c r="G912" t="s">
        <v>19</v>
      </c>
      <c r="H912" t="s">
        <v>37</v>
      </c>
      <c r="I912">
        <v>3.1</v>
      </c>
      <c r="J912">
        <v>16</v>
      </c>
      <c r="K912">
        <v>3</v>
      </c>
      <c r="L912" s="4">
        <v>70.083333333333329</v>
      </c>
      <c r="M912" s="4">
        <v>11.213333333333331</v>
      </c>
      <c r="N912" t="s">
        <v>93</v>
      </c>
    </row>
    <row r="913" spans="1:14">
      <c r="A913">
        <v>912</v>
      </c>
      <c r="B913">
        <v>42</v>
      </c>
      <c r="C913" t="s">
        <v>16</v>
      </c>
      <c r="D913" t="s">
        <v>20</v>
      </c>
      <c r="E913" t="s">
        <v>39</v>
      </c>
      <c r="F913">
        <v>51.43</v>
      </c>
      <c r="G913" t="s">
        <v>24</v>
      </c>
      <c r="H913" t="s">
        <v>15</v>
      </c>
      <c r="I913">
        <v>2.7</v>
      </c>
      <c r="J913">
        <v>13</v>
      </c>
      <c r="K913">
        <v>4</v>
      </c>
      <c r="L913" s="4">
        <v>59.114942528735632</v>
      </c>
      <c r="M913" s="4">
        <v>7.6849425287356325</v>
      </c>
      <c r="N913" t="s">
        <v>92</v>
      </c>
    </row>
    <row r="914" spans="1:14">
      <c r="A914">
        <v>913</v>
      </c>
      <c r="B914">
        <v>56</v>
      </c>
      <c r="C914" t="s">
        <v>11</v>
      </c>
      <c r="D914" t="s">
        <v>22</v>
      </c>
      <c r="E914" t="s">
        <v>43</v>
      </c>
      <c r="F914">
        <v>235.41</v>
      </c>
      <c r="G914" t="s">
        <v>31</v>
      </c>
      <c r="H914" t="s">
        <v>15</v>
      </c>
      <c r="I914">
        <v>2.6</v>
      </c>
      <c r="J914">
        <v>2</v>
      </c>
      <c r="K914">
        <v>1</v>
      </c>
      <c r="L914" s="4">
        <v>240.21428571428572</v>
      </c>
      <c r="M914" s="4">
        <v>4.8042857142857258</v>
      </c>
      <c r="N914" t="s">
        <v>94</v>
      </c>
    </row>
    <row r="915" spans="1:14">
      <c r="A915">
        <v>914</v>
      </c>
      <c r="B915">
        <v>46</v>
      </c>
      <c r="C915" t="s">
        <v>11</v>
      </c>
      <c r="D915" t="s">
        <v>12</v>
      </c>
      <c r="E915" t="s">
        <v>56</v>
      </c>
      <c r="F915">
        <v>99.47</v>
      </c>
      <c r="G915" t="s">
        <v>24</v>
      </c>
      <c r="H915" t="s">
        <v>37</v>
      </c>
      <c r="I915">
        <v>3.7</v>
      </c>
      <c r="J915">
        <v>22</v>
      </c>
      <c r="K915">
        <v>11</v>
      </c>
      <c r="L915" s="4">
        <v>127.52564102564102</v>
      </c>
      <c r="M915" s="4">
        <v>28.055641025641023</v>
      </c>
      <c r="N915" t="s">
        <v>93</v>
      </c>
    </row>
    <row r="916" spans="1:14">
      <c r="A916">
        <v>915</v>
      </c>
      <c r="B916">
        <v>40</v>
      </c>
      <c r="C916" t="s">
        <v>11</v>
      </c>
      <c r="D916" t="s">
        <v>12</v>
      </c>
      <c r="E916" t="s">
        <v>50</v>
      </c>
      <c r="F916">
        <v>38.29</v>
      </c>
      <c r="G916" t="s">
        <v>14</v>
      </c>
      <c r="H916" t="s">
        <v>15</v>
      </c>
      <c r="I916">
        <v>4.0999999999999996</v>
      </c>
      <c r="J916">
        <v>18</v>
      </c>
      <c r="K916">
        <v>9</v>
      </c>
      <c r="L916" s="4">
        <v>46.695121951219505</v>
      </c>
      <c r="M916" s="4">
        <v>8.4051219512195061</v>
      </c>
      <c r="N916" t="s">
        <v>92</v>
      </c>
    </row>
    <row r="917" spans="1:14">
      <c r="A917">
        <v>916</v>
      </c>
      <c r="B917">
        <v>54</v>
      </c>
      <c r="C917" t="s">
        <v>16</v>
      </c>
      <c r="D917" t="s">
        <v>33</v>
      </c>
      <c r="E917" t="s">
        <v>38</v>
      </c>
      <c r="F917">
        <v>240.73</v>
      </c>
      <c r="G917" t="s">
        <v>19</v>
      </c>
      <c r="H917" t="s">
        <v>15</v>
      </c>
      <c r="I917">
        <v>4.5</v>
      </c>
      <c r="J917">
        <v>18</v>
      </c>
      <c r="K917">
        <v>4</v>
      </c>
      <c r="L917" s="4">
        <v>293.57317073170731</v>
      </c>
      <c r="M917" s="4">
        <v>52.843170731707318</v>
      </c>
      <c r="N917" t="s">
        <v>93</v>
      </c>
    </row>
    <row r="918" spans="1:14">
      <c r="A918">
        <v>917</v>
      </c>
      <c r="B918">
        <v>24</v>
      </c>
      <c r="C918" t="s">
        <v>11</v>
      </c>
      <c r="D918" t="s">
        <v>41</v>
      </c>
      <c r="E918" t="s">
        <v>45</v>
      </c>
      <c r="F918">
        <v>145.27000000000001</v>
      </c>
      <c r="G918" t="s">
        <v>31</v>
      </c>
      <c r="H918" t="s">
        <v>15</v>
      </c>
      <c r="I918">
        <v>4.7</v>
      </c>
      <c r="J918">
        <v>20</v>
      </c>
      <c r="K918">
        <v>10</v>
      </c>
      <c r="L918" s="4">
        <v>181.58750000000001</v>
      </c>
      <c r="M918" s="4">
        <v>36.317499999999995</v>
      </c>
      <c r="N918" t="s">
        <v>100</v>
      </c>
    </row>
    <row r="919" spans="1:14">
      <c r="A919">
        <v>918</v>
      </c>
      <c r="B919">
        <v>22</v>
      </c>
      <c r="C919" t="s">
        <v>16</v>
      </c>
      <c r="D919" t="s">
        <v>33</v>
      </c>
      <c r="E919" t="s">
        <v>38</v>
      </c>
      <c r="F919">
        <v>140.13</v>
      </c>
      <c r="G919" t="s">
        <v>19</v>
      </c>
      <c r="H919" t="s">
        <v>15</v>
      </c>
      <c r="I919">
        <v>4.4000000000000004</v>
      </c>
      <c r="J919">
        <v>16</v>
      </c>
      <c r="K919">
        <v>3</v>
      </c>
      <c r="L919" s="4">
        <v>166.82142857142858</v>
      </c>
      <c r="M919" s="4">
        <v>26.691428571428588</v>
      </c>
      <c r="N919" t="s">
        <v>100</v>
      </c>
    </row>
    <row r="920" spans="1:14">
      <c r="A920">
        <v>919</v>
      </c>
      <c r="B920">
        <v>43</v>
      </c>
      <c r="C920" t="s">
        <v>16</v>
      </c>
      <c r="D920" t="s">
        <v>33</v>
      </c>
      <c r="E920" t="s">
        <v>40</v>
      </c>
      <c r="F920">
        <v>192.45</v>
      </c>
      <c r="G920" t="s">
        <v>14</v>
      </c>
      <c r="H920" t="s">
        <v>15</v>
      </c>
      <c r="I920">
        <v>3.3</v>
      </c>
      <c r="J920">
        <v>7</v>
      </c>
      <c r="K920">
        <v>1</v>
      </c>
      <c r="L920" s="4">
        <v>206.93548387096774</v>
      </c>
      <c r="M920" s="4">
        <v>14.485483870967755</v>
      </c>
      <c r="N920" t="s">
        <v>92</v>
      </c>
    </row>
    <row r="921" spans="1:14">
      <c r="A921">
        <v>920</v>
      </c>
      <c r="B921">
        <v>21</v>
      </c>
      <c r="C921" t="s">
        <v>16</v>
      </c>
      <c r="D921" t="s">
        <v>27</v>
      </c>
      <c r="E921" t="s">
        <v>53</v>
      </c>
      <c r="F921">
        <v>2391.56</v>
      </c>
      <c r="G921" t="s">
        <v>19</v>
      </c>
      <c r="H921" t="s">
        <v>15</v>
      </c>
      <c r="I921">
        <v>3.7</v>
      </c>
      <c r="J921">
        <v>24</v>
      </c>
      <c r="K921">
        <v>7</v>
      </c>
      <c r="L921" s="4">
        <v>3146.7894736842104</v>
      </c>
      <c r="M921" s="4">
        <v>755.22947368421046</v>
      </c>
      <c r="N921" t="s">
        <v>100</v>
      </c>
    </row>
    <row r="922" spans="1:14">
      <c r="A922">
        <v>921</v>
      </c>
      <c r="B922">
        <v>58</v>
      </c>
      <c r="C922" t="s">
        <v>11</v>
      </c>
      <c r="D922" t="s">
        <v>22</v>
      </c>
      <c r="E922" t="s">
        <v>23</v>
      </c>
      <c r="F922">
        <v>246.33</v>
      </c>
      <c r="G922" t="s">
        <v>24</v>
      </c>
      <c r="H922" t="s">
        <v>15</v>
      </c>
      <c r="I922">
        <v>3.9</v>
      </c>
      <c r="J922">
        <v>12</v>
      </c>
      <c r="K922">
        <v>6</v>
      </c>
      <c r="L922" s="4">
        <v>279.92045454545456</v>
      </c>
      <c r="M922" s="4">
        <v>33.590454545454548</v>
      </c>
      <c r="N922" t="s">
        <v>94</v>
      </c>
    </row>
    <row r="923" spans="1:14">
      <c r="A923">
        <v>922</v>
      </c>
      <c r="B923">
        <v>57</v>
      </c>
      <c r="C923" t="s">
        <v>16</v>
      </c>
      <c r="D923" t="s">
        <v>20</v>
      </c>
      <c r="E923" t="s">
        <v>39</v>
      </c>
      <c r="F923">
        <v>39.18</v>
      </c>
      <c r="G923" t="s">
        <v>31</v>
      </c>
      <c r="H923" t="s">
        <v>37</v>
      </c>
      <c r="I923">
        <v>3.4</v>
      </c>
      <c r="J923">
        <v>23</v>
      </c>
      <c r="K923">
        <v>9</v>
      </c>
      <c r="L923" s="4">
        <v>50.883116883116884</v>
      </c>
      <c r="M923" s="4">
        <v>11.703116883116884</v>
      </c>
      <c r="N923" t="s">
        <v>94</v>
      </c>
    </row>
    <row r="924" spans="1:14">
      <c r="A924">
        <v>923</v>
      </c>
      <c r="B924">
        <v>25</v>
      </c>
      <c r="C924" t="s">
        <v>11</v>
      </c>
      <c r="D924" t="s">
        <v>29</v>
      </c>
      <c r="E924" t="s">
        <v>55</v>
      </c>
      <c r="F924">
        <v>21.93</v>
      </c>
      <c r="G924" t="s">
        <v>14</v>
      </c>
      <c r="H924" t="s">
        <v>37</v>
      </c>
      <c r="I924">
        <v>4.5</v>
      </c>
      <c r="J924">
        <v>18</v>
      </c>
      <c r="K924">
        <v>4</v>
      </c>
      <c r="L924" s="4">
        <v>26.743902439024389</v>
      </c>
      <c r="M924" s="4">
        <v>4.813902439024389</v>
      </c>
      <c r="N924" t="s">
        <v>91</v>
      </c>
    </row>
    <row r="925" spans="1:14">
      <c r="A925">
        <v>924</v>
      </c>
      <c r="B925">
        <v>35</v>
      </c>
      <c r="C925" t="s">
        <v>16</v>
      </c>
      <c r="D925" t="s">
        <v>17</v>
      </c>
      <c r="E925" t="s">
        <v>35</v>
      </c>
      <c r="F925">
        <v>35.65</v>
      </c>
      <c r="G925" t="s">
        <v>14</v>
      </c>
      <c r="H925" t="s">
        <v>15</v>
      </c>
      <c r="I925">
        <v>4.5</v>
      </c>
      <c r="J925">
        <v>13</v>
      </c>
      <c r="K925">
        <v>4</v>
      </c>
      <c r="L925" s="4">
        <v>40.977011494252871</v>
      </c>
      <c r="M925" s="4">
        <v>5.3270114942528721</v>
      </c>
      <c r="N925" t="s">
        <v>92</v>
      </c>
    </row>
    <row r="926" spans="1:14">
      <c r="A926">
        <v>925</v>
      </c>
      <c r="B926">
        <v>23</v>
      </c>
      <c r="C926" t="s">
        <v>16</v>
      </c>
      <c r="D926" t="s">
        <v>17</v>
      </c>
      <c r="E926" t="s">
        <v>48</v>
      </c>
      <c r="F926">
        <v>174.44</v>
      </c>
      <c r="G926" t="s">
        <v>31</v>
      </c>
      <c r="H926" t="s">
        <v>15</v>
      </c>
      <c r="I926">
        <v>2.9</v>
      </c>
      <c r="J926">
        <v>14</v>
      </c>
      <c r="K926">
        <v>7</v>
      </c>
      <c r="L926" s="4">
        <v>202.83720930232559</v>
      </c>
      <c r="M926" s="4">
        <v>28.397209302325592</v>
      </c>
      <c r="N926" t="s">
        <v>100</v>
      </c>
    </row>
    <row r="927" spans="1:14">
      <c r="A927">
        <v>926</v>
      </c>
      <c r="B927">
        <v>23</v>
      </c>
      <c r="C927" t="s">
        <v>11</v>
      </c>
      <c r="D927" t="s">
        <v>12</v>
      </c>
      <c r="E927" t="s">
        <v>56</v>
      </c>
      <c r="F927">
        <v>130.69999999999999</v>
      </c>
      <c r="G927" t="s">
        <v>19</v>
      </c>
      <c r="H927" t="s">
        <v>15</v>
      </c>
      <c r="I927">
        <v>3.2</v>
      </c>
      <c r="J927">
        <v>19</v>
      </c>
      <c r="K927">
        <v>7</v>
      </c>
      <c r="L927" s="4">
        <v>161.358024691358</v>
      </c>
      <c r="M927" s="4">
        <v>30.658024691358008</v>
      </c>
      <c r="N927" t="s">
        <v>100</v>
      </c>
    </row>
    <row r="928" spans="1:14">
      <c r="A928">
        <v>927</v>
      </c>
      <c r="B928">
        <v>31</v>
      </c>
      <c r="C928" t="s">
        <v>16</v>
      </c>
      <c r="D928" t="s">
        <v>20</v>
      </c>
      <c r="E928" t="s">
        <v>21</v>
      </c>
      <c r="F928">
        <v>231.91</v>
      </c>
      <c r="G928" t="s">
        <v>24</v>
      </c>
      <c r="H928" t="s">
        <v>15</v>
      </c>
      <c r="I928">
        <v>4.4000000000000004</v>
      </c>
      <c r="J928">
        <v>21</v>
      </c>
      <c r="K928">
        <v>8</v>
      </c>
      <c r="L928" s="4">
        <v>293.55696202531647</v>
      </c>
      <c r="M928" s="4">
        <v>61.646962025316469</v>
      </c>
      <c r="N928" t="s">
        <v>91</v>
      </c>
    </row>
    <row r="929" spans="1:14">
      <c r="A929">
        <v>928</v>
      </c>
      <c r="B929">
        <v>33</v>
      </c>
      <c r="C929" t="s">
        <v>11</v>
      </c>
      <c r="D929" t="s">
        <v>12</v>
      </c>
      <c r="E929" t="s">
        <v>56</v>
      </c>
      <c r="F929">
        <v>130.37</v>
      </c>
      <c r="G929" t="s">
        <v>14</v>
      </c>
      <c r="H929" t="s">
        <v>15</v>
      </c>
      <c r="I929">
        <v>3.3</v>
      </c>
      <c r="J929">
        <v>6</v>
      </c>
      <c r="K929">
        <v>3</v>
      </c>
      <c r="L929" s="4">
        <v>138.69148936170214</v>
      </c>
      <c r="M929" s="4">
        <v>8.3214893617021346</v>
      </c>
      <c r="N929" t="s">
        <v>91</v>
      </c>
    </row>
    <row r="930" spans="1:14">
      <c r="A930">
        <v>929</v>
      </c>
      <c r="B930">
        <v>45</v>
      </c>
      <c r="C930" t="s">
        <v>11</v>
      </c>
      <c r="D930" t="s">
        <v>41</v>
      </c>
      <c r="E930" t="s">
        <v>45</v>
      </c>
      <c r="F930">
        <v>185.7</v>
      </c>
      <c r="G930" t="s">
        <v>14</v>
      </c>
      <c r="H930" t="s">
        <v>15</v>
      </c>
      <c r="I930">
        <v>2.8</v>
      </c>
      <c r="J930">
        <v>8</v>
      </c>
      <c r="K930">
        <v>4</v>
      </c>
      <c r="L930" s="4">
        <v>201.8478260869565</v>
      </c>
      <c r="M930" s="4">
        <v>16.147826086956513</v>
      </c>
      <c r="N930" t="s">
        <v>93</v>
      </c>
    </row>
    <row r="931" spans="1:14">
      <c r="A931">
        <v>930</v>
      </c>
      <c r="B931">
        <v>59</v>
      </c>
      <c r="C931" t="s">
        <v>16</v>
      </c>
      <c r="D931" t="s">
        <v>25</v>
      </c>
      <c r="E931" t="s">
        <v>26</v>
      </c>
      <c r="F931">
        <v>8.6999999999999993</v>
      </c>
      <c r="G931" t="s">
        <v>14</v>
      </c>
      <c r="H931" t="s">
        <v>37</v>
      </c>
      <c r="I931">
        <v>3.5</v>
      </c>
      <c r="J931">
        <v>32</v>
      </c>
      <c r="K931">
        <v>11</v>
      </c>
      <c r="L931" s="4">
        <v>12.794117647058824</v>
      </c>
      <c r="M931" s="4">
        <v>4.094117647058825</v>
      </c>
      <c r="N931" t="s">
        <v>94</v>
      </c>
    </row>
    <row r="932" spans="1:14">
      <c r="A932">
        <v>931</v>
      </c>
      <c r="B932">
        <v>43</v>
      </c>
      <c r="C932" t="s">
        <v>16</v>
      </c>
      <c r="D932" t="s">
        <v>27</v>
      </c>
      <c r="E932" t="s">
        <v>49</v>
      </c>
      <c r="F932">
        <v>2197.9899999999998</v>
      </c>
      <c r="G932" t="s">
        <v>31</v>
      </c>
      <c r="H932" t="s">
        <v>15</v>
      </c>
      <c r="I932">
        <v>4.0999999999999996</v>
      </c>
      <c r="J932">
        <v>10</v>
      </c>
      <c r="K932">
        <v>5</v>
      </c>
      <c r="L932" s="4">
        <v>2442.2111111111108</v>
      </c>
      <c r="M932" s="4">
        <v>244.22111111111099</v>
      </c>
      <c r="N932" t="s">
        <v>92</v>
      </c>
    </row>
    <row r="933" spans="1:14">
      <c r="A933">
        <v>932</v>
      </c>
      <c r="B933">
        <v>27</v>
      </c>
      <c r="C933" t="s">
        <v>16</v>
      </c>
      <c r="D933" t="s">
        <v>20</v>
      </c>
      <c r="E933" t="s">
        <v>36</v>
      </c>
      <c r="F933">
        <v>113.14</v>
      </c>
      <c r="G933" t="s">
        <v>31</v>
      </c>
      <c r="H933" t="s">
        <v>15</v>
      </c>
      <c r="I933">
        <v>4.4000000000000004</v>
      </c>
      <c r="J933">
        <v>10</v>
      </c>
      <c r="K933">
        <v>5</v>
      </c>
      <c r="L933" s="4">
        <v>125.71111111111111</v>
      </c>
      <c r="M933" s="4">
        <v>12.571111111111108</v>
      </c>
      <c r="N933" t="s">
        <v>91</v>
      </c>
    </row>
    <row r="934" spans="1:14">
      <c r="A934">
        <v>933</v>
      </c>
      <c r="B934">
        <v>53</v>
      </c>
      <c r="C934" t="s">
        <v>16</v>
      </c>
      <c r="D934" t="s">
        <v>33</v>
      </c>
      <c r="E934" t="s">
        <v>34</v>
      </c>
      <c r="F934">
        <v>223.47</v>
      </c>
      <c r="G934" t="s">
        <v>14</v>
      </c>
      <c r="H934" t="s">
        <v>15</v>
      </c>
      <c r="I934">
        <v>3.4</v>
      </c>
      <c r="J934">
        <v>8</v>
      </c>
      <c r="K934">
        <v>4</v>
      </c>
      <c r="L934" s="4">
        <v>242.90217391304347</v>
      </c>
      <c r="M934" s="4">
        <v>19.432173913043471</v>
      </c>
      <c r="N934" t="s">
        <v>93</v>
      </c>
    </row>
    <row r="935" spans="1:14">
      <c r="A935">
        <v>934</v>
      </c>
      <c r="B935">
        <v>60</v>
      </c>
      <c r="C935" t="s">
        <v>16</v>
      </c>
      <c r="D935" t="s">
        <v>20</v>
      </c>
      <c r="E935" t="s">
        <v>21</v>
      </c>
      <c r="F935">
        <v>203.1</v>
      </c>
      <c r="G935" t="s">
        <v>14</v>
      </c>
      <c r="H935" t="s">
        <v>15</v>
      </c>
      <c r="I935">
        <v>3.9</v>
      </c>
      <c r="J935">
        <v>10</v>
      </c>
      <c r="K935">
        <v>5</v>
      </c>
      <c r="L935" s="4">
        <v>225.66666666666666</v>
      </c>
      <c r="M935" s="4">
        <v>22.566666666666663</v>
      </c>
      <c r="N935" t="s">
        <v>94</v>
      </c>
    </row>
    <row r="936" spans="1:14">
      <c r="A936">
        <v>935</v>
      </c>
      <c r="B936">
        <v>42</v>
      </c>
      <c r="C936" t="s">
        <v>16</v>
      </c>
      <c r="D936" t="s">
        <v>17</v>
      </c>
      <c r="E936" t="s">
        <v>42</v>
      </c>
      <c r="F936">
        <v>85.93</v>
      </c>
      <c r="G936" t="s">
        <v>24</v>
      </c>
      <c r="H936" t="s">
        <v>15</v>
      </c>
      <c r="I936">
        <v>2.6</v>
      </c>
      <c r="J936">
        <v>22</v>
      </c>
      <c r="K936">
        <v>6</v>
      </c>
      <c r="L936" s="4">
        <v>110.16666666666667</v>
      </c>
      <c r="M936" s="4">
        <v>24.236666666666665</v>
      </c>
      <c r="N936" t="s">
        <v>92</v>
      </c>
    </row>
    <row r="937" spans="1:14">
      <c r="A937">
        <v>936</v>
      </c>
      <c r="B937">
        <v>43</v>
      </c>
      <c r="C937" t="s">
        <v>16</v>
      </c>
      <c r="D937" t="s">
        <v>27</v>
      </c>
      <c r="E937" t="s">
        <v>53</v>
      </c>
      <c r="F937">
        <v>622.05999999999995</v>
      </c>
      <c r="G937" t="s">
        <v>14</v>
      </c>
      <c r="H937" t="s">
        <v>15</v>
      </c>
      <c r="I937">
        <v>3.5</v>
      </c>
      <c r="J937">
        <v>20</v>
      </c>
      <c r="K937">
        <v>5</v>
      </c>
      <c r="L937" s="4">
        <v>777.57499999999993</v>
      </c>
      <c r="M937" s="4">
        <v>155.51499999999999</v>
      </c>
      <c r="N937" t="s">
        <v>92</v>
      </c>
    </row>
    <row r="938" spans="1:14">
      <c r="A938">
        <v>937</v>
      </c>
      <c r="B938">
        <v>62</v>
      </c>
      <c r="C938" t="s">
        <v>16</v>
      </c>
      <c r="D938" t="s">
        <v>22</v>
      </c>
      <c r="E938" t="s">
        <v>52</v>
      </c>
      <c r="F938">
        <v>136.93</v>
      </c>
      <c r="G938" t="s">
        <v>14</v>
      </c>
      <c r="H938" t="s">
        <v>15</v>
      </c>
      <c r="I938">
        <v>2</v>
      </c>
      <c r="J938">
        <v>12</v>
      </c>
      <c r="K938">
        <v>6</v>
      </c>
      <c r="L938" s="4">
        <v>155.60227272727275</v>
      </c>
      <c r="M938" s="4">
        <v>18.672272727272741</v>
      </c>
      <c r="N938" t="s">
        <v>94</v>
      </c>
    </row>
    <row r="939" spans="1:14">
      <c r="A939">
        <v>938</v>
      </c>
      <c r="B939">
        <v>52</v>
      </c>
      <c r="C939" t="s">
        <v>11</v>
      </c>
      <c r="D939" t="s">
        <v>22</v>
      </c>
      <c r="E939" t="s">
        <v>23</v>
      </c>
      <c r="F939">
        <v>287.12</v>
      </c>
      <c r="G939" t="s">
        <v>19</v>
      </c>
      <c r="H939" t="s">
        <v>15</v>
      </c>
      <c r="I939">
        <v>4.2</v>
      </c>
      <c r="J939">
        <v>28</v>
      </c>
      <c r="K939">
        <v>9</v>
      </c>
      <c r="L939" s="4">
        <v>398.77777777777777</v>
      </c>
      <c r="M939" s="4">
        <v>111.65777777777777</v>
      </c>
      <c r="N939" t="s">
        <v>93</v>
      </c>
    </row>
    <row r="940" spans="1:14">
      <c r="A940">
        <v>939</v>
      </c>
      <c r="B940">
        <v>70</v>
      </c>
      <c r="C940" t="s">
        <v>16</v>
      </c>
      <c r="D940" t="s">
        <v>33</v>
      </c>
      <c r="E940" t="s">
        <v>38</v>
      </c>
      <c r="F940">
        <v>223.82</v>
      </c>
      <c r="G940" t="s">
        <v>31</v>
      </c>
      <c r="H940" t="s">
        <v>15</v>
      </c>
      <c r="I940">
        <v>5</v>
      </c>
      <c r="J940">
        <v>9</v>
      </c>
      <c r="K940">
        <v>2</v>
      </c>
      <c r="L940" s="4">
        <v>245.95604395604394</v>
      </c>
      <c r="M940" s="4">
        <v>22.136043956043949</v>
      </c>
      <c r="N940" t="s">
        <v>95</v>
      </c>
    </row>
    <row r="941" spans="1:14">
      <c r="A941">
        <v>940</v>
      </c>
      <c r="B941">
        <v>69</v>
      </c>
      <c r="C941" t="s">
        <v>11</v>
      </c>
      <c r="D941" t="s">
        <v>25</v>
      </c>
      <c r="E941" t="s">
        <v>57</v>
      </c>
      <c r="F941">
        <v>52.06</v>
      </c>
      <c r="G941" t="s">
        <v>19</v>
      </c>
      <c r="H941" t="s">
        <v>15</v>
      </c>
      <c r="I941">
        <v>4.7</v>
      </c>
      <c r="J941">
        <v>20</v>
      </c>
      <c r="K941">
        <v>5</v>
      </c>
      <c r="L941" s="4">
        <v>65.075000000000003</v>
      </c>
      <c r="M941" s="4">
        <v>13.015000000000001</v>
      </c>
      <c r="N941" t="s">
        <v>95</v>
      </c>
    </row>
    <row r="942" spans="1:14">
      <c r="A942">
        <v>941</v>
      </c>
      <c r="B942">
        <v>38</v>
      </c>
      <c r="C942" t="s">
        <v>16</v>
      </c>
      <c r="D942" t="s">
        <v>22</v>
      </c>
      <c r="E942" t="s">
        <v>43</v>
      </c>
      <c r="F942">
        <v>230.54</v>
      </c>
      <c r="G942" t="s">
        <v>19</v>
      </c>
      <c r="H942" t="s">
        <v>15</v>
      </c>
      <c r="I942">
        <v>4.2</v>
      </c>
      <c r="J942">
        <v>16</v>
      </c>
      <c r="K942">
        <v>8</v>
      </c>
      <c r="L942" s="4">
        <v>274.45238095238096</v>
      </c>
      <c r="M942" s="4">
        <v>43.912380952380971</v>
      </c>
      <c r="N942" t="s">
        <v>92</v>
      </c>
    </row>
    <row r="943" spans="1:14">
      <c r="A943">
        <v>942</v>
      </c>
      <c r="B943">
        <v>64</v>
      </c>
      <c r="C943" t="s">
        <v>11</v>
      </c>
      <c r="D943" t="s">
        <v>12</v>
      </c>
      <c r="E943" t="s">
        <v>56</v>
      </c>
      <c r="F943">
        <v>146.22999999999999</v>
      </c>
      <c r="G943" t="s">
        <v>31</v>
      </c>
      <c r="H943" t="s">
        <v>15</v>
      </c>
      <c r="I943">
        <v>4</v>
      </c>
      <c r="J943">
        <v>14</v>
      </c>
      <c r="K943">
        <v>7</v>
      </c>
      <c r="L943" s="4">
        <v>170.03488372093022</v>
      </c>
      <c r="M943" s="4">
        <v>23.804883720930235</v>
      </c>
      <c r="N943" t="s">
        <v>94</v>
      </c>
    </row>
    <row r="944" spans="1:14">
      <c r="A944">
        <v>943</v>
      </c>
      <c r="B944">
        <v>43</v>
      </c>
      <c r="C944" t="s">
        <v>11</v>
      </c>
      <c r="D944" t="s">
        <v>41</v>
      </c>
      <c r="E944" t="s">
        <v>42</v>
      </c>
      <c r="F944">
        <v>84.02</v>
      </c>
      <c r="G944" t="s">
        <v>19</v>
      </c>
      <c r="H944" t="s">
        <v>37</v>
      </c>
      <c r="I944">
        <v>4</v>
      </c>
      <c r="J944">
        <v>8</v>
      </c>
      <c r="K944">
        <v>4</v>
      </c>
      <c r="L944" s="4">
        <v>91.326086956521735</v>
      </c>
      <c r="M944" s="4">
        <v>7.3060869565217388</v>
      </c>
      <c r="N944" t="s">
        <v>92</v>
      </c>
    </row>
    <row r="945" spans="1:14">
      <c r="A945">
        <v>944</v>
      </c>
      <c r="B945">
        <v>40</v>
      </c>
      <c r="C945" t="s">
        <v>16</v>
      </c>
      <c r="D945" t="s">
        <v>27</v>
      </c>
      <c r="E945" t="s">
        <v>49</v>
      </c>
      <c r="F945">
        <v>570.66</v>
      </c>
      <c r="G945" t="s">
        <v>24</v>
      </c>
      <c r="H945" t="s">
        <v>15</v>
      </c>
      <c r="I945">
        <v>3.7</v>
      </c>
      <c r="J945">
        <v>7</v>
      </c>
      <c r="K945">
        <v>1</v>
      </c>
      <c r="L945" s="4">
        <v>613.61290322580646</v>
      </c>
      <c r="M945" s="4">
        <v>42.952903225806494</v>
      </c>
      <c r="N945" t="s">
        <v>92</v>
      </c>
    </row>
    <row r="946" spans="1:14">
      <c r="A946">
        <v>945</v>
      </c>
      <c r="B946">
        <v>59</v>
      </c>
      <c r="C946" t="s">
        <v>16</v>
      </c>
      <c r="D946" t="s">
        <v>33</v>
      </c>
      <c r="E946" t="s">
        <v>38</v>
      </c>
      <c r="F946">
        <v>208.68</v>
      </c>
      <c r="G946" t="s">
        <v>24</v>
      </c>
      <c r="H946" t="s">
        <v>15</v>
      </c>
      <c r="I946">
        <v>2.9</v>
      </c>
      <c r="J946">
        <v>22</v>
      </c>
      <c r="K946">
        <v>6</v>
      </c>
      <c r="L946" s="4">
        <v>267.53846153846155</v>
      </c>
      <c r="M946" s="4">
        <v>58.85846153846154</v>
      </c>
      <c r="N946" t="s">
        <v>94</v>
      </c>
    </row>
    <row r="947" spans="1:14">
      <c r="A947">
        <v>946</v>
      </c>
      <c r="B947">
        <v>55</v>
      </c>
      <c r="C947" t="s">
        <v>16</v>
      </c>
      <c r="D947" t="s">
        <v>17</v>
      </c>
      <c r="E947" t="s">
        <v>18</v>
      </c>
      <c r="F947">
        <v>105.92</v>
      </c>
      <c r="G947" t="s">
        <v>19</v>
      </c>
      <c r="H947" t="s">
        <v>15</v>
      </c>
      <c r="I947">
        <v>4</v>
      </c>
      <c r="J947">
        <v>14</v>
      </c>
      <c r="K947">
        <v>2</v>
      </c>
      <c r="L947" s="4">
        <v>123.16279069767442</v>
      </c>
      <c r="M947" s="4">
        <v>17.242790697674423</v>
      </c>
      <c r="N947" t="s">
        <v>94</v>
      </c>
    </row>
    <row r="948" spans="1:14">
      <c r="A948">
        <v>947</v>
      </c>
      <c r="B948">
        <v>67</v>
      </c>
      <c r="C948" t="s">
        <v>16</v>
      </c>
      <c r="D948" t="s">
        <v>27</v>
      </c>
      <c r="E948" t="s">
        <v>32</v>
      </c>
      <c r="F948">
        <v>594.99</v>
      </c>
      <c r="G948" t="s">
        <v>24</v>
      </c>
      <c r="H948" t="s">
        <v>15</v>
      </c>
      <c r="I948">
        <v>4.7</v>
      </c>
      <c r="J948">
        <v>15</v>
      </c>
      <c r="K948">
        <v>5</v>
      </c>
      <c r="L948" s="4">
        <v>699.98823529411766</v>
      </c>
      <c r="M948" s="4">
        <v>104.99823529411765</v>
      </c>
      <c r="N948" t="s">
        <v>95</v>
      </c>
    </row>
    <row r="949" spans="1:14">
      <c r="A949">
        <v>948</v>
      </c>
      <c r="B949">
        <v>48</v>
      </c>
      <c r="C949" t="s">
        <v>16</v>
      </c>
      <c r="D949" t="s">
        <v>20</v>
      </c>
      <c r="E949" t="s">
        <v>21</v>
      </c>
      <c r="F949">
        <v>122.6</v>
      </c>
      <c r="G949" t="s">
        <v>19</v>
      </c>
      <c r="H949" t="s">
        <v>15</v>
      </c>
      <c r="I949">
        <v>3.6</v>
      </c>
      <c r="J949">
        <v>14</v>
      </c>
      <c r="K949">
        <v>7</v>
      </c>
      <c r="L949" s="4">
        <v>142.55813953488371</v>
      </c>
      <c r="M949" s="4">
        <v>19.958139534883713</v>
      </c>
      <c r="N949" t="s">
        <v>93</v>
      </c>
    </row>
    <row r="950" spans="1:14">
      <c r="A950">
        <v>949</v>
      </c>
      <c r="B950">
        <v>62</v>
      </c>
      <c r="C950" t="s">
        <v>11</v>
      </c>
      <c r="D950" t="s">
        <v>29</v>
      </c>
      <c r="E950" t="s">
        <v>55</v>
      </c>
      <c r="F950">
        <v>105.62</v>
      </c>
      <c r="G950" t="s">
        <v>24</v>
      </c>
      <c r="H950" t="s">
        <v>15</v>
      </c>
      <c r="I950">
        <v>3.6</v>
      </c>
      <c r="J950">
        <v>29</v>
      </c>
      <c r="K950">
        <v>12</v>
      </c>
      <c r="L950" s="4">
        <v>148.7605633802817</v>
      </c>
      <c r="M950" s="4">
        <v>43.140563380281691</v>
      </c>
      <c r="N950" t="s">
        <v>94</v>
      </c>
    </row>
    <row r="951" spans="1:14">
      <c r="A951">
        <v>950</v>
      </c>
      <c r="B951">
        <v>57</v>
      </c>
      <c r="C951" t="s">
        <v>11</v>
      </c>
      <c r="D951" t="s">
        <v>22</v>
      </c>
      <c r="E951" t="s">
        <v>23</v>
      </c>
      <c r="F951">
        <v>57.08</v>
      </c>
      <c r="G951" t="s">
        <v>24</v>
      </c>
      <c r="H951" t="s">
        <v>37</v>
      </c>
      <c r="I951">
        <v>3.9</v>
      </c>
      <c r="J951">
        <v>10</v>
      </c>
      <c r="K951">
        <v>5</v>
      </c>
      <c r="L951" s="4">
        <v>63.422222222222217</v>
      </c>
      <c r="M951" s="4">
        <v>6.3422222222222189</v>
      </c>
      <c r="N951" t="s">
        <v>94</v>
      </c>
    </row>
    <row r="952" spans="1:14">
      <c r="A952">
        <v>951</v>
      </c>
      <c r="B952">
        <v>44</v>
      </c>
      <c r="C952" t="s">
        <v>16</v>
      </c>
      <c r="D952" t="s">
        <v>22</v>
      </c>
      <c r="E952" t="s">
        <v>43</v>
      </c>
      <c r="F952">
        <v>157.74</v>
      </c>
      <c r="G952" t="s">
        <v>24</v>
      </c>
      <c r="H952" t="s">
        <v>15</v>
      </c>
      <c r="I952">
        <v>3.3</v>
      </c>
      <c r="J952">
        <v>17</v>
      </c>
      <c r="K952">
        <v>6</v>
      </c>
      <c r="L952" s="4">
        <v>190.04819277108436</v>
      </c>
      <c r="M952" s="4">
        <v>32.30819277108435</v>
      </c>
      <c r="N952" t="s">
        <v>92</v>
      </c>
    </row>
    <row r="953" spans="1:14">
      <c r="A953">
        <v>952</v>
      </c>
      <c r="B953">
        <v>25</v>
      </c>
      <c r="C953" t="s">
        <v>16</v>
      </c>
      <c r="D953" t="s">
        <v>25</v>
      </c>
      <c r="E953" t="s">
        <v>26</v>
      </c>
      <c r="F953">
        <v>77.760000000000005</v>
      </c>
      <c r="G953" t="s">
        <v>31</v>
      </c>
      <c r="H953" t="s">
        <v>15</v>
      </c>
      <c r="I953">
        <v>4.3</v>
      </c>
      <c r="J953">
        <v>27</v>
      </c>
      <c r="K953">
        <v>11</v>
      </c>
      <c r="L953" s="4">
        <v>106.52054794520549</v>
      </c>
      <c r="M953" s="4">
        <v>28.760547945205488</v>
      </c>
      <c r="N953" t="s">
        <v>91</v>
      </c>
    </row>
    <row r="954" spans="1:14">
      <c r="A954">
        <v>953</v>
      </c>
      <c r="B954">
        <v>48</v>
      </c>
      <c r="C954" t="s">
        <v>11</v>
      </c>
      <c r="D954" t="s">
        <v>22</v>
      </c>
      <c r="E954" t="s">
        <v>23</v>
      </c>
      <c r="F954">
        <v>243.65</v>
      </c>
      <c r="G954" t="s">
        <v>14</v>
      </c>
      <c r="H954" t="s">
        <v>15</v>
      </c>
      <c r="I954">
        <v>4.8</v>
      </c>
      <c r="J954">
        <v>15</v>
      </c>
      <c r="K954">
        <v>5</v>
      </c>
      <c r="L954" s="4">
        <v>286.64705882352945</v>
      </c>
      <c r="M954" s="4">
        <v>42.997058823529443</v>
      </c>
      <c r="N954" t="s">
        <v>93</v>
      </c>
    </row>
    <row r="955" spans="1:14">
      <c r="A955">
        <v>954</v>
      </c>
      <c r="B955">
        <v>28</v>
      </c>
      <c r="C955" t="s">
        <v>16</v>
      </c>
      <c r="D955" t="s">
        <v>20</v>
      </c>
      <c r="E955" t="s">
        <v>39</v>
      </c>
      <c r="F955">
        <v>73.599999999999994</v>
      </c>
      <c r="G955" t="s">
        <v>19</v>
      </c>
      <c r="H955" t="s">
        <v>15</v>
      </c>
      <c r="I955">
        <v>3.3</v>
      </c>
      <c r="J955">
        <v>14</v>
      </c>
      <c r="K955">
        <v>7</v>
      </c>
      <c r="L955" s="4">
        <v>85.581395348837205</v>
      </c>
      <c r="M955" s="4">
        <v>11.981395348837211</v>
      </c>
      <c r="N955" t="s">
        <v>91</v>
      </c>
    </row>
    <row r="956" spans="1:14">
      <c r="A956">
        <v>955</v>
      </c>
      <c r="B956">
        <v>51</v>
      </c>
      <c r="C956" t="s">
        <v>11</v>
      </c>
      <c r="D956" t="s">
        <v>33</v>
      </c>
      <c r="E956" t="s">
        <v>34</v>
      </c>
      <c r="F956">
        <v>187.41</v>
      </c>
      <c r="G956" t="s">
        <v>19</v>
      </c>
      <c r="H956" t="s">
        <v>15</v>
      </c>
      <c r="I956">
        <v>4.4000000000000004</v>
      </c>
      <c r="J956">
        <v>20</v>
      </c>
      <c r="K956">
        <v>5</v>
      </c>
      <c r="L956" s="4">
        <v>234.26249999999999</v>
      </c>
      <c r="M956" s="4">
        <v>46.852499999999992</v>
      </c>
      <c r="N956" t="s">
        <v>93</v>
      </c>
    </row>
    <row r="957" spans="1:14">
      <c r="A957">
        <v>956</v>
      </c>
      <c r="B957">
        <v>46</v>
      </c>
      <c r="C957" t="s">
        <v>11</v>
      </c>
      <c r="D957" t="s">
        <v>33</v>
      </c>
      <c r="E957" t="s">
        <v>40</v>
      </c>
      <c r="F957">
        <v>191.13</v>
      </c>
      <c r="G957" t="s">
        <v>19</v>
      </c>
      <c r="H957" t="s">
        <v>15</v>
      </c>
      <c r="I957">
        <v>3.9</v>
      </c>
      <c r="J957">
        <v>12</v>
      </c>
      <c r="K957">
        <v>6</v>
      </c>
      <c r="L957" s="4">
        <v>217.19318181818181</v>
      </c>
      <c r="M957" s="4">
        <v>26.063181818181818</v>
      </c>
      <c r="N957" t="s">
        <v>93</v>
      </c>
    </row>
    <row r="958" spans="1:14">
      <c r="A958">
        <v>957</v>
      </c>
      <c r="B958">
        <v>24</v>
      </c>
      <c r="C958" t="s">
        <v>16</v>
      </c>
      <c r="D958" t="s">
        <v>27</v>
      </c>
      <c r="E958" t="s">
        <v>32</v>
      </c>
      <c r="F958">
        <v>2923.37</v>
      </c>
      <c r="G958" t="s">
        <v>24</v>
      </c>
      <c r="H958" t="s">
        <v>15</v>
      </c>
      <c r="I958">
        <v>3.5</v>
      </c>
      <c r="J958">
        <v>15</v>
      </c>
      <c r="K958">
        <v>5</v>
      </c>
      <c r="L958" s="4">
        <v>3439.2588235294115</v>
      </c>
      <c r="M958" s="4">
        <v>515.88882352941164</v>
      </c>
      <c r="N958" t="s">
        <v>100</v>
      </c>
    </row>
    <row r="959" spans="1:14">
      <c r="A959">
        <v>958</v>
      </c>
      <c r="B959">
        <v>66</v>
      </c>
      <c r="C959" t="s">
        <v>11</v>
      </c>
      <c r="D959" t="s">
        <v>25</v>
      </c>
      <c r="E959" t="s">
        <v>26</v>
      </c>
      <c r="F959">
        <v>56.64</v>
      </c>
      <c r="G959" t="s">
        <v>31</v>
      </c>
      <c r="H959" t="s">
        <v>37</v>
      </c>
      <c r="I959">
        <v>4</v>
      </c>
      <c r="J959">
        <v>18</v>
      </c>
      <c r="K959">
        <v>9</v>
      </c>
      <c r="L959" s="4">
        <v>69.073170731707307</v>
      </c>
      <c r="M959" s="4">
        <v>12.433170731707307</v>
      </c>
      <c r="N959" t="s">
        <v>95</v>
      </c>
    </row>
    <row r="960" spans="1:14">
      <c r="A960">
        <v>959</v>
      </c>
      <c r="B960">
        <v>47</v>
      </c>
      <c r="C960" t="s">
        <v>16</v>
      </c>
      <c r="D960" t="s">
        <v>25</v>
      </c>
      <c r="E960" t="s">
        <v>54</v>
      </c>
      <c r="F960">
        <v>54.21</v>
      </c>
      <c r="G960" t="s">
        <v>31</v>
      </c>
      <c r="H960" t="s">
        <v>37</v>
      </c>
      <c r="I960">
        <v>3.7</v>
      </c>
      <c r="J960">
        <v>15</v>
      </c>
      <c r="K960">
        <v>5</v>
      </c>
      <c r="L960" s="4">
        <v>63.776470588235298</v>
      </c>
      <c r="M960" s="4">
        <v>9.5664705882352976</v>
      </c>
      <c r="N960" t="s">
        <v>93</v>
      </c>
    </row>
    <row r="961" spans="1:14">
      <c r="A961">
        <v>960</v>
      </c>
      <c r="B961">
        <v>60</v>
      </c>
      <c r="C961" t="s">
        <v>11</v>
      </c>
      <c r="D961" t="s">
        <v>12</v>
      </c>
      <c r="E961" t="s">
        <v>13</v>
      </c>
      <c r="F961">
        <v>117.39</v>
      </c>
      <c r="G961" t="s">
        <v>31</v>
      </c>
      <c r="H961" t="s">
        <v>15</v>
      </c>
      <c r="I961">
        <v>2.9</v>
      </c>
      <c r="J961">
        <v>10</v>
      </c>
      <c r="K961">
        <v>5</v>
      </c>
      <c r="L961" s="4">
        <v>130.43333333333334</v>
      </c>
      <c r="M961" s="4">
        <v>13.043333333333337</v>
      </c>
      <c r="N961" t="s">
        <v>94</v>
      </c>
    </row>
    <row r="962" spans="1:14">
      <c r="A962">
        <v>961</v>
      </c>
      <c r="B962">
        <v>40</v>
      </c>
      <c r="C962" t="s">
        <v>11</v>
      </c>
      <c r="D962" t="s">
        <v>33</v>
      </c>
      <c r="E962" t="s">
        <v>40</v>
      </c>
      <c r="F962">
        <v>197.69</v>
      </c>
      <c r="G962" t="s">
        <v>24</v>
      </c>
      <c r="H962" t="s">
        <v>15</v>
      </c>
      <c r="I962">
        <v>1.8</v>
      </c>
      <c r="J962">
        <v>20</v>
      </c>
      <c r="K962">
        <v>5</v>
      </c>
      <c r="L962" s="4">
        <v>247.11249999999998</v>
      </c>
      <c r="M962" s="4">
        <v>49.422499999999985</v>
      </c>
      <c r="N962" t="s">
        <v>92</v>
      </c>
    </row>
    <row r="963" spans="1:14">
      <c r="A963">
        <v>962</v>
      </c>
      <c r="B963">
        <v>47</v>
      </c>
      <c r="C963" t="s">
        <v>16</v>
      </c>
      <c r="D963" t="s">
        <v>20</v>
      </c>
      <c r="E963" t="s">
        <v>21</v>
      </c>
      <c r="F963">
        <v>178.62</v>
      </c>
      <c r="G963" t="s">
        <v>24</v>
      </c>
      <c r="H963" t="s">
        <v>15</v>
      </c>
      <c r="I963">
        <v>3.3</v>
      </c>
      <c r="J963">
        <v>16</v>
      </c>
      <c r="K963">
        <v>8</v>
      </c>
      <c r="L963" s="4">
        <v>212.64285714285717</v>
      </c>
      <c r="M963" s="4">
        <v>34.022857142857163</v>
      </c>
      <c r="N963" t="s">
        <v>93</v>
      </c>
    </row>
    <row r="964" spans="1:14">
      <c r="A964">
        <v>963</v>
      </c>
      <c r="B964">
        <v>54</v>
      </c>
      <c r="C964" t="s">
        <v>16</v>
      </c>
      <c r="D964" t="s">
        <v>17</v>
      </c>
      <c r="E964" t="s">
        <v>42</v>
      </c>
      <c r="F964">
        <v>199.78</v>
      </c>
      <c r="G964" t="s">
        <v>14</v>
      </c>
      <c r="H964" t="s">
        <v>15</v>
      </c>
      <c r="I964">
        <v>3</v>
      </c>
      <c r="J964">
        <v>2</v>
      </c>
      <c r="K964">
        <v>1</v>
      </c>
      <c r="L964" s="4">
        <v>203.85714285714286</v>
      </c>
      <c r="M964" s="4">
        <v>4.0771428571428601</v>
      </c>
      <c r="N964" t="s">
        <v>93</v>
      </c>
    </row>
    <row r="965" spans="1:14">
      <c r="A965">
        <v>964</v>
      </c>
      <c r="B965">
        <v>31</v>
      </c>
      <c r="C965" t="s">
        <v>16</v>
      </c>
      <c r="D965" t="s">
        <v>20</v>
      </c>
      <c r="E965" t="s">
        <v>36</v>
      </c>
      <c r="F965">
        <v>243.71</v>
      </c>
      <c r="G965" t="s">
        <v>24</v>
      </c>
      <c r="H965" t="s">
        <v>15</v>
      </c>
      <c r="I965">
        <v>3.8</v>
      </c>
      <c r="J965">
        <v>4</v>
      </c>
      <c r="K965">
        <v>2</v>
      </c>
      <c r="L965" s="4">
        <v>253.86458333333334</v>
      </c>
      <c r="M965" s="4">
        <v>10.154583333333335</v>
      </c>
      <c r="N965" t="s">
        <v>91</v>
      </c>
    </row>
    <row r="966" spans="1:14">
      <c r="A966">
        <v>965</v>
      </c>
      <c r="B966">
        <v>37</v>
      </c>
      <c r="C966" t="s">
        <v>16</v>
      </c>
      <c r="D966" t="s">
        <v>27</v>
      </c>
      <c r="E966" t="s">
        <v>49</v>
      </c>
      <c r="F966">
        <v>2839.22</v>
      </c>
      <c r="G966" t="s">
        <v>31</v>
      </c>
      <c r="H966" t="s">
        <v>15</v>
      </c>
      <c r="I966">
        <v>3.9</v>
      </c>
      <c r="J966">
        <v>16</v>
      </c>
      <c r="K966">
        <v>8</v>
      </c>
      <c r="L966" s="4">
        <v>3380.0238095238096</v>
      </c>
      <c r="M966" s="4">
        <v>540.80380952380983</v>
      </c>
      <c r="N966" t="s">
        <v>92</v>
      </c>
    </row>
    <row r="967" spans="1:14">
      <c r="A967">
        <v>966</v>
      </c>
      <c r="B967">
        <v>55</v>
      </c>
      <c r="C967" t="s">
        <v>11</v>
      </c>
      <c r="D967" t="s">
        <v>33</v>
      </c>
      <c r="E967" t="s">
        <v>34</v>
      </c>
      <c r="F967">
        <v>103.82</v>
      </c>
      <c r="G967" t="s">
        <v>14</v>
      </c>
      <c r="H967" t="s">
        <v>15</v>
      </c>
      <c r="I967">
        <v>4.5</v>
      </c>
      <c r="J967">
        <v>16</v>
      </c>
      <c r="K967">
        <v>3</v>
      </c>
      <c r="L967" s="4">
        <v>123.59523809523809</v>
      </c>
      <c r="M967" s="4">
        <v>19.775238095238095</v>
      </c>
      <c r="N967" t="s">
        <v>94</v>
      </c>
    </row>
    <row r="968" spans="1:14">
      <c r="A968">
        <v>967</v>
      </c>
      <c r="B968">
        <v>60</v>
      </c>
      <c r="C968" t="s">
        <v>11</v>
      </c>
      <c r="D968" t="s">
        <v>12</v>
      </c>
      <c r="E968" t="s">
        <v>13</v>
      </c>
      <c r="F968">
        <v>131.19</v>
      </c>
      <c r="G968" t="s">
        <v>14</v>
      </c>
      <c r="H968" t="s">
        <v>15</v>
      </c>
      <c r="I968">
        <v>3.8</v>
      </c>
      <c r="J968">
        <v>6</v>
      </c>
      <c r="K968">
        <v>3</v>
      </c>
      <c r="L968" s="4">
        <v>139.56382978723406</v>
      </c>
      <c r="M968" s="4">
        <v>8.3738297872340581</v>
      </c>
      <c r="N968" t="s">
        <v>94</v>
      </c>
    </row>
    <row r="969" spans="1:14">
      <c r="A969">
        <v>968</v>
      </c>
      <c r="B969">
        <v>52</v>
      </c>
      <c r="C969" t="s">
        <v>16</v>
      </c>
      <c r="D969" t="s">
        <v>17</v>
      </c>
      <c r="E969" t="s">
        <v>48</v>
      </c>
      <c r="F969">
        <v>194.91</v>
      </c>
      <c r="G969" t="s">
        <v>31</v>
      </c>
      <c r="H969" t="s">
        <v>15</v>
      </c>
      <c r="I969">
        <v>4.9000000000000004</v>
      </c>
      <c r="J969">
        <v>23</v>
      </c>
      <c r="K969">
        <v>9</v>
      </c>
      <c r="L969" s="4">
        <v>253.12987012987011</v>
      </c>
      <c r="M969" s="4">
        <v>58.219870129870117</v>
      </c>
      <c r="N969" t="s">
        <v>93</v>
      </c>
    </row>
    <row r="970" spans="1:14">
      <c r="A970">
        <v>969</v>
      </c>
      <c r="B970">
        <v>48</v>
      </c>
      <c r="C970" t="s">
        <v>16</v>
      </c>
      <c r="D970" t="s">
        <v>33</v>
      </c>
      <c r="E970" t="s">
        <v>34</v>
      </c>
      <c r="F970">
        <v>113.38</v>
      </c>
      <c r="G970" t="s">
        <v>19</v>
      </c>
      <c r="H970" t="s">
        <v>15</v>
      </c>
      <c r="I970">
        <v>2.6</v>
      </c>
      <c r="J970">
        <v>11</v>
      </c>
      <c r="K970">
        <v>3</v>
      </c>
      <c r="L970" s="4">
        <v>127.39325842696628</v>
      </c>
      <c r="M970" s="4">
        <v>14.013258426966289</v>
      </c>
      <c r="N970" t="s">
        <v>93</v>
      </c>
    </row>
    <row r="971" spans="1:14">
      <c r="A971">
        <v>970</v>
      </c>
      <c r="B971">
        <v>55</v>
      </c>
      <c r="C971" t="s">
        <v>11</v>
      </c>
      <c r="D971" t="s">
        <v>33</v>
      </c>
      <c r="E971" t="s">
        <v>34</v>
      </c>
      <c r="F971">
        <v>122.62</v>
      </c>
      <c r="G971" t="s">
        <v>19</v>
      </c>
      <c r="H971" t="s">
        <v>15</v>
      </c>
      <c r="I971">
        <v>2.7</v>
      </c>
      <c r="J971">
        <v>13</v>
      </c>
      <c r="K971">
        <v>4</v>
      </c>
      <c r="L971" s="4">
        <v>140.94252873563218</v>
      </c>
      <c r="M971" s="4">
        <v>18.322528735632176</v>
      </c>
      <c r="N971" t="s">
        <v>94</v>
      </c>
    </row>
    <row r="972" spans="1:14">
      <c r="A972">
        <v>971</v>
      </c>
      <c r="B972">
        <v>39</v>
      </c>
      <c r="C972" t="s">
        <v>11</v>
      </c>
      <c r="D972" t="s">
        <v>29</v>
      </c>
      <c r="E972" t="s">
        <v>55</v>
      </c>
      <c r="F972">
        <v>126.77</v>
      </c>
      <c r="G972" t="s">
        <v>19</v>
      </c>
      <c r="H972" t="s">
        <v>15</v>
      </c>
      <c r="I972">
        <v>3.7</v>
      </c>
      <c r="J972">
        <v>24</v>
      </c>
      <c r="K972">
        <v>7</v>
      </c>
      <c r="L972" s="4">
        <v>166.80263157894737</v>
      </c>
      <c r="M972" s="4">
        <v>40.032631578947374</v>
      </c>
      <c r="N972" t="s">
        <v>92</v>
      </c>
    </row>
    <row r="973" spans="1:14">
      <c r="A973">
        <v>972</v>
      </c>
      <c r="B973">
        <v>56</v>
      </c>
      <c r="C973" t="s">
        <v>16</v>
      </c>
      <c r="D973" t="s">
        <v>33</v>
      </c>
      <c r="E973" t="s">
        <v>38</v>
      </c>
      <c r="F973">
        <v>247.66</v>
      </c>
      <c r="G973" t="s">
        <v>24</v>
      </c>
      <c r="H973" t="s">
        <v>15</v>
      </c>
      <c r="I973">
        <v>4.5</v>
      </c>
      <c r="J973">
        <v>22</v>
      </c>
      <c r="K973">
        <v>6</v>
      </c>
      <c r="L973" s="4">
        <v>317.5128205128205</v>
      </c>
      <c r="M973" s="4">
        <v>69.8528205128205</v>
      </c>
      <c r="N973" t="s">
        <v>94</v>
      </c>
    </row>
    <row r="974" spans="1:14">
      <c r="A974">
        <v>973</v>
      </c>
      <c r="B974">
        <v>55</v>
      </c>
      <c r="C974" t="s">
        <v>16</v>
      </c>
      <c r="D974" t="s">
        <v>20</v>
      </c>
      <c r="E974" t="s">
        <v>39</v>
      </c>
      <c r="F974">
        <v>245.63</v>
      </c>
      <c r="G974" t="s">
        <v>24</v>
      </c>
      <c r="H974" t="s">
        <v>15</v>
      </c>
      <c r="I974">
        <v>4</v>
      </c>
      <c r="J974">
        <v>15</v>
      </c>
      <c r="K974">
        <v>5</v>
      </c>
      <c r="L974" s="4">
        <v>288.97647058823532</v>
      </c>
      <c r="M974" s="4">
        <v>43.34647058823532</v>
      </c>
      <c r="N974" t="s">
        <v>94</v>
      </c>
    </row>
    <row r="975" spans="1:14">
      <c r="A975">
        <v>974</v>
      </c>
      <c r="B975">
        <v>59</v>
      </c>
      <c r="C975" t="s">
        <v>16</v>
      </c>
      <c r="D975" t="s">
        <v>20</v>
      </c>
      <c r="E975" t="s">
        <v>21</v>
      </c>
      <c r="F975">
        <v>42.7</v>
      </c>
      <c r="G975" t="s">
        <v>24</v>
      </c>
      <c r="H975" t="s">
        <v>15</v>
      </c>
      <c r="I975">
        <v>2.9</v>
      </c>
      <c r="J975">
        <v>8</v>
      </c>
      <c r="K975">
        <v>4</v>
      </c>
      <c r="L975" s="4">
        <v>46.413043478260867</v>
      </c>
      <c r="M975" s="4">
        <v>3.7130434782608646</v>
      </c>
      <c r="N975" t="s">
        <v>94</v>
      </c>
    </row>
    <row r="976" spans="1:14">
      <c r="A976">
        <v>975</v>
      </c>
      <c r="B976">
        <v>32</v>
      </c>
      <c r="C976" t="s">
        <v>11</v>
      </c>
      <c r="D976" t="s">
        <v>20</v>
      </c>
      <c r="E976" t="s">
        <v>21</v>
      </c>
      <c r="F976">
        <v>143.21</v>
      </c>
      <c r="G976" t="s">
        <v>24</v>
      </c>
      <c r="H976" t="s">
        <v>15</v>
      </c>
      <c r="I976">
        <v>3.4</v>
      </c>
      <c r="J976">
        <v>22</v>
      </c>
      <c r="K976">
        <v>6</v>
      </c>
      <c r="L976" s="4">
        <v>183.60256410256412</v>
      </c>
      <c r="M976" s="4">
        <v>40.392564102564108</v>
      </c>
      <c r="N976" t="s">
        <v>91</v>
      </c>
    </row>
    <row r="977" spans="1:14">
      <c r="A977">
        <v>976</v>
      </c>
      <c r="B977">
        <v>20</v>
      </c>
      <c r="C977" t="s">
        <v>16</v>
      </c>
      <c r="D977" t="s">
        <v>17</v>
      </c>
      <c r="E977" t="s">
        <v>35</v>
      </c>
      <c r="F977">
        <v>182.98</v>
      </c>
      <c r="G977" t="s">
        <v>14</v>
      </c>
      <c r="H977" t="s">
        <v>15</v>
      </c>
      <c r="I977">
        <v>4.5</v>
      </c>
      <c r="J977">
        <v>20</v>
      </c>
      <c r="K977">
        <v>5</v>
      </c>
      <c r="L977" s="4">
        <v>228.72499999999997</v>
      </c>
      <c r="M977" s="4">
        <v>45.744999999999976</v>
      </c>
      <c r="N977" t="s">
        <v>100</v>
      </c>
    </row>
    <row r="978" spans="1:14">
      <c r="A978">
        <v>977</v>
      </c>
      <c r="B978">
        <v>50</v>
      </c>
      <c r="C978" t="s">
        <v>16</v>
      </c>
      <c r="D978" t="s">
        <v>27</v>
      </c>
      <c r="E978" t="s">
        <v>49</v>
      </c>
      <c r="F978">
        <v>1854.1</v>
      </c>
      <c r="G978" t="s">
        <v>14</v>
      </c>
      <c r="H978" t="s">
        <v>15</v>
      </c>
      <c r="I978">
        <v>4.2</v>
      </c>
      <c r="J978">
        <v>12</v>
      </c>
      <c r="K978">
        <v>6</v>
      </c>
      <c r="L978" s="4">
        <v>2106.931818181818</v>
      </c>
      <c r="M978" s="4">
        <v>252.83181818181811</v>
      </c>
      <c r="N978" t="s">
        <v>93</v>
      </c>
    </row>
    <row r="979" spans="1:14">
      <c r="A979">
        <v>978</v>
      </c>
      <c r="B979">
        <v>32</v>
      </c>
      <c r="C979" t="s">
        <v>16</v>
      </c>
      <c r="D979" t="s">
        <v>33</v>
      </c>
      <c r="E979" t="s">
        <v>34</v>
      </c>
      <c r="F979">
        <v>122.08</v>
      </c>
      <c r="G979" t="s">
        <v>14</v>
      </c>
      <c r="H979" t="s">
        <v>15</v>
      </c>
      <c r="I979">
        <v>3.4</v>
      </c>
      <c r="J979">
        <v>18</v>
      </c>
      <c r="K979">
        <v>4</v>
      </c>
      <c r="L979" s="4">
        <v>148.8780487804878</v>
      </c>
      <c r="M979" s="4">
        <v>26.798048780487804</v>
      </c>
      <c r="N979" t="s">
        <v>91</v>
      </c>
    </row>
    <row r="980" spans="1:14">
      <c r="A980">
        <v>979</v>
      </c>
      <c r="B980">
        <v>52</v>
      </c>
      <c r="C980" t="s">
        <v>11</v>
      </c>
      <c r="D980" t="s">
        <v>12</v>
      </c>
      <c r="E980" t="s">
        <v>56</v>
      </c>
      <c r="F980">
        <v>81.599999999999994</v>
      </c>
      <c r="G980" t="s">
        <v>14</v>
      </c>
      <c r="H980" t="s">
        <v>15</v>
      </c>
      <c r="I980">
        <v>4.3</v>
      </c>
      <c r="J980">
        <v>22</v>
      </c>
      <c r="K980">
        <v>6</v>
      </c>
      <c r="L980" s="4">
        <v>104.6153846153846</v>
      </c>
      <c r="M980" s="4">
        <v>23.015384615384605</v>
      </c>
      <c r="N980" t="s">
        <v>93</v>
      </c>
    </row>
    <row r="981" spans="1:14">
      <c r="A981">
        <v>980</v>
      </c>
      <c r="B981">
        <v>20</v>
      </c>
      <c r="C981" t="s">
        <v>11</v>
      </c>
      <c r="D981" t="s">
        <v>33</v>
      </c>
      <c r="E981" t="s">
        <v>40</v>
      </c>
      <c r="F981">
        <v>191.41</v>
      </c>
      <c r="G981" t="s">
        <v>24</v>
      </c>
      <c r="H981" t="s">
        <v>15</v>
      </c>
      <c r="I981">
        <v>3.6</v>
      </c>
      <c r="J981">
        <v>15</v>
      </c>
      <c r="K981">
        <v>5</v>
      </c>
      <c r="L981" s="4">
        <v>225.18823529411765</v>
      </c>
      <c r="M981" s="4">
        <v>33.77823529411765</v>
      </c>
      <c r="N981" t="s">
        <v>100</v>
      </c>
    </row>
    <row r="982" spans="1:14">
      <c r="A982">
        <v>981</v>
      </c>
      <c r="B982">
        <v>24</v>
      </c>
      <c r="C982" t="s">
        <v>16</v>
      </c>
      <c r="D982" t="s">
        <v>20</v>
      </c>
      <c r="E982" t="s">
        <v>36</v>
      </c>
      <c r="F982">
        <v>31.49</v>
      </c>
      <c r="G982" t="s">
        <v>24</v>
      </c>
      <c r="H982" t="s">
        <v>15</v>
      </c>
      <c r="I982">
        <v>3.5</v>
      </c>
      <c r="J982">
        <v>16</v>
      </c>
      <c r="K982">
        <v>3</v>
      </c>
      <c r="L982" s="4">
        <v>37.488095238095241</v>
      </c>
      <c r="M982" s="4">
        <v>5.9980952380952424</v>
      </c>
      <c r="N982" t="s">
        <v>100</v>
      </c>
    </row>
    <row r="983" spans="1:14">
      <c r="A983">
        <v>982</v>
      </c>
      <c r="B983">
        <v>28</v>
      </c>
      <c r="C983" t="s">
        <v>11</v>
      </c>
      <c r="D983" t="s">
        <v>33</v>
      </c>
      <c r="E983" t="s">
        <v>40</v>
      </c>
      <c r="F983">
        <v>50.93</v>
      </c>
      <c r="G983" t="s">
        <v>14</v>
      </c>
      <c r="H983" t="s">
        <v>37</v>
      </c>
      <c r="I983">
        <v>4.3</v>
      </c>
      <c r="J983">
        <v>11</v>
      </c>
      <c r="K983">
        <v>3</v>
      </c>
      <c r="L983" s="4">
        <v>57.224719101123597</v>
      </c>
      <c r="M983" s="4">
        <v>6.2947191011235972</v>
      </c>
      <c r="N983" t="s">
        <v>91</v>
      </c>
    </row>
    <row r="984" spans="1:14">
      <c r="A984">
        <v>983</v>
      </c>
      <c r="B984">
        <v>52</v>
      </c>
      <c r="C984" t="s">
        <v>11</v>
      </c>
      <c r="D984" t="s">
        <v>12</v>
      </c>
      <c r="E984" t="s">
        <v>50</v>
      </c>
      <c r="F984">
        <v>167.87</v>
      </c>
      <c r="G984" t="s">
        <v>24</v>
      </c>
      <c r="H984" t="s">
        <v>15</v>
      </c>
      <c r="I984">
        <v>3.5</v>
      </c>
      <c r="J984">
        <v>26</v>
      </c>
      <c r="K984">
        <v>8</v>
      </c>
      <c r="L984" s="4">
        <v>226.85135135135135</v>
      </c>
      <c r="M984" s="4">
        <v>58.98135135135135</v>
      </c>
      <c r="N984" t="s">
        <v>93</v>
      </c>
    </row>
    <row r="985" spans="1:14">
      <c r="A985">
        <v>984</v>
      </c>
      <c r="B985">
        <v>50</v>
      </c>
      <c r="C985" t="s">
        <v>16</v>
      </c>
      <c r="D985" t="s">
        <v>33</v>
      </c>
      <c r="E985" t="s">
        <v>34</v>
      </c>
      <c r="F985">
        <v>119.8</v>
      </c>
      <c r="G985" t="s">
        <v>14</v>
      </c>
      <c r="H985" t="s">
        <v>15</v>
      </c>
      <c r="I985">
        <v>4.7</v>
      </c>
      <c r="J985">
        <v>22</v>
      </c>
      <c r="K985">
        <v>6</v>
      </c>
      <c r="L985" s="4">
        <v>153.58974358974359</v>
      </c>
      <c r="M985" s="4">
        <v>33.789743589743594</v>
      </c>
      <c r="N985" t="s">
        <v>93</v>
      </c>
    </row>
    <row r="986" spans="1:14">
      <c r="A986">
        <v>985</v>
      </c>
      <c r="B986">
        <v>34</v>
      </c>
      <c r="C986" t="s">
        <v>16</v>
      </c>
      <c r="D986" t="s">
        <v>17</v>
      </c>
      <c r="E986" t="s">
        <v>48</v>
      </c>
      <c r="F986">
        <v>93.54</v>
      </c>
      <c r="G986" t="s">
        <v>19</v>
      </c>
      <c r="H986" t="s">
        <v>37</v>
      </c>
      <c r="I986">
        <v>3.4</v>
      </c>
      <c r="J986">
        <v>16</v>
      </c>
      <c r="K986">
        <v>8</v>
      </c>
      <c r="L986" s="4">
        <v>111.35714285714288</v>
      </c>
      <c r="M986" s="4">
        <v>17.817142857142869</v>
      </c>
      <c r="N986" t="s">
        <v>91</v>
      </c>
    </row>
    <row r="987" spans="1:14">
      <c r="A987">
        <v>986</v>
      </c>
      <c r="B987">
        <v>47</v>
      </c>
      <c r="C987" t="s">
        <v>16</v>
      </c>
      <c r="D987" t="s">
        <v>20</v>
      </c>
      <c r="E987" t="s">
        <v>39</v>
      </c>
      <c r="F987">
        <v>194.21</v>
      </c>
      <c r="G987" t="s">
        <v>14</v>
      </c>
      <c r="H987" t="s">
        <v>15</v>
      </c>
      <c r="I987">
        <v>3.5</v>
      </c>
      <c r="J987">
        <v>16</v>
      </c>
      <c r="K987">
        <v>3</v>
      </c>
      <c r="L987" s="4">
        <v>231.20238095238096</v>
      </c>
      <c r="M987" s="4">
        <v>36.992380952380955</v>
      </c>
      <c r="N987" t="s">
        <v>93</v>
      </c>
    </row>
    <row r="988" spans="1:14">
      <c r="A988">
        <v>987</v>
      </c>
      <c r="B988">
        <v>46</v>
      </c>
      <c r="C988" t="s">
        <v>16</v>
      </c>
      <c r="D988" t="s">
        <v>20</v>
      </c>
      <c r="E988" t="s">
        <v>36</v>
      </c>
      <c r="F988">
        <v>96.22</v>
      </c>
      <c r="G988" t="s">
        <v>14</v>
      </c>
      <c r="H988" t="s">
        <v>37</v>
      </c>
      <c r="I988">
        <v>3.1</v>
      </c>
      <c r="J988">
        <v>20</v>
      </c>
      <c r="K988">
        <v>5</v>
      </c>
      <c r="L988" s="4">
        <v>120.27499999999999</v>
      </c>
      <c r="M988" s="4">
        <v>24.054999999999993</v>
      </c>
      <c r="N988" t="s">
        <v>93</v>
      </c>
    </row>
    <row r="989" spans="1:14">
      <c r="A989">
        <v>988</v>
      </c>
      <c r="B989">
        <v>60</v>
      </c>
      <c r="C989" t="s">
        <v>16</v>
      </c>
      <c r="D989" t="s">
        <v>27</v>
      </c>
      <c r="E989" t="s">
        <v>53</v>
      </c>
      <c r="F989">
        <v>802.1</v>
      </c>
      <c r="G989" t="s">
        <v>14</v>
      </c>
      <c r="H989" t="s">
        <v>15</v>
      </c>
      <c r="I989">
        <v>4.0999999999999996</v>
      </c>
      <c r="J989">
        <v>16</v>
      </c>
      <c r="K989">
        <v>3</v>
      </c>
      <c r="L989" s="4">
        <v>954.88095238095241</v>
      </c>
      <c r="M989" s="4">
        <v>152.78095238095239</v>
      </c>
      <c r="N989" t="s">
        <v>94</v>
      </c>
    </row>
    <row r="990" spans="1:14">
      <c r="A990">
        <v>989</v>
      </c>
      <c r="B990">
        <v>42</v>
      </c>
      <c r="C990" t="s">
        <v>11</v>
      </c>
      <c r="D990" t="s">
        <v>41</v>
      </c>
      <c r="E990" t="s">
        <v>42</v>
      </c>
      <c r="F990">
        <v>126.92</v>
      </c>
      <c r="G990" t="s">
        <v>19</v>
      </c>
      <c r="H990" t="s">
        <v>15</v>
      </c>
      <c r="I990">
        <v>3.6</v>
      </c>
      <c r="J990">
        <v>16</v>
      </c>
      <c r="K990">
        <v>3</v>
      </c>
      <c r="L990" s="4">
        <v>151.0952380952381</v>
      </c>
      <c r="M990" s="4">
        <v>24.1752380952381</v>
      </c>
      <c r="N990" t="s">
        <v>92</v>
      </c>
    </row>
    <row r="991" spans="1:14">
      <c r="A991">
        <v>990</v>
      </c>
      <c r="B991">
        <v>68</v>
      </c>
      <c r="C991" t="s">
        <v>16</v>
      </c>
      <c r="D991" t="s">
        <v>17</v>
      </c>
      <c r="E991" t="s">
        <v>35</v>
      </c>
      <c r="F991">
        <v>46.11</v>
      </c>
      <c r="G991" t="s">
        <v>24</v>
      </c>
      <c r="H991" t="s">
        <v>15</v>
      </c>
      <c r="I991">
        <v>5</v>
      </c>
      <c r="J991">
        <v>12</v>
      </c>
      <c r="K991">
        <v>1</v>
      </c>
      <c r="L991" s="4">
        <v>52.397727272727273</v>
      </c>
      <c r="M991" s="4">
        <v>6.2877272727272739</v>
      </c>
      <c r="N991" t="s">
        <v>95</v>
      </c>
    </row>
    <row r="992" spans="1:14">
      <c r="A992">
        <v>991</v>
      </c>
      <c r="B992">
        <v>66</v>
      </c>
      <c r="C992" t="s">
        <v>16</v>
      </c>
      <c r="D992" t="s">
        <v>20</v>
      </c>
      <c r="E992" t="s">
        <v>21</v>
      </c>
      <c r="F992">
        <v>172.75</v>
      </c>
      <c r="G992" t="s">
        <v>14</v>
      </c>
      <c r="H992" t="s">
        <v>15</v>
      </c>
      <c r="I992">
        <v>4.2</v>
      </c>
      <c r="J992">
        <v>20</v>
      </c>
      <c r="K992">
        <v>5</v>
      </c>
      <c r="L992" s="4">
        <v>215.9375</v>
      </c>
      <c r="M992" s="4">
        <v>43.1875</v>
      </c>
      <c r="N992" t="s">
        <v>95</v>
      </c>
    </row>
    <row r="993" spans="1:14">
      <c r="A993">
        <v>992</v>
      </c>
      <c r="B993">
        <v>43</v>
      </c>
      <c r="C993" t="s">
        <v>16</v>
      </c>
      <c r="D993" t="s">
        <v>27</v>
      </c>
      <c r="E993" t="s">
        <v>53</v>
      </c>
      <c r="F993">
        <v>1247.6600000000001</v>
      </c>
      <c r="G993" t="s">
        <v>19</v>
      </c>
      <c r="H993" t="s">
        <v>15</v>
      </c>
      <c r="I993">
        <v>2.5</v>
      </c>
      <c r="J993">
        <v>15</v>
      </c>
      <c r="K993">
        <v>5</v>
      </c>
      <c r="L993" s="4">
        <v>1467.8352941176472</v>
      </c>
      <c r="M993" s="4">
        <v>220.17529411764713</v>
      </c>
      <c r="N993" t="s">
        <v>92</v>
      </c>
    </row>
    <row r="994" spans="1:14">
      <c r="A994">
        <v>993</v>
      </c>
      <c r="B994">
        <v>61</v>
      </c>
      <c r="C994" t="s">
        <v>16</v>
      </c>
      <c r="D994" t="s">
        <v>33</v>
      </c>
      <c r="E994" t="s">
        <v>40</v>
      </c>
      <c r="F994">
        <v>70.459999999999994</v>
      </c>
      <c r="G994" t="s">
        <v>31</v>
      </c>
      <c r="H994" t="s">
        <v>15</v>
      </c>
      <c r="I994">
        <v>4.5999999999999996</v>
      </c>
      <c r="J994">
        <v>4</v>
      </c>
      <c r="K994">
        <v>2</v>
      </c>
      <c r="L994" s="4">
        <v>73.395833333333329</v>
      </c>
      <c r="M994" s="4">
        <v>2.9358333333333348</v>
      </c>
      <c r="N994" t="s">
        <v>94</v>
      </c>
    </row>
    <row r="995" spans="1:14">
      <c r="A995">
        <v>994</v>
      </c>
      <c r="B995">
        <v>33</v>
      </c>
      <c r="C995" t="s">
        <v>16</v>
      </c>
      <c r="D995" t="s">
        <v>20</v>
      </c>
      <c r="E995" t="s">
        <v>36</v>
      </c>
      <c r="F995">
        <v>90.86</v>
      </c>
      <c r="G995" t="s">
        <v>14</v>
      </c>
      <c r="H995" t="s">
        <v>15</v>
      </c>
      <c r="I995">
        <v>4</v>
      </c>
      <c r="J995">
        <v>16</v>
      </c>
      <c r="K995">
        <v>8</v>
      </c>
      <c r="L995" s="4">
        <v>108.16666666666667</v>
      </c>
      <c r="M995" s="4">
        <v>17.306666666666672</v>
      </c>
      <c r="N995" t="s">
        <v>91</v>
      </c>
    </row>
    <row r="996" spans="1:14">
      <c r="A996">
        <v>995</v>
      </c>
      <c r="B996">
        <v>36</v>
      </c>
      <c r="C996" t="s">
        <v>16</v>
      </c>
      <c r="D996" t="s">
        <v>17</v>
      </c>
      <c r="E996" t="s">
        <v>35</v>
      </c>
      <c r="F996">
        <v>56.95</v>
      </c>
      <c r="G996" t="s">
        <v>24</v>
      </c>
      <c r="H996" t="s">
        <v>15</v>
      </c>
      <c r="I996">
        <v>3.9</v>
      </c>
      <c r="J996">
        <v>12</v>
      </c>
      <c r="K996">
        <v>6</v>
      </c>
      <c r="L996" s="4">
        <v>64.715909090909093</v>
      </c>
      <c r="M996" s="4">
        <v>7.7659090909090907</v>
      </c>
      <c r="N996" t="s">
        <v>92</v>
      </c>
    </row>
    <row r="997" spans="1:14">
      <c r="A997">
        <v>996</v>
      </c>
      <c r="B997">
        <v>65</v>
      </c>
      <c r="C997" t="s">
        <v>16</v>
      </c>
      <c r="D997" t="s">
        <v>17</v>
      </c>
      <c r="E997" t="s">
        <v>48</v>
      </c>
      <c r="F997">
        <v>100.4</v>
      </c>
      <c r="G997" t="s">
        <v>14</v>
      </c>
      <c r="H997" t="s">
        <v>15</v>
      </c>
      <c r="I997">
        <v>3.8</v>
      </c>
      <c r="J997">
        <v>17</v>
      </c>
      <c r="K997">
        <v>6</v>
      </c>
      <c r="L997" s="4">
        <v>120.96385542168676</v>
      </c>
      <c r="M997" s="4">
        <v>20.563855421686753</v>
      </c>
      <c r="N997" t="s">
        <v>95</v>
      </c>
    </row>
    <row r="998" spans="1:14">
      <c r="A998">
        <v>997</v>
      </c>
      <c r="B998">
        <v>42</v>
      </c>
      <c r="C998" t="s">
        <v>11</v>
      </c>
      <c r="D998" t="s">
        <v>22</v>
      </c>
      <c r="E998" t="s">
        <v>43</v>
      </c>
      <c r="F998">
        <v>142.72999999999999</v>
      </c>
      <c r="G998" t="s">
        <v>14</v>
      </c>
      <c r="H998" t="s">
        <v>15</v>
      </c>
      <c r="I998">
        <v>4.0999999999999996</v>
      </c>
      <c r="J998">
        <v>15</v>
      </c>
      <c r="K998">
        <v>5</v>
      </c>
      <c r="L998" s="4">
        <v>167.91764705882352</v>
      </c>
      <c r="M998" s="4">
        <v>25.187647058823529</v>
      </c>
      <c r="N998" t="s">
        <v>92</v>
      </c>
    </row>
    <row r="999" spans="1:14">
      <c r="A999">
        <v>998</v>
      </c>
      <c r="B999">
        <v>34</v>
      </c>
      <c r="C999" t="s">
        <v>16</v>
      </c>
      <c r="D999" t="s">
        <v>27</v>
      </c>
      <c r="E999" t="s">
        <v>49</v>
      </c>
      <c r="F999">
        <v>2857.91</v>
      </c>
      <c r="G999" t="s">
        <v>31</v>
      </c>
      <c r="H999" t="s">
        <v>15</v>
      </c>
      <c r="I999">
        <v>3.5</v>
      </c>
      <c r="J999">
        <v>8</v>
      </c>
      <c r="K999">
        <v>4</v>
      </c>
      <c r="L999" s="4">
        <v>3106.423913043478</v>
      </c>
      <c r="M999" s="4">
        <v>248.51391304347817</v>
      </c>
      <c r="N999" t="s">
        <v>91</v>
      </c>
    </row>
    <row r="1000" spans="1:14">
      <c r="A1000">
        <v>999</v>
      </c>
      <c r="B1000">
        <v>62</v>
      </c>
      <c r="C1000" t="s">
        <v>16</v>
      </c>
      <c r="D1000" t="s">
        <v>17</v>
      </c>
      <c r="E1000" t="s">
        <v>48</v>
      </c>
      <c r="F1000">
        <v>79.55</v>
      </c>
      <c r="G1000" t="s">
        <v>31</v>
      </c>
      <c r="H1000" t="s">
        <v>15</v>
      </c>
      <c r="I1000">
        <v>3.9</v>
      </c>
      <c r="J1000">
        <v>12</v>
      </c>
      <c r="K1000">
        <v>6</v>
      </c>
      <c r="L1000" s="4">
        <v>90.397727272727266</v>
      </c>
      <c r="M1000" s="4">
        <v>10.847727272727269</v>
      </c>
      <c r="N1000" t="s">
        <v>94</v>
      </c>
    </row>
    <row r="1001" spans="1:14">
      <c r="A1001">
        <v>1000</v>
      </c>
      <c r="B1001">
        <v>46</v>
      </c>
      <c r="C1001" t="s">
        <v>11</v>
      </c>
      <c r="D1001" t="s">
        <v>25</v>
      </c>
      <c r="E1001" t="s">
        <v>47</v>
      </c>
      <c r="F1001">
        <v>17.850000000000001</v>
      </c>
      <c r="G1001" t="s">
        <v>24</v>
      </c>
      <c r="H1001" t="s">
        <v>37</v>
      </c>
      <c r="I1001">
        <v>5</v>
      </c>
      <c r="J1001">
        <v>26</v>
      </c>
      <c r="K1001">
        <v>8</v>
      </c>
      <c r="L1001" s="4">
        <v>24.121621621621625</v>
      </c>
      <c r="M1001" s="4">
        <v>6.2716216216216232</v>
      </c>
      <c r="N1001" t="s">
        <v>93</v>
      </c>
    </row>
    <row r="1002" spans="1:14">
      <c r="A1002">
        <v>1001</v>
      </c>
      <c r="B1002">
        <v>21</v>
      </c>
      <c r="C1002" t="s">
        <v>16</v>
      </c>
      <c r="D1002" t="s">
        <v>22</v>
      </c>
      <c r="E1002" t="s">
        <v>43</v>
      </c>
      <c r="F1002">
        <v>113.93</v>
      </c>
      <c r="G1002" t="s">
        <v>14</v>
      </c>
      <c r="H1002" t="s">
        <v>15</v>
      </c>
      <c r="I1002">
        <v>3.7</v>
      </c>
      <c r="J1002">
        <v>19</v>
      </c>
      <c r="K1002">
        <v>7</v>
      </c>
      <c r="L1002" s="4">
        <v>140.65432098765433</v>
      </c>
      <c r="M1002" s="4">
        <v>26.724320987654323</v>
      </c>
      <c r="N1002" t="s">
        <v>100</v>
      </c>
    </row>
    <row r="1003" spans="1:14">
      <c r="A1003">
        <v>1002</v>
      </c>
      <c r="B1003">
        <v>29</v>
      </c>
      <c r="C1003" t="s">
        <v>16</v>
      </c>
      <c r="D1003" t="s">
        <v>33</v>
      </c>
      <c r="E1003" t="s">
        <v>34</v>
      </c>
      <c r="F1003">
        <v>48.18</v>
      </c>
      <c r="G1003" t="s">
        <v>31</v>
      </c>
      <c r="H1003" t="s">
        <v>15</v>
      </c>
      <c r="I1003">
        <v>4.9000000000000004</v>
      </c>
      <c r="J1003">
        <v>34</v>
      </c>
      <c r="K1003">
        <v>12</v>
      </c>
      <c r="L1003" s="4">
        <v>73.000000000000014</v>
      </c>
      <c r="M1003" s="4">
        <v>24.820000000000014</v>
      </c>
      <c r="N1003" t="s">
        <v>91</v>
      </c>
    </row>
    <row r="1004" spans="1:14">
      <c r="A1004">
        <v>1003</v>
      </c>
      <c r="B1004">
        <v>57</v>
      </c>
      <c r="C1004" t="s">
        <v>11</v>
      </c>
      <c r="D1004" t="s">
        <v>12</v>
      </c>
      <c r="E1004" t="s">
        <v>13</v>
      </c>
      <c r="F1004">
        <v>54.15</v>
      </c>
      <c r="G1004" t="s">
        <v>14</v>
      </c>
      <c r="H1004" t="s">
        <v>37</v>
      </c>
      <c r="I1004">
        <v>2.6</v>
      </c>
      <c r="J1004">
        <v>26</v>
      </c>
      <c r="K1004">
        <v>8</v>
      </c>
      <c r="L1004" s="4">
        <v>73.175675675675677</v>
      </c>
      <c r="M1004" s="4">
        <v>19.025675675675679</v>
      </c>
      <c r="N1004" t="s">
        <v>94</v>
      </c>
    </row>
    <row r="1005" spans="1:14">
      <c r="A1005">
        <v>1004</v>
      </c>
      <c r="B1005">
        <v>41</v>
      </c>
      <c r="C1005" t="s">
        <v>11</v>
      </c>
      <c r="D1005" t="s">
        <v>41</v>
      </c>
      <c r="E1005" t="s">
        <v>42</v>
      </c>
      <c r="F1005">
        <v>58.88</v>
      </c>
      <c r="G1005" t="s">
        <v>31</v>
      </c>
      <c r="H1005" t="s">
        <v>37</v>
      </c>
      <c r="I1005">
        <v>4</v>
      </c>
      <c r="J1005">
        <v>11</v>
      </c>
      <c r="K1005">
        <v>3</v>
      </c>
      <c r="L1005" s="4">
        <v>66.157303370786522</v>
      </c>
      <c r="M1005" s="4">
        <v>7.2773033707865196</v>
      </c>
      <c r="N1005" t="s">
        <v>92</v>
      </c>
    </row>
    <row r="1006" spans="1:14">
      <c r="A1006">
        <v>1005</v>
      </c>
      <c r="B1006">
        <v>63</v>
      </c>
      <c r="C1006" t="s">
        <v>16</v>
      </c>
      <c r="D1006" t="s">
        <v>17</v>
      </c>
      <c r="E1006" t="s">
        <v>35</v>
      </c>
      <c r="F1006">
        <v>127.76</v>
      </c>
      <c r="G1006" t="s">
        <v>31</v>
      </c>
      <c r="H1006" t="s">
        <v>15</v>
      </c>
      <c r="I1006">
        <v>3.2</v>
      </c>
      <c r="J1006">
        <v>4</v>
      </c>
      <c r="K1006">
        <v>2</v>
      </c>
      <c r="L1006" s="4">
        <v>133.08333333333334</v>
      </c>
      <c r="M1006" s="4">
        <v>5.3233333333333377</v>
      </c>
      <c r="N1006" t="s">
        <v>94</v>
      </c>
    </row>
    <row r="1007" spans="1:14">
      <c r="A1007">
        <v>1006</v>
      </c>
      <c r="B1007">
        <v>45</v>
      </c>
      <c r="C1007" t="s">
        <v>16</v>
      </c>
      <c r="D1007" t="s">
        <v>17</v>
      </c>
      <c r="E1007" t="s">
        <v>48</v>
      </c>
      <c r="F1007">
        <v>88.21</v>
      </c>
      <c r="G1007" t="s">
        <v>14</v>
      </c>
      <c r="H1007" t="s">
        <v>37</v>
      </c>
      <c r="I1007">
        <v>2.2000000000000002</v>
      </c>
      <c r="J1007">
        <v>2</v>
      </c>
      <c r="K1007">
        <v>1</v>
      </c>
      <c r="L1007" s="4">
        <v>90.010204081632651</v>
      </c>
      <c r="M1007" s="4">
        <v>1.800204081632657</v>
      </c>
      <c r="N1007" t="s">
        <v>93</v>
      </c>
    </row>
    <row r="1008" spans="1:14">
      <c r="A1008">
        <v>1007</v>
      </c>
      <c r="B1008">
        <v>65</v>
      </c>
      <c r="C1008" t="s">
        <v>11</v>
      </c>
      <c r="D1008" t="s">
        <v>41</v>
      </c>
      <c r="E1008" t="s">
        <v>44</v>
      </c>
      <c r="F1008">
        <v>154.19999999999999</v>
      </c>
      <c r="G1008" t="s">
        <v>31</v>
      </c>
      <c r="H1008" t="s">
        <v>15</v>
      </c>
      <c r="I1008">
        <v>3.8</v>
      </c>
      <c r="J1008">
        <v>16</v>
      </c>
      <c r="K1008">
        <v>8</v>
      </c>
      <c r="L1008" s="4">
        <v>183.57142857142856</v>
      </c>
      <c r="M1008" s="4">
        <v>29.371428571428567</v>
      </c>
      <c r="N1008" t="s">
        <v>95</v>
      </c>
    </row>
    <row r="1009" spans="1:14">
      <c r="A1009">
        <v>1008</v>
      </c>
      <c r="B1009">
        <v>53</v>
      </c>
      <c r="C1009" t="s">
        <v>16</v>
      </c>
      <c r="D1009" t="s">
        <v>17</v>
      </c>
      <c r="E1009" t="s">
        <v>48</v>
      </c>
      <c r="F1009">
        <v>186.55</v>
      </c>
      <c r="G1009" t="s">
        <v>14</v>
      </c>
      <c r="H1009" t="s">
        <v>15</v>
      </c>
      <c r="I1009">
        <v>3.7</v>
      </c>
      <c r="J1009">
        <v>16</v>
      </c>
      <c r="K1009">
        <v>3</v>
      </c>
      <c r="L1009" s="4">
        <v>222.08333333333334</v>
      </c>
      <c r="M1009" s="4">
        <v>35.533333333333331</v>
      </c>
      <c r="N1009" t="s">
        <v>93</v>
      </c>
    </row>
    <row r="1010" spans="1:14">
      <c r="A1010">
        <v>1009</v>
      </c>
      <c r="B1010">
        <v>63</v>
      </c>
      <c r="C1010" t="s">
        <v>16</v>
      </c>
      <c r="D1010" t="s">
        <v>33</v>
      </c>
      <c r="E1010" t="s">
        <v>34</v>
      </c>
      <c r="F1010">
        <v>55.74</v>
      </c>
      <c r="G1010" t="s">
        <v>19</v>
      </c>
      <c r="H1010" t="s">
        <v>37</v>
      </c>
      <c r="I1010">
        <v>4.8</v>
      </c>
      <c r="J1010">
        <v>22</v>
      </c>
      <c r="K1010">
        <v>6</v>
      </c>
      <c r="L1010" s="4">
        <v>71.461538461538467</v>
      </c>
      <c r="M1010" s="4">
        <v>15.721538461538465</v>
      </c>
      <c r="N1010" t="s">
        <v>94</v>
      </c>
    </row>
    <row r="1011" spans="1:14">
      <c r="A1011">
        <v>1010</v>
      </c>
      <c r="B1011">
        <v>41</v>
      </c>
      <c r="C1011" t="s">
        <v>11</v>
      </c>
      <c r="D1011" t="s">
        <v>29</v>
      </c>
      <c r="E1011" t="s">
        <v>51</v>
      </c>
      <c r="F1011">
        <v>149.31</v>
      </c>
      <c r="G1011" t="s">
        <v>24</v>
      </c>
      <c r="H1011" t="s">
        <v>15</v>
      </c>
      <c r="I1011">
        <v>4</v>
      </c>
      <c r="J1011">
        <v>8</v>
      </c>
      <c r="K1011">
        <v>4</v>
      </c>
      <c r="L1011" s="4">
        <v>162.29347826086956</v>
      </c>
      <c r="M1011" s="4">
        <v>12.98347826086956</v>
      </c>
      <c r="N1011" t="s">
        <v>92</v>
      </c>
    </row>
    <row r="1012" spans="1:14">
      <c r="A1012">
        <v>1011</v>
      </c>
      <c r="B1012">
        <v>65</v>
      </c>
      <c r="C1012" t="s">
        <v>16</v>
      </c>
      <c r="D1012" t="s">
        <v>17</v>
      </c>
      <c r="E1012" t="s">
        <v>48</v>
      </c>
      <c r="F1012">
        <v>71.91</v>
      </c>
      <c r="G1012" t="s">
        <v>24</v>
      </c>
      <c r="H1012" t="s">
        <v>37</v>
      </c>
      <c r="I1012">
        <v>3.5</v>
      </c>
      <c r="J1012">
        <v>19</v>
      </c>
      <c r="K1012">
        <v>7</v>
      </c>
      <c r="L1012" s="4">
        <v>88.777777777777771</v>
      </c>
      <c r="M1012" s="4">
        <v>16.867777777777775</v>
      </c>
      <c r="N1012" t="s">
        <v>95</v>
      </c>
    </row>
    <row r="1013" spans="1:14">
      <c r="A1013">
        <v>1012</v>
      </c>
      <c r="B1013">
        <v>20</v>
      </c>
      <c r="C1013" t="s">
        <v>11</v>
      </c>
      <c r="D1013" t="s">
        <v>29</v>
      </c>
      <c r="E1013" t="s">
        <v>55</v>
      </c>
      <c r="F1013">
        <v>25.51</v>
      </c>
      <c r="G1013" t="s">
        <v>19</v>
      </c>
      <c r="H1013" t="s">
        <v>15</v>
      </c>
      <c r="I1013">
        <v>3.6</v>
      </c>
      <c r="J1013">
        <v>30</v>
      </c>
      <c r="K1013">
        <v>10</v>
      </c>
      <c r="L1013" s="4">
        <v>36.44285714285715</v>
      </c>
      <c r="M1013" s="4">
        <v>10.932857142857149</v>
      </c>
      <c r="N1013" t="s">
        <v>100</v>
      </c>
    </row>
    <row r="1014" spans="1:14">
      <c r="A1014">
        <v>1013</v>
      </c>
      <c r="B1014">
        <v>57</v>
      </c>
      <c r="C1014" t="s">
        <v>11</v>
      </c>
      <c r="D1014" t="s">
        <v>29</v>
      </c>
      <c r="E1014" t="s">
        <v>51</v>
      </c>
      <c r="F1014">
        <v>140</v>
      </c>
      <c r="G1014" t="s">
        <v>14</v>
      </c>
      <c r="H1014" t="s">
        <v>15</v>
      </c>
      <c r="I1014">
        <v>3.5</v>
      </c>
      <c r="J1014">
        <v>20</v>
      </c>
      <c r="K1014">
        <v>5</v>
      </c>
      <c r="L1014" s="4">
        <v>175</v>
      </c>
      <c r="M1014" s="4">
        <v>35</v>
      </c>
      <c r="N1014" t="s">
        <v>94</v>
      </c>
    </row>
    <row r="1015" spans="1:14">
      <c r="A1015">
        <v>1014</v>
      </c>
      <c r="B1015">
        <v>45</v>
      </c>
      <c r="C1015" t="s">
        <v>16</v>
      </c>
      <c r="D1015" t="s">
        <v>25</v>
      </c>
      <c r="E1015" t="s">
        <v>54</v>
      </c>
      <c r="F1015">
        <v>22.48</v>
      </c>
      <c r="G1015" t="s">
        <v>14</v>
      </c>
      <c r="H1015" t="s">
        <v>15</v>
      </c>
      <c r="I1015">
        <v>4.2</v>
      </c>
      <c r="J1015">
        <v>8</v>
      </c>
      <c r="K1015">
        <v>4</v>
      </c>
      <c r="L1015" s="4">
        <v>24.434782608695652</v>
      </c>
      <c r="M1015" s="4">
        <v>1.9547826086956519</v>
      </c>
      <c r="N1015" t="s">
        <v>93</v>
      </c>
    </row>
    <row r="1016" spans="1:14">
      <c r="A1016">
        <v>1015</v>
      </c>
      <c r="B1016">
        <v>69</v>
      </c>
      <c r="C1016" t="s">
        <v>11</v>
      </c>
      <c r="D1016" t="s">
        <v>12</v>
      </c>
      <c r="E1016" t="s">
        <v>56</v>
      </c>
      <c r="F1016">
        <v>63.27</v>
      </c>
      <c r="G1016" t="s">
        <v>14</v>
      </c>
      <c r="H1016" t="s">
        <v>37</v>
      </c>
      <c r="I1016">
        <v>2.9</v>
      </c>
      <c r="J1016">
        <v>12</v>
      </c>
      <c r="K1016">
        <v>6</v>
      </c>
      <c r="L1016" s="4">
        <v>71.89772727272728</v>
      </c>
      <c r="M1016" s="4">
        <v>8.6277272727272774</v>
      </c>
      <c r="N1016" t="s">
        <v>95</v>
      </c>
    </row>
    <row r="1017" spans="1:14">
      <c r="A1017">
        <v>1016</v>
      </c>
      <c r="B1017">
        <v>32</v>
      </c>
      <c r="C1017" t="s">
        <v>16</v>
      </c>
      <c r="D1017" t="s">
        <v>25</v>
      </c>
      <c r="E1017" t="s">
        <v>47</v>
      </c>
      <c r="F1017">
        <v>79.819999999999993</v>
      </c>
      <c r="G1017" t="s">
        <v>14</v>
      </c>
      <c r="H1017" t="s">
        <v>15</v>
      </c>
      <c r="I1017">
        <v>3.5</v>
      </c>
      <c r="J1017">
        <v>14</v>
      </c>
      <c r="K1017">
        <v>2</v>
      </c>
      <c r="L1017" s="4">
        <v>92.813953488372093</v>
      </c>
      <c r="M1017" s="4">
        <v>12.9939534883721</v>
      </c>
      <c r="N1017" t="s">
        <v>91</v>
      </c>
    </row>
    <row r="1018" spans="1:14">
      <c r="A1018">
        <v>1017</v>
      </c>
      <c r="B1018">
        <v>69</v>
      </c>
      <c r="C1018" t="s">
        <v>11</v>
      </c>
      <c r="D1018" t="s">
        <v>29</v>
      </c>
      <c r="E1018" t="s">
        <v>30</v>
      </c>
      <c r="F1018">
        <v>68.75</v>
      </c>
      <c r="G1018" t="s">
        <v>19</v>
      </c>
      <c r="H1018" t="s">
        <v>15</v>
      </c>
      <c r="I1018">
        <v>3.8</v>
      </c>
      <c r="J1018">
        <v>8</v>
      </c>
      <c r="K1018">
        <v>4</v>
      </c>
      <c r="L1018" s="4">
        <v>74.728260869565219</v>
      </c>
      <c r="M1018" s="4">
        <v>5.9782608695652186</v>
      </c>
      <c r="N1018" t="s">
        <v>95</v>
      </c>
    </row>
    <row r="1019" spans="1:14">
      <c r="A1019">
        <v>1018</v>
      </c>
      <c r="B1019">
        <v>43</v>
      </c>
      <c r="C1019" t="s">
        <v>16</v>
      </c>
      <c r="D1019" t="s">
        <v>27</v>
      </c>
      <c r="E1019" t="s">
        <v>32</v>
      </c>
      <c r="F1019">
        <v>1327.27</v>
      </c>
      <c r="G1019" t="s">
        <v>31</v>
      </c>
      <c r="H1019" t="s">
        <v>15</v>
      </c>
      <c r="I1019">
        <v>2.7</v>
      </c>
      <c r="J1019">
        <v>13</v>
      </c>
      <c r="K1019">
        <v>4</v>
      </c>
      <c r="L1019" s="4">
        <v>1525.5977011494253</v>
      </c>
      <c r="M1019" s="4">
        <v>198.32770114942537</v>
      </c>
      <c r="N1019" t="s">
        <v>92</v>
      </c>
    </row>
    <row r="1020" spans="1:14">
      <c r="A1020">
        <v>1019</v>
      </c>
      <c r="B1020">
        <v>28</v>
      </c>
      <c r="C1020" t="s">
        <v>16</v>
      </c>
      <c r="D1020" t="s">
        <v>20</v>
      </c>
      <c r="E1020" t="s">
        <v>36</v>
      </c>
      <c r="F1020">
        <v>220.03</v>
      </c>
      <c r="G1020" t="s">
        <v>31</v>
      </c>
      <c r="H1020" t="s">
        <v>15</v>
      </c>
      <c r="I1020">
        <v>3.2</v>
      </c>
      <c r="J1020">
        <v>10</v>
      </c>
      <c r="K1020">
        <v>5</v>
      </c>
      <c r="L1020" s="4">
        <v>244.47777777777776</v>
      </c>
      <c r="M1020" s="4">
        <v>24.447777777777759</v>
      </c>
      <c r="N1020" t="s">
        <v>91</v>
      </c>
    </row>
    <row r="1021" spans="1:14">
      <c r="A1021">
        <v>1020</v>
      </c>
      <c r="B1021">
        <v>53</v>
      </c>
      <c r="C1021" t="s">
        <v>11</v>
      </c>
      <c r="D1021" t="s">
        <v>20</v>
      </c>
      <c r="E1021" t="s">
        <v>21</v>
      </c>
      <c r="F1021">
        <v>233.03</v>
      </c>
      <c r="G1021" t="s">
        <v>19</v>
      </c>
      <c r="H1021" t="s">
        <v>15</v>
      </c>
      <c r="I1021">
        <v>3.7</v>
      </c>
      <c r="J1021">
        <v>18</v>
      </c>
      <c r="K1021">
        <v>4</v>
      </c>
      <c r="L1021" s="4">
        <v>284.1829268292683</v>
      </c>
      <c r="M1021" s="4">
        <v>51.152926829268296</v>
      </c>
      <c r="N1021" t="s">
        <v>93</v>
      </c>
    </row>
    <row r="1022" spans="1:14">
      <c r="A1022">
        <v>1021</v>
      </c>
      <c r="B1022">
        <v>25</v>
      </c>
      <c r="C1022" t="s">
        <v>11</v>
      </c>
      <c r="D1022" t="s">
        <v>12</v>
      </c>
      <c r="E1022" t="s">
        <v>13</v>
      </c>
      <c r="F1022">
        <v>106.02</v>
      </c>
      <c r="G1022" t="s">
        <v>31</v>
      </c>
      <c r="H1022" t="s">
        <v>15</v>
      </c>
      <c r="I1022">
        <v>4.8</v>
      </c>
      <c r="J1022">
        <v>13</v>
      </c>
      <c r="K1022">
        <v>4</v>
      </c>
      <c r="L1022" s="4">
        <v>121.86206896551724</v>
      </c>
      <c r="M1022" s="4">
        <v>15.842068965517242</v>
      </c>
      <c r="N1022" t="s">
        <v>91</v>
      </c>
    </row>
    <row r="1023" spans="1:14">
      <c r="A1023">
        <v>1022</v>
      </c>
      <c r="B1023">
        <v>30</v>
      </c>
      <c r="C1023" t="s">
        <v>16</v>
      </c>
      <c r="D1023" t="s">
        <v>20</v>
      </c>
      <c r="E1023" t="s">
        <v>21</v>
      </c>
      <c r="F1023">
        <v>74.36</v>
      </c>
      <c r="G1023" t="s">
        <v>24</v>
      </c>
      <c r="H1023" t="s">
        <v>15</v>
      </c>
      <c r="I1023">
        <v>5</v>
      </c>
      <c r="J1023">
        <v>15</v>
      </c>
      <c r="K1023">
        <v>5</v>
      </c>
      <c r="L1023" s="4">
        <v>87.482352941176472</v>
      </c>
      <c r="M1023" s="4">
        <v>13.122352941176473</v>
      </c>
      <c r="N1023" t="s">
        <v>91</v>
      </c>
    </row>
    <row r="1024" spans="1:14">
      <c r="A1024">
        <v>1023</v>
      </c>
      <c r="B1024">
        <v>59</v>
      </c>
      <c r="C1024" t="s">
        <v>11</v>
      </c>
      <c r="D1024" t="s">
        <v>29</v>
      </c>
      <c r="E1024" t="s">
        <v>55</v>
      </c>
      <c r="F1024">
        <v>28.72</v>
      </c>
      <c r="G1024" t="s">
        <v>31</v>
      </c>
      <c r="H1024" t="s">
        <v>37</v>
      </c>
      <c r="I1024">
        <v>4.5</v>
      </c>
      <c r="J1024">
        <v>12</v>
      </c>
      <c r="K1024">
        <v>6</v>
      </c>
      <c r="L1024" s="4">
        <v>32.636363636363633</v>
      </c>
      <c r="M1024" s="4">
        <v>3.9163636363636343</v>
      </c>
      <c r="N1024" t="s">
        <v>94</v>
      </c>
    </row>
    <row r="1025" spans="1:14">
      <c r="A1025">
        <v>1024</v>
      </c>
      <c r="B1025">
        <v>53</v>
      </c>
      <c r="C1025" t="s">
        <v>16</v>
      </c>
      <c r="D1025" t="s">
        <v>27</v>
      </c>
      <c r="E1025" t="s">
        <v>49</v>
      </c>
      <c r="F1025">
        <v>512</v>
      </c>
      <c r="G1025" t="s">
        <v>24</v>
      </c>
      <c r="H1025" t="s">
        <v>15</v>
      </c>
      <c r="I1025">
        <v>4</v>
      </c>
      <c r="J1025">
        <v>18</v>
      </c>
      <c r="K1025">
        <v>9</v>
      </c>
      <c r="L1025" s="4">
        <v>624.39024390243901</v>
      </c>
      <c r="M1025" s="4">
        <v>112.39024390243901</v>
      </c>
      <c r="N1025" t="s">
        <v>93</v>
      </c>
    </row>
    <row r="1026" spans="1:14">
      <c r="A1026">
        <v>1025</v>
      </c>
      <c r="B1026">
        <v>60</v>
      </c>
      <c r="C1026" t="s">
        <v>11</v>
      </c>
      <c r="D1026" t="s">
        <v>41</v>
      </c>
      <c r="E1026" t="s">
        <v>45</v>
      </c>
      <c r="F1026">
        <v>108.63</v>
      </c>
      <c r="G1026" t="s">
        <v>14</v>
      </c>
      <c r="H1026" t="s">
        <v>15</v>
      </c>
      <c r="I1026">
        <v>3.5</v>
      </c>
      <c r="J1026">
        <v>28</v>
      </c>
      <c r="K1026">
        <v>9</v>
      </c>
      <c r="L1026" s="4">
        <v>150.875</v>
      </c>
      <c r="M1026" s="4">
        <v>42.245000000000005</v>
      </c>
      <c r="N1026" t="s">
        <v>94</v>
      </c>
    </row>
    <row r="1027" spans="1:14">
      <c r="A1027">
        <v>1026</v>
      </c>
      <c r="B1027">
        <v>25</v>
      </c>
      <c r="C1027" t="s">
        <v>16</v>
      </c>
      <c r="D1027" t="s">
        <v>17</v>
      </c>
      <c r="E1027" t="s">
        <v>42</v>
      </c>
      <c r="F1027">
        <v>34.19</v>
      </c>
      <c r="G1027" t="s">
        <v>24</v>
      </c>
      <c r="H1027" t="s">
        <v>37</v>
      </c>
      <c r="I1027">
        <v>3.1</v>
      </c>
      <c r="J1027">
        <v>19</v>
      </c>
      <c r="K1027">
        <v>7</v>
      </c>
      <c r="L1027" s="4">
        <v>42.209876543209873</v>
      </c>
      <c r="M1027" s="4">
        <v>8.0198765432098753</v>
      </c>
      <c r="N1027" t="s">
        <v>91</v>
      </c>
    </row>
    <row r="1028" spans="1:14">
      <c r="A1028">
        <v>1027</v>
      </c>
      <c r="B1028">
        <v>21</v>
      </c>
      <c r="C1028" t="s">
        <v>11</v>
      </c>
      <c r="D1028" t="s">
        <v>12</v>
      </c>
      <c r="E1028" t="s">
        <v>56</v>
      </c>
      <c r="F1028">
        <v>121.23</v>
      </c>
      <c r="G1028" t="s">
        <v>19</v>
      </c>
      <c r="H1028" t="s">
        <v>15</v>
      </c>
      <c r="I1028">
        <v>2.9</v>
      </c>
      <c r="J1028">
        <v>16</v>
      </c>
      <c r="K1028">
        <v>3</v>
      </c>
      <c r="L1028" s="4">
        <v>144.32142857142858</v>
      </c>
      <c r="M1028" s="4">
        <v>23.09142857142858</v>
      </c>
      <c r="N1028" t="s">
        <v>100</v>
      </c>
    </row>
    <row r="1029" spans="1:14">
      <c r="A1029">
        <v>1028</v>
      </c>
      <c r="B1029">
        <v>31</v>
      </c>
      <c r="C1029" t="s">
        <v>16</v>
      </c>
      <c r="D1029" t="s">
        <v>22</v>
      </c>
      <c r="E1029" t="s">
        <v>23</v>
      </c>
      <c r="F1029">
        <v>39.869999999999997</v>
      </c>
      <c r="G1029" t="s">
        <v>14</v>
      </c>
      <c r="H1029" t="s">
        <v>37</v>
      </c>
      <c r="I1029">
        <v>3.1</v>
      </c>
      <c r="J1029">
        <v>14</v>
      </c>
      <c r="K1029">
        <v>7</v>
      </c>
      <c r="L1029" s="4">
        <v>46.360465116279066</v>
      </c>
      <c r="M1029" s="4">
        <v>6.4904651162790685</v>
      </c>
      <c r="N1029" t="s">
        <v>91</v>
      </c>
    </row>
    <row r="1030" spans="1:14">
      <c r="A1030">
        <v>1029</v>
      </c>
      <c r="B1030">
        <v>65</v>
      </c>
      <c r="C1030" t="s">
        <v>11</v>
      </c>
      <c r="D1030" t="s">
        <v>41</v>
      </c>
      <c r="E1030" t="s">
        <v>42</v>
      </c>
      <c r="F1030">
        <v>194.79</v>
      </c>
      <c r="G1030" t="s">
        <v>24</v>
      </c>
      <c r="H1030" t="s">
        <v>15</v>
      </c>
      <c r="I1030">
        <v>4.0999999999999996</v>
      </c>
      <c r="J1030">
        <v>15</v>
      </c>
      <c r="K1030">
        <v>5</v>
      </c>
      <c r="L1030" s="4">
        <v>229.16470588235293</v>
      </c>
      <c r="M1030" s="4">
        <v>34.374705882352941</v>
      </c>
      <c r="N1030" t="s">
        <v>95</v>
      </c>
    </row>
    <row r="1031" spans="1:14">
      <c r="A1031">
        <v>1030</v>
      </c>
      <c r="B1031">
        <v>45</v>
      </c>
      <c r="C1031" t="s">
        <v>11</v>
      </c>
      <c r="D1031" t="s">
        <v>41</v>
      </c>
      <c r="E1031" t="s">
        <v>46</v>
      </c>
      <c r="F1031">
        <v>192.67</v>
      </c>
      <c r="G1031" t="s">
        <v>19</v>
      </c>
      <c r="H1031" t="s">
        <v>15</v>
      </c>
      <c r="I1031">
        <v>4.3</v>
      </c>
      <c r="J1031">
        <v>20</v>
      </c>
      <c r="K1031">
        <v>5</v>
      </c>
      <c r="L1031" s="4">
        <v>240.83749999999998</v>
      </c>
      <c r="M1031" s="4">
        <v>48.16749999999999</v>
      </c>
      <c r="N1031" t="s">
        <v>93</v>
      </c>
    </row>
    <row r="1032" spans="1:14">
      <c r="A1032">
        <v>1031</v>
      </c>
      <c r="B1032">
        <v>33</v>
      </c>
      <c r="C1032" t="s">
        <v>11</v>
      </c>
      <c r="D1032" t="s">
        <v>33</v>
      </c>
      <c r="E1032" t="s">
        <v>40</v>
      </c>
      <c r="F1032">
        <v>119.68</v>
      </c>
      <c r="G1032" t="s">
        <v>14</v>
      </c>
      <c r="H1032" t="s">
        <v>15</v>
      </c>
      <c r="I1032">
        <v>2.5</v>
      </c>
      <c r="J1032">
        <v>19</v>
      </c>
      <c r="K1032">
        <v>7</v>
      </c>
      <c r="L1032" s="4">
        <v>147.75308641975309</v>
      </c>
      <c r="M1032" s="4">
        <v>28.073086419753082</v>
      </c>
      <c r="N1032" t="s">
        <v>91</v>
      </c>
    </row>
    <row r="1033" spans="1:14">
      <c r="A1033">
        <v>1032</v>
      </c>
      <c r="B1033">
        <v>40</v>
      </c>
      <c r="C1033" t="s">
        <v>11</v>
      </c>
      <c r="D1033" t="s">
        <v>25</v>
      </c>
      <c r="E1033" t="s">
        <v>54</v>
      </c>
      <c r="F1033">
        <v>12.42</v>
      </c>
      <c r="G1033" t="s">
        <v>19</v>
      </c>
      <c r="H1033" t="s">
        <v>15</v>
      </c>
      <c r="I1033">
        <v>4</v>
      </c>
      <c r="J1033">
        <v>20</v>
      </c>
      <c r="K1033">
        <v>5</v>
      </c>
      <c r="L1033" s="4">
        <v>15.524999999999999</v>
      </c>
      <c r="M1033" s="4">
        <v>3.1049999999999986</v>
      </c>
      <c r="N1033" t="s">
        <v>92</v>
      </c>
    </row>
    <row r="1034" spans="1:14">
      <c r="A1034">
        <v>1033</v>
      </c>
      <c r="B1034">
        <v>55</v>
      </c>
      <c r="C1034" t="s">
        <v>11</v>
      </c>
      <c r="D1034" t="s">
        <v>20</v>
      </c>
      <c r="E1034" t="s">
        <v>39</v>
      </c>
      <c r="F1034">
        <v>91.6</v>
      </c>
      <c r="G1034" t="s">
        <v>31</v>
      </c>
      <c r="H1034" t="s">
        <v>37</v>
      </c>
      <c r="I1034">
        <v>3.7</v>
      </c>
      <c r="J1034">
        <v>17</v>
      </c>
      <c r="K1034">
        <v>6</v>
      </c>
      <c r="L1034" s="4">
        <v>110.36144578313252</v>
      </c>
      <c r="M1034" s="4">
        <v>18.76144578313253</v>
      </c>
      <c r="N1034" t="s">
        <v>94</v>
      </c>
    </row>
    <row r="1035" spans="1:14">
      <c r="A1035">
        <v>1034</v>
      </c>
      <c r="B1035">
        <v>28</v>
      </c>
      <c r="C1035" t="s">
        <v>11</v>
      </c>
      <c r="D1035" t="s">
        <v>25</v>
      </c>
      <c r="E1035" t="s">
        <v>57</v>
      </c>
      <c r="F1035">
        <v>78.81</v>
      </c>
      <c r="G1035" t="s">
        <v>31</v>
      </c>
      <c r="H1035" t="s">
        <v>15</v>
      </c>
      <c r="I1035">
        <v>4.0999999999999996</v>
      </c>
      <c r="J1035">
        <v>15</v>
      </c>
      <c r="K1035">
        <v>5</v>
      </c>
      <c r="L1035" s="4">
        <v>92.71764705882353</v>
      </c>
      <c r="M1035" s="4">
        <v>13.907647058823528</v>
      </c>
      <c r="N1035" t="s">
        <v>91</v>
      </c>
    </row>
    <row r="1036" spans="1:14">
      <c r="A1036">
        <v>1035</v>
      </c>
      <c r="B1036">
        <v>36</v>
      </c>
      <c r="C1036" t="s">
        <v>16</v>
      </c>
      <c r="D1036" t="s">
        <v>22</v>
      </c>
      <c r="E1036" t="s">
        <v>43</v>
      </c>
      <c r="F1036">
        <v>299.29000000000002</v>
      </c>
      <c r="G1036" t="s">
        <v>19</v>
      </c>
      <c r="H1036" t="s">
        <v>15</v>
      </c>
      <c r="I1036">
        <v>4.5999999999999996</v>
      </c>
      <c r="J1036">
        <v>10</v>
      </c>
      <c r="K1036">
        <v>5</v>
      </c>
      <c r="L1036" s="4">
        <v>332.54444444444448</v>
      </c>
      <c r="M1036" s="4">
        <v>33.254444444444459</v>
      </c>
      <c r="N1036" t="s">
        <v>92</v>
      </c>
    </row>
    <row r="1037" spans="1:14">
      <c r="A1037">
        <v>1036</v>
      </c>
      <c r="B1037">
        <v>59</v>
      </c>
      <c r="C1037" t="s">
        <v>11</v>
      </c>
      <c r="D1037" t="s">
        <v>29</v>
      </c>
      <c r="E1037" t="s">
        <v>51</v>
      </c>
      <c r="F1037">
        <v>52.13</v>
      </c>
      <c r="G1037" t="s">
        <v>24</v>
      </c>
      <c r="H1037" t="s">
        <v>15</v>
      </c>
      <c r="I1037">
        <v>4.4000000000000004</v>
      </c>
      <c r="J1037">
        <v>14</v>
      </c>
      <c r="K1037">
        <v>2</v>
      </c>
      <c r="L1037" s="4">
        <v>60.616279069767444</v>
      </c>
      <c r="M1037" s="4">
        <v>8.4862790697674413</v>
      </c>
      <c r="N1037" t="s">
        <v>94</v>
      </c>
    </row>
    <row r="1038" spans="1:14">
      <c r="A1038">
        <v>1037</v>
      </c>
      <c r="B1038">
        <v>42</v>
      </c>
      <c r="C1038" t="s">
        <v>11</v>
      </c>
      <c r="D1038" t="s">
        <v>12</v>
      </c>
      <c r="E1038" t="s">
        <v>13</v>
      </c>
      <c r="F1038">
        <v>73.709999999999994</v>
      </c>
      <c r="G1038" t="s">
        <v>14</v>
      </c>
      <c r="H1038" t="s">
        <v>15</v>
      </c>
      <c r="I1038">
        <v>2.8</v>
      </c>
      <c r="J1038">
        <v>8</v>
      </c>
      <c r="K1038">
        <v>4</v>
      </c>
      <c r="L1038" s="4">
        <v>80.119565217391298</v>
      </c>
      <c r="M1038" s="4">
        <v>6.4095652173913038</v>
      </c>
      <c r="N1038" t="s">
        <v>92</v>
      </c>
    </row>
    <row r="1039" spans="1:14">
      <c r="A1039">
        <v>1038</v>
      </c>
      <c r="B1039">
        <v>21</v>
      </c>
      <c r="C1039" t="s">
        <v>11</v>
      </c>
      <c r="D1039" t="s">
        <v>12</v>
      </c>
      <c r="E1039" t="s">
        <v>56</v>
      </c>
      <c r="F1039">
        <v>108.59</v>
      </c>
      <c r="G1039" t="s">
        <v>24</v>
      </c>
      <c r="H1039" t="s">
        <v>15</v>
      </c>
      <c r="I1039">
        <v>4.3</v>
      </c>
      <c r="J1039">
        <v>26</v>
      </c>
      <c r="K1039">
        <v>8</v>
      </c>
      <c r="L1039" s="4">
        <v>146.74324324324326</v>
      </c>
      <c r="M1039" s="4">
        <v>38.153243243243253</v>
      </c>
      <c r="N1039" t="s">
        <v>100</v>
      </c>
    </row>
    <row r="1040" spans="1:14">
      <c r="A1040">
        <v>1039</v>
      </c>
      <c r="B1040">
        <v>63</v>
      </c>
      <c r="C1040" t="s">
        <v>16</v>
      </c>
      <c r="D1040" t="s">
        <v>27</v>
      </c>
      <c r="E1040" t="s">
        <v>53</v>
      </c>
      <c r="F1040">
        <v>2738.93</v>
      </c>
      <c r="G1040" t="s">
        <v>31</v>
      </c>
      <c r="H1040" t="s">
        <v>15</v>
      </c>
      <c r="I1040">
        <v>4</v>
      </c>
      <c r="J1040">
        <v>12</v>
      </c>
      <c r="K1040">
        <v>6</v>
      </c>
      <c r="L1040" s="4">
        <v>3112.4204545454545</v>
      </c>
      <c r="M1040" s="4">
        <v>373.49045454545467</v>
      </c>
      <c r="N1040" t="s">
        <v>94</v>
      </c>
    </row>
    <row r="1041" spans="1:14">
      <c r="A1041">
        <v>1040</v>
      </c>
      <c r="B1041">
        <v>32</v>
      </c>
      <c r="C1041" t="s">
        <v>11</v>
      </c>
      <c r="D1041" t="s">
        <v>12</v>
      </c>
      <c r="E1041" t="s">
        <v>50</v>
      </c>
      <c r="F1041">
        <v>159.16</v>
      </c>
      <c r="G1041" t="s">
        <v>31</v>
      </c>
      <c r="H1041" t="s">
        <v>15</v>
      </c>
      <c r="I1041">
        <v>4.0999999999999996</v>
      </c>
      <c r="J1041">
        <v>10</v>
      </c>
      <c r="K1041">
        <v>5</v>
      </c>
      <c r="L1041" s="4">
        <v>176.84444444444443</v>
      </c>
      <c r="M1041" s="4">
        <v>17.684444444444438</v>
      </c>
      <c r="N1041" t="s">
        <v>91</v>
      </c>
    </row>
    <row r="1042" spans="1:14">
      <c r="A1042">
        <v>1041</v>
      </c>
      <c r="B1042">
        <v>32</v>
      </c>
      <c r="C1042" t="s">
        <v>11</v>
      </c>
      <c r="D1042" t="s">
        <v>41</v>
      </c>
      <c r="E1042" t="s">
        <v>45</v>
      </c>
      <c r="F1042">
        <v>193.19</v>
      </c>
      <c r="G1042" t="s">
        <v>19</v>
      </c>
      <c r="H1042" t="s">
        <v>15</v>
      </c>
      <c r="I1042">
        <v>4.9000000000000004</v>
      </c>
      <c r="J1042">
        <v>26</v>
      </c>
      <c r="K1042">
        <v>8</v>
      </c>
      <c r="L1042" s="4">
        <v>261.06756756756755</v>
      </c>
      <c r="M1042" s="4">
        <v>67.877567567567553</v>
      </c>
      <c r="N1042" t="s">
        <v>91</v>
      </c>
    </row>
    <row r="1043" spans="1:14">
      <c r="A1043">
        <v>1042</v>
      </c>
      <c r="B1043">
        <v>45</v>
      </c>
      <c r="C1043" t="s">
        <v>16</v>
      </c>
      <c r="D1043" t="s">
        <v>33</v>
      </c>
      <c r="E1043" t="s">
        <v>38</v>
      </c>
      <c r="F1043">
        <v>143.72</v>
      </c>
      <c r="G1043" t="s">
        <v>31</v>
      </c>
      <c r="H1043" t="s">
        <v>15</v>
      </c>
      <c r="I1043">
        <v>2.6</v>
      </c>
      <c r="J1043">
        <v>20</v>
      </c>
      <c r="K1043">
        <v>5</v>
      </c>
      <c r="L1043" s="4">
        <v>179.64999999999998</v>
      </c>
      <c r="M1043" s="4">
        <v>35.929999999999978</v>
      </c>
      <c r="N1043" t="s">
        <v>93</v>
      </c>
    </row>
    <row r="1044" spans="1:14">
      <c r="A1044">
        <v>1043</v>
      </c>
      <c r="B1044">
        <v>24</v>
      </c>
      <c r="C1044" t="s">
        <v>11</v>
      </c>
      <c r="D1044" t="s">
        <v>41</v>
      </c>
      <c r="E1044" t="s">
        <v>46</v>
      </c>
      <c r="F1044">
        <v>141.82</v>
      </c>
      <c r="G1044" t="s">
        <v>24</v>
      </c>
      <c r="H1044" t="s">
        <v>15</v>
      </c>
      <c r="I1044">
        <v>3.8</v>
      </c>
      <c r="J1044">
        <v>10</v>
      </c>
      <c r="K1044">
        <v>5</v>
      </c>
      <c r="L1044" s="4">
        <v>157.57777777777775</v>
      </c>
      <c r="M1044" s="4">
        <v>15.757777777777761</v>
      </c>
      <c r="N1044" t="s">
        <v>100</v>
      </c>
    </row>
    <row r="1045" spans="1:14">
      <c r="A1045">
        <v>1044</v>
      </c>
      <c r="B1045">
        <v>44</v>
      </c>
      <c r="C1045" t="s">
        <v>11</v>
      </c>
      <c r="D1045" t="s">
        <v>41</v>
      </c>
      <c r="E1045" t="s">
        <v>45</v>
      </c>
      <c r="F1045">
        <v>177.01</v>
      </c>
      <c r="G1045" t="s">
        <v>19</v>
      </c>
      <c r="H1045" t="s">
        <v>15</v>
      </c>
      <c r="I1045">
        <v>1.9</v>
      </c>
      <c r="J1045">
        <v>7</v>
      </c>
      <c r="K1045">
        <v>1</v>
      </c>
      <c r="L1045" s="4">
        <v>190.33333333333334</v>
      </c>
      <c r="M1045" s="4">
        <v>13.323333333333352</v>
      </c>
      <c r="N1045" t="s">
        <v>92</v>
      </c>
    </row>
    <row r="1046" spans="1:14">
      <c r="A1046">
        <v>1045</v>
      </c>
      <c r="B1046">
        <v>33</v>
      </c>
      <c r="C1046" t="s">
        <v>16</v>
      </c>
      <c r="D1046" t="s">
        <v>20</v>
      </c>
      <c r="E1046" t="s">
        <v>36</v>
      </c>
      <c r="F1046">
        <v>144.52000000000001</v>
      </c>
      <c r="G1046" t="s">
        <v>14</v>
      </c>
      <c r="H1046" t="s">
        <v>15</v>
      </c>
      <c r="I1046">
        <v>4.5999999999999996</v>
      </c>
      <c r="J1046">
        <v>10</v>
      </c>
      <c r="K1046">
        <v>5</v>
      </c>
      <c r="L1046" s="4">
        <v>160.57777777777778</v>
      </c>
      <c r="M1046" s="4">
        <v>16.057777777777773</v>
      </c>
      <c r="N1046" t="s">
        <v>91</v>
      </c>
    </row>
    <row r="1047" spans="1:14">
      <c r="A1047">
        <v>1046</v>
      </c>
      <c r="B1047">
        <v>40</v>
      </c>
      <c r="C1047" t="s">
        <v>16</v>
      </c>
      <c r="D1047" t="s">
        <v>17</v>
      </c>
      <c r="E1047" t="s">
        <v>35</v>
      </c>
      <c r="F1047">
        <v>141.59</v>
      </c>
      <c r="G1047" t="s">
        <v>19</v>
      </c>
      <c r="H1047" t="s">
        <v>15</v>
      </c>
      <c r="I1047">
        <v>3.3</v>
      </c>
      <c r="J1047">
        <v>4</v>
      </c>
      <c r="K1047">
        <v>2</v>
      </c>
      <c r="L1047" s="4">
        <v>147.48958333333334</v>
      </c>
      <c r="M1047" s="4">
        <v>5.8995833333333394</v>
      </c>
      <c r="N1047" t="s">
        <v>92</v>
      </c>
    </row>
    <row r="1048" spans="1:14">
      <c r="A1048">
        <v>1047</v>
      </c>
      <c r="B1048">
        <v>53</v>
      </c>
      <c r="C1048" t="s">
        <v>11</v>
      </c>
      <c r="D1048" t="s">
        <v>41</v>
      </c>
      <c r="E1048" t="s">
        <v>44</v>
      </c>
      <c r="F1048">
        <v>130.75</v>
      </c>
      <c r="G1048" t="s">
        <v>31</v>
      </c>
      <c r="H1048" t="s">
        <v>15</v>
      </c>
      <c r="I1048">
        <v>3.9</v>
      </c>
      <c r="J1048">
        <v>15</v>
      </c>
      <c r="K1048">
        <v>5</v>
      </c>
      <c r="L1048" s="4">
        <v>153.8235294117647</v>
      </c>
      <c r="M1048" s="4">
        <v>23.073529411764696</v>
      </c>
      <c r="N1048" t="s">
        <v>93</v>
      </c>
    </row>
    <row r="1049" spans="1:14">
      <c r="A1049">
        <v>1048</v>
      </c>
      <c r="B1049">
        <v>55</v>
      </c>
      <c r="C1049" t="s">
        <v>16</v>
      </c>
      <c r="D1049" t="s">
        <v>33</v>
      </c>
      <c r="E1049" t="s">
        <v>38</v>
      </c>
      <c r="F1049">
        <v>57.48</v>
      </c>
      <c r="G1049" t="s">
        <v>31</v>
      </c>
      <c r="H1049" t="s">
        <v>15</v>
      </c>
      <c r="I1049">
        <v>4.0999999999999996</v>
      </c>
      <c r="J1049">
        <v>15</v>
      </c>
      <c r="K1049">
        <v>5</v>
      </c>
      <c r="L1049" s="4">
        <v>67.623529411764707</v>
      </c>
      <c r="M1049" s="4">
        <v>10.14352941176471</v>
      </c>
      <c r="N1049" t="s">
        <v>94</v>
      </c>
    </row>
    <row r="1050" spans="1:14">
      <c r="A1050">
        <v>1049</v>
      </c>
      <c r="B1050">
        <v>40</v>
      </c>
      <c r="C1050" t="s">
        <v>11</v>
      </c>
      <c r="D1050" t="s">
        <v>41</v>
      </c>
      <c r="E1050" t="s">
        <v>46</v>
      </c>
      <c r="F1050">
        <v>75.56</v>
      </c>
      <c r="G1050" t="s">
        <v>24</v>
      </c>
      <c r="H1050" t="s">
        <v>37</v>
      </c>
      <c r="I1050">
        <v>4.0999999999999996</v>
      </c>
      <c r="J1050">
        <v>10</v>
      </c>
      <c r="K1050">
        <v>5</v>
      </c>
      <c r="L1050" s="4">
        <v>83.955555555555563</v>
      </c>
      <c r="M1050" s="4">
        <v>8.3955555555555605</v>
      </c>
      <c r="N1050" t="s">
        <v>92</v>
      </c>
    </row>
    <row r="1051" spans="1:14">
      <c r="A1051">
        <v>1050</v>
      </c>
      <c r="B1051">
        <v>34</v>
      </c>
      <c r="C1051" t="s">
        <v>11</v>
      </c>
      <c r="D1051" t="s">
        <v>12</v>
      </c>
      <c r="E1051" t="s">
        <v>13</v>
      </c>
      <c r="F1051">
        <v>50.23</v>
      </c>
      <c r="G1051" t="s">
        <v>19</v>
      </c>
      <c r="H1051" t="s">
        <v>37</v>
      </c>
      <c r="I1051">
        <v>2.2000000000000002</v>
      </c>
      <c r="J1051">
        <v>6</v>
      </c>
      <c r="K1051">
        <v>3</v>
      </c>
      <c r="L1051" s="4">
        <v>53.436170212765958</v>
      </c>
      <c r="M1051" s="4">
        <v>3.2061702127659615</v>
      </c>
      <c r="N1051" t="s">
        <v>91</v>
      </c>
    </row>
    <row r="1052" spans="1:14">
      <c r="A1052">
        <v>1051</v>
      </c>
      <c r="B1052">
        <v>45</v>
      </c>
      <c r="C1052" t="s">
        <v>11</v>
      </c>
      <c r="D1052" t="s">
        <v>12</v>
      </c>
      <c r="E1052" t="s">
        <v>13</v>
      </c>
      <c r="F1052">
        <v>56.28</v>
      </c>
      <c r="G1052" t="s">
        <v>31</v>
      </c>
      <c r="H1052" t="s">
        <v>37</v>
      </c>
      <c r="I1052">
        <v>4.5</v>
      </c>
      <c r="J1052">
        <v>18</v>
      </c>
      <c r="K1052">
        <v>4</v>
      </c>
      <c r="L1052" s="4">
        <v>68.634146341463406</v>
      </c>
      <c r="M1052" s="4">
        <v>12.354146341463405</v>
      </c>
      <c r="N1052" t="s">
        <v>93</v>
      </c>
    </row>
    <row r="1053" spans="1:14">
      <c r="A1053">
        <v>1052</v>
      </c>
      <c r="B1053">
        <v>31</v>
      </c>
      <c r="C1053" t="s">
        <v>16</v>
      </c>
      <c r="D1053" t="s">
        <v>22</v>
      </c>
      <c r="E1053" t="s">
        <v>23</v>
      </c>
      <c r="F1053">
        <v>211.48</v>
      </c>
      <c r="G1053" t="s">
        <v>19</v>
      </c>
      <c r="H1053" t="s">
        <v>15</v>
      </c>
      <c r="I1053">
        <v>2.8</v>
      </c>
      <c r="J1053">
        <v>9</v>
      </c>
      <c r="K1053">
        <v>2</v>
      </c>
      <c r="L1053" s="4">
        <v>232.39560439560438</v>
      </c>
      <c r="M1053" s="4">
        <v>20.91560439560439</v>
      </c>
      <c r="N1053" t="s">
        <v>91</v>
      </c>
    </row>
    <row r="1054" spans="1:14">
      <c r="A1054">
        <v>1053</v>
      </c>
      <c r="B1054">
        <v>37</v>
      </c>
      <c r="C1054" t="s">
        <v>11</v>
      </c>
      <c r="D1054" t="s">
        <v>22</v>
      </c>
      <c r="E1054" t="s">
        <v>43</v>
      </c>
      <c r="F1054">
        <v>75.819999999999993</v>
      </c>
      <c r="G1054" t="s">
        <v>24</v>
      </c>
      <c r="H1054" t="s">
        <v>15</v>
      </c>
      <c r="I1054">
        <v>4.3</v>
      </c>
      <c r="J1054">
        <v>12</v>
      </c>
      <c r="K1054">
        <v>1</v>
      </c>
      <c r="L1054" s="4">
        <v>86.159090909090907</v>
      </c>
      <c r="M1054" s="4">
        <v>10.339090909090913</v>
      </c>
      <c r="N1054" t="s">
        <v>92</v>
      </c>
    </row>
    <row r="1055" spans="1:14">
      <c r="A1055">
        <v>1054</v>
      </c>
      <c r="B1055">
        <v>60</v>
      </c>
      <c r="C1055" t="s">
        <v>11</v>
      </c>
      <c r="D1055" t="s">
        <v>12</v>
      </c>
      <c r="E1055" t="s">
        <v>50</v>
      </c>
      <c r="F1055">
        <v>58.95</v>
      </c>
      <c r="G1055" t="s">
        <v>24</v>
      </c>
      <c r="H1055" t="s">
        <v>37</v>
      </c>
      <c r="I1055">
        <v>3.5</v>
      </c>
      <c r="J1055">
        <v>6</v>
      </c>
      <c r="K1055">
        <v>3</v>
      </c>
      <c r="L1055" s="4">
        <v>62.712765957446813</v>
      </c>
      <c r="M1055" s="4">
        <v>3.7627659574468098</v>
      </c>
      <c r="N1055" t="s">
        <v>94</v>
      </c>
    </row>
    <row r="1056" spans="1:14">
      <c r="A1056">
        <v>1055</v>
      </c>
      <c r="B1056">
        <v>38</v>
      </c>
      <c r="C1056" t="s">
        <v>16</v>
      </c>
      <c r="D1056" t="s">
        <v>27</v>
      </c>
      <c r="E1056" t="s">
        <v>53</v>
      </c>
      <c r="F1056">
        <v>1948.69</v>
      </c>
      <c r="G1056" t="s">
        <v>31</v>
      </c>
      <c r="H1056" t="s">
        <v>15</v>
      </c>
      <c r="I1056">
        <v>2.9</v>
      </c>
      <c r="J1056">
        <v>16</v>
      </c>
      <c r="K1056">
        <v>8</v>
      </c>
      <c r="L1056" s="4">
        <v>2319.8690476190477</v>
      </c>
      <c r="M1056" s="4">
        <v>371.17904761904765</v>
      </c>
      <c r="N1056" t="s">
        <v>92</v>
      </c>
    </row>
    <row r="1057" spans="1:14">
      <c r="A1057">
        <v>1056</v>
      </c>
      <c r="B1057">
        <v>60</v>
      </c>
      <c r="C1057" t="s">
        <v>16</v>
      </c>
      <c r="D1057" t="s">
        <v>20</v>
      </c>
      <c r="E1057" t="s">
        <v>36</v>
      </c>
      <c r="F1057">
        <v>221.58</v>
      </c>
      <c r="G1057" t="s">
        <v>31</v>
      </c>
      <c r="H1057" t="s">
        <v>15</v>
      </c>
      <c r="I1057">
        <v>3.2</v>
      </c>
      <c r="J1057">
        <v>10</v>
      </c>
      <c r="K1057">
        <v>5</v>
      </c>
      <c r="L1057" s="4">
        <v>246.20000000000002</v>
      </c>
      <c r="M1057" s="4">
        <v>24.620000000000005</v>
      </c>
      <c r="N1057" t="s">
        <v>94</v>
      </c>
    </row>
    <row r="1058" spans="1:14">
      <c r="A1058">
        <v>1057</v>
      </c>
      <c r="B1058">
        <v>40</v>
      </c>
      <c r="C1058" t="s">
        <v>16</v>
      </c>
      <c r="D1058" t="s">
        <v>20</v>
      </c>
      <c r="E1058" t="s">
        <v>21</v>
      </c>
      <c r="F1058">
        <v>194.16</v>
      </c>
      <c r="G1058" t="s">
        <v>24</v>
      </c>
      <c r="H1058" t="s">
        <v>15</v>
      </c>
      <c r="I1058">
        <v>3.9</v>
      </c>
      <c r="J1058">
        <v>21</v>
      </c>
      <c r="K1058">
        <v>8</v>
      </c>
      <c r="L1058" s="4">
        <v>245.77215189873417</v>
      </c>
      <c r="M1058" s="4">
        <v>51.612151898734169</v>
      </c>
      <c r="N1058" t="s">
        <v>92</v>
      </c>
    </row>
    <row r="1059" spans="1:14">
      <c r="A1059">
        <v>1058</v>
      </c>
      <c r="B1059">
        <v>33</v>
      </c>
      <c r="C1059" t="s">
        <v>11</v>
      </c>
      <c r="D1059" t="s">
        <v>33</v>
      </c>
      <c r="E1059" t="s">
        <v>40</v>
      </c>
      <c r="F1059">
        <v>40.299999999999997</v>
      </c>
      <c r="G1059" t="s">
        <v>24</v>
      </c>
      <c r="H1059" t="s">
        <v>15</v>
      </c>
      <c r="I1059">
        <v>2.5</v>
      </c>
      <c r="J1059">
        <v>22</v>
      </c>
      <c r="K1059">
        <v>6</v>
      </c>
      <c r="L1059" s="4">
        <v>51.666666666666664</v>
      </c>
      <c r="M1059" s="4">
        <v>11.366666666666667</v>
      </c>
      <c r="N1059" t="s">
        <v>91</v>
      </c>
    </row>
    <row r="1060" spans="1:14">
      <c r="A1060">
        <v>1059</v>
      </c>
      <c r="B1060">
        <v>64</v>
      </c>
      <c r="C1060" t="s">
        <v>11</v>
      </c>
      <c r="D1060" t="s">
        <v>41</v>
      </c>
      <c r="E1060" t="s">
        <v>45</v>
      </c>
      <c r="F1060">
        <v>178.98</v>
      </c>
      <c r="G1060" t="s">
        <v>14</v>
      </c>
      <c r="H1060" t="s">
        <v>15</v>
      </c>
      <c r="I1060">
        <v>3.2</v>
      </c>
      <c r="J1060">
        <v>20</v>
      </c>
      <c r="K1060">
        <v>5</v>
      </c>
      <c r="L1060" s="4">
        <v>223.72499999999997</v>
      </c>
      <c r="M1060" s="4">
        <v>44.744999999999976</v>
      </c>
      <c r="N1060" t="s">
        <v>94</v>
      </c>
    </row>
    <row r="1061" spans="1:14">
      <c r="A1061">
        <v>1060</v>
      </c>
      <c r="B1061">
        <v>64</v>
      </c>
      <c r="C1061" t="s">
        <v>11</v>
      </c>
      <c r="D1061" t="s">
        <v>41</v>
      </c>
      <c r="E1061" t="s">
        <v>45</v>
      </c>
      <c r="F1061">
        <v>190.01</v>
      </c>
      <c r="G1061" t="s">
        <v>19</v>
      </c>
      <c r="H1061" t="s">
        <v>15</v>
      </c>
      <c r="I1061">
        <v>4.0999999999999996</v>
      </c>
      <c r="J1061">
        <v>18</v>
      </c>
      <c r="K1061">
        <v>9</v>
      </c>
      <c r="L1061" s="4">
        <v>231.71951219512192</v>
      </c>
      <c r="M1061" s="4">
        <v>41.709512195121931</v>
      </c>
      <c r="N1061" t="s">
        <v>94</v>
      </c>
    </row>
    <row r="1062" spans="1:14">
      <c r="A1062">
        <v>1061</v>
      </c>
      <c r="B1062">
        <v>66</v>
      </c>
      <c r="C1062" t="s">
        <v>11</v>
      </c>
      <c r="D1062" t="s">
        <v>41</v>
      </c>
      <c r="E1062" t="s">
        <v>44</v>
      </c>
      <c r="F1062">
        <v>114.31</v>
      </c>
      <c r="G1062" t="s">
        <v>14</v>
      </c>
      <c r="H1062" t="s">
        <v>15</v>
      </c>
      <c r="I1062">
        <v>5</v>
      </c>
      <c r="J1062">
        <v>8</v>
      </c>
      <c r="K1062">
        <v>4</v>
      </c>
      <c r="L1062" s="4">
        <v>124.25</v>
      </c>
      <c r="M1062" s="4">
        <v>9.9399999999999977</v>
      </c>
      <c r="N1062" t="s">
        <v>95</v>
      </c>
    </row>
    <row r="1063" spans="1:14">
      <c r="A1063">
        <v>1062</v>
      </c>
      <c r="B1063">
        <v>21</v>
      </c>
      <c r="C1063" t="s">
        <v>16</v>
      </c>
      <c r="D1063" t="s">
        <v>17</v>
      </c>
      <c r="E1063" t="s">
        <v>18</v>
      </c>
      <c r="F1063">
        <v>114.03</v>
      </c>
      <c r="G1063" t="s">
        <v>14</v>
      </c>
      <c r="H1063" t="s">
        <v>15</v>
      </c>
      <c r="I1063">
        <v>2.6</v>
      </c>
      <c r="J1063">
        <v>12</v>
      </c>
      <c r="K1063">
        <v>1</v>
      </c>
      <c r="L1063" s="4">
        <v>129.57954545454547</v>
      </c>
      <c r="M1063" s="4">
        <v>15.549545454545466</v>
      </c>
      <c r="N1063" t="s">
        <v>100</v>
      </c>
    </row>
    <row r="1064" spans="1:14">
      <c r="A1064">
        <v>1063</v>
      </c>
      <c r="B1064">
        <v>49</v>
      </c>
      <c r="C1064" t="s">
        <v>16</v>
      </c>
      <c r="D1064" t="s">
        <v>33</v>
      </c>
      <c r="E1064" t="s">
        <v>34</v>
      </c>
      <c r="F1064">
        <v>106.57</v>
      </c>
      <c r="G1064" t="s">
        <v>14</v>
      </c>
      <c r="H1064" t="s">
        <v>15</v>
      </c>
      <c r="I1064">
        <v>3.2</v>
      </c>
      <c r="J1064">
        <v>8</v>
      </c>
      <c r="K1064">
        <v>4</v>
      </c>
      <c r="L1064" s="4">
        <v>115.83695652173911</v>
      </c>
      <c r="M1064" s="4">
        <v>9.2669565217391181</v>
      </c>
      <c r="N1064" t="s">
        <v>93</v>
      </c>
    </row>
    <row r="1065" spans="1:14">
      <c r="A1065">
        <v>1064</v>
      </c>
      <c r="B1065">
        <v>40</v>
      </c>
      <c r="C1065" t="s">
        <v>11</v>
      </c>
      <c r="D1065" t="s">
        <v>29</v>
      </c>
      <c r="E1065" t="s">
        <v>51</v>
      </c>
      <c r="F1065">
        <v>44.46</v>
      </c>
      <c r="G1065" t="s">
        <v>31</v>
      </c>
      <c r="H1065" t="s">
        <v>15</v>
      </c>
      <c r="I1065">
        <v>3.5</v>
      </c>
      <c r="J1065">
        <v>22</v>
      </c>
      <c r="K1065">
        <v>6</v>
      </c>
      <c r="L1065" s="4">
        <v>57</v>
      </c>
      <c r="M1065" s="4">
        <v>12.54</v>
      </c>
      <c r="N1065" t="s">
        <v>92</v>
      </c>
    </row>
    <row r="1066" spans="1:14">
      <c r="A1066">
        <v>1065</v>
      </c>
      <c r="B1066">
        <v>49</v>
      </c>
      <c r="C1066" t="s">
        <v>11</v>
      </c>
      <c r="D1066" t="s">
        <v>41</v>
      </c>
      <c r="E1066" t="s">
        <v>44</v>
      </c>
      <c r="F1066">
        <v>43.75</v>
      </c>
      <c r="G1066" t="s">
        <v>19</v>
      </c>
      <c r="H1066" t="s">
        <v>15</v>
      </c>
      <c r="I1066">
        <v>3.8</v>
      </c>
      <c r="J1066">
        <v>22</v>
      </c>
      <c r="K1066">
        <v>6</v>
      </c>
      <c r="L1066" s="4">
        <v>56.089743589743591</v>
      </c>
      <c r="M1066" s="4">
        <v>12.339743589743591</v>
      </c>
      <c r="N1066" t="s">
        <v>93</v>
      </c>
    </row>
    <row r="1067" spans="1:14">
      <c r="A1067">
        <v>1066</v>
      </c>
      <c r="B1067">
        <v>20</v>
      </c>
      <c r="C1067" t="s">
        <v>16</v>
      </c>
      <c r="D1067" t="s">
        <v>20</v>
      </c>
      <c r="E1067" t="s">
        <v>36</v>
      </c>
      <c r="F1067">
        <v>98.82</v>
      </c>
      <c r="G1067" t="s">
        <v>24</v>
      </c>
      <c r="H1067" t="s">
        <v>15</v>
      </c>
      <c r="I1067">
        <v>3.5</v>
      </c>
      <c r="J1067">
        <v>16</v>
      </c>
      <c r="K1067">
        <v>3</v>
      </c>
      <c r="L1067" s="4">
        <v>117.64285714285714</v>
      </c>
      <c r="M1067" s="4">
        <v>18.822857142857146</v>
      </c>
      <c r="N1067" t="s">
        <v>100</v>
      </c>
    </row>
    <row r="1068" spans="1:14">
      <c r="A1068">
        <v>1067</v>
      </c>
      <c r="B1068">
        <v>53</v>
      </c>
      <c r="C1068" t="s">
        <v>16</v>
      </c>
      <c r="D1068" t="s">
        <v>17</v>
      </c>
      <c r="E1068" t="s">
        <v>42</v>
      </c>
      <c r="F1068">
        <v>176.35</v>
      </c>
      <c r="G1068" t="s">
        <v>14</v>
      </c>
      <c r="H1068" t="s">
        <v>15</v>
      </c>
      <c r="I1068">
        <v>4</v>
      </c>
      <c r="J1068">
        <v>6</v>
      </c>
      <c r="K1068">
        <v>3</v>
      </c>
      <c r="L1068" s="4">
        <v>187.60638297872342</v>
      </c>
      <c r="M1068" s="4">
        <v>11.256382978723423</v>
      </c>
      <c r="N1068" t="s">
        <v>93</v>
      </c>
    </row>
    <row r="1069" spans="1:14">
      <c r="A1069">
        <v>1068</v>
      </c>
      <c r="B1069">
        <v>20</v>
      </c>
      <c r="C1069" t="s">
        <v>16</v>
      </c>
      <c r="D1069" t="s">
        <v>27</v>
      </c>
      <c r="E1069" t="s">
        <v>49</v>
      </c>
      <c r="F1069">
        <v>768.38</v>
      </c>
      <c r="G1069" t="s">
        <v>14</v>
      </c>
      <c r="H1069" t="s">
        <v>15</v>
      </c>
      <c r="I1069">
        <v>4.3</v>
      </c>
      <c r="J1069">
        <v>15</v>
      </c>
      <c r="K1069">
        <v>5</v>
      </c>
      <c r="L1069" s="4">
        <v>903.97647058823532</v>
      </c>
      <c r="M1069" s="4">
        <v>135.59647058823532</v>
      </c>
      <c r="N1069" t="s">
        <v>100</v>
      </c>
    </row>
    <row r="1070" spans="1:14">
      <c r="A1070">
        <v>1069</v>
      </c>
      <c r="B1070">
        <v>58</v>
      </c>
      <c r="C1070" t="s">
        <v>16</v>
      </c>
      <c r="D1070" t="s">
        <v>27</v>
      </c>
      <c r="E1070" t="s">
        <v>49</v>
      </c>
      <c r="F1070">
        <v>2823.73</v>
      </c>
      <c r="G1070" t="s">
        <v>19</v>
      </c>
      <c r="H1070" t="s">
        <v>15</v>
      </c>
      <c r="I1070">
        <v>4.5</v>
      </c>
      <c r="J1070">
        <v>20</v>
      </c>
      <c r="K1070">
        <v>5</v>
      </c>
      <c r="L1070" s="4">
        <v>3529.6624999999999</v>
      </c>
      <c r="M1070" s="4">
        <v>705.93249999999989</v>
      </c>
      <c r="N1070" t="s">
        <v>94</v>
      </c>
    </row>
    <row r="1071" spans="1:14">
      <c r="A1071">
        <v>1070</v>
      </c>
      <c r="B1071">
        <v>53</v>
      </c>
      <c r="C1071" t="s">
        <v>16</v>
      </c>
      <c r="D1071" t="s">
        <v>20</v>
      </c>
      <c r="E1071" t="s">
        <v>36</v>
      </c>
      <c r="F1071">
        <v>33.24</v>
      </c>
      <c r="G1071" t="s">
        <v>14</v>
      </c>
      <c r="H1071" t="s">
        <v>37</v>
      </c>
      <c r="I1071">
        <v>4.0999999999999996</v>
      </c>
      <c r="J1071">
        <v>22</v>
      </c>
      <c r="K1071">
        <v>6</v>
      </c>
      <c r="L1071" s="4">
        <v>42.615384615384613</v>
      </c>
      <c r="M1071" s="4">
        <v>9.3753846153846112</v>
      </c>
      <c r="N1071" t="s">
        <v>93</v>
      </c>
    </row>
    <row r="1072" spans="1:14">
      <c r="A1072">
        <v>1071</v>
      </c>
      <c r="B1072">
        <v>38</v>
      </c>
      <c r="C1072" t="s">
        <v>11</v>
      </c>
      <c r="D1072" t="s">
        <v>12</v>
      </c>
      <c r="E1072" t="s">
        <v>56</v>
      </c>
      <c r="F1072">
        <v>150.79</v>
      </c>
      <c r="G1072" t="s">
        <v>14</v>
      </c>
      <c r="H1072" t="s">
        <v>15</v>
      </c>
      <c r="I1072">
        <v>2.7</v>
      </c>
      <c r="J1072">
        <v>10</v>
      </c>
      <c r="K1072">
        <v>5</v>
      </c>
      <c r="L1072" s="4">
        <v>167.54444444444442</v>
      </c>
      <c r="M1072" s="4">
        <v>16.754444444444431</v>
      </c>
      <c r="N1072" t="s">
        <v>92</v>
      </c>
    </row>
    <row r="1073" spans="1:14">
      <c r="A1073">
        <v>1072</v>
      </c>
      <c r="B1073">
        <v>65</v>
      </c>
      <c r="C1073" t="s">
        <v>16</v>
      </c>
      <c r="D1073" t="s">
        <v>20</v>
      </c>
      <c r="E1073" t="s">
        <v>36</v>
      </c>
      <c r="F1073">
        <v>208.78</v>
      </c>
      <c r="G1073" t="s">
        <v>14</v>
      </c>
      <c r="H1073" t="s">
        <v>15</v>
      </c>
      <c r="I1073">
        <v>4.3</v>
      </c>
      <c r="J1073">
        <v>20</v>
      </c>
      <c r="K1073">
        <v>5</v>
      </c>
      <c r="L1073" s="4">
        <v>260.97499999999997</v>
      </c>
      <c r="M1073" s="4">
        <v>52.194999999999965</v>
      </c>
      <c r="N1073" t="s">
        <v>95</v>
      </c>
    </row>
    <row r="1074" spans="1:14">
      <c r="A1074">
        <v>1073</v>
      </c>
      <c r="B1074">
        <v>22</v>
      </c>
      <c r="C1074" t="s">
        <v>11</v>
      </c>
      <c r="D1074" t="s">
        <v>12</v>
      </c>
      <c r="E1074" t="s">
        <v>13</v>
      </c>
      <c r="F1074">
        <v>80.5</v>
      </c>
      <c r="G1074" t="s">
        <v>31</v>
      </c>
      <c r="H1074" t="s">
        <v>15</v>
      </c>
      <c r="I1074">
        <v>4</v>
      </c>
      <c r="J1074">
        <v>16</v>
      </c>
      <c r="K1074">
        <v>3</v>
      </c>
      <c r="L1074" s="4">
        <v>95.833333333333343</v>
      </c>
      <c r="M1074" s="4">
        <v>15.333333333333343</v>
      </c>
      <c r="N1074" t="s">
        <v>100</v>
      </c>
    </row>
    <row r="1075" spans="1:14">
      <c r="A1075">
        <v>1074</v>
      </c>
      <c r="B1075">
        <v>60</v>
      </c>
      <c r="C1075" t="s">
        <v>16</v>
      </c>
      <c r="D1075" t="s">
        <v>20</v>
      </c>
      <c r="E1075" t="s">
        <v>39</v>
      </c>
      <c r="F1075">
        <v>139.63999999999999</v>
      </c>
      <c r="G1075" t="s">
        <v>14</v>
      </c>
      <c r="H1075" t="s">
        <v>15</v>
      </c>
      <c r="I1075">
        <v>4</v>
      </c>
      <c r="J1075">
        <v>26</v>
      </c>
      <c r="K1075">
        <v>8</v>
      </c>
      <c r="L1075" s="4">
        <v>188.70270270270268</v>
      </c>
      <c r="M1075" s="4">
        <v>49.062702702702694</v>
      </c>
      <c r="N1075" t="s">
        <v>94</v>
      </c>
    </row>
    <row r="1076" spans="1:14">
      <c r="A1076">
        <v>1075</v>
      </c>
      <c r="B1076">
        <v>32</v>
      </c>
      <c r="C1076" t="s">
        <v>11</v>
      </c>
      <c r="D1076" t="s">
        <v>29</v>
      </c>
      <c r="E1076" t="s">
        <v>55</v>
      </c>
      <c r="F1076">
        <v>105.08</v>
      </c>
      <c r="G1076" t="s">
        <v>19</v>
      </c>
      <c r="H1076" t="s">
        <v>15</v>
      </c>
      <c r="I1076">
        <v>3</v>
      </c>
      <c r="J1076">
        <v>13</v>
      </c>
      <c r="K1076">
        <v>4</v>
      </c>
      <c r="L1076" s="4">
        <v>120.7816091954023</v>
      </c>
      <c r="M1076" s="4">
        <v>15.701609195402298</v>
      </c>
      <c r="N1076" t="s">
        <v>91</v>
      </c>
    </row>
    <row r="1077" spans="1:14">
      <c r="A1077">
        <v>1076</v>
      </c>
      <c r="B1077">
        <v>47</v>
      </c>
      <c r="C1077" t="s">
        <v>16</v>
      </c>
      <c r="D1077" t="s">
        <v>25</v>
      </c>
      <c r="E1077" t="s">
        <v>54</v>
      </c>
      <c r="F1077">
        <v>73.92</v>
      </c>
      <c r="G1077" t="s">
        <v>19</v>
      </c>
      <c r="H1077" t="s">
        <v>37</v>
      </c>
      <c r="I1077">
        <v>3.5</v>
      </c>
      <c r="J1077">
        <v>9</v>
      </c>
      <c r="K1077">
        <v>2</v>
      </c>
      <c r="L1077" s="4">
        <v>81.230769230769226</v>
      </c>
      <c r="M1077" s="4">
        <v>7.3107692307692247</v>
      </c>
      <c r="N1077" t="s">
        <v>93</v>
      </c>
    </row>
    <row r="1078" spans="1:14">
      <c r="A1078">
        <v>1077</v>
      </c>
      <c r="B1078">
        <v>48</v>
      </c>
      <c r="C1078" t="s">
        <v>16</v>
      </c>
      <c r="D1078" t="s">
        <v>27</v>
      </c>
      <c r="E1078" t="s">
        <v>32</v>
      </c>
      <c r="F1078">
        <v>2738.51</v>
      </c>
      <c r="G1078" t="s">
        <v>31</v>
      </c>
      <c r="H1078" t="s">
        <v>15</v>
      </c>
      <c r="I1078">
        <v>3.5</v>
      </c>
      <c r="J1078">
        <v>11</v>
      </c>
      <c r="K1078">
        <v>3</v>
      </c>
      <c r="L1078" s="4">
        <v>3076.977528089888</v>
      </c>
      <c r="M1078" s="4">
        <v>338.46752808988776</v>
      </c>
      <c r="N1078" t="s">
        <v>93</v>
      </c>
    </row>
    <row r="1079" spans="1:14">
      <c r="A1079">
        <v>1078</v>
      </c>
      <c r="B1079">
        <v>69</v>
      </c>
      <c r="C1079" t="s">
        <v>16</v>
      </c>
      <c r="D1079" t="s">
        <v>27</v>
      </c>
      <c r="E1079" t="s">
        <v>32</v>
      </c>
      <c r="F1079">
        <v>1627.36</v>
      </c>
      <c r="G1079" t="s">
        <v>19</v>
      </c>
      <c r="H1079" t="s">
        <v>15</v>
      </c>
      <c r="I1079">
        <v>3.5</v>
      </c>
      <c r="J1079">
        <v>18</v>
      </c>
      <c r="K1079">
        <v>4</v>
      </c>
      <c r="L1079" s="4">
        <v>1984.5853658536582</v>
      </c>
      <c r="M1079" s="4">
        <v>357.22536585365833</v>
      </c>
      <c r="N1079" t="s">
        <v>95</v>
      </c>
    </row>
    <row r="1080" spans="1:14">
      <c r="A1080">
        <v>1079</v>
      </c>
      <c r="B1080">
        <v>64</v>
      </c>
      <c r="C1080" t="s">
        <v>16</v>
      </c>
      <c r="D1080" t="s">
        <v>25</v>
      </c>
      <c r="E1080" t="s">
        <v>26</v>
      </c>
      <c r="F1080">
        <v>44.35</v>
      </c>
      <c r="G1080" t="s">
        <v>19</v>
      </c>
      <c r="H1080" t="s">
        <v>37</v>
      </c>
      <c r="I1080">
        <v>3.4</v>
      </c>
      <c r="J1080">
        <v>15</v>
      </c>
      <c r="K1080">
        <v>5</v>
      </c>
      <c r="L1080" s="4">
        <v>52.176470588235297</v>
      </c>
      <c r="M1080" s="4">
        <v>7.8264705882352956</v>
      </c>
      <c r="N1080" t="s">
        <v>94</v>
      </c>
    </row>
    <row r="1081" spans="1:14">
      <c r="A1081">
        <v>1080</v>
      </c>
      <c r="B1081">
        <v>51</v>
      </c>
      <c r="C1081" t="s">
        <v>16</v>
      </c>
      <c r="D1081" t="s">
        <v>25</v>
      </c>
      <c r="E1081" t="s">
        <v>57</v>
      </c>
      <c r="F1081">
        <v>67.37</v>
      </c>
      <c r="G1081" t="s">
        <v>24</v>
      </c>
      <c r="H1081" t="s">
        <v>37</v>
      </c>
      <c r="I1081">
        <v>3.6</v>
      </c>
      <c r="J1081">
        <v>22</v>
      </c>
      <c r="K1081">
        <v>6</v>
      </c>
      <c r="L1081" s="4">
        <v>86.371794871794876</v>
      </c>
      <c r="M1081" s="4">
        <v>19.001794871794871</v>
      </c>
      <c r="N1081" t="s">
        <v>93</v>
      </c>
    </row>
    <row r="1082" spans="1:14">
      <c r="A1082">
        <v>1081</v>
      </c>
      <c r="B1082">
        <v>55</v>
      </c>
      <c r="C1082" t="s">
        <v>11</v>
      </c>
      <c r="D1082" t="s">
        <v>29</v>
      </c>
      <c r="E1082" t="s">
        <v>30</v>
      </c>
      <c r="F1082">
        <v>51.63</v>
      </c>
      <c r="G1082" t="s">
        <v>14</v>
      </c>
      <c r="H1082" t="s">
        <v>15</v>
      </c>
      <c r="I1082">
        <v>4.5999999999999996</v>
      </c>
      <c r="J1082">
        <v>18</v>
      </c>
      <c r="K1082">
        <v>4</v>
      </c>
      <c r="L1082" s="4">
        <v>62.963414634146339</v>
      </c>
      <c r="M1082" s="4">
        <v>11.333414634146337</v>
      </c>
      <c r="N1082" t="s">
        <v>94</v>
      </c>
    </row>
    <row r="1083" spans="1:14">
      <c r="A1083">
        <v>1082</v>
      </c>
      <c r="B1083">
        <v>62</v>
      </c>
      <c r="C1083" t="s">
        <v>16</v>
      </c>
      <c r="D1083" t="s">
        <v>20</v>
      </c>
      <c r="E1083" t="s">
        <v>21</v>
      </c>
      <c r="F1083">
        <v>202.1</v>
      </c>
      <c r="G1083" t="s">
        <v>31</v>
      </c>
      <c r="H1083" t="s">
        <v>15</v>
      </c>
      <c r="I1083">
        <v>2.2000000000000002</v>
      </c>
      <c r="J1083">
        <v>20</v>
      </c>
      <c r="K1083">
        <v>5</v>
      </c>
      <c r="L1083" s="4">
        <v>252.62499999999997</v>
      </c>
      <c r="M1083" s="4">
        <v>50.524999999999977</v>
      </c>
      <c r="N1083" t="s">
        <v>94</v>
      </c>
    </row>
    <row r="1084" spans="1:14">
      <c r="A1084">
        <v>1083</v>
      </c>
      <c r="B1084">
        <v>52</v>
      </c>
      <c r="C1084" t="s">
        <v>11</v>
      </c>
      <c r="D1084" t="s">
        <v>33</v>
      </c>
      <c r="E1084" t="s">
        <v>40</v>
      </c>
      <c r="F1084">
        <v>86.78</v>
      </c>
      <c r="G1084" t="s">
        <v>19</v>
      </c>
      <c r="H1084" t="s">
        <v>37</v>
      </c>
      <c r="I1084">
        <v>4</v>
      </c>
      <c r="J1084">
        <v>20</v>
      </c>
      <c r="K1084">
        <v>5</v>
      </c>
      <c r="L1084" s="4">
        <v>108.47499999999999</v>
      </c>
      <c r="M1084" s="4">
        <v>21.694999999999993</v>
      </c>
      <c r="N1084" t="s">
        <v>93</v>
      </c>
    </row>
    <row r="1085" spans="1:14">
      <c r="A1085">
        <v>1084</v>
      </c>
      <c r="B1085">
        <v>41</v>
      </c>
      <c r="C1085" t="s">
        <v>16</v>
      </c>
      <c r="D1085" t="s">
        <v>33</v>
      </c>
      <c r="E1085" t="s">
        <v>34</v>
      </c>
      <c r="F1085">
        <v>82.05</v>
      </c>
      <c r="G1085" t="s">
        <v>31</v>
      </c>
      <c r="H1085" t="s">
        <v>15</v>
      </c>
      <c r="I1085">
        <v>4.0999999999999996</v>
      </c>
      <c r="J1085">
        <v>20</v>
      </c>
      <c r="K1085">
        <v>5</v>
      </c>
      <c r="L1085" s="4">
        <v>102.56249999999999</v>
      </c>
      <c r="M1085" s="4">
        <v>20.512499999999989</v>
      </c>
      <c r="N1085" t="s">
        <v>92</v>
      </c>
    </row>
    <row r="1086" spans="1:14">
      <c r="A1086">
        <v>1085</v>
      </c>
      <c r="B1086">
        <v>27</v>
      </c>
      <c r="C1086" t="s">
        <v>11</v>
      </c>
      <c r="D1086" t="s">
        <v>29</v>
      </c>
      <c r="E1086" t="s">
        <v>30</v>
      </c>
      <c r="F1086">
        <v>24.02</v>
      </c>
      <c r="G1086" t="s">
        <v>24</v>
      </c>
      <c r="H1086" t="s">
        <v>37</v>
      </c>
      <c r="I1086">
        <v>4.3</v>
      </c>
      <c r="J1086">
        <v>14</v>
      </c>
      <c r="K1086">
        <v>2</v>
      </c>
      <c r="L1086" s="4">
        <v>27.930232558139537</v>
      </c>
      <c r="M1086" s="4">
        <v>3.910232558139537</v>
      </c>
      <c r="N1086" t="s">
        <v>91</v>
      </c>
    </row>
    <row r="1087" spans="1:14">
      <c r="A1087">
        <v>1086</v>
      </c>
      <c r="B1087">
        <v>29</v>
      </c>
      <c r="C1087" t="s">
        <v>11</v>
      </c>
      <c r="D1087" t="s">
        <v>41</v>
      </c>
      <c r="E1087" t="s">
        <v>45</v>
      </c>
      <c r="F1087">
        <v>45.21</v>
      </c>
      <c r="G1087" t="s">
        <v>19</v>
      </c>
      <c r="H1087" t="s">
        <v>15</v>
      </c>
      <c r="I1087">
        <v>3.9</v>
      </c>
      <c r="J1087">
        <v>25</v>
      </c>
      <c r="K1087">
        <v>10</v>
      </c>
      <c r="L1087" s="4">
        <v>60.28</v>
      </c>
      <c r="M1087" s="4">
        <v>15.07</v>
      </c>
      <c r="N1087" t="s">
        <v>91</v>
      </c>
    </row>
    <row r="1088" spans="1:14">
      <c r="A1088">
        <v>1087</v>
      </c>
      <c r="B1088">
        <v>66</v>
      </c>
      <c r="C1088" t="s">
        <v>16</v>
      </c>
      <c r="D1088" t="s">
        <v>33</v>
      </c>
      <c r="E1088" t="s">
        <v>38</v>
      </c>
      <c r="F1088">
        <v>239.97</v>
      </c>
      <c r="G1088" t="s">
        <v>19</v>
      </c>
      <c r="H1088" t="s">
        <v>15</v>
      </c>
      <c r="I1088">
        <v>4.7</v>
      </c>
      <c r="J1088">
        <v>17</v>
      </c>
      <c r="K1088">
        <v>6</v>
      </c>
      <c r="L1088" s="4">
        <v>289.12048192771084</v>
      </c>
      <c r="M1088" s="4">
        <v>49.150481927710842</v>
      </c>
      <c r="N1088" t="s">
        <v>95</v>
      </c>
    </row>
    <row r="1089" spans="1:14">
      <c r="A1089">
        <v>1088</v>
      </c>
      <c r="B1089">
        <v>67</v>
      </c>
      <c r="C1089" t="s">
        <v>16</v>
      </c>
      <c r="D1089" t="s">
        <v>20</v>
      </c>
      <c r="E1089" t="s">
        <v>21</v>
      </c>
      <c r="F1089">
        <v>117.03</v>
      </c>
      <c r="G1089" t="s">
        <v>19</v>
      </c>
      <c r="H1089" t="s">
        <v>15</v>
      </c>
      <c r="I1089">
        <v>3.4</v>
      </c>
      <c r="J1089">
        <v>4</v>
      </c>
      <c r="K1089">
        <v>2</v>
      </c>
      <c r="L1089" s="4">
        <v>121.90625</v>
      </c>
      <c r="M1089" s="4">
        <v>4.8762499999999989</v>
      </c>
      <c r="N1089" t="s">
        <v>95</v>
      </c>
    </row>
    <row r="1090" spans="1:14">
      <c r="A1090">
        <v>1089</v>
      </c>
      <c r="B1090">
        <v>44</v>
      </c>
      <c r="C1090" t="s">
        <v>11</v>
      </c>
      <c r="D1090" t="s">
        <v>22</v>
      </c>
      <c r="E1090" t="s">
        <v>52</v>
      </c>
      <c r="F1090">
        <v>121.22</v>
      </c>
      <c r="G1090" t="s">
        <v>24</v>
      </c>
      <c r="H1090" t="s">
        <v>15</v>
      </c>
      <c r="I1090">
        <v>4.7</v>
      </c>
      <c r="J1090">
        <v>6</v>
      </c>
      <c r="K1090">
        <v>3</v>
      </c>
      <c r="L1090" s="4">
        <v>128.95744680851064</v>
      </c>
      <c r="M1090" s="4">
        <v>7.73744680851064</v>
      </c>
      <c r="N1090" t="s">
        <v>92</v>
      </c>
    </row>
    <row r="1091" spans="1:14">
      <c r="A1091">
        <v>1090</v>
      </c>
      <c r="B1091">
        <v>26</v>
      </c>
      <c r="C1091" t="s">
        <v>16</v>
      </c>
      <c r="D1091" t="s">
        <v>22</v>
      </c>
      <c r="E1091" t="s">
        <v>52</v>
      </c>
      <c r="F1091">
        <v>155.63</v>
      </c>
      <c r="G1091" t="s">
        <v>14</v>
      </c>
      <c r="H1091" t="s">
        <v>15</v>
      </c>
      <c r="I1091">
        <v>3.2</v>
      </c>
      <c r="J1091">
        <v>20</v>
      </c>
      <c r="K1091">
        <v>5</v>
      </c>
      <c r="L1091" s="4">
        <v>194.53749999999999</v>
      </c>
      <c r="M1091" s="4">
        <v>38.907499999999999</v>
      </c>
      <c r="N1091" t="s">
        <v>91</v>
      </c>
    </row>
    <row r="1092" spans="1:14">
      <c r="A1092">
        <v>1091</v>
      </c>
      <c r="B1092">
        <v>64</v>
      </c>
      <c r="C1092" t="s">
        <v>16</v>
      </c>
      <c r="D1092" t="s">
        <v>33</v>
      </c>
      <c r="E1092" t="s">
        <v>40</v>
      </c>
      <c r="F1092">
        <v>133.61000000000001</v>
      </c>
      <c r="G1092" t="s">
        <v>31</v>
      </c>
      <c r="H1092" t="s">
        <v>15</v>
      </c>
      <c r="I1092">
        <v>4.5999999999999996</v>
      </c>
      <c r="J1092">
        <v>10</v>
      </c>
      <c r="K1092">
        <v>5</v>
      </c>
      <c r="L1092" s="4">
        <v>148.45555555555558</v>
      </c>
      <c r="M1092" s="4">
        <v>14.845555555555563</v>
      </c>
      <c r="N1092" t="s">
        <v>94</v>
      </c>
    </row>
    <row r="1093" spans="1:14">
      <c r="A1093">
        <v>1092</v>
      </c>
      <c r="B1093">
        <v>39</v>
      </c>
      <c r="C1093" t="s">
        <v>16</v>
      </c>
      <c r="D1093" t="s">
        <v>17</v>
      </c>
      <c r="E1093" t="s">
        <v>35</v>
      </c>
      <c r="F1093">
        <v>136.87</v>
      </c>
      <c r="G1093" t="s">
        <v>24</v>
      </c>
      <c r="H1093" t="s">
        <v>15</v>
      </c>
      <c r="I1093">
        <v>5</v>
      </c>
      <c r="J1093">
        <v>17</v>
      </c>
      <c r="K1093">
        <v>6</v>
      </c>
      <c r="L1093" s="4">
        <v>164.90361445783134</v>
      </c>
      <c r="M1093" s="4">
        <v>28.033614457831334</v>
      </c>
      <c r="N1093" t="s">
        <v>92</v>
      </c>
    </row>
    <row r="1094" spans="1:14">
      <c r="A1094">
        <v>1093</v>
      </c>
      <c r="B1094">
        <v>24</v>
      </c>
      <c r="C1094" t="s">
        <v>11</v>
      </c>
      <c r="D1094" t="s">
        <v>29</v>
      </c>
      <c r="E1094" t="s">
        <v>51</v>
      </c>
      <c r="F1094">
        <v>61.18</v>
      </c>
      <c r="G1094" t="s">
        <v>19</v>
      </c>
      <c r="H1094" t="s">
        <v>37</v>
      </c>
      <c r="I1094">
        <v>3.1</v>
      </c>
      <c r="J1094">
        <v>12</v>
      </c>
      <c r="K1094">
        <v>6</v>
      </c>
      <c r="L1094" s="4">
        <v>69.522727272727266</v>
      </c>
      <c r="M1094" s="4">
        <v>8.3427272727272666</v>
      </c>
      <c r="N1094" t="s">
        <v>100</v>
      </c>
    </row>
    <row r="1095" spans="1:14">
      <c r="A1095">
        <v>1094</v>
      </c>
      <c r="B1095">
        <v>22</v>
      </c>
      <c r="C1095" t="s">
        <v>11</v>
      </c>
      <c r="D1095" t="s">
        <v>29</v>
      </c>
      <c r="E1095" t="s">
        <v>51</v>
      </c>
      <c r="F1095">
        <v>52.42</v>
      </c>
      <c r="G1095" t="s">
        <v>31</v>
      </c>
      <c r="H1095" t="s">
        <v>37</v>
      </c>
      <c r="I1095">
        <v>4.4000000000000004</v>
      </c>
      <c r="J1095">
        <v>10</v>
      </c>
      <c r="K1095">
        <v>5</v>
      </c>
      <c r="L1095" s="4">
        <v>58.244444444444447</v>
      </c>
      <c r="M1095" s="4">
        <v>5.8244444444444454</v>
      </c>
      <c r="N1095" t="s">
        <v>100</v>
      </c>
    </row>
    <row r="1096" spans="1:14">
      <c r="A1096">
        <v>1095</v>
      </c>
      <c r="B1096">
        <v>64</v>
      </c>
      <c r="C1096" t="s">
        <v>11</v>
      </c>
      <c r="D1096" t="s">
        <v>20</v>
      </c>
      <c r="E1096" t="s">
        <v>21</v>
      </c>
      <c r="F1096">
        <v>64.47</v>
      </c>
      <c r="G1096" t="s">
        <v>14</v>
      </c>
      <c r="H1096" t="s">
        <v>15</v>
      </c>
      <c r="I1096">
        <v>2.8</v>
      </c>
      <c r="J1096">
        <v>16</v>
      </c>
      <c r="K1096">
        <v>3</v>
      </c>
      <c r="L1096" s="4">
        <v>76.75</v>
      </c>
      <c r="M1096" s="4">
        <v>12.280000000000001</v>
      </c>
      <c r="N1096" t="s">
        <v>94</v>
      </c>
    </row>
    <row r="1097" spans="1:14">
      <c r="A1097">
        <v>1096</v>
      </c>
      <c r="B1097">
        <v>41</v>
      </c>
      <c r="C1097" t="s">
        <v>16</v>
      </c>
      <c r="D1097" t="s">
        <v>17</v>
      </c>
      <c r="E1097" t="s">
        <v>42</v>
      </c>
      <c r="F1097">
        <v>72.23</v>
      </c>
      <c r="G1097" t="s">
        <v>14</v>
      </c>
      <c r="H1097" t="s">
        <v>37</v>
      </c>
      <c r="I1097">
        <v>3.6</v>
      </c>
      <c r="J1097">
        <v>11</v>
      </c>
      <c r="K1097">
        <v>3</v>
      </c>
      <c r="L1097" s="4">
        <v>81.157303370786522</v>
      </c>
      <c r="M1097" s="4">
        <v>8.9273033707865181</v>
      </c>
      <c r="N1097" t="s">
        <v>92</v>
      </c>
    </row>
    <row r="1098" spans="1:14">
      <c r="A1098">
        <v>1097</v>
      </c>
      <c r="B1098">
        <v>55</v>
      </c>
      <c r="C1098" t="s">
        <v>16</v>
      </c>
      <c r="D1098" t="s">
        <v>17</v>
      </c>
      <c r="E1098" t="s">
        <v>42</v>
      </c>
      <c r="F1098">
        <v>121.35</v>
      </c>
      <c r="G1098" t="s">
        <v>31</v>
      </c>
      <c r="H1098" t="s">
        <v>15</v>
      </c>
      <c r="I1098">
        <v>3.4</v>
      </c>
      <c r="J1098">
        <v>10</v>
      </c>
      <c r="K1098">
        <v>5</v>
      </c>
      <c r="L1098" s="4">
        <v>134.83333333333331</v>
      </c>
      <c r="M1098" s="4">
        <v>13.48333333333332</v>
      </c>
      <c r="N1098" t="s">
        <v>94</v>
      </c>
    </row>
    <row r="1099" spans="1:14">
      <c r="A1099">
        <v>1098</v>
      </c>
      <c r="B1099">
        <v>23</v>
      </c>
      <c r="C1099" t="s">
        <v>11</v>
      </c>
      <c r="D1099" t="s">
        <v>12</v>
      </c>
      <c r="E1099" t="s">
        <v>50</v>
      </c>
      <c r="F1099">
        <v>117.09</v>
      </c>
      <c r="G1099" t="s">
        <v>19</v>
      </c>
      <c r="H1099" t="s">
        <v>15</v>
      </c>
      <c r="I1099">
        <v>3.4</v>
      </c>
      <c r="J1099">
        <v>4</v>
      </c>
      <c r="K1099">
        <v>2</v>
      </c>
      <c r="L1099" s="4">
        <v>121.96875000000001</v>
      </c>
      <c r="M1099" s="4">
        <v>4.8787500000000108</v>
      </c>
      <c r="N1099" t="s">
        <v>100</v>
      </c>
    </row>
    <row r="1100" spans="1:14">
      <c r="A1100">
        <v>1099</v>
      </c>
      <c r="B1100">
        <v>70</v>
      </c>
      <c r="C1100" t="s">
        <v>16</v>
      </c>
      <c r="D1100" t="s">
        <v>17</v>
      </c>
      <c r="E1100" t="s">
        <v>48</v>
      </c>
      <c r="F1100">
        <v>190.63</v>
      </c>
      <c r="G1100" t="s">
        <v>31</v>
      </c>
      <c r="H1100" t="s">
        <v>15</v>
      </c>
      <c r="I1100">
        <v>3.7</v>
      </c>
      <c r="J1100">
        <v>2</v>
      </c>
      <c r="K1100">
        <v>1</v>
      </c>
      <c r="L1100" s="4">
        <v>194.5204081632653</v>
      </c>
      <c r="M1100" s="4">
        <v>3.890408163265306</v>
      </c>
      <c r="N1100" t="s">
        <v>95</v>
      </c>
    </row>
    <row r="1101" spans="1:14">
      <c r="A1101">
        <v>1100</v>
      </c>
      <c r="B1101">
        <v>57</v>
      </c>
      <c r="C1101" t="s">
        <v>16</v>
      </c>
      <c r="D1101" t="s">
        <v>17</v>
      </c>
      <c r="E1101" t="s">
        <v>48</v>
      </c>
      <c r="F1101">
        <v>53.94</v>
      </c>
      <c r="G1101" t="s">
        <v>31</v>
      </c>
      <c r="H1101" t="s">
        <v>37</v>
      </c>
      <c r="I1101">
        <v>3.7</v>
      </c>
      <c r="J1101">
        <v>17</v>
      </c>
      <c r="K1101">
        <v>6</v>
      </c>
      <c r="L1101" s="4">
        <v>64.98795180722891</v>
      </c>
      <c r="M1101" s="4">
        <v>11.047951807228912</v>
      </c>
      <c r="N1101" t="s">
        <v>94</v>
      </c>
    </row>
    <row r="1102" spans="1:14">
      <c r="A1102">
        <v>1101</v>
      </c>
      <c r="B1102">
        <v>26</v>
      </c>
      <c r="C1102" t="s">
        <v>11</v>
      </c>
      <c r="D1102" t="s">
        <v>12</v>
      </c>
      <c r="E1102" t="s">
        <v>13</v>
      </c>
      <c r="F1102">
        <v>158.79</v>
      </c>
      <c r="G1102" t="s">
        <v>31</v>
      </c>
      <c r="H1102" t="s">
        <v>15</v>
      </c>
      <c r="I1102">
        <v>4.5999999999999996</v>
      </c>
      <c r="J1102">
        <v>7</v>
      </c>
      <c r="K1102">
        <v>1</v>
      </c>
      <c r="L1102" s="4">
        <v>170.74193548387098</v>
      </c>
      <c r="M1102" s="4">
        <v>11.951935483870983</v>
      </c>
      <c r="N1102" t="s">
        <v>91</v>
      </c>
    </row>
    <row r="1103" spans="1:14">
      <c r="A1103">
        <v>1102</v>
      </c>
      <c r="B1103">
        <v>62</v>
      </c>
      <c r="C1103" t="s">
        <v>16</v>
      </c>
      <c r="D1103" t="s">
        <v>20</v>
      </c>
      <c r="E1103" t="s">
        <v>36</v>
      </c>
      <c r="F1103">
        <v>77.56</v>
      </c>
      <c r="G1103" t="s">
        <v>19</v>
      </c>
      <c r="H1103" t="s">
        <v>37</v>
      </c>
      <c r="I1103">
        <v>3.8</v>
      </c>
      <c r="J1103">
        <v>15</v>
      </c>
      <c r="K1103">
        <v>5</v>
      </c>
      <c r="L1103" s="4">
        <v>91.247058823529414</v>
      </c>
      <c r="M1103" s="4">
        <v>13.687058823529412</v>
      </c>
      <c r="N1103" t="s">
        <v>94</v>
      </c>
    </row>
    <row r="1104" spans="1:14">
      <c r="A1104">
        <v>1103</v>
      </c>
      <c r="B1104">
        <v>23</v>
      </c>
      <c r="C1104" t="s">
        <v>16</v>
      </c>
      <c r="D1104" t="s">
        <v>27</v>
      </c>
      <c r="E1104" t="s">
        <v>49</v>
      </c>
      <c r="F1104">
        <v>559.52</v>
      </c>
      <c r="G1104" t="s">
        <v>14</v>
      </c>
      <c r="H1104" t="s">
        <v>15</v>
      </c>
      <c r="I1104">
        <v>4</v>
      </c>
      <c r="J1104">
        <v>18</v>
      </c>
      <c r="K1104">
        <v>4</v>
      </c>
      <c r="L1104" s="4">
        <v>682.34146341463406</v>
      </c>
      <c r="M1104" s="4">
        <v>122.82146341463408</v>
      </c>
      <c r="N1104" t="s">
        <v>100</v>
      </c>
    </row>
    <row r="1105" spans="1:14">
      <c r="A1105">
        <v>1104</v>
      </c>
      <c r="B1105">
        <v>44</v>
      </c>
      <c r="C1105" t="s">
        <v>16</v>
      </c>
      <c r="D1105" t="s">
        <v>27</v>
      </c>
      <c r="E1105" t="s">
        <v>49</v>
      </c>
      <c r="F1105">
        <v>2966</v>
      </c>
      <c r="G1105" t="s">
        <v>19</v>
      </c>
      <c r="H1105" t="s">
        <v>15</v>
      </c>
      <c r="I1105">
        <v>2.9</v>
      </c>
      <c r="J1105">
        <v>10</v>
      </c>
      <c r="K1105">
        <v>5</v>
      </c>
      <c r="L1105" s="4">
        <v>3295.5555555555557</v>
      </c>
      <c r="M1105" s="4">
        <v>329.55555555555566</v>
      </c>
      <c r="N1105" t="s">
        <v>92</v>
      </c>
    </row>
    <row r="1106" spans="1:14">
      <c r="A1106">
        <v>1105</v>
      </c>
      <c r="B1106">
        <v>57</v>
      </c>
      <c r="C1106" t="s">
        <v>11</v>
      </c>
      <c r="D1106" t="s">
        <v>25</v>
      </c>
      <c r="E1106" t="s">
        <v>26</v>
      </c>
      <c r="F1106">
        <v>20.37</v>
      </c>
      <c r="G1106" t="s">
        <v>31</v>
      </c>
      <c r="H1106" t="s">
        <v>15</v>
      </c>
      <c r="I1106">
        <v>4</v>
      </c>
      <c r="J1106">
        <v>30</v>
      </c>
      <c r="K1106">
        <v>10</v>
      </c>
      <c r="L1106" s="4">
        <v>29.100000000000005</v>
      </c>
      <c r="M1106" s="4">
        <v>8.730000000000004</v>
      </c>
      <c r="N1106" t="s">
        <v>94</v>
      </c>
    </row>
    <row r="1107" spans="1:14">
      <c r="A1107">
        <v>1106</v>
      </c>
      <c r="B1107">
        <v>26</v>
      </c>
      <c r="C1107" t="s">
        <v>11</v>
      </c>
      <c r="D1107" t="s">
        <v>41</v>
      </c>
      <c r="E1107" t="s">
        <v>44</v>
      </c>
      <c r="F1107">
        <v>175.46</v>
      </c>
      <c r="G1107" t="s">
        <v>14</v>
      </c>
      <c r="H1107" t="s">
        <v>15</v>
      </c>
      <c r="I1107">
        <v>3.4</v>
      </c>
      <c r="J1107">
        <v>24</v>
      </c>
      <c r="K1107">
        <v>7</v>
      </c>
      <c r="L1107" s="4">
        <v>230.86842105263159</v>
      </c>
      <c r="M1107" s="4">
        <v>55.408421052631581</v>
      </c>
      <c r="N1107" t="s">
        <v>91</v>
      </c>
    </row>
    <row r="1108" spans="1:14">
      <c r="A1108">
        <v>1107</v>
      </c>
      <c r="B1108">
        <v>42</v>
      </c>
      <c r="C1108" t="s">
        <v>11</v>
      </c>
      <c r="D1108" t="s">
        <v>33</v>
      </c>
      <c r="E1108" t="s">
        <v>40</v>
      </c>
      <c r="F1108">
        <v>193.23</v>
      </c>
      <c r="G1108" t="s">
        <v>14</v>
      </c>
      <c r="H1108" t="s">
        <v>15</v>
      </c>
      <c r="I1108">
        <v>4.5999999999999996</v>
      </c>
      <c r="J1108">
        <v>8</v>
      </c>
      <c r="K1108">
        <v>4</v>
      </c>
      <c r="L1108" s="4">
        <v>210.03260869565216</v>
      </c>
      <c r="M1108" s="4">
        <v>16.802608695652168</v>
      </c>
      <c r="N1108" t="s">
        <v>92</v>
      </c>
    </row>
    <row r="1109" spans="1:14">
      <c r="A1109">
        <v>1108</v>
      </c>
      <c r="B1109">
        <v>26</v>
      </c>
      <c r="C1109" t="s">
        <v>16</v>
      </c>
      <c r="D1109" t="s">
        <v>20</v>
      </c>
      <c r="E1109" t="s">
        <v>36</v>
      </c>
      <c r="F1109">
        <v>67.09</v>
      </c>
      <c r="G1109" t="s">
        <v>31</v>
      </c>
      <c r="H1109" t="s">
        <v>15</v>
      </c>
      <c r="I1109">
        <v>3.5</v>
      </c>
      <c r="J1109">
        <v>18</v>
      </c>
      <c r="K1109">
        <v>9</v>
      </c>
      <c r="L1109" s="4">
        <v>81.817073170731703</v>
      </c>
      <c r="M1109" s="4">
        <v>14.7270731707317</v>
      </c>
      <c r="N1109" t="s">
        <v>91</v>
      </c>
    </row>
    <row r="1110" spans="1:14">
      <c r="A1110">
        <v>1109</v>
      </c>
      <c r="B1110">
        <v>28</v>
      </c>
      <c r="C1110" t="s">
        <v>11</v>
      </c>
      <c r="D1110" t="s">
        <v>12</v>
      </c>
      <c r="E1110" t="s">
        <v>56</v>
      </c>
      <c r="F1110">
        <v>57.75</v>
      </c>
      <c r="G1110" t="s">
        <v>19</v>
      </c>
      <c r="H1110" t="s">
        <v>37</v>
      </c>
      <c r="I1110">
        <v>5</v>
      </c>
      <c r="J1110">
        <v>9</v>
      </c>
      <c r="K1110">
        <v>2</v>
      </c>
      <c r="L1110" s="4">
        <v>63.46153846153846</v>
      </c>
      <c r="M1110" s="4">
        <v>5.7115384615384599</v>
      </c>
      <c r="N1110" t="s">
        <v>91</v>
      </c>
    </row>
    <row r="1111" spans="1:14">
      <c r="A1111">
        <v>1110</v>
      </c>
      <c r="B1111">
        <v>46</v>
      </c>
      <c r="C1111" t="s">
        <v>16</v>
      </c>
      <c r="D1111" t="s">
        <v>17</v>
      </c>
      <c r="E1111" t="s">
        <v>42</v>
      </c>
      <c r="F1111">
        <v>60.83</v>
      </c>
      <c r="G1111" t="s">
        <v>14</v>
      </c>
      <c r="H1111" t="s">
        <v>15</v>
      </c>
      <c r="I1111">
        <v>3.9</v>
      </c>
      <c r="J1111">
        <v>8</v>
      </c>
      <c r="K1111">
        <v>4</v>
      </c>
      <c r="L1111" s="4">
        <v>66.119565217391298</v>
      </c>
      <c r="M1111" s="4">
        <v>5.2895652173912993</v>
      </c>
      <c r="N1111" t="s">
        <v>93</v>
      </c>
    </row>
    <row r="1112" spans="1:14">
      <c r="A1112">
        <v>1111</v>
      </c>
      <c r="B1112">
        <v>28</v>
      </c>
      <c r="C1112" t="s">
        <v>16</v>
      </c>
      <c r="D1112" t="s">
        <v>17</v>
      </c>
      <c r="E1112" t="s">
        <v>42</v>
      </c>
      <c r="F1112">
        <v>153.1</v>
      </c>
      <c r="G1112" t="s">
        <v>31</v>
      </c>
      <c r="H1112" t="s">
        <v>15</v>
      </c>
      <c r="I1112">
        <v>4.5</v>
      </c>
      <c r="J1112">
        <v>8</v>
      </c>
      <c r="K1112">
        <v>4</v>
      </c>
      <c r="L1112" s="4">
        <v>166.41304347826085</v>
      </c>
      <c r="M1112" s="4">
        <v>13.313043478260852</v>
      </c>
      <c r="N1112" t="s">
        <v>91</v>
      </c>
    </row>
    <row r="1113" spans="1:14">
      <c r="A1113">
        <v>1112</v>
      </c>
      <c r="B1113">
        <v>49</v>
      </c>
      <c r="C1113" t="s">
        <v>11</v>
      </c>
      <c r="D1113" t="s">
        <v>25</v>
      </c>
      <c r="E1113" t="s">
        <v>57</v>
      </c>
      <c r="F1113">
        <v>29.32</v>
      </c>
      <c r="G1113" t="s">
        <v>19</v>
      </c>
      <c r="H1113" t="s">
        <v>15</v>
      </c>
      <c r="I1113">
        <v>5</v>
      </c>
      <c r="J1113">
        <v>23</v>
      </c>
      <c r="K1113">
        <v>9</v>
      </c>
      <c r="L1113" s="4">
        <v>38.077922077922075</v>
      </c>
      <c r="M1113" s="4">
        <v>8.7579220779220748</v>
      </c>
      <c r="N1113" t="s">
        <v>93</v>
      </c>
    </row>
    <row r="1114" spans="1:14">
      <c r="A1114">
        <v>1113</v>
      </c>
      <c r="B1114">
        <v>67</v>
      </c>
      <c r="C1114" t="s">
        <v>11</v>
      </c>
      <c r="D1114" t="s">
        <v>12</v>
      </c>
      <c r="E1114" t="s">
        <v>50</v>
      </c>
      <c r="F1114">
        <v>133.57</v>
      </c>
      <c r="G1114" t="s">
        <v>24</v>
      </c>
      <c r="H1114" t="s">
        <v>15</v>
      </c>
      <c r="I1114">
        <v>3.9</v>
      </c>
      <c r="J1114">
        <v>26</v>
      </c>
      <c r="K1114">
        <v>8</v>
      </c>
      <c r="L1114" s="4">
        <v>180.5</v>
      </c>
      <c r="M1114" s="4">
        <v>46.930000000000007</v>
      </c>
      <c r="N1114" t="s">
        <v>95</v>
      </c>
    </row>
    <row r="1115" spans="1:14">
      <c r="A1115">
        <v>1114</v>
      </c>
      <c r="B1115">
        <v>69</v>
      </c>
      <c r="C1115" t="s">
        <v>11</v>
      </c>
      <c r="D1115" t="s">
        <v>12</v>
      </c>
      <c r="E1115" t="s">
        <v>56</v>
      </c>
      <c r="F1115">
        <v>26.45</v>
      </c>
      <c r="G1115" t="s">
        <v>14</v>
      </c>
      <c r="H1115" t="s">
        <v>15</v>
      </c>
      <c r="I1115">
        <v>3.2</v>
      </c>
      <c r="J1115">
        <v>14</v>
      </c>
      <c r="K1115">
        <v>7</v>
      </c>
      <c r="L1115" s="4">
        <v>30.755813953488371</v>
      </c>
      <c r="M1115" s="4">
        <v>4.3058139534883715</v>
      </c>
      <c r="N1115" t="s">
        <v>95</v>
      </c>
    </row>
    <row r="1116" spans="1:14">
      <c r="A1116">
        <v>1115</v>
      </c>
      <c r="B1116">
        <v>56</v>
      </c>
      <c r="C1116" t="s">
        <v>11</v>
      </c>
      <c r="D1116" t="s">
        <v>25</v>
      </c>
      <c r="E1116" t="s">
        <v>26</v>
      </c>
      <c r="F1116">
        <v>66.52</v>
      </c>
      <c r="G1116" t="s">
        <v>24</v>
      </c>
      <c r="H1116" t="s">
        <v>15</v>
      </c>
      <c r="I1116">
        <v>3.9</v>
      </c>
      <c r="J1116">
        <v>13</v>
      </c>
      <c r="K1116">
        <v>4</v>
      </c>
      <c r="L1116" s="4">
        <v>76.459770114942529</v>
      </c>
      <c r="M1116" s="4">
        <v>9.939770114942533</v>
      </c>
      <c r="N1116" t="s">
        <v>94</v>
      </c>
    </row>
    <row r="1117" spans="1:14">
      <c r="A1117">
        <v>1116</v>
      </c>
      <c r="B1117">
        <v>66</v>
      </c>
      <c r="C1117" t="s">
        <v>11</v>
      </c>
      <c r="D1117" t="s">
        <v>29</v>
      </c>
      <c r="E1117" t="s">
        <v>30</v>
      </c>
      <c r="F1117">
        <v>125.89</v>
      </c>
      <c r="G1117" t="s">
        <v>14</v>
      </c>
      <c r="H1117" t="s">
        <v>15</v>
      </c>
      <c r="I1117">
        <v>4.3</v>
      </c>
      <c r="J1117">
        <v>16</v>
      </c>
      <c r="K1117">
        <v>3</v>
      </c>
      <c r="L1117" s="4">
        <v>149.86904761904762</v>
      </c>
      <c r="M1117" s="4">
        <v>23.97904761904762</v>
      </c>
      <c r="N1117" t="s">
        <v>95</v>
      </c>
    </row>
    <row r="1118" spans="1:14">
      <c r="A1118">
        <v>1117</v>
      </c>
      <c r="B1118">
        <v>26</v>
      </c>
      <c r="C1118" t="s">
        <v>11</v>
      </c>
      <c r="D1118" t="s">
        <v>12</v>
      </c>
      <c r="E1118" t="s">
        <v>13</v>
      </c>
      <c r="F1118">
        <v>177.36</v>
      </c>
      <c r="G1118" t="s">
        <v>14</v>
      </c>
      <c r="H1118" t="s">
        <v>15</v>
      </c>
      <c r="I1118">
        <v>4.8</v>
      </c>
      <c r="J1118">
        <v>20</v>
      </c>
      <c r="K1118">
        <v>5</v>
      </c>
      <c r="L1118" s="4">
        <v>221.70000000000002</v>
      </c>
      <c r="M1118" s="4">
        <v>44.34</v>
      </c>
      <c r="N1118" t="s">
        <v>91</v>
      </c>
    </row>
    <row r="1119" spans="1:14">
      <c r="A1119">
        <v>1118</v>
      </c>
      <c r="B1119">
        <v>31</v>
      </c>
      <c r="C1119" t="s">
        <v>16</v>
      </c>
      <c r="D1119" t="s">
        <v>33</v>
      </c>
      <c r="E1119" t="s">
        <v>40</v>
      </c>
      <c r="F1119">
        <v>168.74</v>
      </c>
      <c r="G1119" t="s">
        <v>31</v>
      </c>
      <c r="H1119" t="s">
        <v>15</v>
      </c>
      <c r="I1119">
        <v>4.0999999999999996</v>
      </c>
      <c r="J1119">
        <v>16</v>
      </c>
      <c r="K1119">
        <v>8</v>
      </c>
      <c r="L1119" s="4">
        <v>200.88095238095241</v>
      </c>
      <c r="M1119" s="4">
        <v>32.140952380952399</v>
      </c>
      <c r="N1119" t="s">
        <v>91</v>
      </c>
    </row>
    <row r="1120" spans="1:14">
      <c r="A1120">
        <v>1119</v>
      </c>
      <c r="B1120">
        <v>63</v>
      </c>
      <c r="C1120" t="s">
        <v>11</v>
      </c>
      <c r="D1120" t="s">
        <v>41</v>
      </c>
      <c r="E1120" t="s">
        <v>42</v>
      </c>
      <c r="F1120">
        <v>61.35</v>
      </c>
      <c r="G1120" t="s">
        <v>31</v>
      </c>
      <c r="H1120" t="s">
        <v>37</v>
      </c>
      <c r="I1120">
        <v>3.6</v>
      </c>
      <c r="J1120">
        <v>20</v>
      </c>
      <c r="K1120">
        <v>5</v>
      </c>
      <c r="L1120" s="4">
        <v>76.6875</v>
      </c>
      <c r="M1120" s="4">
        <v>15.337499999999999</v>
      </c>
      <c r="N1120" t="s">
        <v>94</v>
      </c>
    </row>
    <row r="1121" spans="1:14">
      <c r="A1121">
        <v>1120</v>
      </c>
      <c r="B1121">
        <v>44</v>
      </c>
      <c r="C1121" t="s">
        <v>11</v>
      </c>
      <c r="D1121" t="s">
        <v>29</v>
      </c>
      <c r="E1121" t="s">
        <v>30</v>
      </c>
      <c r="F1121">
        <v>128.72999999999999</v>
      </c>
      <c r="G1121" t="s">
        <v>24</v>
      </c>
      <c r="H1121" t="s">
        <v>15</v>
      </c>
      <c r="I1121">
        <v>4.9000000000000004</v>
      </c>
      <c r="J1121">
        <v>12</v>
      </c>
      <c r="K1121">
        <v>6</v>
      </c>
      <c r="L1121" s="4">
        <v>146.28409090909091</v>
      </c>
      <c r="M1121" s="4">
        <v>17.554090909090917</v>
      </c>
      <c r="N1121" t="s">
        <v>92</v>
      </c>
    </row>
    <row r="1122" spans="1:14">
      <c r="A1122">
        <v>1121</v>
      </c>
      <c r="B1122">
        <v>20</v>
      </c>
      <c r="C1122" t="s">
        <v>11</v>
      </c>
      <c r="D1122" t="s">
        <v>20</v>
      </c>
      <c r="E1122" t="s">
        <v>39</v>
      </c>
      <c r="F1122">
        <v>144.69999999999999</v>
      </c>
      <c r="G1122" t="s">
        <v>31</v>
      </c>
      <c r="H1122" t="s">
        <v>15</v>
      </c>
      <c r="I1122">
        <v>4.2</v>
      </c>
      <c r="J1122">
        <v>16</v>
      </c>
      <c r="K1122">
        <v>3</v>
      </c>
      <c r="L1122" s="4">
        <v>172.26190476190476</v>
      </c>
      <c r="M1122" s="4">
        <v>27.561904761904771</v>
      </c>
      <c r="N1122" t="s">
        <v>100</v>
      </c>
    </row>
    <row r="1123" spans="1:14">
      <c r="A1123">
        <v>1122</v>
      </c>
      <c r="B1123">
        <v>41</v>
      </c>
      <c r="C1123" t="s">
        <v>11</v>
      </c>
      <c r="D1123" t="s">
        <v>12</v>
      </c>
      <c r="E1123" t="s">
        <v>56</v>
      </c>
      <c r="F1123">
        <v>107.04</v>
      </c>
      <c r="G1123" t="s">
        <v>14</v>
      </c>
      <c r="H1123" t="s">
        <v>15</v>
      </c>
      <c r="I1123">
        <v>3.5</v>
      </c>
      <c r="J1123">
        <v>8</v>
      </c>
      <c r="K1123">
        <v>4</v>
      </c>
      <c r="L1123" s="4">
        <v>116.34782608695653</v>
      </c>
      <c r="M1123" s="4">
        <v>9.3078260869565241</v>
      </c>
      <c r="N1123" t="s">
        <v>92</v>
      </c>
    </row>
    <row r="1124" spans="1:14">
      <c r="A1124">
        <v>1123</v>
      </c>
      <c r="B1124">
        <v>36</v>
      </c>
      <c r="C1124" t="s">
        <v>11</v>
      </c>
      <c r="D1124" t="s">
        <v>12</v>
      </c>
      <c r="E1124" t="s">
        <v>50</v>
      </c>
      <c r="F1124">
        <v>31.74</v>
      </c>
      <c r="G1124" t="s">
        <v>19</v>
      </c>
      <c r="H1124" t="s">
        <v>37</v>
      </c>
      <c r="I1124">
        <v>3.9</v>
      </c>
      <c r="J1124">
        <v>6</v>
      </c>
      <c r="K1124">
        <v>3</v>
      </c>
      <c r="L1124" s="4">
        <v>33.765957446808514</v>
      </c>
      <c r="M1124" s="4">
        <v>2.0259574468085155</v>
      </c>
      <c r="N1124" t="s">
        <v>92</v>
      </c>
    </row>
    <row r="1125" spans="1:14">
      <c r="A1125">
        <v>1124</v>
      </c>
      <c r="B1125">
        <v>38</v>
      </c>
      <c r="C1125" t="s">
        <v>16</v>
      </c>
      <c r="D1125" t="s">
        <v>27</v>
      </c>
      <c r="E1125" t="s">
        <v>49</v>
      </c>
      <c r="F1125">
        <v>2415.1999999999998</v>
      </c>
      <c r="G1125" t="s">
        <v>31</v>
      </c>
      <c r="H1125" t="s">
        <v>15</v>
      </c>
      <c r="I1125">
        <v>4.3</v>
      </c>
      <c r="J1125">
        <v>20</v>
      </c>
      <c r="K1125">
        <v>5</v>
      </c>
      <c r="L1125" s="4">
        <v>3018.9999999999995</v>
      </c>
      <c r="M1125" s="4">
        <v>603.79999999999973</v>
      </c>
      <c r="N1125" t="s">
        <v>92</v>
      </c>
    </row>
    <row r="1126" spans="1:14">
      <c r="A1126">
        <v>1125</v>
      </c>
      <c r="B1126">
        <v>44</v>
      </c>
      <c r="C1126" t="s">
        <v>16</v>
      </c>
      <c r="D1126" t="s">
        <v>17</v>
      </c>
      <c r="E1126" t="s">
        <v>48</v>
      </c>
      <c r="F1126">
        <v>91.47</v>
      </c>
      <c r="G1126" t="s">
        <v>24</v>
      </c>
      <c r="H1126" t="s">
        <v>37</v>
      </c>
      <c r="I1126">
        <v>3.5</v>
      </c>
      <c r="J1126">
        <v>17</v>
      </c>
      <c r="K1126">
        <v>6</v>
      </c>
      <c r="L1126" s="4">
        <v>110.20481927710844</v>
      </c>
      <c r="M1126" s="4">
        <v>18.734819277108443</v>
      </c>
      <c r="N1126" t="s">
        <v>92</v>
      </c>
    </row>
    <row r="1127" spans="1:14">
      <c r="A1127">
        <v>1126</v>
      </c>
      <c r="B1127">
        <v>40</v>
      </c>
      <c r="C1127" t="s">
        <v>11</v>
      </c>
      <c r="D1127" t="s">
        <v>33</v>
      </c>
      <c r="E1127" t="s">
        <v>38</v>
      </c>
      <c r="F1127">
        <v>118.69</v>
      </c>
      <c r="G1127" t="s">
        <v>14</v>
      </c>
      <c r="H1127" t="s">
        <v>15</v>
      </c>
      <c r="I1127">
        <v>3.5</v>
      </c>
      <c r="J1127">
        <v>14</v>
      </c>
      <c r="K1127">
        <v>7</v>
      </c>
      <c r="L1127" s="4">
        <v>138.01162790697674</v>
      </c>
      <c r="M1127" s="4">
        <v>19.321627906976744</v>
      </c>
      <c r="N1127" t="s">
        <v>92</v>
      </c>
    </row>
    <row r="1128" spans="1:14">
      <c r="A1128">
        <v>1127</v>
      </c>
      <c r="B1128">
        <v>33</v>
      </c>
      <c r="C1128" t="s">
        <v>16</v>
      </c>
      <c r="D1128" t="s">
        <v>33</v>
      </c>
      <c r="E1128" t="s">
        <v>40</v>
      </c>
      <c r="F1128">
        <v>163.49</v>
      </c>
      <c r="G1128" t="s">
        <v>24</v>
      </c>
      <c r="H1128" t="s">
        <v>15</v>
      </c>
      <c r="I1128">
        <v>2.7</v>
      </c>
      <c r="J1128">
        <v>22</v>
      </c>
      <c r="K1128">
        <v>6</v>
      </c>
      <c r="L1128" s="4">
        <v>209.60256410256412</v>
      </c>
      <c r="M1128" s="4">
        <v>46.112564102564107</v>
      </c>
      <c r="N1128" t="s">
        <v>91</v>
      </c>
    </row>
    <row r="1129" spans="1:14">
      <c r="A1129">
        <v>1128</v>
      </c>
      <c r="B1129">
        <v>55</v>
      </c>
      <c r="C1129" t="s">
        <v>11</v>
      </c>
      <c r="D1129" t="s">
        <v>33</v>
      </c>
      <c r="E1129" t="s">
        <v>38</v>
      </c>
      <c r="F1129">
        <v>104.63</v>
      </c>
      <c r="G1129" t="s">
        <v>19</v>
      </c>
      <c r="H1129" t="s">
        <v>15</v>
      </c>
      <c r="I1129">
        <v>3.2</v>
      </c>
      <c r="J1129">
        <v>20</v>
      </c>
      <c r="K1129">
        <v>5</v>
      </c>
      <c r="L1129" s="4">
        <v>130.78749999999999</v>
      </c>
      <c r="M1129" s="4">
        <v>26.157499999999999</v>
      </c>
      <c r="N1129" t="s">
        <v>94</v>
      </c>
    </row>
    <row r="1130" spans="1:14">
      <c r="A1130">
        <v>1129</v>
      </c>
      <c r="B1130">
        <v>43</v>
      </c>
      <c r="C1130" t="s">
        <v>16</v>
      </c>
      <c r="D1130" t="s">
        <v>20</v>
      </c>
      <c r="E1130" t="s">
        <v>36</v>
      </c>
      <c r="F1130">
        <v>195.7</v>
      </c>
      <c r="G1130" t="s">
        <v>14</v>
      </c>
      <c r="H1130" t="s">
        <v>15</v>
      </c>
      <c r="I1130">
        <v>2.8</v>
      </c>
      <c r="J1130">
        <v>10</v>
      </c>
      <c r="K1130">
        <v>5</v>
      </c>
      <c r="L1130" s="4">
        <v>217.44444444444443</v>
      </c>
      <c r="M1130" s="4">
        <v>21.74444444444444</v>
      </c>
      <c r="N1130" t="s">
        <v>92</v>
      </c>
    </row>
    <row r="1131" spans="1:14">
      <c r="A1131">
        <v>1130</v>
      </c>
      <c r="B1131">
        <v>67</v>
      </c>
      <c r="C1131" t="s">
        <v>11</v>
      </c>
      <c r="D1131" t="s">
        <v>12</v>
      </c>
      <c r="E1131" t="s">
        <v>56</v>
      </c>
      <c r="F1131">
        <v>42.94</v>
      </c>
      <c r="G1131" t="s">
        <v>19</v>
      </c>
      <c r="H1131" t="s">
        <v>15</v>
      </c>
      <c r="I1131">
        <v>3.4</v>
      </c>
      <c r="J1131">
        <v>9</v>
      </c>
      <c r="K1131">
        <v>2</v>
      </c>
      <c r="L1131" s="4">
        <v>47.186813186813183</v>
      </c>
      <c r="M1131" s="4">
        <v>4.2468131868131849</v>
      </c>
      <c r="N1131" t="s">
        <v>95</v>
      </c>
    </row>
    <row r="1132" spans="1:14">
      <c r="A1132">
        <v>1131</v>
      </c>
      <c r="B1132">
        <v>33</v>
      </c>
      <c r="C1132" t="s">
        <v>16</v>
      </c>
      <c r="D1132" t="s">
        <v>27</v>
      </c>
      <c r="E1132" t="s">
        <v>28</v>
      </c>
      <c r="F1132">
        <v>2697.97</v>
      </c>
      <c r="G1132" t="s">
        <v>31</v>
      </c>
      <c r="H1132" t="s">
        <v>15</v>
      </c>
      <c r="I1132">
        <v>3.8</v>
      </c>
      <c r="J1132">
        <v>6</v>
      </c>
      <c r="K1132">
        <v>3</v>
      </c>
      <c r="L1132" s="4">
        <v>2870.1808510638298</v>
      </c>
      <c r="M1132" s="4">
        <v>172.21085106382998</v>
      </c>
      <c r="N1132" t="s">
        <v>91</v>
      </c>
    </row>
    <row r="1133" spans="1:14">
      <c r="A1133">
        <v>1132</v>
      </c>
      <c r="B1133">
        <v>34</v>
      </c>
      <c r="C1133" t="s">
        <v>11</v>
      </c>
      <c r="D1133" t="s">
        <v>12</v>
      </c>
      <c r="E1133" t="s">
        <v>13</v>
      </c>
      <c r="F1133">
        <v>86.46</v>
      </c>
      <c r="G1133" t="s">
        <v>24</v>
      </c>
      <c r="H1133" t="s">
        <v>37</v>
      </c>
      <c r="I1133">
        <v>4.5</v>
      </c>
      <c r="J1133">
        <v>4</v>
      </c>
      <c r="K1133">
        <v>2</v>
      </c>
      <c r="L1133" s="4">
        <v>90.0625</v>
      </c>
      <c r="M1133" s="4">
        <v>3.6025000000000063</v>
      </c>
      <c r="N1133" t="s">
        <v>91</v>
      </c>
    </row>
    <row r="1134" spans="1:14">
      <c r="A1134">
        <v>1133</v>
      </c>
      <c r="B1134">
        <v>50</v>
      </c>
      <c r="C1134" t="s">
        <v>16</v>
      </c>
      <c r="D1134" t="s">
        <v>20</v>
      </c>
      <c r="E1134" t="s">
        <v>39</v>
      </c>
      <c r="F1134">
        <v>166.99</v>
      </c>
      <c r="G1134" t="s">
        <v>24</v>
      </c>
      <c r="H1134" t="s">
        <v>15</v>
      </c>
      <c r="I1134">
        <v>4.5</v>
      </c>
      <c r="J1134">
        <v>23</v>
      </c>
      <c r="K1134">
        <v>9</v>
      </c>
      <c r="L1134" s="4">
        <v>216.87012987012989</v>
      </c>
      <c r="M1134" s="4">
        <v>49.880129870129878</v>
      </c>
      <c r="N1134" t="s">
        <v>93</v>
      </c>
    </row>
    <row r="1135" spans="1:14">
      <c r="A1135">
        <v>1134</v>
      </c>
      <c r="B1135">
        <v>50</v>
      </c>
      <c r="C1135" t="s">
        <v>16</v>
      </c>
      <c r="D1135" t="s">
        <v>27</v>
      </c>
      <c r="E1135" t="s">
        <v>28</v>
      </c>
      <c r="F1135">
        <v>1790.31</v>
      </c>
      <c r="G1135" t="s">
        <v>31</v>
      </c>
      <c r="H1135" t="s">
        <v>15</v>
      </c>
      <c r="I1135">
        <v>2.7</v>
      </c>
      <c r="J1135">
        <v>18</v>
      </c>
      <c r="K1135">
        <v>4</v>
      </c>
      <c r="L1135" s="4">
        <v>2183.3048780487802</v>
      </c>
      <c r="M1135" s="4">
        <v>392.99487804878027</v>
      </c>
      <c r="N1135" t="s">
        <v>93</v>
      </c>
    </row>
    <row r="1136" spans="1:14">
      <c r="A1136">
        <v>1135</v>
      </c>
      <c r="B1136">
        <v>43</v>
      </c>
      <c r="C1136" t="s">
        <v>16</v>
      </c>
      <c r="D1136" t="s">
        <v>20</v>
      </c>
      <c r="E1136" t="s">
        <v>21</v>
      </c>
      <c r="F1136">
        <v>86.47</v>
      </c>
      <c r="G1136" t="s">
        <v>24</v>
      </c>
      <c r="H1136" t="s">
        <v>15</v>
      </c>
      <c r="I1136">
        <v>3</v>
      </c>
      <c r="J1136">
        <v>25</v>
      </c>
      <c r="K1136">
        <v>10</v>
      </c>
      <c r="L1136" s="4">
        <v>115.29333333333334</v>
      </c>
      <c r="M1136" s="4">
        <v>28.823333333333338</v>
      </c>
      <c r="N1136" t="s">
        <v>92</v>
      </c>
    </row>
    <row r="1137" spans="1:14">
      <c r="A1137">
        <v>1136</v>
      </c>
      <c r="B1137">
        <v>41</v>
      </c>
      <c r="C1137" t="s">
        <v>11</v>
      </c>
      <c r="D1137" t="s">
        <v>33</v>
      </c>
      <c r="E1137" t="s">
        <v>40</v>
      </c>
      <c r="F1137">
        <v>215.58</v>
      </c>
      <c r="G1137" t="s">
        <v>14</v>
      </c>
      <c r="H1137" t="s">
        <v>15</v>
      </c>
      <c r="I1137">
        <v>4.0999999999999996</v>
      </c>
      <c r="J1137">
        <v>21</v>
      </c>
      <c r="K1137">
        <v>8</v>
      </c>
      <c r="L1137" s="4">
        <v>272.88607594936707</v>
      </c>
      <c r="M1137" s="4">
        <v>57.306075949367056</v>
      </c>
      <c r="N1137" t="s">
        <v>92</v>
      </c>
    </row>
    <row r="1138" spans="1:14">
      <c r="A1138">
        <v>1137</v>
      </c>
      <c r="B1138">
        <v>52</v>
      </c>
      <c r="C1138" t="s">
        <v>11</v>
      </c>
      <c r="D1138" t="s">
        <v>12</v>
      </c>
      <c r="E1138" t="s">
        <v>50</v>
      </c>
      <c r="F1138">
        <v>51.85</v>
      </c>
      <c r="G1138" t="s">
        <v>31</v>
      </c>
      <c r="H1138" t="s">
        <v>15</v>
      </c>
      <c r="I1138">
        <v>3.5</v>
      </c>
      <c r="J1138">
        <v>20</v>
      </c>
      <c r="K1138">
        <v>5</v>
      </c>
      <c r="L1138" s="4">
        <v>64.8125</v>
      </c>
      <c r="M1138" s="4">
        <v>12.962499999999999</v>
      </c>
      <c r="N1138" t="s">
        <v>93</v>
      </c>
    </row>
    <row r="1139" spans="1:14">
      <c r="A1139">
        <v>1138</v>
      </c>
      <c r="B1139">
        <v>45</v>
      </c>
      <c r="C1139" t="s">
        <v>16</v>
      </c>
      <c r="D1139" t="s">
        <v>25</v>
      </c>
      <c r="E1139" t="s">
        <v>26</v>
      </c>
      <c r="F1139">
        <v>13.27</v>
      </c>
      <c r="G1139" t="s">
        <v>31</v>
      </c>
      <c r="H1139" t="s">
        <v>37</v>
      </c>
      <c r="I1139">
        <v>5</v>
      </c>
      <c r="J1139">
        <v>24</v>
      </c>
      <c r="K1139">
        <v>7</v>
      </c>
      <c r="L1139" s="4">
        <v>17.460526315789473</v>
      </c>
      <c r="M1139" s="4">
        <v>4.190526315789473</v>
      </c>
      <c r="N1139" t="s">
        <v>93</v>
      </c>
    </row>
    <row r="1140" spans="1:14">
      <c r="A1140">
        <v>1139</v>
      </c>
      <c r="B1140">
        <v>66</v>
      </c>
      <c r="C1140" t="s">
        <v>16</v>
      </c>
      <c r="D1140" t="s">
        <v>27</v>
      </c>
      <c r="E1140" t="s">
        <v>32</v>
      </c>
      <c r="F1140">
        <v>1457.42</v>
      </c>
      <c r="G1140" t="s">
        <v>24</v>
      </c>
      <c r="H1140" t="s">
        <v>15</v>
      </c>
      <c r="I1140">
        <v>2.7</v>
      </c>
      <c r="J1140">
        <v>11</v>
      </c>
      <c r="K1140">
        <v>3</v>
      </c>
      <c r="L1140" s="4">
        <v>1637.5505617977528</v>
      </c>
      <c r="M1140" s="4">
        <v>180.13056179775276</v>
      </c>
      <c r="N1140" t="s">
        <v>95</v>
      </c>
    </row>
    <row r="1141" spans="1:14">
      <c r="A1141">
        <v>1140</v>
      </c>
      <c r="B1141">
        <v>20</v>
      </c>
      <c r="C1141" t="s">
        <v>16</v>
      </c>
      <c r="D1141" t="s">
        <v>27</v>
      </c>
      <c r="E1141" t="s">
        <v>53</v>
      </c>
      <c r="F1141">
        <v>1172.26</v>
      </c>
      <c r="G1141" t="s">
        <v>14</v>
      </c>
      <c r="H1141" t="s">
        <v>15</v>
      </c>
      <c r="I1141">
        <v>2.9</v>
      </c>
      <c r="J1141">
        <v>14</v>
      </c>
      <c r="K1141">
        <v>2</v>
      </c>
      <c r="L1141" s="4">
        <v>1363.0930232558139</v>
      </c>
      <c r="M1141" s="4">
        <v>190.83302325581394</v>
      </c>
      <c r="N1141" t="s">
        <v>100</v>
      </c>
    </row>
    <row r="1142" spans="1:14">
      <c r="A1142">
        <v>1141</v>
      </c>
      <c r="B1142">
        <v>48</v>
      </c>
      <c r="C1142" t="s">
        <v>11</v>
      </c>
      <c r="D1142" t="s">
        <v>41</v>
      </c>
      <c r="E1142" t="s">
        <v>46</v>
      </c>
      <c r="F1142">
        <v>188.55</v>
      </c>
      <c r="G1142" t="s">
        <v>14</v>
      </c>
      <c r="H1142" t="s">
        <v>15</v>
      </c>
      <c r="I1142">
        <v>4.7</v>
      </c>
      <c r="J1142">
        <v>13</v>
      </c>
      <c r="K1142">
        <v>4</v>
      </c>
      <c r="L1142" s="4">
        <v>216.72413793103451</v>
      </c>
      <c r="M1142" s="4">
        <v>28.174137931034494</v>
      </c>
      <c r="N1142" t="s">
        <v>93</v>
      </c>
    </row>
    <row r="1143" spans="1:14">
      <c r="A1143">
        <v>1142</v>
      </c>
      <c r="B1143">
        <v>48</v>
      </c>
      <c r="C1143" t="s">
        <v>11</v>
      </c>
      <c r="D1143" t="s">
        <v>41</v>
      </c>
      <c r="E1143" t="s">
        <v>44</v>
      </c>
      <c r="F1143">
        <v>188.22</v>
      </c>
      <c r="G1143" t="s">
        <v>24</v>
      </c>
      <c r="H1143" t="s">
        <v>15</v>
      </c>
      <c r="I1143">
        <v>2.7</v>
      </c>
      <c r="J1143">
        <v>15</v>
      </c>
      <c r="K1143">
        <v>5</v>
      </c>
      <c r="L1143" s="4">
        <v>221.43529411764706</v>
      </c>
      <c r="M1143" s="4">
        <v>33.215294117647062</v>
      </c>
      <c r="N1143" t="s">
        <v>93</v>
      </c>
    </row>
    <row r="1144" spans="1:14">
      <c r="A1144">
        <v>1143</v>
      </c>
      <c r="B1144">
        <v>27</v>
      </c>
      <c r="C1144" t="s">
        <v>11</v>
      </c>
      <c r="D1144" t="s">
        <v>41</v>
      </c>
      <c r="E1144" t="s">
        <v>45</v>
      </c>
      <c r="F1144">
        <v>90.74</v>
      </c>
      <c r="G1144" t="s">
        <v>24</v>
      </c>
      <c r="H1144" t="s">
        <v>37</v>
      </c>
      <c r="I1144">
        <v>2.8</v>
      </c>
      <c r="J1144">
        <v>22</v>
      </c>
      <c r="K1144">
        <v>6</v>
      </c>
      <c r="L1144" s="4">
        <v>116.33333333333333</v>
      </c>
      <c r="M1144" s="4">
        <v>25.593333333333334</v>
      </c>
      <c r="N1144" t="s">
        <v>91</v>
      </c>
    </row>
    <row r="1145" spans="1:14">
      <c r="A1145">
        <v>1144</v>
      </c>
      <c r="B1145">
        <v>59</v>
      </c>
      <c r="C1145" t="s">
        <v>11</v>
      </c>
      <c r="D1145" t="s">
        <v>33</v>
      </c>
      <c r="E1145" t="s">
        <v>34</v>
      </c>
      <c r="F1145">
        <v>69.569999999999993</v>
      </c>
      <c r="G1145" t="s">
        <v>19</v>
      </c>
      <c r="H1145" t="s">
        <v>37</v>
      </c>
      <c r="I1145">
        <v>5</v>
      </c>
      <c r="J1145">
        <v>20</v>
      </c>
      <c r="K1145">
        <v>5</v>
      </c>
      <c r="L1145" s="4">
        <v>86.962499999999991</v>
      </c>
      <c r="M1145" s="4">
        <v>17.392499999999998</v>
      </c>
      <c r="N1145" t="s">
        <v>94</v>
      </c>
    </row>
    <row r="1146" spans="1:14">
      <c r="A1146">
        <v>1145</v>
      </c>
      <c r="B1146">
        <v>56</v>
      </c>
      <c r="C1146" t="s">
        <v>16</v>
      </c>
      <c r="D1146" t="s">
        <v>27</v>
      </c>
      <c r="E1146" t="s">
        <v>28</v>
      </c>
      <c r="F1146">
        <v>2953.85</v>
      </c>
      <c r="G1146" t="s">
        <v>24</v>
      </c>
      <c r="H1146" t="s">
        <v>15</v>
      </c>
      <c r="I1146">
        <v>4.2</v>
      </c>
      <c r="J1146">
        <v>18</v>
      </c>
      <c r="K1146">
        <v>4</v>
      </c>
      <c r="L1146" s="4">
        <v>3602.2560975609754</v>
      </c>
      <c r="M1146" s="4">
        <v>648.40609756097547</v>
      </c>
      <c r="N1146" t="s">
        <v>94</v>
      </c>
    </row>
    <row r="1147" spans="1:14">
      <c r="A1147">
        <v>1146</v>
      </c>
      <c r="B1147">
        <v>23</v>
      </c>
      <c r="C1147" t="s">
        <v>16</v>
      </c>
      <c r="D1147" t="s">
        <v>33</v>
      </c>
      <c r="E1147" t="s">
        <v>40</v>
      </c>
      <c r="F1147">
        <v>224.71</v>
      </c>
      <c r="G1147" t="s">
        <v>24</v>
      </c>
      <c r="H1147" t="s">
        <v>15</v>
      </c>
      <c r="I1147">
        <v>4.5999999999999996</v>
      </c>
      <c r="J1147">
        <v>22</v>
      </c>
      <c r="K1147">
        <v>6</v>
      </c>
      <c r="L1147" s="4">
        <v>288.08974358974359</v>
      </c>
      <c r="M1147" s="4">
        <v>63.379743589743583</v>
      </c>
      <c r="N1147" t="s">
        <v>100</v>
      </c>
    </row>
    <row r="1148" spans="1:14">
      <c r="A1148">
        <v>1147</v>
      </c>
      <c r="B1148">
        <v>32</v>
      </c>
      <c r="C1148" t="s">
        <v>11</v>
      </c>
      <c r="D1148" t="s">
        <v>12</v>
      </c>
      <c r="E1148" t="s">
        <v>56</v>
      </c>
      <c r="F1148">
        <v>53.71</v>
      </c>
      <c r="G1148" t="s">
        <v>14</v>
      </c>
      <c r="H1148" t="s">
        <v>37</v>
      </c>
      <c r="I1148">
        <v>3.2</v>
      </c>
      <c r="J1148">
        <v>21</v>
      </c>
      <c r="K1148">
        <v>8</v>
      </c>
      <c r="L1148" s="4">
        <v>67.987341772151893</v>
      </c>
      <c r="M1148" s="4">
        <v>14.277341772151892</v>
      </c>
      <c r="N1148" t="s">
        <v>91</v>
      </c>
    </row>
    <row r="1149" spans="1:14">
      <c r="A1149">
        <v>1148</v>
      </c>
      <c r="B1149">
        <v>43</v>
      </c>
      <c r="C1149" t="s">
        <v>11</v>
      </c>
      <c r="D1149" t="s">
        <v>20</v>
      </c>
      <c r="E1149" t="s">
        <v>39</v>
      </c>
      <c r="F1149">
        <v>38.869999999999997</v>
      </c>
      <c r="G1149" t="s">
        <v>24</v>
      </c>
      <c r="H1149" t="s">
        <v>37</v>
      </c>
      <c r="I1149">
        <v>4</v>
      </c>
      <c r="J1149">
        <v>16</v>
      </c>
      <c r="K1149">
        <v>8</v>
      </c>
      <c r="L1149" s="4">
        <v>46.273809523809526</v>
      </c>
      <c r="M1149" s="4">
        <v>7.4038095238095281</v>
      </c>
      <c r="N1149" t="s">
        <v>92</v>
      </c>
    </row>
    <row r="1150" spans="1:14">
      <c r="A1150">
        <v>1149</v>
      </c>
      <c r="B1150">
        <v>55</v>
      </c>
      <c r="C1150" t="s">
        <v>11</v>
      </c>
      <c r="D1150" t="s">
        <v>22</v>
      </c>
      <c r="E1150" t="s">
        <v>23</v>
      </c>
      <c r="F1150">
        <v>200.15</v>
      </c>
      <c r="G1150" t="s">
        <v>31</v>
      </c>
      <c r="H1150" t="s">
        <v>15</v>
      </c>
      <c r="I1150">
        <v>4.7</v>
      </c>
      <c r="J1150">
        <v>26</v>
      </c>
      <c r="K1150">
        <v>8</v>
      </c>
      <c r="L1150" s="4">
        <v>270.47297297297297</v>
      </c>
      <c r="M1150" s="4">
        <v>70.322972972972963</v>
      </c>
      <c r="N1150" t="s">
        <v>94</v>
      </c>
    </row>
    <row r="1151" spans="1:14">
      <c r="A1151">
        <v>1150</v>
      </c>
      <c r="B1151">
        <v>36</v>
      </c>
      <c r="C1151" t="s">
        <v>11</v>
      </c>
      <c r="D1151" t="s">
        <v>33</v>
      </c>
      <c r="E1151" t="s">
        <v>40</v>
      </c>
      <c r="F1151">
        <v>207.62</v>
      </c>
      <c r="G1151" t="s">
        <v>31</v>
      </c>
      <c r="H1151" t="s">
        <v>15</v>
      </c>
      <c r="I1151">
        <v>4</v>
      </c>
      <c r="J1151">
        <v>21</v>
      </c>
      <c r="K1151">
        <v>8</v>
      </c>
      <c r="L1151" s="4">
        <v>262.81012658227849</v>
      </c>
      <c r="M1151" s="4">
        <v>55.190126582278481</v>
      </c>
      <c r="N1151" t="s">
        <v>92</v>
      </c>
    </row>
    <row r="1152" spans="1:14">
      <c r="A1152">
        <v>1151</v>
      </c>
      <c r="B1152">
        <v>24</v>
      </c>
      <c r="C1152" t="s">
        <v>16</v>
      </c>
      <c r="D1152" t="s">
        <v>33</v>
      </c>
      <c r="E1152" t="s">
        <v>40</v>
      </c>
      <c r="F1152">
        <v>221.11</v>
      </c>
      <c r="G1152" t="s">
        <v>31</v>
      </c>
      <c r="H1152" t="s">
        <v>15</v>
      </c>
      <c r="I1152">
        <v>3.1</v>
      </c>
      <c r="J1152">
        <v>11</v>
      </c>
      <c r="K1152">
        <v>3</v>
      </c>
      <c r="L1152" s="4">
        <v>248.43820224719101</v>
      </c>
      <c r="M1152" s="4">
        <v>27.328202247191001</v>
      </c>
      <c r="N1152" t="s">
        <v>100</v>
      </c>
    </row>
    <row r="1153" spans="1:14">
      <c r="A1153">
        <v>1152</v>
      </c>
      <c r="B1153">
        <v>42</v>
      </c>
      <c r="C1153" t="s">
        <v>11</v>
      </c>
      <c r="D1153" t="s">
        <v>41</v>
      </c>
      <c r="E1153" t="s">
        <v>46</v>
      </c>
      <c r="F1153">
        <v>49.43</v>
      </c>
      <c r="G1153" t="s">
        <v>24</v>
      </c>
      <c r="H1153" t="s">
        <v>37</v>
      </c>
      <c r="I1153">
        <v>4.9000000000000004</v>
      </c>
      <c r="J1153">
        <v>8</v>
      </c>
      <c r="K1153">
        <v>4</v>
      </c>
      <c r="L1153" s="4">
        <v>53.728260869565212</v>
      </c>
      <c r="M1153" s="4">
        <v>4.2982608695652118</v>
      </c>
      <c r="N1153" t="s">
        <v>92</v>
      </c>
    </row>
    <row r="1154" spans="1:14">
      <c r="A1154">
        <v>1153</v>
      </c>
      <c r="B1154">
        <v>44</v>
      </c>
      <c r="C1154" t="s">
        <v>16</v>
      </c>
      <c r="D1154" t="s">
        <v>27</v>
      </c>
      <c r="E1154" t="s">
        <v>53</v>
      </c>
      <c r="F1154">
        <v>1549.6</v>
      </c>
      <c r="G1154" t="s">
        <v>24</v>
      </c>
      <c r="H1154" t="s">
        <v>15</v>
      </c>
      <c r="I1154">
        <v>3.1</v>
      </c>
      <c r="J1154">
        <v>14</v>
      </c>
      <c r="K1154">
        <v>7</v>
      </c>
      <c r="L1154" s="4">
        <v>1801.8604651162791</v>
      </c>
      <c r="M1154" s="4">
        <v>252.26046511627919</v>
      </c>
      <c r="N1154" t="s">
        <v>92</v>
      </c>
    </row>
    <row r="1155" spans="1:14">
      <c r="A1155">
        <v>1154</v>
      </c>
      <c r="B1155">
        <v>48</v>
      </c>
      <c r="C1155" t="s">
        <v>11</v>
      </c>
      <c r="D1155" t="s">
        <v>33</v>
      </c>
      <c r="E1155" t="s">
        <v>40</v>
      </c>
      <c r="F1155">
        <v>113.07</v>
      </c>
      <c r="G1155" t="s">
        <v>14</v>
      </c>
      <c r="H1155" t="s">
        <v>15</v>
      </c>
      <c r="I1155">
        <v>2.5</v>
      </c>
      <c r="J1155">
        <v>9</v>
      </c>
      <c r="K1155">
        <v>2</v>
      </c>
      <c r="L1155" s="4">
        <v>124.25274725274724</v>
      </c>
      <c r="M1155" s="4">
        <v>11.182747252747248</v>
      </c>
      <c r="N1155" t="s">
        <v>93</v>
      </c>
    </row>
    <row r="1156" spans="1:14">
      <c r="A1156">
        <v>1155</v>
      </c>
      <c r="B1156">
        <v>52</v>
      </c>
      <c r="C1156" t="s">
        <v>11</v>
      </c>
      <c r="D1156" t="s">
        <v>29</v>
      </c>
      <c r="E1156" t="s">
        <v>51</v>
      </c>
      <c r="F1156">
        <v>53.48</v>
      </c>
      <c r="G1156" t="s">
        <v>31</v>
      </c>
      <c r="H1156" t="s">
        <v>37</v>
      </c>
      <c r="I1156">
        <v>5</v>
      </c>
      <c r="J1156">
        <v>12</v>
      </c>
      <c r="K1156">
        <v>6</v>
      </c>
      <c r="L1156" s="4">
        <v>60.772727272727266</v>
      </c>
      <c r="M1156" s="4">
        <v>7.2927272727272694</v>
      </c>
      <c r="N1156" t="s">
        <v>93</v>
      </c>
    </row>
    <row r="1157" spans="1:14">
      <c r="A1157">
        <v>1156</v>
      </c>
      <c r="B1157">
        <v>56</v>
      </c>
      <c r="C1157" t="s">
        <v>16</v>
      </c>
      <c r="D1157" t="s">
        <v>17</v>
      </c>
      <c r="E1157" t="s">
        <v>35</v>
      </c>
      <c r="F1157">
        <v>75.17</v>
      </c>
      <c r="G1157" t="s">
        <v>19</v>
      </c>
      <c r="H1157" t="s">
        <v>37</v>
      </c>
      <c r="I1157">
        <v>3.7</v>
      </c>
      <c r="J1157">
        <v>8</v>
      </c>
      <c r="K1157">
        <v>4</v>
      </c>
      <c r="L1157" s="4">
        <v>81.706521739130437</v>
      </c>
      <c r="M1157" s="4">
        <v>6.5365217391304355</v>
      </c>
      <c r="N1157" t="s">
        <v>94</v>
      </c>
    </row>
    <row r="1158" spans="1:14">
      <c r="A1158">
        <v>1157</v>
      </c>
      <c r="B1158">
        <v>33</v>
      </c>
      <c r="C1158" t="s">
        <v>11</v>
      </c>
      <c r="D1158" t="s">
        <v>12</v>
      </c>
      <c r="E1158" t="s">
        <v>56</v>
      </c>
      <c r="F1158">
        <v>166.03</v>
      </c>
      <c r="G1158" t="s">
        <v>19</v>
      </c>
      <c r="H1158" t="s">
        <v>15</v>
      </c>
      <c r="I1158">
        <v>3.8</v>
      </c>
      <c r="J1158">
        <v>16</v>
      </c>
      <c r="K1158">
        <v>8</v>
      </c>
      <c r="L1158" s="4">
        <v>197.65476190476193</v>
      </c>
      <c r="M1158" s="4">
        <v>31.624761904761925</v>
      </c>
      <c r="N1158" t="s">
        <v>91</v>
      </c>
    </row>
    <row r="1159" spans="1:14">
      <c r="A1159">
        <v>1158</v>
      </c>
      <c r="B1159">
        <v>58</v>
      </c>
      <c r="C1159" t="s">
        <v>16</v>
      </c>
      <c r="D1159" t="s">
        <v>17</v>
      </c>
      <c r="E1159" t="s">
        <v>18</v>
      </c>
      <c r="F1159">
        <v>103.75</v>
      </c>
      <c r="G1159" t="s">
        <v>14</v>
      </c>
      <c r="H1159" t="s">
        <v>15</v>
      </c>
      <c r="I1159">
        <v>3.4</v>
      </c>
      <c r="J1159">
        <v>17</v>
      </c>
      <c r="K1159">
        <v>6</v>
      </c>
      <c r="L1159" s="4">
        <v>125</v>
      </c>
      <c r="M1159" s="4">
        <v>21.25</v>
      </c>
      <c r="N1159" t="s">
        <v>94</v>
      </c>
    </row>
    <row r="1160" spans="1:14">
      <c r="A1160">
        <v>1159</v>
      </c>
      <c r="B1160">
        <v>31</v>
      </c>
      <c r="C1160" t="s">
        <v>11</v>
      </c>
      <c r="D1160" t="s">
        <v>12</v>
      </c>
      <c r="E1160" t="s">
        <v>13</v>
      </c>
      <c r="F1160">
        <v>45.34</v>
      </c>
      <c r="G1160" t="s">
        <v>31</v>
      </c>
      <c r="H1160" t="s">
        <v>37</v>
      </c>
      <c r="I1160">
        <v>3.2</v>
      </c>
      <c r="J1160">
        <v>20</v>
      </c>
      <c r="K1160">
        <v>10</v>
      </c>
      <c r="L1160" s="4">
        <v>56.675000000000004</v>
      </c>
      <c r="M1160" s="4">
        <v>11.335000000000001</v>
      </c>
      <c r="N1160" t="s">
        <v>91</v>
      </c>
    </row>
    <row r="1161" spans="1:14">
      <c r="A1161">
        <v>1160</v>
      </c>
      <c r="B1161">
        <v>41</v>
      </c>
      <c r="C1161" t="s">
        <v>16</v>
      </c>
      <c r="D1161" t="s">
        <v>17</v>
      </c>
      <c r="E1161" t="s">
        <v>48</v>
      </c>
      <c r="F1161">
        <v>122.83</v>
      </c>
      <c r="G1161" t="s">
        <v>24</v>
      </c>
      <c r="H1161" t="s">
        <v>15</v>
      </c>
      <c r="I1161">
        <v>3.7</v>
      </c>
      <c r="J1161">
        <v>22</v>
      </c>
      <c r="K1161">
        <v>6</v>
      </c>
      <c r="L1161" s="4">
        <v>157.47435897435898</v>
      </c>
      <c r="M1161" s="4">
        <v>34.64435897435898</v>
      </c>
      <c r="N1161" t="s">
        <v>92</v>
      </c>
    </row>
    <row r="1162" spans="1:14">
      <c r="A1162">
        <v>1161</v>
      </c>
      <c r="B1162">
        <v>65</v>
      </c>
      <c r="C1162" t="s">
        <v>16</v>
      </c>
      <c r="D1162" t="s">
        <v>33</v>
      </c>
      <c r="E1162" t="s">
        <v>34</v>
      </c>
      <c r="F1162">
        <v>77.34</v>
      </c>
      <c r="G1162" t="s">
        <v>31</v>
      </c>
      <c r="H1162" t="s">
        <v>37</v>
      </c>
      <c r="I1162">
        <v>4.8</v>
      </c>
      <c r="J1162">
        <v>6</v>
      </c>
      <c r="K1162">
        <v>3</v>
      </c>
      <c r="L1162" s="4">
        <v>82.276595744680861</v>
      </c>
      <c r="M1162" s="4">
        <v>4.9365957446808579</v>
      </c>
      <c r="N1162" t="s">
        <v>95</v>
      </c>
    </row>
    <row r="1163" spans="1:14">
      <c r="A1163">
        <v>1162</v>
      </c>
      <c r="B1163">
        <v>46</v>
      </c>
      <c r="C1163" t="s">
        <v>16</v>
      </c>
      <c r="D1163" t="s">
        <v>27</v>
      </c>
      <c r="E1163" t="s">
        <v>49</v>
      </c>
      <c r="F1163">
        <v>2424.09</v>
      </c>
      <c r="G1163" t="s">
        <v>24</v>
      </c>
      <c r="H1163" t="s">
        <v>15</v>
      </c>
      <c r="I1163">
        <v>3.6</v>
      </c>
      <c r="J1163">
        <v>18</v>
      </c>
      <c r="K1163">
        <v>4</v>
      </c>
      <c r="L1163" s="4">
        <v>2956.2073170731705</v>
      </c>
      <c r="M1163" s="4">
        <v>532.1173170731704</v>
      </c>
      <c r="N1163" t="s">
        <v>93</v>
      </c>
    </row>
    <row r="1164" spans="1:14">
      <c r="A1164">
        <v>1163</v>
      </c>
      <c r="B1164">
        <v>30</v>
      </c>
      <c r="C1164" t="s">
        <v>16</v>
      </c>
      <c r="D1164" t="s">
        <v>25</v>
      </c>
      <c r="E1164" t="s">
        <v>54</v>
      </c>
      <c r="F1164">
        <v>25.43</v>
      </c>
      <c r="G1164" t="s">
        <v>19</v>
      </c>
      <c r="H1164" t="s">
        <v>37</v>
      </c>
      <c r="I1164">
        <v>4.3</v>
      </c>
      <c r="J1164">
        <v>6</v>
      </c>
      <c r="K1164">
        <v>3</v>
      </c>
      <c r="L1164" s="4">
        <v>27.053191489361705</v>
      </c>
      <c r="M1164" s="4">
        <v>1.6231914893617052</v>
      </c>
      <c r="N1164" t="s">
        <v>91</v>
      </c>
    </row>
    <row r="1165" spans="1:14">
      <c r="A1165">
        <v>1164</v>
      </c>
      <c r="B1165">
        <v>62</v>
      </c>
      <c r="C1165" t="s">
        <v>16</v>
      </c>
      <c r="D1165" t="s">
        <v>27</v>
      </c>
      <c r="E1165" t="s">
        <v>53</v>
      </c>
      <c r="F1165">
        <v>603.16999999999996</v>
      </c>
      <c r="G1165" t="s">
        <v>19</v>
      </c>
      <c r="H1165" t="s">
        <v>15</v>
      </c>
      <c r="I1165">
        <v>2.9</v>
      </c>
      <c r="J1165">
        <v>16</v>
      </c>
      <c r="K1165">
        <v>8</v>
      </c>
      <c r="L1165" s="4">
        <v>718.05952380952374</v>
      </c>
      <c r="M1165" s="4">
        <v>114.88952380952378</v>
      </c>
      <c r="N1165" t="s">
        <v>94</v>
      </c>
    </row>
    <row r="1166" spans="1:14">
      <c r="A1166">
        <v>1165</v>
      </c>
      <c r="B1166">
        <v>22</v>
      </c>
      <c r="C1166" t="s">
        <v>11</v>
      </c>
      <c r="D1166" t="s">
        <v>29</v>
      </c>
      <c r="E1166" t="s">
        <v>30</v>
      </c>
      <c r="F1166">
        <v>80.91</v>
      </c>
      <c r="G1166" t="s">
        <v>14</v>
      </c>
      <c r="H1166" t="s">
        <v>15</v>
      </c>
      <c r="I1166">
        <v>5</v>
      </c>
      <c r="J1166">
        <v>20</v>
      </c>
      <c r="K1166">
        <v>5</v>
      </c>
      <c r="L1166" s="4">
        <v>101.13749999999999</v>
      </c>
      <c r="M1166" s="4">
        <v>20.227499999999992</v>
      </c>
      <c r="N1166" t="s">
        <v>100</v>
      </c>
    </row>
    <row r="1167" spans="1:14">
      <c r="A1167">
        <v>1166</v>
      </c>
      <c r="B1167">
        <v>22</v>
      </c>
      <c r="C1167" t="s">
        <v>16</v>
      </c>
      <c r="D1167" t="s">
        <v>27</v>
      </c>
      <c r="E1167" t="s">
        <v>28</v>
      </c>
      <c r="F1167">
        <v>542.16</v>
      </c>
      <c r="G1167" t="s">
        <v>14</v>
      </c>
      <c r="H1167" t="s">
        <v>15</v>
      </c>
      <c r="I1167">
        <v>3.5</v>
      </c>
      <c r="J1167">
        <v>9</v>
      </c>
      <c r="K1167">
        <v>2</v>
      </c>
      <c r="L1167" s="4">
        <v>595.78021978021968</v>
      </c>
      <c r="M1167" s="4">
        <v>53.620219780219713</v>
      </c>
      <c r="N1167" t="s">
        <v>100</v>
      </c>
    </row>
    <row r="1168" spans="1:14">
      <c r="A1168">
        <v>1167</v>
      </c>
      <c r="B1168">
        <v>51</v>
      </c>
      <c r="C1168" t="s">
        <v>16</v>
      </c>
      <c r="D1168" t="s">
        <v>27</v>
      </c>
      <c r="E1168" t="s">
        <v>49</v>
      </c>
      <c r="F1168">
        <v>1413.04</v>
      </c>
      <c r="G1168" t="s">
        <v>14</v>
      </c>
      <c r="H1168" t="s">
        <v>15</v>
      </c>
      <c r="I1168">
        <v>3.3</v>
      </c>
      <c r="J1168">
        <v>13</v>
      </c>
      <c r="K1168">
        <v>4</v>
      </c>
      <c r="L1168" s="4">
        <v>1624.183908045977</v>
      </c>
      <c r="M1168" s="4">
        <v>211.14390804597701</v>
      </c>
      <c r="N1168" t="s">
        <v>93</v>
      </c>
    </row>
    <row r="1169" spans="1:14">
      <c r="A1169">
        <v>1168</v>
      </c>
      <c r="B1169">
        <v>37</v>
      </c>
      <c r="C1169" t="s">
        <v>11</v>
      </c>
      <c r="D1169" t="s">
        <v>25</v>
      </c>
      <c r="E1169" t="s">
        <v>26</v>
      </c>
      <c r="F1169">
        <v>47.92</v>
      </c>
      <c r="G1169" t="s">
        <v>31</v>
      </c>
      <c r="H1169" t="s">
        <v>37</v>
      </c>
      <c r="I1169">
        <v>3.9</v>
      </c>
      <c r="J1169">
        <v>20</v>
      </c>
      <c r="K1169">
        <v>5</v>
      </c>
      <c r="L1169" s="4">
        <v>59.9</v>
      </c>
      <c r="M1169" s="4">
        <v>11.979999999999997</v>
      </c>
      <c r="N1169" t="s">
        <v>92</v>
      </c>
    </row>
    <row r="1170" spans="1:14">
      <c r="A1170">
        <v>1169</v>
      </c>
      <c r="B1170">
        <v>59</v>
      </c>
      <c r="C1170" t="s">
        <v>11</v>
      </c>
      <c r="D1170" t="s">
        <v>12</v>
      </c>
      <c r="E1170" t="s">
        <v>56</v>
      </c>
      <c r="F1170">
        <v>93.12</v>
      </c>
      <c r="G1170" t="s">
        <v>31</v>
      </c>
      <c r="H1170" t="s">
        <v>37</v>
      </c>
      <c r="I1170">
        <v>4.2</v>
      </c>
      <c r="J1170">
        <v>22</v>
      </c>
      <c r="K1170">
        <v>6</v>
      </c>
      <c r="L1170" s="4">
        <v>119.38461538461539</v>
      </c>
      <c r="M1170" s="4">
        <v>26.264615384615382</v>
      </c>
      <c r="N1170" t="s">
        <v>94</v>
      </c>
    </row>
    <row r="1171" spans="1:14">
      <c r="A1171">
        <v>1170</v>
      </c>
      <c r="B1171">
        <v>48</v>
      </c>
      <c r="C1171" t="s">
        <v>11</v>
      </c>
      <c r="D1171" t="s">
        <v>20</v>
      </c>
      <c r="E1171" t="s">
        <v>21</v>
      </c>
      <c r="F1171">
        <v>58.09</v>
      </c>
      <c r="G1171" t="s">
        <v>14</v>
      </c>
      <c r="H1171" t="s">
        <v>15</v>
      </c>
      <c r="I1171">
        <v>3.4</v>
      </c>
      <c r="J1171">
        <v>11</v>
      </c>
      <c r="K1171">
        <v>3</v>
      </c>
      <c r="L1171" s="4">
        <v>65.269662921348313</v>
      </c>
      <c r="M1171" s="4">
        <v>7.1796629213483101</v>
      </c>
      <c r="N1171" t="s">
        <v>93</v>
      </c>
    </row>
    <row r="1172" spans="1:14">
      <c r="A1172">
        <v>1171</v>
      </c>
      <c r="B1172">
        <v>48</v>
      </c>
      <c r="C1172" t="s">
        <v>16</v>
      </c>
      <c r="D1172" t="s">
        <v>27</v>
      </c>
      <c r="E1172" t="s">
        <v>49</v>
      </c>
      <c r="F1172">
        <v>1992.41</v>
      </c>
      <c r="G1172" t="s">
        <v>31</v>
      </c>
      <c r="H1172" t="s">
        <v>15</v>
      </c>
      <c r="I1172">
        <v>4.4000000000000004</v>
      </c>
      <c r="J1172">
        <v>16</v>
      </c>
      <c r="K1172">
        <v>3</v>
      </c>
      <c r="L1172" s="4">
        <v>2371.916666666667</v>
      </c>
      <c r="M1172" s="4">
        <v>379.50666666666689</v>
      </c>
      <c r="N1172" t="s">
        <v>93</v>
      </c>
    </row>
    <row r="1173" spans="1:14">
      <c r="A1173">
        <v>1172</v>
      </c>
      <c r="B1173">
        <v>58</v>
      </c>
      <c r="C1173" t="s">
        <v>16</v>
      </c>
      <c r="D1173" t="s">
        <v>20</v>
      </c>
      <c r="E1173" t="s">
        <v>39</v>
      </c>
      <c r="F1173">
        <v>137.08000000000001</v>
      </c>
      <c r="G1173" t="s">
        <v>24</v>
      </c>
      <c r="H1173" t="s">
        <v>15</v>
      </c>
      <c r="I1173">
        <v>3.1</v>
      </c>
      <c r="J1173">
        <v>28</v>
      </c>
      <c r="K1173">
        <v>9</v>
      </c>
      <c r="L1173" s="4">
        <v>190.38888888888891</v>
      </c>
      <c r="M1173" s="4">
        <v>53.308888888888902</v>
      </c>
      <c r="N1173" t="s">
        <v>94</v>
      </c>
    </row>
    <row r="1174" spans="1:14">
      <c r="A1174">
        <v>1173</v>
      </c>
      <c r="B1174">
        <v>33</v>
      </c>
      <c r="C1174" t="s">
        <v>16</v>
      </c>
      <c r="D1174" t="s">
        <v>25</v>
      </c>
      <c r="E1174" t="s">
        <v>47</v>
      </c>
      <c r="F1174">
        <v>7.64</v>
      </c>
      <c r="G1174" t="s">
        <v>19</v>
      </c>
      <c r="H1174" t="s">
        <v>15</v>
      </c>
      <c r="I1174">
        <v>3.6</v>
      </c>
      <c r="J1174">
        <v>4</v>
      </c>
      <c r="K1174">
        <v>2</v>
      </c>
      <c r="L1174" s="4">
        <v>7.958333333333333</v>
      </c>
      <c r="M1174" s="4">
        <v>0.31833333333333336</v>
      </c>
      <c r="N1174" t="s">
        <v>91</v>
      </c>
    </row>
    <row r="1175" spans="1:14">
      <c r="A1175">
        <v>1174</v>
      </c>
      <c r="B1175">
        <v>20</v>
      </c>
      <c r="C1175" t="s">
        <v>16</v>
      </c>
      <c r="D1175" t="s">
        <v>27</v>
      </c>
      <c r="E1175" t="s">
        <v>49</v>
      </c>
      <c r="F1175">
        <v>1333.64</v>
      </c>
      <c r="G1175" t="s">
        <v>31</v>
      </c>
      <c r="H1175" t="s">
        <v>15</v>
      </c>
      <c r="I1175">
        <v>2.7</v>
      </c>
      <c r="J1175">
        <v>10</v>
      </c>
      <c r="K1175">
        <v>5</v>
      </c>
      <c r="L1175" s="4">
        <v>1481.8222222222223</v>
      </c>
      <c r="M1175" s="4">
        <v>148.18222222222221</v>
      </c>
      <c r="N1175" t="s">
        <v>100</v>
      </c>
    </row>
    <row r="1176" spans="1:14">
      <c r="A1176">
        <v>1175</v>
      </c>
      <c r="B1176">
        <v>23</v>
      </c>
      <c r="C1176" t="s">
        <v>16</v>
      </c>
      <c r="D1176" t="s">
        <v>17</v>
      </c>
      <c r="E1176" t="s">
        <v>48</v>
      </c>
      <c r="F1176">
        <v>58.77</v>
      </c>
      <c r="G1176" t="s">
        <v>24</v>
      </c>
      <c r="H1176" t="s">
        <v>37</v>
      </c>
      <c r="I1176">
        <v>3.1</v>
      </c>
      <c r="J1176">
        <v>10</v>
      </c>
      <c r="K1176">
        <v>5</v>
      </c>
      <c r="L1176" s="4">
        <v>65.3</v>
      </c>
      <c r="M1176" s="4">
        <v>6.529999999999994</v>
      </c>
      <c r="N1176" t="s">
        <v>100</v>
      </c>
    </row>
    <row r="1177" spans="1:14">
      <c r="A1177">
        <v>1176</v>
      </c>
      <c r="B1177">
        <v>64</v>
      </c>
      <c r="C1177" t="s">
        <v>11</v>
      </c>
      <c r="D1177" t="s">
        <v>33</v>
      </c>
      <c r="E1177" t="s">
        <v>34</v>
      </c>
      <c r="F1177">
        <v>42.22</v>
      </c>
      <c r="G1177" t="s">
        <v>19</v>
      </c>
      <c r="H1177" t="s">
        <v>15</v>
      </c>
      <c r="I1177">
        <v>3.9</v>
      </c>
      <c r="J1177">
        <v>17</v>
      </c>
      <c r="K1177">
        <v>6</v>
      </c>
      <c r="L1177" s="4">
        <v>50.867469879518076</v>
      </c>
      <c r="M1177" s="4">
        <v>8.6474698795180771</v>
      </c>
      <c r="N1177" t="s">
        <v>94</v>
      </c>
    </row>
    <row r="1178" spans="1:14">
      <c r="A1178">
        <v>1177</v>
      </c>
      <c r="B1178">
        <v>66</v>
      </c>
      <c r="C1178" t="s">
        <v>16</v>
      </c>
      <c r="D1178" t="s">
        <v>33</v>
      </c>
      <c r="E1178" t="s">
        <v>34</v>
      </c>
      <c r="F1178">
        <v>158.22</v>
      </c>
      <c r="G1178" t="s">
        <v>31</v>
      </c>
      <c r="H1178" t="s">
        <v>15</v>
      </c>
      <c r="I1178">
        <v>2.8</v>
      </c>
      <c r="J1178">
        <v>11</v>
      </c>
      <c r="K1178">
        <v>3</v>
      </c>
      <c r="L1178" s="4">
        <v>177.77528089887639</v>
      </c>
      <c r="M1178" s="4">
        <v>19.55528089887639</v>
      </c>
      <c r="N1178" t="s">
        <v>95</v>
      </c>
    </row>
    <row r="1179" spans="1:14">
      <c r="A1179">
        <v>1178</v>
      </c>
      <c r="B1179">
        <v>55</v>
      </c>
      <c r="C1179" t="s">
        <v>16</v>
      </c>
      <c r="D1179" t="s">
        <v>33</v>
      </c>
      <c r="E1179" t="s">
        <v>40</v>
      </c>
      <c r="F1179">
        <v>77.33</v>
      </c>
      <c r="G1179" t="s">
        <v>14</v>
      </c>
      <c r="H1179" t="s">
        <v>37</v>
      </c>
      <c r="I1179">
        <v>3.6</v>
      </c>
      <c r="J1179">
        <v>15</v>
      </c>
      <c r="K1179">
        <v>5</v>
      </c>
      <c r="L1179" s="4">
        <v>90.976470588235301</v>
      </c>
      <c r="M1179" s="4">
        <v>13.646470588235303</v>
      </c>
      <c r="N1179" t="s">
        <v>94</v>
      </c>
    </row>
    <row r="1180" spans="1:14">
      <c r="A1180">
        <v>1179</v>
      </c>
      <c r="B1180">
        <v>29</v>
      </c>
      <c r="C1180" t="s">
        <v>16</v>
      </c>
      <c r="D1180" t="s">
        <v>22</v>
      </c>
      <c r="E1180" t="s">
        <v>23</v>
      </c>
      <c r="F1180">
        <v>255.41</v>
      </c>
      <c r="G1180" t="s">
        <v>31</v>
      </c>
      <c r="H1180" t="s">
        <v>15</v>
      </c>
      <c r="I1180">
        <v>4.5999999999999996</v>
      </c>
      <c r="J1180">
        <v>24</v>
      </c>
      <c r="K1180">
        <v>7</v>
      </c>
      <c r="L1180" s="4">
        <v>336.06578947368422</v>
      </c>
      <c r="M1180" s="4">
        <v>80.655789473684223</v>
      </c>
      <c r="N1180" t="s">
        <v>91</v>
      </c>
    </row>
    <row r="1181" spans="1:14">
      <c r="A1181">
        <v>1180</v>
      </c>
      <c r="B1181">
        <v>39</v>
      </c>
      <c r="C1181" t="s">
        <v>16</v>
      </c>
      <c r="D1181" t="s">
        <v>20</v>
      </c>
      <c r="E1181" t="s">
        <v>36</v>
      </c>
      <c r="F1181">
        <v>241.39</v>
      </c>
      <c r="G1181" t="s">
        <v>19</v>
      </c>
      <c r="H1181" t="s">
        <v>15</v>
      </c>
      <c r="I1181">
        <v>2.1</v>
      </c>
      <c r="J1181">
        <v>18</v>
      </c>
      <c r="K1181">
        <v>9</v>
      </c>
      <c r="L1181" s="4">
        <v>294.37804878048775</v>
      </c>
      <c r="M1181" s="4">
        <v>52.988048780487759</v>
      </c>
      <c r="N1181" t="s">
        <v>92</v>
      </c>
    </row>
    <row r="1182" spans="1:14">
      <c r="A1182">
        <v>1181</v>
      </c>
      <c r="B1182">
        <v>67</v>
      </c>
      <c r="C1182" t="s">
        <v>16</v>
      </c>
      <c r="D1182" t="s">
        <v>20</v>
      </c>
      <c r="E1182" t="s">
        <v>39</v>
      </c>
      <c r="F1182">
        <v>141.33000000000001</v>
      </c>
      <c r="G1182" t="s">
        <v>24</v>
      </c>
      <c r="H1182" t="s">
        <v>15</v>
      </c>
      <c r="I1182">
        <v>5</v>
      </c>
      <c r="J1182">
        <v>24</v>
      </c>
      <c r="K1182">
        <v>7</v>
      </c>
      <c r="L1182" s="4">
        <v>185.96052631578948</v>
      </c>
      <c r="M1182" s="4">
        <v>44.630526315789467</v>
      </c>
      <c r="N1182" t="s">
        <v>95</v>
      </c>
    </row>
    <row r="1183" spans="1:14">
      <c r="A1183">
        <v>1182</v>
      </c>
      <c r="B1183">
        <v>29</v>
      </c>
      <c r="C1183" t="s">
        <v>11</v>
      </c>
      <c r="D1183" t="s">
        <v>33</v>
      </c>
      <c r="E1183" t="s">
        <v>40</v>
      </c>
      <c r="F1183">
        <v>78.349999999999994</v>
      </c>
      <c r="G1183" t="s">
        <v>31</v>
      </c>
      <c r="H1183" t="s">
        <v>37</v>
      </c>
      <c r="I1183">
        <v>3.8</v>
      </c>
      <c r="J1183">
        <v>16</v>
      </c>
      <c r="K1183">
        <v>3</v>
      </c>
      <c r="L1183" s="4">
        <v>93.273809523809518</v>
      </c>
      <c r="M1183" s="4">
        <v>14.923809523809524</v>
      </c>
      <c r="N1183" t="s">
        <v>91</v>
      </c>
    </row>
    <row r="1184" spans="1:14">
      <c r="A1184">
        <v>1183</v>
      </c>
      <c r="B1184">
        <v>30</v>
      </c>
      <c r="C1184" t="s">
        <v>11</v>
      </c>
      <c r="D1184" t="s">
        <v>33</v>
      </c>
      <c r="E1184" t="s">
        <v>34</v>
      </c>
      <c r="F1184">
        <v>170.77</v>
      </c>
      <c r="G1184" t="s">
        <v>24</v>
      </c>
      <c r="H1184" t="s">
        <v>15</v>
      </c>
      <c r="I1184">
        <v>4.9000000000000004</v>
      </c>
      <c r="J1184">
        <v>11</v>
      </c>
      <c r="K1184">
        <v>3</v>
      </c>
      <c r="L1184" s="4">
        <v>191.87640449438203</v>
      </c>
      <c r="M1184" s="4">
        <v>21.106404494382019</v>
      </c>
      <c r="N1184" t="s">
        <v>91</v>
      </c>
    </row>
    <row r="1185" spans="1:14">
      <c r="A1185">
        <v>1184</v>
      </c>
      <c r="B1185">
        <v>20</v>
      </c>
      <c r="C1185" t="s">
        <v>16</v>
      </c>
      <c r="D1185" t="s">
        <v>33</v>
      </c>
      <c r="E1185" t="s">
        <v>40</v>
      </c>
      <c r="F1185">
        <v>249.56</v>
      </c>
      <c r="G1185" t="s">
        <v>31</v>
      </c>
      <c r="H1185" t="s">
        <v>15</v>
      </c>
      <c r="I1185">
        <v>2.4</v>
      </c>
      <c r="J1185">
        <v>26</v>
      </c>
      <c r="K1185">
        <v>8</v>
      </c>
      <c r="L1185" s="4">
        <v>337.24324324324323</v>
      </c>
      <c r="M1185" s="4">
        <v>87.683243243243226</v>
      </c>
      <c r="N1185" t="s">
        <v>100</v>
      </c>
    </row>
    <row r="1186" spans="1:14">
      <c r="A1186">
        <v>1185</v>
      </c>
      <c r="B1186">
        <v>44</v>
      </c>
      <c r="C1186" t="s">
        <v>11</v>
      </c>
      <c r="D1186" t="s">
        <v>29</v>
      </c>
      <c r="E1186" t="s">
        <v>55</v>
      </c>
      <c r="F1186">
        <v>69.64</v>
      </c>
      <c r="G1186" t="s">
        <v>31</v>
      </c>
      <c r="H1186" t="s">
        <v>37</v>
      </c>
      <c r="I1186">
        <v>2.7</v>
      </c>
      <c r="J1186">
        <v>10</v>
      </c>
      <c r="K1186">
        <v>5</v>
      </c>
      <c r="L1186" s="4">
        <v>77.37777777777778</v>
      </c>
      <c r="M1186" s="4">
        <v>7.7377777777777794</v>
      </c>
      <c r="N1186" t="s">
        <v>92</v>
      </c>
    </row>
    <row r="1187" spans="1:14">
      <c r="A1187">
        <v>1186</v>
      </c>
      <c r="B1187">
        <v>61</v>
      </c>
      <c r="C1187" t="s">
        <v>16</v>
      </c>
      <c r="D1187" t="s">
        <v>20</v>
      </c>
      <c r="E1187" t="s">
        <v>39</v>
      </c>
      <c r="F1187">
        <v>31.66</v>
      </c>
      <c r="G1187" t="s">
        <v>24</v>
      </c>
      <c r="H1187" t="s">
        <v>37</v>
      </c>
      <c r="I1187">
        <v>4</v>
      </c>
      <c r="J1187">
        <v>20</v>
      </c>
      <c r="K1187">
        <v>5</v>
      </c>
      <c r="L1187" s="4">
        <v>39.574999999999996</v>
      </c>
      <c r="M1187" s="4">
        <v>7.9149999999999956</v>
      </c>
      <c r="N1187" t="s">
        <v>94</v>
      </c>
    </row>
    <row r="1188" spans="1:14">
      <c r="A1188">
        <v>1187</v>
      </c>
      <c r="B1188">
        <v>25</v>
      </c>
      <c r="C1188" t="s">
        <v>11</v>
      </c>
      <c r="D1188" t="s">
        <v>29</v>
      </c>
      <c r="E1188" t="s">
        <v>55</v>
      </c>
      <c r="F1188">
        <v>56.01</v>
      </c>
      <c r="G1188" t="s">
        <v>19</v>
      </c>
      <c r="H1188" t="s">
        <v>37</v>
      </c>
      <c r="I1188">
        <v>3.1</v>
      </c>
      <c r="J1188">
        <v>10</v>
      </c>
      <c r="K1188">
        <v>5</v>
      </c>
      <c r="L1188" s="4">
        <v>62.233333333333327</v>
      </c>
      <c r="M1188" s="4">
        <v>6.2233333333333292</v>
      </c>
      <c r="N1188" t="s">
        <v>91</v>
      </c>
    </row>
    <row r="1189" spans="1:14">
      <c r="A1189">
        <v>1188</v>
      </c>
      <c r="B1189">
        <v>57</v>
      </c>
      <c r="C1189" t="s">
        <v>16</v>
      </c>
      <c r="D1189" t="s">
        <v>33</v>
      </c>
      <c r="E1189" t="s">
        <v>34</v>
      </c>
      <c r="F1189">
        <v>191.16</v>
      </c>
      <c r="G1189" t="s">
        <v>19</v>
      </c>
      <c r="H1189" t="s">
        <v>15</v>
      </c>
      <c r="I1189">
        <v>3.8</v>
      </c>
      <c r="J1189">
        <v>15</v>
      </c>
      <c r="K1189">
        <v>5</v>
      </c>
      <c r="L1189" s="4">
        <v>224.89411764705883</v>
      </c>
      <c r="M1189" s="4">
        <v>33.734117647058838</v>
      </c>
      <c r="N1189" t="s">
        <v>94</v>
      </c>
    </row>
    <row r="1190" spans="1:14">
      <c r="A1190">
        <v>1189</v>
      </c>
      <c r="B1190">
        <v>32</v>
      </c>
      <c r="C1190" t="s">
        <v>11</v>
      </c>
      <c r="D1190" t="s">
        <v>33</v>
      </c>
      <c r="E1190" t="s">
        <v>34</v>
      </c>
      <c r="F1190">
        <v>200.69</v>
      </c>
      <c r="G1190" t="s">
        <v>31</v>
      </c>
      <c r="H1190" t="s">
        <v>15</v>
      </c>
      <c r="I1190">
        <v>3.9</v>
      </c>
      <c r="J1190">
        <v>10</v>
      </c>
      <c r="K1190">
        <v>5</v>
      </c>
      <c r="L1190" s="4">
        <v>222.98888888888888</v>
      </c>
      <c r="M1190" s="4">
        <v>22.298888888888882</v>
      </c>
      <c r="N1190" t="s">
        <v>91</v>
      </c>
    </row>
    <row r="1191" spans="1:14">
      <c r="A1191">
        <v>1190</v>
      </c>
      <c r="B1191">
        <v>33</v>
      </c>
      <c r="C1191" t="s">
        <v>16</v>
      </c>
      <c r="D1191" t="s">
        <v>17</v>
      </c>
      <c r="E1191" t="s">
        <v>18</v>
      </c>
      <c r="F1191">
        <v>30.68</v>
      </c>
      <c r="G1191" t="s">
        <v>19</v>
      </c>
      <c r="H1191" t="s">
        <v>15</v>
      </c>
      <c r="I1191">
        <v>3.7</v>
      </c>
      <c r="J1191">
        <v>10</v>
      </c>
      <c r="K1191">
        <v>5</v>
      </c>
      <c r="L1191" s="4">
        <v>34.088888888888889</v>
      </c>
      <c r="M1191" s="4">
        <v>3.4088888888888889</v>
      </c>
      <c r="N1191" t="s">
        <v>91</v>
      </c>
    </row>
    <row r="1192" spans="1:14">
      <c r="A1192">
        <v>1191</v>
      </c>
      <c r="B1192">
        <v>38</v>
      </c>
      <c r="C1192" t="s">
        <v>16</v>
      </c>
      <c r="D1192" t="s">
        <v>20</v>
      </c>
      <c r="E1192" t="s">
        <v>39</v>
      </c>
      <c r="F1192">
        <v>225</v>
      </c>
      <c r="G1192" t="s">
        <v>31</v>
      </c>
      <c r="H1192" t="s">
        <v>15</v>
      </c>
      <c r="I1192">
        <v>3.7</v>
      </c>
      <c r="J1192">
        <v>2</v>
      </c>
      <c r="K1192">
        <v>1</v>
      </c>
      <c r="L1192" s="4">
        <v>229.59183673469389</v>
      </c>
      <c r="M1192" s="4">
        <v>4.5918367346938851</v>
      </c>
      <c r="N1192" t="s">
        <v>92</v>
      </c>
    </row>
    <row r="1193" spans="1:14">
      <c r="A1193">
        <v>1192</v>
      </c>
      <c r="B1193">
        <v>31</v>
      </c>
      <c r="C1193" t="s">
        <v>11</v>
      </c>
      <c r="D1193" t="s">
        <v>29</v>
      </c>
      <c r="E1193" t="s">
        <v>55</v>
      </c>
      <c r="F1193">
        <v>39.450000000000003</v>
      </c>
      <c r="G1193" t="s">
        <v>31</v>
      </c>
      <c r="H1193" t="s">
        <v>37</v>
      </c>
      <c r="I1193">
        <v>4.2</v>
      </c>
      <c r="J1193">
        <v>18</v>
      </c>
      <c r="K1193">
        <v>9</v>
      </c>
      <c r="L1193" s="4">
        <v>48.109756097560975</v>
      </c>
      <c r="M1193" s="4">
        <v>8.6597560975609724</v>
      </c>
      <c r="N1193" t="s">
        <v>91</v>
      </c>
    </row>
    <row r="1194" spans="1:14">
      <c r="A1194">
        <v>1193</v>
      </c>
      <c r="B1194">
        <v>65</v>
      </c>
      <c r="C1194" t="s">
        <v>11</v>
      </c>
      <c r="D1194" t="s">
        <v>33</v>
      </c>
      <c r="E1194" t="s">
        <v>40</v>
      </c>
      <c r="F1194">
        <v>131.71</v>
      </c>
      <c r="G1194" t="s">
        <v>14</v>
      </c>
      <c r="H1194" t="s">
        <v>15</v>
      </c>
      <c r="I1194">
        <v>3.5</v>
      </c>
      <c r="J1194">
        <v>13</v>
      </c>
      <c r="K1194">
        <v>4</v>
      </c>
      <c r="L1194" s="4">
        <v>151.39080459770116</v>
      </c>
      <c r="M1194" s="4">
        <v>19.680804597701155</v>
      </c>
      <c r="N1194" t="s">
        <v>95</v>
      </c>
    </row>
    <row r="1195" spans="1:14">
      <c r="A1195">
        <v>1194</v>
      </c>
      <c r="B1195">
        <v>43</v>
      </c>
      <c r="C1195" t="s">
        <v>16</v>
      </c>
      <c r="D1195" t="s">
        <v>33</v>
      </c>
      <c r="E1195" t="s">
        <v>34</v>
      </c>
      <c r="F1195">
        <v>141.38999999999999</v>
      </c>
      <c r="G1195" t="s">
        <v>14</v>
      </c>
      <c r="H1195" t="s">
        <v>15</v>
      </c>
      <c r="I1195">
        <v>4.3</v>
      </c>
      <c r="J1195">
        <v>17</v>
      </c>
      <c r="K1195">
        <v>6</v>
      </c>
      <c r="L1195" s="4">
        <v>170.34939759036143</v>
      </c>
      <c r="M1195" s="4">
        <v>28.959397590361448</v>
      </c>
      <c r="N1195" t="s">
        <v>92</v>
      </c>
    </row>
    <row r="1196" spans="1:14">
      <c r="A1196">
        <v>1195</v>
      </c>
      <c r="B1196">
        <v>33</v>
      </c>
      <c r="C1196" t="s">
        <v>16</v>
      </c>
      <c r="D1196" t="s">
        <v>22</v>
      </c>
      <c r="E1196" t="s">
        <v>52</v>
      </c>
      <c r="F1196">
        <v>48.08</v>
      </c>
      <c r="G1196" t="s">
        <v>31</v>
      </c>
      <c r="H1196" t="s">
        <v>15</v>
      </c>
      <c r="I1196">
        <v>3.8</v>
      </c>
      <c r="J1196">
        <v>30</v>
      </c>
      <c r="K1196">
        <v>10</v>
      </c>
      <c r="L1196" s="4">
        <v>68.685714285714283</v>
      </c>
      <c r="M1196" s="4">
        <v>20.605714285714285</v>
      </c>
      <c r="N1196" t="s">
        <v>91</v>
      </c>
    </row>
    <row r="1197" spans="1:14">
      <c r="A1197">
        <v>1196</v>
      </c>
      <c r="B1197">
        <v>29</v>
      </c>
      <c r="C1197" t="s">
        <v>11</v>
      </c>
      <c r="D1197" t="s">
        <v>33</v>
      </c>
      <c r="E1197" t="s">
        <v>34</v>
      </c>
      <c r="F1197">
        <v>143.49</v>
      </c>
      <c r="G1197" t="s">
        <v>19</v>
      </c>
      <c r="H1197" t="s">
        <v>15</v>
      </c>
      <c r="I1197">
        <v>2.4</v>
      </c>
      <c r="J1197">
        <v>18</v>
      </c>
      <c r="K1197">
        <v>4</v>
      </c>
      <c r="L1197" s="4">
        <v>174.98780487804879</v>
      </c>
      <c r="M1197" s="4">
        <v>31.497804878048782</v>
      </c>
      <c r="N1197" t="s">
        <v>91</v>
      </c>
    </row>
    <row r="1198" spans="1:14">
      <c r="A1198">
        <v>1197</v>
      </c>
      <c r="B1198">
        <v>23</v>
      </c>
      <c r="C1198" t="s">
        <v>11</v>
      </c>
      <c r="D1198" t="s">
        <v>25</v>
      </c>
      <c r="E1198" t="s">
        <v>57</v>
      </c>
      <c r="F1198">
        <v>32.67</v>
      </c>
      <c r="G1198" t="s">
        <v>19</v>
      </c>
      <c r="H1198" t="s">
        <v>37</v>
      </c>
      <c r="I1198">
        <v>4</v>
      </c>
      <c r="J1198">
        <v>19</v>
      </c>
      <c r="K1198">
        <v>7</v>
      </c>
      <c r="L1198" s="4">
        <v>40.333333333333336</v>
      </c>
      <c r="M1198" s="4">
        <v>7.663333333333334</v>
      </c>
      <c r="N1198" t="s">
        <v>100</v>
      </c>
    </row>
    <row r="1199" spans="1:14">
      <c r="A1199">
        <v>1198</v>
      </c>
      <c r="B1199">
        <v>68</v>
      </c>
      <c r="C1199" t="s">
        <v>11</v>
      </c>
      <c r="D1199" t="s">
        <v>41</v>
      </c>
      <c r="E1199" t="s">
        <v>42</v>
      </c>
      <c r="F1199">
        <v>95.87</v>
      </c>
      <c r="G1199" t="s">
        <v>14</v>
      </c>
      <c r="H1199" t="s">
        <v>37</v>
      </c>
      <c r="I1199">
        <v>3.3</v>
      </c>
      <c r="J1199">
        <v>13</v>
      </c>
      <c r="K1199">
        <v>4</v>
      </c>
      <c r="L1199" s="4">
        <v>110.19540229885058</v>
      </c>
      <c r="M1199" s="4">
        <v>14.325402298850577</v>
      </c>
      <c r="N1199" t="s">
        <v>95</v>
      </c>
    </row>
    <row r="1200" spans="1:14">
      <c r="A1200">
        <v>1199</v>
      </c>
      <c r="B1200">
        <v>61</v>
      </c>
      <c r="C1200" t="s">
        <v>16</v>
      </c>
      <c r="D1200" t="s">
        <v>20</v>
      </c>
      <c r="E1200" t="s">
        <v>36</v>
      </c>
      <c r="F1200">
        <v>102.24</v>
      </c>
      <c r="G1200" t="s">
        <v>24</v>
      </c>
      <c r="H1200" t="s">
        <v>15</v>
      </c>
      <c r="I1200">
        <v>3.6</v>
      </c>
      <c r="J1200">
        <v>20</v>
      </c>
      <c r="K1200">
        <v>5</v>
      </c>
      <c r="L1200" s="4">
        <v>127.79999999999998</v>
      </c>
      <c r="M1200" s="4">
        <v>25.559999999999988</v>
      </c>
      <c r="N1200" t="s">
        <v>94</v>
      </c>
    </row>
    <row r="1201" spans="1:14">
      <c r="A1201">
        <v>1200</v>
      </c>
      <c r="B1201">
        <v>64</v>
      </c>
      <c r="C1201" t="s">
        <v>16</v>
      </c>
      <c r="D1201" t="s">
        <v>33</v>
      </c>
      <c r="E1201" t="s">
        <v>40</v>
      </c>
      <c r="F1201">
        <v>55.35</v>
      </c>
      <c r="G1201" t="s">
        <v>31</v>
      </c>
      <c r="H1201" t="s">
        <v>15</v>
      </c>
      <c r="I1201">
        <v>4</v>
      </c>
      <c r="J1201">
        <v>26</v>
      </c>
      <c r="K1201">
        <v>8</v>
      </c>
      <c r="L1201" s="4">
        <v>74.797297297297305</v>
      </c>
      <c r="M1201" s="4">
        <v>19.447297297297304</v>
      </c>
      <c r="N1201" t="s">
        <v>94</v>
      </c>
    </row>
    <row r="1202" spans="1:14">
      <c r="A1202">
        <v>1201</v>
      </c>
      <c r="B1202">
        <v>28</v>
      </c>
      <c r="C1202" t="s">
        <v>11</v>
      </c>
      <c r="D1202" t="s">
        <v>41</v>
      </c>
      <c r="E1202" t="s">
        <v>42</v>
      </c>
      <c r="F1202">
        <v>39.68</v>
      </c>
      <c r="G1202" t="s">
        <v>31</v>
      </c>
      <c r="H1202" t="s">
        <v>37</v>
      </c>
      <c r="I1202">
        <v>3.4</v>
      </c>
      <c r="J1202">
        <v>16</v>
      </c>
      <c r="K1202">
        <v>3</v>
      </c>
      <c r="L1202" s="4">
        <v>47.238095238095241</v>
      </c>
      <c r="M1202" s="4">
        <v>7.5580952380952411</v>
      </c>
      <c r="N1202" t="s">
        <v>91</v>
      </c>
    </row>
    <row r="1203" spans="1:14">
      <c r="A1203">
        <v>1202</v>
      </c>
      <c r="B1203">
        <v>34</v>
      </c>
      <c r="C1203" t="s">
        <v>16</v>
      </c>
      <c r="D1203" t="s">
        <v>17</v>
      </c>
      <c r="E1203" t="s">
        <v>48</v>
      </c>
      <c r="F1203">
        <v>188.14</v>
      </c>
      <c r="G1203" t="s">
        <v>14</v>
      </c>
      <c r="H1203" t="s">
        <v>15</v>
      </c>
      <c r="I1203">
        <v>4.2</v>
      </c>
      <c r="J1203">
        <v>8</v>
      </c>
      <c r="K1203">
        <v>4</v>
      </c>
      <c r="L1203" s="4">
        <v>204.49999999999997</v>
      </c>
      <c r="M1203" s="4">
        <v>16.359999999999985</v>
      </c>
      <c r="N1203" t="s">
        <v>91</v>
      </c>
    </row>
    <row r="1204" spans="1:14">
      <c r="A1204">
        <v>1203</v>
      </c>
      <c r="B1204">
        <v>26</v>
      </c>
      <c r="C1204" t="s">
        <v>11</v>
      </c>
      <c r="D1204" t="s">
        <v>41</v>
      </c>
      <c r="E1204" t="s">
        <v>45</v>
      </c>
      <c r="F1204">
        <v>148.54</v>
      </c>
      <c r="G1204" t="s">
        <v>24</v>
      </c>
      <c r="H1204" t="s">
        <v>15</v>
      </c>
      <c r="I1204">
        <v>3.6</v>
      </c>
      <c r="J1204">
        <v>26</v>
      </c>
      <c r="K1204">
        <v>8</v>
      </c>
      <c r="L1204" s="4">
        <v>200.72972972972971</v>
      </c>
      <c r="M1204" s="4">
        <v>52.18972972972972</v>
      </c>
      <c r="N1204" t="s">
        <v>91</v>
      </c>
    </row>
    <row r="1205" spans="1:14">
      <c r="A1205">
        <v>1204</v>
      </c>
      <c r="B1205">
        <v>29</v>
      </c>
      <c r="C1205" t="s">
        <v>16</v>
      </c>
      <c r="D1205" t="s">
        <v>33</v>
      </c>
      <c r="E1205" t="s">
        <v>40</v>
      </c>
      <c r="F1205">
        <v>102</v>
      </c>
      <c r="G1205" t="s">
        <v>19</v>
      </c>
      <c r="H1205" t="s">
        <v>15</v>
      </c>
      <c r="I1205">
        <v>3.5</v>
      </c>
      <c r="J1205">
        <v>10</v>
      </c>
      <c r="K1205">
        <v>5</v>
      </c>
      <c r="L1205" s="4">
        <v>113.33333333333333</v>
      </c>
      <c r="M1205" s="4">
        <v>11.333333333333329</v>
      </c>
      <c r="N1205" t="s">
        <v>91</v>
      </c>
    </row>
    <row r="1206" spans="1:14">
      <c r="A1206">
        <v>1205</v>
      </c>
      <c r="B1206">
        <v>47</v>
      </c>
      <c r="C1206" t="s">
        <v>11</v>
      </c>
      <c r="D1206" t="s">
        <v>20</v>
      </c>
      <c r="E1206" t="s">
        <v>21</v>
      </c>
      <c r="F1206">
        <v>239.73</v>
      </c>
      <c r="G1206" t="s">
        <v>31</v>
      </c>
      <c r="H1206" t="s">
        <v>15</v>
      </c>
      <c r="I1206">
        <v>4.8</v>
      </c>
      <c r="J1206">
        <v>24</v>
      </c>
      <c r="K1206">
        <v>7</v>
      </c>
      <c r="L1206" s="4">
        <v>315.43421052631578</v>
      </c>
      <c r="M1206" s="4">
        <v>75.704210526315791</v>
      </c>
      <c r="N1206" t="s">
        <v>93</v>
      </c>
    </row>
    <row r="1207" spans="1:14">
      <c r="A1207">
        <v>1206</v>
      </c>
      <c r="B1207">
        <v>37</v>
      </c>
      <c r="C1207" t="s">
        <v>11</v>
      </c>
      <c r="D1207" t="s">
        <v>29</v>
      </c>
      <c r="E1207" t="s">
        <v>55</v>
      </c>
      <c r="F1207">
        <v>102.4</v>
      </c>
      <c r="G1207" t="s">
        <v>19</v>
      </c>
      <c r="H1207" t="s">
        <v>15</v>
      </c>
      <c r="I1207">
        <v>4.3</v>
      </c>
      <c r="J1207">
        <v>20</v>
      </c>
      <c r="K1207">
        <v>5</v>
      </c>
      <c r="L1207" s="4">
        <v>128</v>
      </c>
      <c r="M1207" s="4">
        <v>25.599999999999994</v>
      </c>
      <c r="N1207" t="s">
        <v>92</v>
      </c>
    </row>
    <row r="1208" spans="1:14">
      <c r="A1208">
        <v>1207</v>
      </c>
      <c r="B1208">
        <v>54</v>
      </c>
      <c r="C1208" t="s">
        <v>11</v>
      </c>
      <c r="D1208" t="s">
        <v>29</v>
      </c>
      <c r="E1208" t="s">
        <v>55</v>
      </c>
      <c r="F1208">
        <v>34.86</v>
      </c>
      <c r="G1208" t="s">
        <v>24</v>
      </c>
      <c r="H1208" t="s">
        <v>37</v>
      </c>
      <c r="I1208">
        <v>3.6</v>
      </c>
      <c r="J1208">
        <v>13</v>
      </c>
      <c r="K1208">
        <v>4</v>
      </c>
      <c r="L1208" s="4">
        <v>40.068965517241381</v>
      </c>
      <c r="M1208" s="4">
        <v>5.2089655172413813</v>
      </c>
      <c r="N1208" t="s">
        <v>93</v>
      </c>
    </row>
    <row r="1209" spans="1:14">
      <c r="A1209">
        <v>1208</v>
      </c>
      <c r="B1209">
        <v>67</v>
      </c>
      <c r="C1209" t="s">
        <v>11</v>
      </c>
      <c r="D1209" t="s">
        <v>33</v>
      </c>
      <c r="E1209" t="s">
        <v>34</v>
      </c>
      <c r="F1209">
        <v>184.03</v>
      </c>
      <c r="G1209" t="s">
        <v>31</v>
      </c>
      <c r="H1209" t="s">
        <v>15</v>
      </c>
      <c r="I1209">
        <v>4.0999999999999996</v>
      </c>
      <c r="J1209">
        <v>24</v>
      </c>
      <c r="K1209">
        <v>7</v>
      </c>
      <c r="L1209" s="4">
        <v>242.14473684210526</v>
      </c>
      <c r="M1209" s="4">
        <v>58.114736842105259</v>
      </c>
      <c r="N1209" t="s">
        <v>95</v>
      </c>
    </row>
    <row r="1210" spans="1:14">
      <c r="A1210">
        <v>1209</v>
      </c>
      <c r="B1210">
        <v>24</v>
      </c>
      <c r="C1210" t="s">
        <v>16</v>
      </c>
      <c r="D1210" t="s">
        <v>33</v>
      </c>
      <c r="E1210" t="s">
        <v>40</v>
      </c>
      <c r="F1210">
        <v>129.9</v>
      </c>
      <c r="G1210" t="s">
        <v>24</v>
      </c>
      <c r="H1210" t="s">
        <v>15</v>
      </c>
      <c r="I1210">
        <v>3.8</v>
      </c>
      <c r="J1210">
        <v>16</v>
      </c>
      <c r="K1210">
        <v>8</v>
      </c>
      <c r="L1210" s="4">
        <v>154.64285714285717</v>
      </c>
      <c r="M1210" s="4">
        <v>24.742857142857162</v>
      </c>
      <c r="N1210" t="s">
        <v>100</v>
      </c>
    </row>
    <row r="1211" spans="1:14">
      <c r="A1211">
        <v>1210</v>
      </c>
      <c r="B1211">
        <v>33</v>
      </c>
      <c r="C1211" t="s">
        <v>16</v>
      </c>
      <c r="D1211" t="s">
        <v>22</v>
      </c>
      <c r="E1211" t="s">
        <v>52</v>
      </c>
      <c r="F1211">
        <v>255.3</v>
      </c>
      <c r="G1211" t="s">
        <v>24</v>
      </c>
      <c r="H1211" t="s">
        <v>15</v>
      </c>
      <c r="I1211">
        <v>3.3</v>
      </c>
      <c r="J1211">
        <v>26</v>
      </c>
      <c r="K1211">
        <v>8</v>
      </c>
      <c r="L1211" s="4">
        <v>345</v>
      </c>
      <c r="M1211" s="4">
        <v>89.699999999999989</v>
      </c>
      <c r="N1211" t="s">
        <v>91</v>
      </c>
    </row>
    <row r="1212" spans="1:14">
      <c r="A1212">
        <v>1211</v>
      </c>
      <c r="B1212">
        <v>31</v>
      </c>
      <c r="C1212" t="s">
        <v>16</v>
      </c>
      <c r="D1212" t="s">
        <v>25</v>
      </c>
      <c r="E1212" t="s">
        <v>47</v>
      </c>
      <c r="F1212">
        <v>63.06</v>
      </c>
      <c r="G1212" t="s">
        <v>14</v>
      </c>
      <c r="H1212" t="s">
        <v>37</v>
      </c>
      <c r="I1212">
        <v>2.5</v>
      </c>
      <c r="J1212">
        <v>15</v>
      </c>
      <c r="K1212">
        <v>5</v>
      </c>
      <c r="L1212" s="4">
        <v>74.188235294117646</v>
      </c>
      <c r="M1212" s="4">
        <v>11.128235294117644</v>
      </c>
      <c r="N1212" t="s">
        <v>91</v>
      </c>
    </row>
    <row r="1213" spans="1:14">
      <c r="A1213">
        <v>1212</v>
      </c>
      <c r="B1213">
        <v>37</v>
      </c>
      <c r="C1213" t="s">
        <v>16</v>
      </c>
      <c r="D1213" t="s">
        <v>20</v>
      </c>
      <c r="E1213" t="s">
        <v>39</v>
      </c>
      <c r="F1213">
        <v>147.46</v>
      </c>
      <c r="G1213" t="s">
        <v>14</v>
      </c>
      <c r="H1213" t="s">
        <v>15</v>
      </c>
      <c r="I1213">
        <v>3.7</v>
      </c>
      <c r="J1213">
        <v>14</v>
      </c>
      <c r="K1213">
        <v>2</v>
      </c>
      <c r="L1213" s="4">
        <v>171.46511627906978</v>
      </c>
      <c r="M1213" s="4">
        <v>24.005116279069767</v>
      </c>
      <c r="N1213" t="s">
        <v>92</v>
      </c>
    </row>
    <row r="1214" spans="1:14">
      <c r="A1214">
        <v>1213</v>
      </c>
      <c r="B1214">
        <v>28</v>
      </c>
      <c r="C1214" t="s">
        <v>11</v>
      </c>
      <c r="D1214" t="s">
        <v>29</v>
      </c>
      <c r="E1214" t="s">
        <v>55</v>
      </c>
      <c r="F1214">
        <v>68.680000000000007</v>
      </c>
      <c r="G1214" t="s">
        <v>14</v>
      </c>
      <c r="H1214" t="s">
        <v>37</v>
      </c>
      <c r="I1214">
        <v>3.1</v>
      </c>
      <c r="J1214">
        <v>18</v>
      </c>
      <c r="K1214">
        <v>4</v>
      </c>
      <c r="L1214" s="4">
        <v>83.756097560975618</v>
      </c>
      <c r="M1214" s="4">
        <v>15.076097560975612</v>
      </c>
      <c r="N1214" t="s">
        <v>91</v>
      </c>
    </row>
    <row r="1215" spans="1:14">
      <c r="A1215">
        <v>1214</v>
      </c>
      <c r="B1215">
        <v>58</v>
      </c>
      <c r="C1215" t="s">
        <v>11</v>
      </c>
      <c r="D1215" t="s">
        <v>12</v>
      </c>
      <c r="E1215" t="s">
        <v>13</v>
      </c>
      <c r="F1215">
        <v>118.34</v>
      </c>
      <c r="G1215" t="s">
        <v>31</v>
      </c>
      <c r="H1215" t="s">
        <v>15</v>
      </c>
      <c r="I1215">
        <v>4.0999999999999996</v>
      </c>
      <c r="J1215">
        <v>19</v>
      </c>
      <c r="K1215">
        <v>7</v>
      </c>
      <c r="L1215" s="4">
        <v>146.09876543209876</v>
      </c>
      <c r="M1215" s="4">
        <v>27.758765432098755</v>
      </c>
      <c r="N1215" t="s">
        <v>94</v>
      </c>
    </row>
    <row r="1216" spans="1:14">
      <c r="A1216">
        <v>1215</v>
      </c>
      <c r="B1216">
        <v>60</v>
      </c>
      <c r="C1216" t="s">
        <v>16</v>
      </c>
      <c r="D1216" t="s">
        <v>17</v>
      </c>
      <c r="E1216" t="s">
        <v>35</v>
      </c>
      <c r="F1216">
        <v>99.54</v>
      </c>
      <c r="G1216" t="s">
        <v>24</v>
      </c>
      <c r="H1216" t="s">
        <v>37</v>
      </c>
      <c r="I1216">
        <v>3.7</v>
      </c>
      <c r="J1216">
        <v>12</v>
      </c>
      <c r="K1216">
        <v>1</v>
      </c>
      <c r="L1216" s="4">
        <v>113.11363636363637</v>
      </c>
      <c r="M1216" s="4">
        <v>13.573636363636368</v>
      </c>
      <c r="N1216" t="s">
        <v>94</v>
      </c>
    </row>
    <row r="1217" spans="1:14">
      <c r="A1217">
        <v>1216</v>
      </c>
      <c r="B1217">
        <v>28</v>
      </c>
      <c r="C1217" t="s">
        <v>16</v>
      </c>
      <c r="D1217" t="s">
        <v>22</v>
      </c>
      <c r="E1217" t="s">
        <v>43</v>
      </c>
      <c r="F1217">
        <v>206.37</v>
      </c>
      <c r="G1217" t="s">
        <v>31</v>
      </c>
      <c r="H1217" t="s">
        <v>15</v>
      </c>
      <c r="I1217">
        <v>3.1</v>
      </c>
      <c r="J1217">
        <v>16</v>
      </c>
      <c r="K1217">
        <v>8</v>
      </c>
      <c r="L1217" s="4">
        <v>245.67857142857144</v>
      </c>
      <c r="M1217" s="4">
        <v>39.30857142857144</v>
      </c>
      <c r="N1217" t="s">
        <v>91</v>
      </c>
    </row>
    <row r="1218" spans="1:14">
      <c r="A1218">
        <v>1217</v>
      </c>
      <c r="B1218">
        <v>66</v>
      </c>
      <c r="C1218" t="s">
        <v>11</v>
      </c>
      <c r="D1218" t="s">
        <v>41</v>
      </c>
      <c r="E1218" t="s">
        <v>45</v>
      </c>
      <c r="F1218">
        <v>163.33000000000001</v>
      </c>
      <c r="G1218" t="s">
        <v>19</v>
      </c>
      <c r="H1218" t="s">
        <v>15</v>
      </c>
      <c r="I1218">
        <v>3</v>
      </c>
      <c r="J1218">
        <v>12</v>
      </c>
      <c r="K1218">
        <v>6</v>
      </c>
      <c r="L1218" s="4">
        <v>185.60227272727275</v>
      </c>
      <c r="M1218" s="4">
        <v>22.272272727272735</v>
      </c>
      <c r="N1218" t="s">
        <v>95</v>
      </c>
    </row>
    <row r="1219" spans="1:14">
      <c r="A1219">
        <v>1218</v>
      </c>
      <c r="B1219">
        <v>55</v>
      </c>
      <c r="C1219" t="s">
        <v>16</v>
      </c>
      <c r="D1219" t="s">
        <v>17</v>
      </c>
      <c r="E1219" t="s">
        <v>48</v>
      </c>
      <c r="F1219">
        <v>162.46</v>
      </c>
      <c r="G1219" t="s">
        <v>24</v>
      </c>
      <c r="H1219" t="s">
        <v>15</v>
      </c>
      <c r="I1219">
        <v>3.2</v>
      </c>
      <c r="J1219">
        <v>4</v>
      </c>
      <c r="K1219">
        <v>2</v>
      </c>
      <c r="L1219" s="4">
        <v>169.22916666666669</v>
      </c>
      <c r="M1219" s="4">
        <v>6.7691666666666777</v>
      </c>
      <c r="N1219" t="s">
        <v>94</v>
      </c>
    </row>
    <row r="1220" spans="1:14">
      <c r="A1220">
        <v>1219</v>
      </c>
      <c r="B1220">
        <v>35</v>
      </c>
      <c r="C1220" t="s">
        <v>11</v>
      </c>
      <c r="D1220" t="s">
        <v>33</v>
      </c>
      <c r="E1220" t="s">
        <v>38</v>
      </c>
      <c r="F1220">
        <v>242.17</v>
      </c>
      <c r="G1220" t="s">
        <v>14</v>
      </c>
      <c r="H1220" t="s">
        <v>15</v>
      </c>
      <c r="I1220">
        <v>3.8</v>
      </c>
      <c r="J1220">
        <v>21</v>
      </c>
      <c r="K1220">
        <v>8</v>
      </c>
      <c r="L1220" s="4">
        <v>306.54430379746833</v>
      </c>
      <c r="M1220" s="4">
        <v>64.374303797468343</v>
      </c>
      <c r="N1220" t="s">
        <v>92</v>
      </c>
    </row>
    <row r="1221" spans="1:14">
      <c r="A1221">
        <v>1220</v>
      </c>
      <c r="B1221">
        <v>65</v>
      </c>
      <c r="C1221" t="s">
        <v>16</v>
      </c>
      <c r="D1221" t="s">
        <v>20</v>
      </c>
      <c r="E1221" t="s">
        <v>36</v>
      </c>
      <c r="F1221">
        <v>108.5</v>
      </c>
      <c r="G1221" t="s">
        <v>19</v>
      </c>
      <c r="H1221" t="s">
        <v>15</v>
      </c>
      <c r="I1221">
        <v>4.4000000000000004</v>
      </c>
      <c r="J1221">
        <v>14</v>
      </c>
      <c r="K1221">
        <v>7</v>
      </c>
      <c r="L1221" s="4">
        <v>126.16279069767442</v>
      </c>
      <c r="M1221" s="4">
        <v>17.662790697674424</v>
      </c>
      <c r="N1221" t="s">
        <v>95</v>
      </c>
    </row>
    <row r="1222" spans="1:14">
      <c r="A1222">
        <v>1221</v>
      </c>
      <c r="B1222">
        <v>35</v>
      </c>
      <c r="C1222" t="s">
        <v>11</v>
      </c>
      <c r="D1222" t="s">
        <v>12</v>
      </c>
      <c r="E1222" t="s">
        <v>13</v>
      </c>
      <c r="F1222">
        <v>82.93</v>
      </c>
      <c r="G1222" t="s">
        <v>14</v>
      </c>
      <c r="H1222" t="s">
        <v>15</v>
      </c>
      <c r="I1222">
        <v>3.6</v>
      </c>
      <c r="J1222">
        <v>19</v>
      </c>
      <c r="K1222">
        <v>7</v>
      </c>
      <c r="L1222" s="4">
        <v>102.38271604938272</v>
      </c>
      <c r="M1222" s="4">
        <v>19.452716049382715</v>
      </c>
      <c r="N1222" t="s">
        <v>92</v>
      </c>
    </row>
    <row r="1223" spans="1:14">
      <c r="A1223">
        <v>1222</v>
      </c>
      <c r="B1223">
        <v>21</v>
      </c>
      <c r="C1223" t="s">
        <v>16</v>
      </c>
      <c r="D1223" t="s">
        <v>27</v>
      </c>
      <c r="E1223" t="s">
        <v>49</v>
      </c>
      <c r="F1223">
        <v>2122.12</v>
      </c>
      <c r="G1223" t="s">
        <v>14</v>
      </c>
      <c r="H1223" t="s">
        <v>15</v>
      </c>
      <c r="I1223">
        <v>4.0999999999999996</v>
      </c>
      <c r="J1223">
        <v>18</v>
      </c>
      <c r="K1223">
        <v>4</v>
      </c>
      <c r="L1223" s="4">
        <v>2587.9512195121947</v>
      </c>
      <c r="M1223" s="4">
        <v>465.83121951219482</v>
      </c>
      <c r="N1223" t="s">
        <v>100</v>
      </c>
    </row>
    <row r="1224" spans="1:14">
      <c r="A1224">
        <v>1223</v>
      </c>
      <c r="B1224">
        <v>31</v>
      </c>
      <c r="C1224" t="s">
        <v>16</v>
      </c>
      <c r="D1224" t="s">
        <v>22</v>
      </c>
      <c r="E1224" t="s">
        <v>52</v>
      </c>
      <c r="F1224">
        <v>187.38</v>
      </c>
      <c r="G1224" t="s">
        <v>19</v>
      </c>
      <c r="H1224" t="s">
        <v>15</v>
      </c>
      <c r="I1224">
        <v>4.0999999999999996</v>
      </c>
      <c r="J1224">
        <v>18</v>
      </c>
      <c r="K1224">
        <v>9</v>
      </c>
      <c r="L1224" s="4">
        <v>228.51219512195121</v>
      </c>
      <c r="M1224" s="4">
        <v>41.132195121951213</v>
      </c>
      <c r="N1224" t="s">
        <v>91</v>
      </c>
    </row>
    <row r="1225" spans="1:14">
      <c r="A1225">
        <v>1224</v>
      </c>
      <c r="B1225">
        <v>42</v>
      </c>
      <c r="C1225" t="s">
        <v>16</v>
      </c>
      <c r="D1225" t="s">
        <v>20</v>
      </c>
      <c r="E1225" t="s">
        <v>36</v>
      </c>
      <c r="F1225">
        <v>157.06</v>
      </c>
      <c r="G1225" t="s">
        <v>24</v>
      </c>
      <c r="H1225" t="s">
        <v>15</v>
      </c>
      <c r="I1225">
        <v>4.2</v>
      </c>
      <c r="J1225">
        <v>20</v>
      </c>
      <c r="K1225">
        <v>5</v>
      </c>
      <c r="L1225" s="4">
        <v>196.32499999999999</v>
      </c>
      <c r="M1225" s="4">
        <v>39.264999999999986</v>
      </c>
      <c r="N1225" t="s">
        <v>92</v>
      </c>
    </row>
    <row r="1226" spans="1:14">
      <c r="A1226">
        <v>1225</v>
      </c>
      <c r="B1226">
        <v>22</v>
      </c>
      <c r="C1226" t="s">
        <v>16</v>
      </c>
      <c r="D1226" t="s">
        <v>27</v>
      </c>
      <c r="E1226" t="s">
        <v>49</v>
      </c>
      <c r="F1226">
        <v>1708.09</v>
      </c>
      <c r="G1226" t="s">
        <v>19</v>
      </c>
      <c r="H1226" t="s">
        <v>15</v>
      </c>
      <c r="I1226">
        <v>3.7</v>
      </c>
      <c r="J1226">
        <v>6</v>
      </c>
      <c r="K1226">
        <v>3</v>
      </c>
      <c r="L1226" s="4">
        <v>1817.1170212765958</v>
      </c>
      <c r="M1226" s="4">
        <v>109.02702127659586</v>
      </c>
      <c r="N1226" t="s">
        <v>100</v>
      </c>
    </row>
    <row r="1227" spans="1:14">
      <c r="A1227">
        <v>1226</v>
      </c>
      <c r="B1227">
        <v>62</v>
      </c>
      <c r="C1227" t="s">
        <v>11</v>
      </c>
      <c r="D1227" t="s">
        <v>33</v>
      </c>
      <c r="E1227" t="s">
        <v>34</v>
      </c>
      <c r="F1227">
        <v>156.84</v>
      </c>
      <c r="G1227" t="s">
        <v>24</v>
      </c>
      <c r="H1227" t="s">
        <v>15</v>
      </c>
      <c r="I1227">
        <v>3.4</v>
      </c>
      <c r="J1227">
        <v>13</v>
      </c>
      <c r="K1227">
        <v>4</v>
      </c>
      <c r="L1227" s="4">
        <v>180.27586206896552</v>
      </c>
      <c r="M1227" s="4">
        <v>23.43586206896552</v>
      </c>
      <c r="N1227" t="s">
        <v>94</v>
      </c>
    </row>
    <row r="1228" spans="1:14">
      <c r="A1228">
        <v>1227</v>
      </c>
      <c r="B1228">
        <v>28</v>
      </c>
      <c r="C1228" t="s">
        <v>11</v>
      </c>
      <c r="D1228" t="s">
        <v>41</v>
      </c>
      <c r="E1228" t="s">
        <v>44</v>
      </c>
      <c r="F1228">
        <v>189.2</v>
      </c>
      <c r="G1228" t="s">
        <v>19</v>
      </c>
      <c r="H1228" t="s">
        <v>15</v>
      </c>
      <c r="I1228">
        <v>2.9</v>
      </c>
      <c r="J1228">
        <v>13</v>
      </c>
      <c r="K1228">
        <v>4</v>
      </c>
      <c r="L1228" s="4">
        <v>217.47126436781608</v>
      </c>
      <c r="M1228" s="4">
        <v>28.271264367816087</v>
      </c>
      <c r="N1228" t="s">
        <v>91</v>
      </c>
    </row>
    <row r="1229" spans="1:14">
      <c r="A1229">
        <v>1228</v>
      </c>
      <c r="B1229">
        <v>33</v>
      </c>
      <c r="C1229" t="s">
        <v>11</v>
      </c>
      <c r="D1229" t="s">
        <v>22</v>
      </c>
      <c r="E1229" t="s">
        <v>23</v>
      </c>
      <c r="F1229">
        <v>117.64</v>
      </c>
      <c r="G1229" t="s">
        <v>19</v>
      </c>
      <c r="H1229" t="s">
        <v>15</v>
      </c>
      <c r="I1229">
        <v>3</v>
      </c>
      <c r="J1229">
        <v>14</v>
      </c>
      <c r="K1229">
        <v>7</v>
      </c>
      <c r="L1229" s="4">
        <v>136.7906976744186</v>
      </c>
      <c r="M1229" s="4">
        <v>19.150697674418595</v>
      </c>
      <c r="N1229" t="s">
        <v>91</v>
      </c>
    </row>
    <row r="1230" spans="1:14">
      <c r="A1230">
        <v>1229</v>
      </c>
      <c r="B1230">
        <v>36</v>
      </c>
      <c r="C1230" t="s">
        <v>16</v>
      </c>
      <c r="D1230" t="s">
        <v>33</v>
      </c>
      <c r="E1230" t="s">
        <v>38</v>
      </c>
      <c r="F1230">
        <v>147.47999999999999</v>
      </c>
      <c r="G1230" t="s">
        <v>14</v>
      </c>
      <c r="H1230" t="s">
        <v>15</v>
      </c>
      <c r="I1230">
        <v>4.3</v>
      </c>
      <c r="J1230">
        <v>15</v>
      </c>
      <c r="K1230">
        <v>5</v>
      </c>
      <c r="L1230" s="4">
        <v>173.50588235294117</v>
      </c>
      <c r="M1230" s="4">
        <v>26.025882352941181</v>
      </c>
      <c r="N1230" t="s">
        <v>92</v>
      </c>
    </row>
    <row r="1231" spans="1:14">
      <c r="A1231">
        <v>1230</v>
      </c>
      <c r="B1231">
        <v>28</v>
      </c>
      <c r="C1231" t="s">
        <v>16</v>
      </c>
      <c r="D1231" t="s">
        <v>17</v>
      </c>
      <c r="E1231" t="s">
        <v>42</v>
      </c>
      <c r="F1231">
        <v>75.040000000000006</v>
      </c>
      <c r="G1231" t="s">
        <v>19</v>
      </c>
      <c r="H1231" t="s">
        <v>37</v>
      </c>
      <c r="I1231">
        <v>3.8</v>
      </c>
      <c r="J1231">
        <v>4</v>
      </c>
      <c r="K1231">
        <v>2</v>
      </c>
      <c r="L1231" s="4">
        <v>78.166666666666671</v>
      </c>
      <c r="M1231" s="4">
        <v>3.1266666666666652</v>
      </c>
      <c r="N1231" t="s">
        <v>91</v>
      </c>
    </row>
    <row r="1232" spans="1:14">
      <c r="A1232">
        <v>1231</v>
      </c>
      <c r="B1232">
        <v>26</v>
      </c>
      <c r="C1232" t="s">
        <v>16</v>
      </c>
      <c r="D1232" t="s">
        <v>17</v>
      </c>
      <c r="E1232" t="s">
        <v>35</v>
      </c>
      <c r="F1232">
        <v>108.5</v>
      </c>
      <c r="G1232" t="s">
        <v>14</v>
      </c>
      <c r="H1232" t="s">
        <v>15</v>
      </c>
      <c r="I1232">
        <v>3.7</v>
      </c>
      <c r="J1232">
        <v>14</v>
      </c>
      <c r="K1232">
        <v>2</v>
      </c>
      <c r="L1232" s="4">
        <v>126.16279069767442</v>
      </c>
      <c r="M1232" s="4">
        <v>17.662790697674424</v>
      </c>
      <c r="N1232" t="s">
        <v>91</v>
      </c>
    </row>
    <row r="1233" spans="1:14">
      <c r="A1233">
        <v>1232</v>
      </c>
      <c r="B1233">
        <v>55</v>
      </c>
      <c r="C1233" t="s">
        <v>16</v>
      </c>
      <c r="D1233" t="s">
        <v>27</v>
      </c>
      <c r="E1233" t="s">
        <v>49</v>
      </c>
      <c r="F1233">
        <v>1226.67</v>
      </c>
      <c r="G1233" t="s">
        <v>31</v>
      </c>
      <c r="H1233" t="s">
        <v>15</v>
      </c>
      <c r="I1233">
        <v>3.4</v>
      </c>
      <c r="J1233">
        <v>10</v>
      </c>
      <c r="K1233">
        <v>5</v>
      </c>
      <c r="L1233" s="4">
        <v>1362.9666666666667</v>
      </c>
      <c r="M1233" s="4">
        <v>136.29666666666662</v>
      </c>
      <c r="N1233" t="s">
        <v>94</v>
      </c>
    </row>
    <row r="1234" spans="1:14">
      <c r="A1234">
        <v>1233</v>
      </c>
      <c r="B1234">
        <v>64</v>
      </c>
      <c r="C1234" t="s">
        <v>11</v>
      </c>
      <c r="D1234" t="s">
        <v>33</v>
      </c>
      <c r="E1234" t="s">
        <v>34</v>
      </c>
      <c r="F1234">
        <v>70.09</v>
      </c>
      <c r="G1234" t="s">
        <v>19</v>
      </c>
      <c r="H1234" t="s">
        <v>37</v>
      </c>
      <c r="I1234">
        <v>4.3</v>
      </c>
      <c r="J1234">
        <v>20</v>
      </c>
      <c r="K1234">
        <v>5</v>
      </c>
      <c r="L1234" s="4">
        <v>87.612499999999997</v>
      </c>
      <c r="M1234" s="4">
        <v>17.522499999999994</v>
      </c>
      <c r="N1234" t="s">
        <v>94</v>
      </c>
    </row>
    <row r="1235" spans="1:14">
      <c r="A1235">
        <v>1234</v>
      </c>
      <c r="B1235">
        <v>51</v>
      </c>
      <c r="C1235" t="s">
        <v>11</v>
      </c>
      <c r="D1235" t="s">
        <v>41</v>
      </c>
      <c r="E1235" t="s">
        <v>45</v>
      </c>
      <c r="F1235">
        <v>145.44999999999999</v>
      </c>
      <c r="G1235" t="s">
        <v>31</v>
      </c>
      <c r="H1235" t="s">
        <v>15</v>
      </c>
      <c r="I1235">
        <v>2.6</v>
      </c>
      <c r="J1235">
        <v>10</v>
      </c>
      <c r="K1235">
        <v>5</v>
      </c>
      <c r="L1235" s="4">
        <v>161.61111111111109</v>
      </c>
      <c r="M1235" s="4">
        <v>16.161111111111097</v>
      </c>
      <c r="N1235" t="s">
        <v>93</v>
      </c>
    </row>
    <row r="1236" spans="1:14">
      <c r="A1236">
        <v>1235</v>
      </c>
      <c r="B1236">
        <v>37</v>
      </c>
      <c r="C1236" t="s">
        <v>11</v>
      </c>
      <c r="D1236" t="s">
        <v>41</v>
      </c>
      <c r="E1236" t="s">
        <v>42</v>
      </c>
      <c r="F1236">
        <v>121.42</v>
      </c>
      <c r="G1236" t="s">
        <v>24</v>
      </c>
      <c r="H1236" t="s">
        <v>15</v>
      </c>
      <c r="I1236">
        <v>4.7</v>
      </c>
      <c r="J1236">
        <v>8</v>
      </c>
      <c r="K1236">
        <v>4</v>
      </c>
      <c r="L1236" s="4">
        <v>131.97826086956522</v>
      </c>
      <c r="M1236" s="4">
        <v>10.558260869565217</v>
      </c>
      <c r="N1236" t="s">
        <v>92</v>
      </c>
    </row>
    <row r="1237" spans="1:14">
      <c r="A1237">
        <v>1236</v>
      </c>
      <c r="B1237">
        <v>21</v>
      </c>
      <c r="C1237" t="s">
        <v>16</v>
      </c>
      <c r="D1237" t="s">
        <v>17</v>
      </c>
      <c r="E1237" t="s">
        <v>42</v>
      </c>
      <c r="F1237">
        <v>129.32</v>
      </c>
      <c r="G1237" t="s">
        <v>24</v>
      </c>
      <c r="H1237" t="s">
        <v>15</v>
      </c>
      <c r="I1237">
        <v>3.5</v>
      </c>
      <c r="J1237">
        <v>9</v>
      </c>
      <c r="K1237">
        <v>2</v>
      </c>
      <c r="L1237" s="4">
        <v>142.1098901098901</v>
      </c>
      <c r="M1237" s="4">
        <v>12.789890109890109</v>
      </c>
      <c r="N1237" t="s">
        <v>100</v>
      </c>
    </row>
    <row r="1238" spans="1:14">
      <c r="A1238">
        <v>1237</v>
      </c>
      <c r="B1238">
        <v>27</v>
      </c>
      <c r="C1238" t="s">
        <v>11</v>
      </c>
      <c r="D1238" t="s">
        <v>41</v>
      </c>
      <c r="E1238" t="s">
        <v>45</v>
      </c>
      <c r="F1238">
        <v>134.56</v>
      </c>
      <c r="G1238" t="s">
        <v>31</v>
      </c>
      <c r="H1238" t="s">
        <v>15</v>
      </c>
      <c r="I1238">
        <v>3.9</v>
      </c>
      <c r="J1238">
        <v>14</v>
      </c>
      <c r="K1238">
        <v>7</v>
      </c>
      <c r="L1238" s="4">
        <v>156.46511627906978</v>
      </c>
      <c r="M1238" s="4">
        <v>21.905116279069773</v>
      </c>
      <c r="N1238" t="s">
        <v>91</v>
      </c>
    </row>
    <row r="1239" spans="1:14">
      <c r="A1239">
        <v>1238</v>
      </c>
      <c r="B1239">
        <v>28</v>
      </c>
      <c r="C1239" t="s">
        <v>16</v>
      </c>
      <c r="D1239" t="s">
        <v>17</v>
      </c>
      <c r="E1239" t="s">
        <v>42</v>
      </c>
      <c r="F1239">
        <v>190.96</v>
      </c>
      <c r="G1239" t="s">
        <v>19</v>
      </c>
      <c r="H1239" t="s">
        <v>15</v>
      </c>
      <c r="I1239">
        <v>5</v>
      </c>
      <c r="J1239">
        <v>19</v>
      </c>
      <c r="K1239">
        <v>7</v>
      </c>
      <c r="L1239" s="4">
        <v>235.75308641975309</v>
      </c>
      <c r="M1239" s="4">
        <v>44.793086419753081</v>
      </c>
      <c r="N1239" t="s">
        <v>91</v>
      </c>
    </row>
    <row r="1240" spans="1:14">
      <c r="A1240">
        <v>1239</v>
      </c>
      <c r="B1240">
        <v>56</v>
      </c>
      <c r="C1240" t="s">
        <v>11</v>
      </c>
      <c r="D1240" t="s">
        <v>12</v>
      </c>
      <c r="E1240" t="s">
        <v>56</v>
      </c>
      <c r="F1240">
        <v>32.97</v>
      </c>
      <c r="G1240" t="s">
        <v>14</v>
      </c>
      <c r="H1240" t="s">
        <v>37</v>
      </c>
      <c r="I1240">
        <v>5</v>
      </c>
      <c r="J1240">
        <v>14</v>
      </c>
      <c r="K1240">
        <v>7</v>
      </c>
      <c r="L1240" s="4">
        <v>38.337209302325583</v>
      </c>
      <c r="M1240" s="4">
        <v>5.367209302325584</v>
      </c>
      <c r="N1240" t="s">
        <v>94</v>
      </c>
    </row>
    <row r="1241" spans="1:14">
      <c r="A1241">
        <v>1240</v>
      </c>
      <c r="B1241">
        <v>25</v>
      </c>
      <c r="C1241" t="s">
        <v>16</v>
      </c>
      <c r="D1241" t="s">
        <v>17</v>
      </c>
      <c r="E1241" t="s">
        <v>42</v>
      </c>
      <c r="F1241">
        <v>140.93</v>
      </c>
      <c r="G1241" t="s">
        <v>19</v>
      </c>
      <c r="H1241" t="s">
        <v>15</v>
      </c>
      <c r="I1241">
        <v>3.6</v>
      </c>
      <c r="J1241">
        <v>8</v>
      </c>
      <c r="K1241">
        <v>4</v>
      </c>
      <c r="L1241" s="4">
        <v>153.18478260869566</v>
      </c>
      <c r="M1241" s="4">
        <v>12.254782608695649</v>
      </c>
      <c r="N1241" t="s">
        <v>91</v>
      </c>
    </row>
    <row r="1242" spans="1:14">
      <c r="A1242">
        <v>1241</v>
      </c>
      <c r="B1242">
        <v>35</v>
      </c>
      <c r="C1242" t="s">
        <v>11</v>
      </c>
      <c r="D1242" t="s">
        <v>41</v>
      </c>
      <c r="E1242" t="s">
        <v>45</v>
      </c>
      <c r="F1242">
        <v>96.4</v>
      </c>
      <c r="G1242" t="s">
        <v>14</v>
      </c>
      <c r="H1242" t="s">
        <v>15</v>
      </c>
      <c r="I1242">
        <v>4.3</v>
      </c>
      <c r="J1242">
        <v>9</v>
      </c>
      <c r="K1242">
        <v>2</v>
      </c>
      <c r="L1242" s="4">
        <v>105.93406593406594</v>
      </c>
      <c r="M1242" s="4">
        <v>9.5340659340659357</v>
      </c>
      <c r="N1242" t="s">
        <v>92</v>
      </c>
    </row>
    <row r="1243" spans="1:14">
      <c r="A1243">
        <v>1242</v>
      </c>
      <c r="B1243">
        <v>55</v>
      </c>
      <c r="C1243" t="s">
        <v>11</v>
      </c>
      <c r="D1243" t="s">
        <v>41</v>
      </c>
      <c r="E1243" t="s">
        <v>46</v>
      </c>
      <c r="F1243">
        <v>136.21</v>
      </c>
      <c r="G1243" t="s">
        <v>14</v>
      </c>
      <c r="H1243" t="s">
        <v>15</v>
      </c>
      <c r="I1243">
        <v>3</v>
      </c>
      <c r="J1243">
        <v>12</v>
      </c>
      <c r="K1243">
        <v>6</v>
      </c>
      <c r="L1243" s="4">
        <v>154.78409090909091</v>
      </c>
      <c r="M1243" s="4">
        <v>18.574090909090899</v>
      </c>
      <c r="N1243" t="s">
        <v>94</v>
      </c>
    </row>
    <row r="1244" spans="1:14">
      <c r="A1244">
        <v>1243</v>
      </c>
      <c r="B1244">
        <v>52</v>
      </c>
      <c r="C1244" t="s">
        <v>11</v>
      </c>
      <c r="D1244" t="s">
        <v>22</v>
      </c>
      <c r="E1244" t="s">
        <v>23</v>
      </c>
      <c r="F1244">
        <v>44.41</v>
      </c>
      <c r="G1244" t="s">
        <v>19</v>
      </c>
      <c r="H1244" t="s">
        <v>37</v>
      </c>
      <c r="I1244">
        <v>3</v>
      </c>
      <c r="J1244">
        <v>11</v>
      </c>
      <c r="K1244">
        <v>3</v>
      </c>
      <c r="L1244" s="4">
        <v>49.898876404494381</v>
      </c>
      <c r="M1244" s="4">
        <v>5.4888764044943841</v>
      </c>
      <c r="N1244" t="s">
        <v>93</v>
      </c>
    </row>
    <row r="1245" spans="1:14">
      <c r="A1245">
        <v>1244</v>
      </c>
      <c r="B1245">
        <v>67</v>
      </c>
      <c r="C1245" t="s">
        <v>11</v>
      </c>
      <c r="D1245" t="s">
        <v>29</v>
      </c>
      <c r="E1245" t="s">
        <v>30</v>
      </c>
      <c r="F1245">
        <v>91.85</v>
      </c>
      <c r="G1245" t="s">
        <v>24</v>
      </c>
      <c r="H1245" t="s">
        <v>15</v>
      </c>
      <c r="I1245">
        <v>3.2</v>
      </c>
      <c r="J1245">
        <v>10</v>
      </c>
      <c r="K1245">
        <v>5</v>
      </c>
      <c r="L1245" s="4">
        <v>102.05555555555554</v>
      </c>
      <c r="M1245" s="4">
        <v>10.205555555555549</v>
      </c>
      <c r="N1245" t="s">
        <v>95</v>
      </c>
    </row>
    <row r="1246" spans="1:14">
      <c r="A1246">
        <v>1245</v>
      </c>
      <c r="B1246">
        <v>35</v>
      </c>
      <c r="C1246" t="s">
        <v>16</v>
      </c>
      <c r="D1246" t="s">
        <v>27</v>
      </c>
      <c r="E1246" t="s">
        <v>28</v>
      </c>
      <c r="F1246">
        <v>2677.54</v>
      </c>
      <c r="G1246" t="s">
        <v>31</v>
      </c>
      <c r="H1246" t="s">
        <v>15</v>
      </c>
      <c r="I1246">
        <v>4.3</v>
      </c>
      <c r="J1246">
        <v>28</v>
      </c>
      <c r="K1246">
        <v>9</v>
      </c>
      <c r="L1246" s="4">
        <v>3718.8055555555557</v>
      </c>
      <c r="M1246" s="4">
        <v>1041.2655555555557</v>
      </c>
      <c r="N1246" t="s">
        <v>92</v>
      </c>
    </row>
    <row r="1247" spans="1:14">
      <c r="A1247">
        <v>1246</v>
      </c>
      <c r="B1247">
        <v>49</v>
      </c>
      <c r="C1247" t="s">
        <v>11</v>
      </c>
      <c r="D1247" t="s">
        <v>29</v>
      </c>
      <c r="E1247" t="s">
        <v>55</v>
      </c>
      <c r="F1247">
        <v>106.28</v>
      </c>
      <c r="G1247" t="s">
        <v>14</v>
      </c>
      <c r="H1247" t="s">
        <v>15</v>
      </c>
      <c r="I1247">
        <v>4.4000000000000004</v>
      </c>
      <c r="J1247">
        <v>12</v>
      </c>
      <c r="K1247">
        <v>6</v>
      </c>
      <c r="L1247" s="4">
        <v>120.77272727272728</v>
      </c>
      <c r="M1247" s="4">
        <v>14.492727272727279</v>
      </c>
      <c r="N1247" t="s">
        <v>93</v>
      </c>
    </row>
    <row r="1248" spans="1:14">
      <c r="A1248">
        <v>1247</v>
      </c>
      <c r="B1248">
        <v>64</v>
      </c>
      <c r="C1248" t="s">
        <v>16</v>
      </c>
      <c r="D1248" t="s">
        <v>27</v>
      </c>
      <c r="E1248" t="s">
        <v>32</v>
      </c>
      <c r="F1248">
        <v>2907.6</v>
      </c>
      <c r="G1248" t="s">
        <v>19</v>
      </c>
      <c r="H1248" t="s">
        <v>15</v>
      </c>
      <c r="I1248">
        <v>4.5</v>
      </c>
      <c r="J1248">
        <v>16</v>
      </c>
      <c r="K1248">
        <v>3</v>
      </c>
      <c r="L1248" s="4">
        <v>3461.4285714285716</v>
      </c>
      <c r="M1248" s="4">
        <v>553.82857142857165</v>
      </c>
      <c r="N1248" t="s">
        <v>94</v>
      </c>
    </row>
    <row r="1249" spans="1:14">
      <c r="A1249">
        <v>1248</v>
      </c>
      <c r="B1249">
        <v>20</v>
      </c>
      <c r="C1249" t="s">
        <v>16</v>
      </c>
      <c r="D1249" t="s">
        <v>33</v>
      </c>
      <c r="E1249" t="s">
        <v>34</v>
      </c>
      <c r="F1249">
        <v>176.9</v>
      </c>
      <c r="G1249" t="s">
        <v>14</v>
      </c>
      <c r="H1249" t="s">
        <v>15</v>
      </c>
      <c r="I1249">
        <v>3.9</v>
      </c>
      <c r="J1249">
        <v>15</v>
      </c>
      <c r="K1249">
        <v>5</v>
      </c>
      <c r="L1249" s="4">
        <v>208.11764705882354</v>
      </c>
      <c r="M1249" s="4">
        <v>31.21764705882353</v>
      </c>
      <c r="N1249" t="s">
        <v>100</v>
      </c>
    </row>
    <row r="1250" spans="1:14">
      <c r="A1250">
        <v>1249</v>
      </c>
      <c r="B1250">
        <v>52</v>
      </c>
      <c r="C1250" t="s">
        <v>11</v>
      </c>
      <c r="D1250" t="s">
        <v>41</v>
      </c>
      <c r="E1250" t="s">
        <v>46</v>
      </c>
      <c r="F1250">
        <v>89.05</v>
      </c>
      <c r="G1250" t="s">
        <v>24</v>
      </c>
      <c r="H1250" t="s">
        <v>37</v>
      </c>
      <c r="I1250">
        <v>3.7</v>
      </c>
      <c r="J1250">
        <v>7</v>
      </c>
      <c r="K1250">
        <v>1</v>
      </c>
      <c r="L1250" s="4">
        <v>95.752688172043008</v>
      </c>
      <c r="M1250" s="4">
        <v>6.7026881720430111</v>
      </c>
      <c r="N1250" t="s">
        <v>93</v>
      </c>
    </row>
    <row r="1251" spans="1:14">
      <c r="A1251">
        <v>1250</v>
      </c>
      <c r="B1251">
        <v>37</v>
      </c>
      <c r="C1251" t="s">
        <v>16</v>
      </c>
      <c r="D1251" t="s">
        <v>25</v>
      </c>
      <c r="E1251" t="s">
        <v>54</v>
      </c>
      <c r="F1251">
        <v>57.93</v>
      </c>
      <c r="G1251" t="s">
        <v>19</v>
      </c>
      <c r="H1251" t="s">
        <v>15</v>
      </c>
      <c r="I1251">
        <v>2.7</v>
      </c>
      <c r="J1251">
        <v>4</v>
      </c>
      <c r="K1251">
        <v>2</v>
      </c>
      <c r="L1251" s="4">
        <v>60.34375</v>
      </c>
      <c r="M1251" s="4">
        <v>2.4137500000000003</v>
      </c>
      <c r="N1251" t="s">
        <v>92</v>
      </c>
    </row>
    <row r="1252" spans="1:14">
      <c r="A1252">
        <v>1251</v>
      </c>
      <c r="B1252">
        <v>44</v>
      </c>
      <c r="C1252" t="s">
        <v>11</v>
      </c>
      <c r="D1252" t="s">
        <v>12</v>
      </c>
      <c r="E1252" t="s">
        <v>50</v>
      </c>
      <c r="F1252">
        <v>22.1</v>
      </c>
      <c r="G1252" t="s">
        <v>19</v>
      </c>
      <c r="H1252" t="s">
        <v>37</v>
      </c>
      <c r="I1252">
        <v>4.2</v>
      </c>
      <c r="J1252">
        <v>12</v>
      </c>
      <c r="K1252">
        <v>6</v>
      </c>
      <c r="L1252" s="4">
        <v>25.113636363636367</v>
      </c>
      <c r="M1252" s="4">
        <v>3.0136363636363654</v>
      </c>
      <c r="N1252" t="s">
        <v>92</v>
      </c>
    </row>
    <row r="1253" spans="1:14">
      <c r="A1253">
        <v>1252</v>
      </c>
      <c r="B1253">
        <v>66</v>
      </c>
      <c r="C1253" t="s">
        <v>16</v>
      </c>
      <c r="D1253" t="s">
        <v>20</v>
      </c>
      <c r="E1253" t="s">
        <v>36</v>
      </c>
      <c r="F1253">
        <v>81.13</v>
      </c>
      <c r="G1253" t="s">
        <v>14</v>
      </c>
      <c r="H1253" t="s">
        <v>37</v>
      </c>
      <c r="I1253">
        <v>3.3</v>
      </c>
      <c r="J1253">
        <v>9</v>
      </c>
      <c r="K1253">
        <v>2</v>
      </c>
      <c r="L1253" s="4">
        <v>89.153846153846146</v>
      </c>
      <c r="M1253" s="4">
        <v>8.0238461538461507</v>
      </c>
      <c r="N1253" t="s">
        <v>95</v>
      </c>
    </row>
    <row r="1254" spans="1:14">
      <c r="A1254">
        <v>1253</v>
      </c>
      <c r="B1254">
        <v>28</v>
      </c>
      <c r="C1254" t="s">
        <v>11</v>
      </c>
      <c r="D1254" t="s">
        <v>12</v>
      </c>
      <c r="E1254" t="s">
        <v>56</v>
      </c>
      <c r="F1254">
        <v>165.53</v>
      </c>
      <c r="G1254" t="s">
        <v>14</v>
      </c>
      <c r="H1254" t="s">
        <v>15</v>
      </c>
      <c r="I1254">
        <v>5</v>
      </c>
      <c r="J1254">
        <v>15</v>
      </c>
      <c r="K1254">
        <v>5</v>
      </c>
      <c r="L1254" s="4">
        <v>194.74117647058824</v>
      </c>
      <c r="M1254" s="4">
        <v>29.211176470588242</v>
      </c>
      <c r="N1254" t="s">
        <v>91</v>
      </c>
    </row>
    <row r="1255" spans="1:14">
      <c r="A1255">
        <v>1254</v>
      </c>
      <c r="B1255">
        <v>30</v>
      </c>
      <c r="C1255" t="s">
        <v>16</v>
      </c>
      <c r="D1255" t="s">
        <v>33</v>
      </c>
      <c r="E1255" t="s">
        <v>40</v>
      </c>
      <c r="F1255">
        <v>222.83</v>
      </c>
      <c r="G1255" t="s">
        <v>19</v>
      </c>
      <c r="H1255" t="s">
        <v>15</v>
      </c>
      <c r="I1255">
        <v>3.8</v>
      </c>
      <c r="J1255">
        <v>6</v>
      </c>
      <c r="K1255">
        <v>3</v>
      </c>
      <c r="L1255" s="4">
        <v>237.05319148936172</v>
      </c>
      <c r="M1255" s="4">
        <v>14.22319148936171</v>
      </c>
      <c r="N1255" t="s">
        <v>91</v>
      </c>
    </row>
    <row r="1256" spans="1:14">
      <c r="A1256">
        <v>1255</v>
      </c>
      <c r="B1256">
        <v>70</v>
      </c>
      <c r="C1256" t="s">
        <v>16</v>
      </c>
      <c r="D1256" t="s">
        <v>27</v>
      </c>
      <c r="E1256" t="s">
        <v>49</v>
      </c>
      <c r="F1256">
        <v>2919.39</v>
      </c>
      <c r="G1256" t="s">
        <v>24</v>
      </c>
      <c r="H1256" t="s">
        <v>15</v>
      </c>
      <c r="I1256">
        <v>3.5</v>
      </c>
      <c r="J1256">
        <v>13</v>
      </c>
      <c r="K1256">
        <v>4</v>
      </c>
      <c r="L1256" s="4">
        <v>3355.6206896551721</v>
      </c>
      <c r="M1256" s="4">
        <v>436.23068965517223</v>
      </c>
      <c r="N1256" t="s">
        <v>95</v>
      </c>
    </row>
    <row r="1257" spans="1:14">
      <c r="A1257">
        <v>1256</v>
      </c>
      <c r="B1257">
        <v>44</v>
      </c>
      <c r="C1257" t="s">
        <v>11</v>
      </c>
      <c r="D1257" t="s">
        <v>29</v>
      </c>
      <c r="E1257" t="s">
        <v>55</v>
      </c>
      <c r="F1257">
        <v>143.9</v>
      </c>
      <c r="G1257" t="s">
        <v>19</v>
      </c>
      <c r="H1257" t="s">
        <v>15</v>
      </c>
      <c r="I1257">
        <v>4.7</v>
      </c>
      <c r="J1257">
        <v>26</v>
      </c>
      <c r="K1257">
        <v>8</v>
      </c>
      <c r="L1257" s="4">
        <v>194.45945945945948</v>
      </c>
      <c r="M1257" s="4">
        <v>50.559459459459475</v>
      </c>
      <c r="N1257" t="s">
        <v>92</v>
      </c>
    </row>
    <row r="1258" spans="1:14">
      <c r="A1258">
        <v>1257</v>
      </c>
      <c r="B1258">
        <v>45</v>
      </c>
      <c r="C1258" t="s">
        <v>11</v>
      </c>
      <c r="D1258" t="s">
        <v>29</v>
      </c>
      <c r="E1258" t="s">
        <v>30</v>
      </c>
      <c r="F1258">
        <v>85.13</v>
      </c>
      <c r="G1258" t="s">
        <v>14</v>
      </c>
      <c r="H1258" t="s">
        <v>37</v>
      </c>
      <c r="I1258">
        <v>3.4</v>
      </c>
      <c r="J1258">
        <v>10</v>
      </c>
      <c r="K1258">
        <v>5</v>
      </c>
      <c r="L1258" s="4">
        <v>94.588888888888889</v>
      </c>
      <c r="M1258" s="4">
        <v>9.4588888888888931</v>
      </c>
      <c r="N1258" t="s">
        <v>93</v>
      </c>
    </row>
    <row r="1259" spans="1:14">
      <c r="A1259">
        <v>1258</v>
      </c>
      <c r="B1259">
        <v>41</v>
      </c>
      <c r="C1259" t="s">
        <v>16</v>
      </c>
      <c r="D1259" t="s">
        <v>25</v>
      </c>
      <c r="E1259" t="s">
        <v>54</v>
      </c>
      <c r="F1259">
        <v>8.8699999999999992</v>
      </c>
      <c r="G1259" t="s">
        <v>24</v>
      </c>
      <c r="H1259" t="s">
        <v>15</v>
      </c>
      <c r="I1259">
        <v>4.4000000000000004</v>
      </c>
      <c r="J1259">
        <v>16</v>
      </c>
      <c r="K1259">
        <v>3</v>
      </c>
      <c r="L1259" s="4">
        <v>10.559523809523808</v>
      </c>
      <c r="M1259" s="4">
        <v>1.6895238095238092</v>
      </c>
      <c r="N1259" t="s">
        <v>92</v>
      </c>
    </row>
    <row r="1260" spans="1:14">
      <c r="A1260">
        <v>1259</v>
      </c>
      <c r="B1260">
        <v>42</v>
      </c>
      <c r="C1260" t="s">
        <v>16</v>
      </c>
      <c r="D1260" t="s">
        <v>33</v>
      </c>
      <c r="E1260" t="s">
        <v>40</v>
      </c>
      <c r="F1260">
        <v>166.69</v>
      </c>
      <c r="G1260" t="s">
        <v>14</v>
      </c>
      <c r="H1260" t="s">
        <v>15</v>
      </c>
      <c r="I1260">
        <v>2.8</v>
      </c>
      <c r="J1260">
        <v>6</v>
      </c>
      <c r="K1260">
        <v>3</v>
      </c>
      <c r="L1260" s="4">
        <v>177.32978723404256</v>
      </c>
      <c r="M1260" s="4">
        <v>10.639787234042558</v>
      </c>
      <c r="N1260" t="s">
        <v>92</v>
      </c>
    </row>
    <row r="1261" spans="1:14">
      <c r="A1261">
        <v>1260</v>
      </c>
      <c r="B1261">
        <v>51</v>
      </c>
      <c r="C1261" t="s">
        <v>16</v>
      </c>
      <c r="D1261" t="s">
        <v>33</v>
      </c>
      <c r="E1261" t="s">
        <v>34</v>
      </c>
      <c r="F1261">
        <v>195.92</v>
      </c>
      <c r="G1261" t="s">
        <v>19</v>
      </c>
      <c r="H1261" t="s">
        <v>15</v>
      </c>
      <c r="I1261">
        <v>2.8</v>
      </c>
      <c r="J1261">
        <v>19</v>
      </c>
      <c r="K1261">
        <v>7</v>
      </c>
      <c r="L1261" s="4">
        <v>241.8765432098765</v>
      </c>
      <c r="M1261" s="4">
        <v>45.956543209876514</v>
      </c>
      <c r="N1261" t="s">
        <v>93</v>
      </c>
    </row>
    <row r="1262" spans="1:14">
      <c r="A1262">
        <v>1261</v>
      </c>
      <c r="B1262">
        <v>59</v>
      </c>
      <c r="C1262" t="s">
        <v>16</v>
      </c>
      <c r="D1262" t="s">
        <v>17</v>
      </c>
      <c r="E1262" t="s">
        <v>42</v>
      </c>
      <c r="F1262">
        <v>165.21</v>
      </c>
      <c r="G1262" t="s">
        <v>19</v>
      </c>
      <c r="H1262" t="s">
        <v>15</v>
      </c>
      <c r="I1262">
        <v>3.8</v>
      </c>
      <c r="J1262">
        <v>14</v>
      </c>
      <c r="K1262">
        <v>7</v>
      </c>
      <c r="L1262" s="4">
        <v>192.1046511627907</v>
      </c>
      <c r="M1262" s="4">
        <v>26.894651162790694</v>
      </c>
      <c r="N1262" t="s">
        <v>94</v>
      </c>
    </row>
    <row r="1263" spans="1:14">
      <c r="A1263">
        <v>1262</v>
      </c>
      <c r="B1263">
        <v>58</v>
      </c>
      <c r="C1263" t="s">
        <v>16</v>
      </c>
      <c r="D1263" t="s">
        <v>27</v>
      </c>
      <c r="E1263" t="s">
        <v>32</v>
      </c>
      <c r="F1263">
        <v>500.44</v>
      </c>
      <c r="G1263" t="s">
        <v>31</v>
      </c>
      <c r="H1263" t="s">
        <v>15</v>
      </c>
      <c r="I1263">
        <v>4.4000000000000004</v>
      </c>
      <c r="J1263">
        <v>16</v>
      </c>
      <c r="K1263">
        <v>3</v>
      </c>
      <c r="L1263" s="4">
        <v>595.76190476190482</v>
      </c>
      <c r="M1263" s="4">
        <v>95.321904761904818</v>
      </c>
      <c r="N1263" t="s">
        <v>94</v>
      </c>
    </row>
    <row r="1264" spans="1:14">
      <c r="A1264">
        <v>1263</v>
      </c>
      <c r="B1264">
        <v>56</v>
      </c>
      <c r="C1264" t="s">
        <v>16</v>
      </c>
      <c r="D1264" t="s">
        <v>20</v>
      </c>
      <c r="E1264" t="s">
        <v>36</v>
      </c>
      <c r="F1264">
        <v>95.43</v>
      </c>
      <c r="G1264" t="s">
        <v>19</v>
      </c>
      <c r="H1264" t="s">
        <v>37</v>
      </c>
      <c r="I1264">
        <v>4</v>
      </c>
      <c r="J1264">
        <v>6</v>
      </c>
      <c r="K1264">
        <v>3</v>
      </c>
      <c r="L1264" s="4">
        <v>101.52127659574469</v>
      </c>
      <c r="M1264" s="4">
        <v>6.0912765957446879</v>
      </c>
      <c r="N1264" t="s">
        <v>94</v>
      </c>
    </row>
    <row r="1265" spans="1:14">
      <c r="A1265">
        <v>1264</v>
      </c>
      <c r="B1265">
        <v>52</v>
      </c>
      <c r="C1265" t="s">
        <v>16</v>
      </c>
      <c r="D1265" t="s">
        <v>27</v>
      </c>
      <c r="E1265" t="s">
        <v>32</v>
      </c>
      <c r="F1265">
        <v>2764.97</v>
      </c>
      <c r="G1265" t="s">
        <v>24</v>
      </c>
      <c r="H1265" t="s">
        <v>15</v>
      </c>
      <c r="I1265">
        <v>2.7</v>
      </c>
      <c r="J1265">
        <v>9</v>
      </c>
      <c r="K1265">
        <v>2</v>
      </c>
      <c r="L1265" s="4">
        <v>3038.4285714285711</v>
      </c>
      <c r="M1265" s="4">
        <v>273.4585714285713</v>
      </c>
      <c r="N1265" t="s">
        <v>93</v>
      </c>
    </row>
    <row r="1266" spans="1:14">
      <c r="A1266">
        <v>1265</v>
      </c>
      <c r="B1266">
        <v>41</v>
      </c>
      <c r="C1266" t="s">
        <v>16</v>
      </c>
      <c r="D1266" t="s">
        <v>25</v>
      </c>
      <c r="E1266" t="s">
        <v>54</v>
      </c>
      <c r="F1266">
        <v>60.98</v>
      </c>
      <c r="G1266" t="s">
        <v>19</v>
      </c>
      <c r="H1266" t="s">
        <v>15</v>
      </c>
      <c r="I1266">
        <v>2.8</v>
      </c>
      <c r="J1266">
        <v>14</v>
      </c>
      <c r="K1266">
        <v>7</v>
      </c>
      <c r="L1266" s="4">
        <v>70.906976744186039</v>
      </c>
      <c r="M1266" s="4">
        <v>9.9269767441860424</v>
      </c>
      <c r="N1266" t="s">
        <v>92</v>
      </c>
    </row>
    <row r="1267" spans="1:14">
      <c r="A1267">
        <v>1266</v>
      </c>
      <c r="B1267">
        <v>37</v>
      </c>
      <c r="C1267" t="s">
        <v>16</v>
      </c>
      <c r="D1267" t="s">
        <v>27</v>
      </c>
      <c r="E1267" t="s">
        <v>32</v>
      </c>
      <c r="F1267">
        <v>943.53</v>
      </c>
      <c r="G1267" t="s">
        <v>19</v>
      </c>
      <c r="H1267" t="s">
        <v>15</v>
      </c>
      <c r="I1267">
        <v>4.7</v>
      </c>
      <c r="J1267">
        <v>2</v>
      </c>
      <c r="K1267">
        <v>1</v>
      </c>
      <c r="L1267" s="4">
        <v>962.78571428571422</v>
      </c>
      <c r="M1267" s="4">
        <v>19.255714285714248</v>
      </c>
      <c r="N1267" t="s">
        <v>92</v>
      </c>
    </row>
    <row r="1268" spans="1:14">
      <c r="A1268">
        <v>1267</v>
      </c>
      <c r="B1268">
        <v>51</v>
      </c>
      <c r="C1268" t="s">
        <v>16</v>
      </c>
      <c r="D1268" t="s">
        <v>20</v>
      </c>
      <c r="E1268" t="s">
        <v>36</v>
      </c>
      <c r="F1268">
        <v>246.18</v>
      </c>
      <c r="G1268" t="s">
        <v>19</v>
      </c>
      <c r="H1268" t="s">
        <v>15</v>
      </c>
      <c r="I1268">
        <v>3.6</v>
      </c>
      <c r="J1268">
        <v>8</v>
      </c>
      <c r="K1268">
        <v>4</v>
      </c>
      <c r="L1268" s="4">
        <v>267.58695652173913</v>
      </c>
      <c r="M1268" s="4">
        <v>21.406956521739119</v>
      </c>
      <c r="N1268" t="s">
        <v>93</v>
      </c>
    </row>
    <row r="1269" spans="1:14">
      <c r="A1269">
        <v>1268</v>
      </c>
      <c r="B1269">
        <v>65</v>
      </c>
      <c r="C1269" t="s">
        <v>16</v>
      </c>
      <c r="D1269" t="s">
        <v>27</v>
      </c>
      <c r="E1269" t="s">
        <v>53</v>
      </c>
      <c r="F1269">
        <v>1135.9000000000001</v>
      </c>
      <c r="G1269" t="s">
        <v>24</v>
      </c>
      <c r="H1269" t="s">
        <v>15</v>
      </c>
      <c r="I1269">
        <v>3.5</v>
      </c>
      <c r="J1269">
        <v>13</v>
      </c>
      <c r="K1269">
        <v>4</v>
      </c>
      <c r="L1269" s="4">
        <v>1305.632183908046</v>
      </c>
      <c r="M1269" s="4">
        <v>169.73218390804595</v>
      </c>
      <c r="N1269" t="s">
        <v>95</v>
      </c>
    </row>
    <row r="1270" spans="1:14">
      <c r="A1270">
        <v>1269</v>
      </c>
      <c r="B1270">
        <v>45</v>
      </c>
      <c r="C1270" t="s">
        <v>16</v>
      </c>
      <c r="D1270" t="s">
        <v>27</v>
      </c>
      <c r="E1270" t="s">
        <v>53</v>
      </c>
      <c r="F1270">
        <v>1704.22</v>
      </c>
      <c r="G1270" t="s">
        <v>31</v>
      </c>
      <c r="H1270" t="s">
        <v>15</v>
      </c>
      <c r="I1270">
        <v>4.0999999999999996</v>
      </c>
      <c r="J1270">
        <v>15</v>
      </c>
      <c r="K1270">
        <v>5</v>
      </c>
      <c r="L1270" s="4">
        <v>2004.964705882353</v>
      </c>
      <c r="M1270" s="4">
        <v>300.74470588235295</v>
      </c>
      <c r="N1270" t="s">
        <v>93</v>
      </c>
    </row>
    <row r="1271" spans="1:14">
      <c r="A1271">
        <v>1270</v>
      </c>
      <c r="B1271">
        <v>23</v>
      </c>
      <c r="C1271" t="s">
        <v>16</v>
      </c>
      <c r="D1271" t="s">
        <v>33</v>
      </c>
      <c r="E1271" t="s">
        <v>34</v>
      </c>
      <c r="F1271">
        <v>92.79</v>
      </c>
      <c r="G1271" t="s">
        <v>14</v>
      </c>
      <c r="H1271" t="s">
        <v>15</v>
      </c>
      <c r="I1271">
        <v>4.9000000000000004</v>
      </c>
      <c r="J1271">
        <v>13</v>
      </c>
      <c r="K1271">
        <v>4</v>
      </c>
      <c r="L1271" s="4">
        <v>106.65517241379311</v>
      </c>
      <c r="M1271" s="4">
        <v>13.865172413793104</v>
      </c>
      <c r="N1271" t="s">
        <v>100</v>
      </c>
    </row>
    <row r="1272" spans="1:14">
      <c r="A1272">
        <v>1271</v>
      </c>
      <c r="B1272">
        <v>55</v>
      </c>
      <c r="C1272" t="s">
        <v>16</v>
      </c>
      <c r="D1272" t="s">
        <v>17</v>
      </c>
      <c r="E1272" t="s">
        <v>42</v>
      </c>
      <c r="F1272">
        <v>165.27</v>
      </c>
      <c r="G1272" t="s">
        <v>19</v>
      </c>
      <c r="H1272" t="s">
        <v>15</v>
      </c>
      <c r="I1272">
        <v>3.5</v>
      </c>
      <c r="J1272">
        <v>17</v>
      </c>
      <c r="K1272">
        <v>6</v>
      </c>
      <c r="L1272" s="4">
        <v>199.12048192771087</v>
      </c>
      <c r="M1272" s="4">
        <v>33.85048192771086</v>
      </c>
      <c r="N1272" t="s">
        <v>94</v>
      </c>
    </row>
    <row r="1273" spans="1:14">
      <c r="A1273">
        <v>1272</v>
      </c>
      <c r="B1273">
        <v>45</v>
      </c>
      <c r="C1273" t="s">
        <v>11</v>
      </c>
      <c r="D1273" t="s">
        <v>29</v>
      </c>
      <c r="E1273" t="s">
        <v>51</v>
      </c>
      <c r="F1273">
        <v>72.319999999999993</v>
      </c>
      <c r="G1273" t="s">
        <v>31</v>
      </c>
      <c r="H1273" t="s">
        <v>37</v>
      </c>
      <c r="I1273">
        <v>3.4</v>
      </c>
      <c r="J1273">
        <v>17</v>
      </c>
      <c r="K1273">
        <v>6</v>
      </c>
      <c r="L1273" s="4">
        <v>87.132530120481917</v>
      </c>
      <c r="M1273" s="4">
        <v>14.812530120481924</v>
      </c>
      <c r="N1273" t="s">
        <v>93</v>
      </c>
    </row>
    <row r="1274" spans="1:14">
      <c r="A1274">
        <v>1273</v>
      </c>
      <c r="B1274">
        <v>55</v>
      </c>
      <c r="C1274" t="s">
        <v>16</v>
      </c>
      <c r="D1274" t="s">
        <v>27</v>
      </c>
      <c r="E1274" t="s">
        <v>53</v>
      </c>
      <c r="F1274">
        <v>1843.01</v>
      </c>
      <c r="G1274" t="s">
        <v>19</v>
      </c>
      <c r="H1274" t="s">
        <v>15</v>
      </c>
      <c r="I1274">
        <v>2.9</v>
      </c>
      <c r="J1274">
        <v>20</v>
      </c>
      <c r="K1274">
        <v>10</v>
      </c>
      <c r="L1274" s="4">
        <v>2303.7624999999998</v>
      </c>
      <c r="M1274" s="4">
        <v>460.75249999999983</v>
      </c>
      <c r="N1274" t="s">
        <v>94</v>
      </c>
    </row>
    <row r="1275" spans="1:14">
      <c r="A1275">
        <v>1274</v>
      </c>
      <c r="B1275">
        <v>45</v>
      </c>
      <c r="C1275" t="s">
        <v>16</v>
      </c>
      <c r="D1275" t="s">
        <v>20</v>
      </c>
      <c r="E1275" t="s">
        <v>21</v>
      </c>
      <c r="F1275">
        <v>40.4</v>
      </c>
      <c r="G1275" t="s">
        <v>31</v>
      </c>
      <c r="H1275" t="s">
        <v>15</v>
      </c>
      <c r="I1275">
        <v>3.3</v>
      </c>
      <c r="J1275">
        <v>10</v>
      </c>
      <c r="K1275">
        <v>5</v>
      </c>
      <c r="L1275" s="4">
        <v>44.888888888888886</v>
      </c>
      <c r="M1275" s="4">
        <v>4.4888888888888872</v>
      </c>
      <c r="N1275" t="s">
        <v>93</v>
      </c>
    </row>
    <row r="1276" spans="1:14">
      <c r="A1276">
        <v>1275</v>
      </c>
      <c r="B1276">
        <v>29</v>
      </c>
      <c r="C1276" t="s">
        <v>16</v>
      </c>
      <c r="D1276" t="s">
        <v>20</v>
      </c>
      <c r="E1276" t="s">
        <v>36</v>
      </c>
      <c r="F1276">
        <v>80.31</v>
      </c>
      <c r="G1276" t="s">
        <v>24</v>
      </c>
      <c r="H1276" t="s">
        <v>37</v>
      </c>
      <c r="I1276">
        <v>4.3</v>
      </c>
      <c r="J1276">
        <v>11</v>
      </c>
      <c r="K1276">
        <v>3</v>
      </c>
      <c r="L1276" s="4">
        <v>90.235955056179776</v>
      </c>
      <c r="M1276" s="4">
        <v>9.9259550561797738</v>
      </c>
      <c r="N1276" t="s">
        <v>91</v>
      </c>
    </row>
    <row r="1277" spans="1:14">
      <c r="A1277">
        <v>1276</v>
      </c>
      <c r="B1277">
        <v>27</v>
      </c>
      <c r="C1277" t="s">
        <v>11</v>
      </c>
      <c r="D1277" t="s">
        <v>33</v>
      </c>
      <c r="E1277" t="s">
        <v>38</v>
      </c>
      <c r="F1277">
        <v>197.36</v>
      </c>
      <c r="G1277" t="s">
        <v>14</v>
      </c>
      <c r="H1277" t="s">
        <v>15</v>
      </c>
      <c r="I1277">
        <v>3.5</v>
      </c>
      <c r="J1277">
        <v>16</v>
      </c>
      <c r="K1277">
        <v>3</v>
      </c>
      <c r="L1277" s="4">
        <v>234.95238095238096</v>
      </c>
      <c r="M1277" s="4">
        <v>37.59238095238095</v>
      </c>
      <c r="N1277" t="s">
        <v>91</v>
      </c>
    </row>
    <row r="1278" spans="1:14">
      <c r="A1278">
        <v>1277</v>
      </c>
      <c r="B1278">
        <v>22</v>
      </c>
      <c r="C1278" t="s">
        <v>16</v>
      </c>
      <c r="D1278" t="s">
        <v>33</v>
      </c>
      <c r="E1278" t="s">
        <v>38</v>
      </c>
      <c r="F1278">
        <v>153.96</v>
      </c>
      <c r="G1278" t="s">
        <v>19</v>
      </c>
      <c r="H1278" t="s">
        <v>15</v>
      </c>
      <c r="I1278">
        <v>4.7</v>
      </c>
      <c r="J1278">
        <v>11</v>
      </c>
      <c r="K1278">
        <v>3</v>
      </c>
      <c r="L1278" s="4">
        <v>172.98876404494382</v>
      </c>
      <c r="M1278" s="4">
        <v>19.028764044943813</v>
      </c>
      <c r="N1278" t="s">
        <v>100</v>
      </c>
    </row>
    <row r="1279" spans="1:14">
      <c r="A1279">
        <v>1278</v>
      </c>
      <c r="B1279">
        <v>55</v>
      </c>
      <c r="C1279" t="s">
        <v>16</v>
      </c>
      <c r="D1279" t="s">
        <v>33</v>
      </c>
      <c r="E1279" t="s">
        <v>38</v>
      </c>
      <c r="F1279">
        <v>46.48</v>
      </c>
      <c r="G1279" t="s">
        <v>31</v>
      </c>
      <c r="H1279" t="s">
        <v>37</v>
      </c>
      <c r="I1279">
        <v>3.1</v>
      </c>
      <c r="J1279">
        <v>6</v>
      </c>
      <c r="K1279">
        <v>3</v>
      </c>
      <c r="L1279" s="4">
        <v>49.446808510638299</v>
      </c>
      <c r="M1279" s="4">
        <v>2.9668085106383018</v>
      </c>
      <c r="N1279" t="s">
        <v>94</v>
      </c>
    </row>
    <row r="1280" spans="1:14">
      <c r="A1280">
        <v>1279</v>
      </c>
      <c r="B1280">
        <v>40</v>
      </c>
      <c r="C1280" t="s">
        <v>16</v>
      </c>
      <c r="D1280" t="s">
        <v>22</v>
      </c>
      <c r="E1280" t="s">
        <v>52</v>
      </c>
      <c r="F1280">
        <v>129.11000000000001</v>
      </c>
      <c r="G1280" t="s">
        <v>31</v>
      </c>
      <c r="H1280" t="s">
        <v>15</v>
      </c>
      <c r="I1280">
        <v>3.1</v>
      </c>
      <c r="J1280">
        <v>20</v>
      </c>
      <c r="K1280">
        <v>5</v>
      </c>
      <c r="L1280" s="4">
        <v>161.38750000000002</v>
      </c>
      <c r="M1280" s="4">
        <v>32.277500000000003</v>
      </c>
      <c r="N1280" t="s">
        <v>92</v>
      </c>
    </row>
    <row r="1281" spans="1:14">
      <c r="A1281">
        <v>1280</v>
      </c>
      <c r="B1281">
        <v>63</v>
      </c>
      <c r="C1281" t="s">
        <v>16</v>
      </c>
      <c r="D1281" t="s">
        <v>20</v>
      </c>
      <c r="E1281" t="s">
        <v>36</v>
      </c>
      <c r="F1281">
        <v>130.97999999999999</v>
      </c>
      <c r="G1281" t="s">
        <v>31</v>
      </c>
      <c r="H1281" t="s">
        <v>15</v>
      </c>
      <c r="I1281">
        <v>3.3</v>
      </c>
      <c r="J1281">
        <v>10</v>
      </c>
      <c r="K1281">
        <v>5</v>
      </c>
      <c r="L1281" s="4">
        <v>145.53333333333333</v>
      </c>
      <c r="M1281" s="4">
        <v>14.553333333333342</v>
      </c>
      <c r="N1281" t="s">
        <v>94</v>
      </c>
    </row>
    <row r="1282" spans="1:14">
      <c r="A1282">
        <v>1281</v>
      </c>
      <c r="B1282">
        <v>43</v>
      </c>
      <c r="C1282" t="s">
        <v>16</v>
      </c>
      <c r="D1282" t="s">
        <v>20</v>
      </c>
      <c r="E1282" t="s">
        <v>39</v>
      </c>
      <c r="F1282">
        <v>116.56</v>
      </c>
      <c r="G1282" t="s">
        <v>31</v>
      </c>
      <c r="H1282" t="s">
        <v>15</v>
      </c>
      <c r="I1282">
        <v>3.1</v>
      </c>
      <c r="J1282">
        <v>25</v>
      </c>
      <c r="K1282">
        <v>10</v>
      </c>
      <c r="L1282" s="4">
        <v>155.41333333333333</v>
      </c>
      <c r="M1282" s="4">
        <v>38.853333333333325</v>
      </c>
      <c r="N1282" t="s">
        <v>92</v>
      </c>
    </row>
    <row r="1283" spans="1:14">
      <c r="A1283">
        <v>1282</v>
      </c>
      <c r="B1283">
        <v>34</v>
      </c>
      <c r="C1283" t="s">
        <v>16</v>
      </c>
      <c r="D1283" t="s">
        <v>27</v>
      </c>
      <c r="E1283" t="s">
        <v>53</v>
      </c>
      <c r="F1283">
        <v>1105.45</v>
      </c>
      <c r="G1283" t="s">
        <v>24</v>
      </c>
      <c r="H1283" t="s">
        <v>15</v>
      </c>
      <c r="I1283">
        <v>5</v>
      </c>
      <c r="J1283">
        <v>24</v>
      </c>
      <c r="K1283">
        <v>7</v>
      </c>
      <c r="L1283" s="4">
        <v>1454.5394736842106</v>
      </c>
      <c r="M1283" s="4">
        <v>349.08947368421059</v>
      </c>
      <c r="N1283" t="s">
        <v>91</v>
      </c>
    </row>
    <row r="1284" spans="1:14">
      <c r="A1284">
        <v>1283</v>
      </c>
      <c r="B1284">
        <v>46</v>
      </c>
      <c r="C1284" t="s">
        <v>16</v>
      </c>
      <c r="D1284" t="s">
        <v>33</v>
      </c>
      <c r="E1284" t="s">
        <v>40</v>
      </c>
      <c r="F1284">
        <v>192.39</v>
      </c>
      <c r="G1284" t="s">
        <v>14</v>
      </c>
      <c r="H1284" t="s">
        <v>15</v>
      </c>
      <c r="I1284">
        <v>3.9</v>
      </c>
      <c r="J1284">
        <v>9</v>
      </c>
      <c r="K1284">
        <v>2</v>
      </c>
      <c r="L1284" s="4">
        <v>211.41758241758239</v>
      </c>
      <c r="M1284" s="4">
        <v>19.027582417582408</v>
      </c>
      <c r="N1284" t="s">
        <v>93</v>
      </c>
    </row>
    <row r="1285" spans="1:14">
      <c r="A1285">
        <v>1284</v>
      </c>
      <c r="B1285">
        <v>51</v>
      </c>
      <c r="C1285" t="s">
        <v>11</v>
      </c>
      <c r="D1285" t="s">
        <v>41</v>
      </c>
      <c r="E1285" t="s">
        <v>46</v>
      </c>
      <c r="F1285">
        <v>184.44</v>
      </c>
      <c r="G1285" t="s">
        <v>19</v>
      </c>
      <c r="H1285" t="s">
        <v>15</v>
      </c>
      <c r="I1285">
        <v>3.6</v>
      </c>
      <c r="J1285">
        <v>15</v>
      </c>
      <c r="K1285">
        <v>5</v>
      </c>
      <c r="L1285" s="4">
        <v>216.98823529411766</v>
      </c>
      <c r="M1285" s="4">
        <v>32.54823529411766</v>
      </c>
      <c r="N1285" t="s">
        <v>93</v>
      </c>
    </row>
    <row r="1286" spans="1:14">
      <c r="A1286">
        <v>1285</v>
      </c>
      <c r="B1286">
        <v>25</v>
      </c>
      <c r="C1286" t="s">
        <v>16</v>
      </c>
      <c r="D1286" t="s">
        <v>22</v>
      </c>
      <c r="E1286" t="s">
        <v>52</v>
      </c>
      <c r="F1286">
        <v>227.36</v>
      </c>
      <c r="G1286" t="s">
        <v>19</v>
      </c>
      <c r="H1286" t="s">
        <v>15</v>
      </c>
      <c r="I1286">
        <v>3.2</v>
      </c>
      <c r="J1286">
        <v>15</v>
      </c>
      <c r="K1286">
        <v>5</v>
      </c>
      <c r="L1286" s="4">
        <v>267.48235294117649</v>
      </c>
      <c r="M1286" s="4">
        <v>40.122352941176473</v>
      </c>
      <c r="N1286" t="s">
        <v>91</v>
      </c>
    </row>
    <row r="1287" spans="1:14">
      <c r="A1287">
        <v>1286</v>
      </c>
      <c r="B1287">
        <v>55</v>
      </c>
      <c r="C1287" t="s">
        <v>16</v>
      </c>
      <c r="D1287" t="s">
        <v>17</v>
      </c>
      <c r="E1287" t="s">
        <v>48</v>
      </c>
      <c r="F1287">
        <v>91.95</v>
      </c>
      <c r="G1287" t="s">
        <v>31</v>
      </c>
      <c r="H1287" t="s">
        <v>15</v>
      </c>
      <c r="I1287">
        <v>4.0999999999999996</v>
      </c>
      <c r="J1287">
        <v>20</v>
      </c>
      <c r="K1287">
        <v>5</v>
      </c>
      <c r="L1287" s="4">
        <v>114.9375</v>
      </c>
      <c r="M1287" s="4">
        <v>22.987499999999997</v>
      </c>
      <c r="N1287" t="s">
        <v>94</v>
      </c>
    </row>
    <row r="1288" spans="1:14">
      <c r="A1288">
        <v>1287</v>
      </c>
      <c r="B1288">
        <v>40</v>
      </c>
      <c r="C1288" t="s">
        <v>11</v>
      </c>
      <c r="D1288" t="s">
        <v>20</v>
      </c>
      <c r="E1288" t="s">
        <v>39</v>
      </c>
      <c r="F1288">
        <v>71.11</v>
      </c>
      <c r="G1288" t="s">
        <v>24</v>
      </c>
      <c r="H1288" t="s">
        <v>37</v>
      </c>
      <c r="I1288">
        <v>4.5999999999999996</v>
      </c>
      <c r="J1288">
        <v>18</v>
      </c>
      <c r="K1288">
        <v>4</v>
      </c>
      <c r="L1288" s="4">
        <v>86.719512195121951</v>
      </c>
      <c r="M1288" s="4">
        <v>15.609512195121951</v>
      </c>
      <c r="N1288" t="s">
        <v>92</v>
      </c>
    </row>
    <row r="1289" spans="1:14">
      <c r="A1289">
        <v>1288</v>
      </c>
      <c r="B1289">
        <v>36</v>
      </c>
      <c r="C1289" t="s">
        <v>16</v>
      </c>
      <c r="D1289" t="s">
        <v>33</v>
      </c>
      <c r="E1289" t="s">
        <v>34</v>
      </c>
      <c r="F1289">
        <v>114.22</v>
      </c>
      <c r="G1289" t="s">
        <v>14</v>
      </c>
      <c r="H1289" t="s">
        <v>15</v>
      </c>
      <c r="I1289">
        <v>3.9</v>
      </c>
      <c r="J1289">
        <v>22</v>
      </c>
      <c r="K1289">
        <v>6</v>
      </c>
      <c r="L1289" s="4">
        <v>146.43589743589743</v>
      </c>
      <c r="M1289" s="4">
        <v>32.215897435897432</v>
      </c>
      <c r="N1289" t="s">
        <v>92</v>
      </c>
    </row>
    <row r="1290" spans="1:14">
      <c r="A1290">
        <v>1289</v>
      </c>
      <c r="B1290">
        <v>70</v>
      </c>
      <c r="C1290" t="s">
        <v>11</v>
      </c>
      <c r="D1290" t="s">
        <v>29</v>
      </c>
      <c r="E1290" t="s">
        <v>55</v>
      </c>
      <c r="F1290">
        <v>104.25</v>
      </c>
      <c r="G1290" t="s">
        <v>24</v>
      </c>
      <c r="H1290" t="s">
        <v>15</v>
      </c>
      <c r="I1290">
        <v>3.9</v>
      </c>
      <c r="J1290">
        <v>10</v>
      </c>
      <c r="K1290">
        <v>5</v>
      </c>
      <c r="L1290" s="4">
        <v>115.83333333333333</v>
      </c>
      <c r="M1290" s="4">
        <v>11.583333333333329</v>
      </c>
      <c r="N1290" t="s">
        <v>95</v>
      </c>
    </row>
    <row r="1291" spans="1:14">
      <c r="A1291">
        <v>1290</v>
      </c>
      <c r="B1291">
        <v>20</v>
      </c>
      <c r="C1291" t="s">
        <v>11</v>
      </c>
      <c r="D1291" t="s">
        <v>41</v>
      </c>
      <c r="E1291" t="s">
        <v>44</v>
      </c>
      <c r="F1291">
        <v>151.63</v>
      </c>
      <c r="G1291" t="s">
        <v>24</v>
      </c>
      <c r="H1291" t="s">
        <v>15</v>
      </c>
      <c r="I1291">
        <v>2</v>
      </c>
      <c r="J1291">
        <v>12</v>
      </c>
      <c r="K1291">
        <v>6</v>
      </c>
      <c r="L1291" s="4">
        <v>172.30681818181819</v>
      </c>
      <c r="M1291" s="4">
        <v>20.676818181818192</v>
      </c>
      <c r="N1291" t="s">
        <v>100</v>
      </c>
    </row>
    <row r="1292" spans="1:14">
      <c r="A1292">
        <v>1291</v>
      </c>
      <c r="B1292">
        <v>35</v>
      </c>
      <c r="C1292" t="s">
        <v>16</v>
      </c>
      <c r="D1292" t="s">
        <v>20</v>
      </c>
      <c r="E1292" t="s">
        <v>39</v>
      </c>
      <c r="F1292">
        <v>113.99</v>
      </c>
      <c r="G1292" t="s">
        <v>31</v>
      </c>
      <c r="H1292" t="s">
        <v>15</v>
      </c>
      <c r="I1292">
        <v>3.3</v>
      </c>
      <c r="J1292">
        <v>8</v>
      </c>
      <c r="K1292">
        <v>4</v>
      </c>
      <c r="L1292" s="4">
        <v>123.90217391304347</v>
      </c>
      <c r="M1292" s="4">
        <v>9.9121739130434747</v>
      </c>
      <c r="N1292" t="s">
        <v>92</v>
      </c>
    </row>
    <row r="1293" spans="1:14">
      <c r="A1293">
        <v>1292</v>
      </c>
      <c r="B1293">
        <v>37</v>
      </c>
      <c r="C1293" t="s">
        <v>11</v>
      </c>
      <c r="D1293" t="s">
        <v>33</v>
      </c>
      <c r="E1293" t="s">
        <v>38</v>
      </c>
      <c r="F1293">
        <v>149.77000000000001</v>
      </c>
      <c r="G1293" t="s">
        <v>19</v>
      </c>
      <c r="H1293" t="s">
        <v>15</v>
      </c>
      <c r="I1293">
        <v>4</v>
      </c>
      <c r="J1293">
        <v>25</v>
      </c>
      <c r="K1293">
        <v>10</v>
      </c>
      <c r="L1293" s="4">
        <v>199.69333333333336</v>
      </c>
      <c r="M1293" s="4">
        <v>49.923333333333346</v>
      </c>
      <c r="N1293" t="s">
        <v>92</v>
      </c>
    </row>
    <row r="1294" spans="1:14">
      <c r="A1294">
        <v>1293</v>
      </c>
      <c r="B1294">
        <v>35</v>
      </c>
      <c r="C1294" t="s">
        <v>11</v>
      </c>
      <c r="D1294" t="s">
        <v>20</v>
      </c>
      <c r="E1294" t="s">
        <v>21</v>
      </c>
      <c r="F1294">
        <v>149.11000000000001</v>
      </c>
      <c r="G1294" t="s">
        <v>19</v>
      </c>
      <c r="H1294" t="s">
        <v>15</v>
      </c>
      <c r="I1294">
        <v>3.1</v>
      </c>
      <c r="J1294">
        <v>14</v>
      </c>
      <c r="K1294">
        <v>7</v>
      </c>
      <c r="L1294" s="4">
        <v>173.38372093023258</v>
      </c>
      <c r="M1294" s="4">
        <v>24.273720930232571</v>
      </c>
      <c r="N1294" t="s">
        <v>92</v>
      </c>
    </row>
    <row r="1295" spans="1:14">
      <c r="A1295">
        <v>1294</v>
      </c>
      <c r="B1295">
        <v>47</v>
      </c>
      <c r="C1295" t="s">
        <v>11</v>
      </c>
      <c r="D1295" t="s">
        <v>12</v>
      </c>
      <c r="E1295" t="s">
        <v>56</v>
      </c>
      <c r="F1295">
        <v>44.02</v>
      </c>
      <c r="G1295" t="s">
        <v>14</v>
      </c>
      <c r="H1295" t="s">
        <v>37</v>
      </c>
      <c r="I1295">
        <v>4.4000000000000004</v>
      </c>
      <c r="J1295">
        <v>6</v>
      </c>
      <c r="K1295">
        <v>3</v>
      </c>
      <c r="L1295" s="4">
        <v>46.829787234042563</v>
      </c>
      <c r="M1295" s="4">
        <v>2.8097872340425596</v>
      </c>
      <c r="N1295" t="s">
        <v>93</v>
      </c>
    </row>
    <row r="1296" spans="1:14">
      <c r="A1296">
        <v>1295</v>
      </c>
      <c r="B1296">
        <v>60</v>
      </c>
      <c r="C1296" t="s">
        <v>16</v>
      </c>
      <c r="D1296" t="s">
        <v>17</v>
      </c>
      <c r="E1296" t="s">
        <v>48</v>
      </c>
      <c r="F1296">
        <v>42.96</v>
      </c>
      <c r="G1296" t="s">
        <v>19</v>
      </c>
      <c r="H1296" t="s">
        <v>15</v>
      </c>
      <c r="I1296">
        <v>5</v>
      </c>
      <c r="J1296">
        <v>25</v>
      </c>
      <c r="K1296">
        <v>10</v>
      </c>
      <c r="L1296" s="4">
        <v>57.28</v>
      </c>
      <c r="M1296" s="4">
        <v>14.32</v>
      </c>
      <c r="N1296" t="s">
        <v>94</v>
      </c>
    </row>
    <row r="1297" spans="1:14">
      <c r="A1297">
        <v>1296</v>
      </c>
      <c r="B1297">
        <v>55</v>
      </c>
      <c r="C1297" t="s">
        <v>11</v>
      </c>
      <c r="D1297" t="s">
        <v>41</v>
      </c>
      <c r="E1297" t="s">
        <v>46</v>
      </c>
      <c r="F1297">
        <v>186.61</v>
      </c>
      <c r="G1297" t="s">
        <v>31</v>
      </c>
      <c r="H1297" t="s">
        <v>15</v>
      </c>
      <c r="I1297">
        <v>3.2</v>
      </c>
      <c r="J1297">
        <v>14</v>
      </c>
      <c r="K1297">
        <v>7</v>
      </c>
      <c r="L1297" s="4">
        <v>216.98837209302329</v>
      </c>
      <c r="M1297" s="4">
        <v>30.378372093023273</v>
      </c>
      <c r="N1297" t="s">
        <v>94</v>
      </c>
    </row>
    <row r="1298" spans="1:14">
      <c r="A1298">
        <v>1297</v>
      </c>
      <c r="B1298">
        <v>36</v>
      </c>
      <c r="C1298" t="s">
        <v>16</v>
      </c>
      <c r="D1298" t="s">
        <v>25</v>
      </c>
      <c r="E1298" t="s">
        <v>47</v>
      </c>
      <c r="F1298">
        <v>20.05</v>
      </c>
      <c r="G1298" t="s">
        <v>19</v>
      </c>
      <c r="H1298" t="s">
        <v>37</v>
      </c>
      <c r="I1298">
        <v>3.9</v>
      </c>
      <c r="J1298">
        <v>13</v>
      </c>
      <c r="K1298">
        <v>4</v>
      </c>
      <c r="L1298" s="4">
        <v>23.045977011494255</v>
      </c>
      <c r="M1298" s="4">
        <v>2.9959770114942543</v>
      </c>
      <c r="N1298" t="s">
        <v>92</v>
      </c>
    </row>
    <row r="1299" spans="1:14">
      <c r="A1299">
        <v>1298</v>
      </c>
      <c r="B1299">
        <v>31</v>
      </c>
      <c r="C1299" t="s">
        <v>16</v>
      </c>
      <c r="D1299" t="s">
        <v>27</v>
      </c>
      <c r="E1299" t="s">
        <v>49</v>
      </c>
      <c r="F1299">
        <v>2520.3000000000002</v>
      </c>
      <c r="G1299" t="s">
        <v>31</v>
      </c>
      <c r="H1299" t="s">
        <v>15</v>
      </c>
      <c r="I1299">
        <v>2.7</v>
      </c>
      <c r="J1299">
        <v>14</v>
      </c>
      <c r="K1299">
        <v>7</v>
      </c>
      <c r="L1299" s="4">
        <v>2930.5813953488373</v>
      </c>
      <c r="M1299" s="4">
        <v>410.28139534883712</v>
      </c>
      <c r="N1299" t="s">
        <v>91</v>
      </c>
    </row>
    <row r="1300" spans="1:14">
      <c r="A1300">
        <v>1299</v>
      </c>
      <c r="B1300">
        <v>51</v>
      </c>
      <c r="C1300" t="s">
        <v>11</v>
      </c>
      <c r="D1300" t="s">
        <v>41</v>
      </c>
      <c r="E1300" t="s">
        <v>46</v>
      </c>
      <c r="F1300">
        <v>119.82</v>
      </c>
      <c r="G1300" t="s">
        <v>24</v>
      </c>
      <c r="H1300" t="s">
        <v>15</v>
      </c>
      <c r="I1300">
        <v>4.3</v>
      </c>
      <c r="J1300">
        <v>21</v>
      </c>
      <c r="K1300">
        <v>8</v>
      </c>
      <c r="L1300" s="4">
        <v>151.67088607594934</v>
      </c>
      <c r="M1300" s="4">
        <v>31.850886075949347</v>
      </c>
      <c r="N1300" t="s">
        <v>93</v>
      </c>
    </row>
    <row r="1301" spans="1:14">
      <c r="A1301">
        <v>1300</v>
      </c>
      <c r="B1301">
        <v>62</v>
      </c>
      <c r="C1301" t="s">
        <v>16</v>
      </c>
      <c r="D1301" t="s">
        <v>33</v>
      </c>
      <c r="E1301" t="s">
        <v>34</v>
      </c>
      <c r="F1301">
        <v>144.66999999999999</v>
      </c>
      <c r="G1301" t="s">
        <v>14</v>
      </c>
      <c r="H1301" t="s">
        <v>15</v>
      </c>
      <c r="I1301">
        <v>3.7</v>
      </c>
      <c r="J1301">
        <v>14</v>
      </c>
      <c r="K1301">
        <v>7</v>
      </c>
      <c r="L1301" s="4">
        <v>168.22093023255812</v>
      </c>
      <c r="M1301" s="4">
        <v>23.55093023255813</v>
      </c>
      <c r="N1301" t="s">
        <v>94</v>
      </c>
    </row>
    <row r="1302" spans="1:14">
      <c r="A1302">
        <v>1301</v>
      </c>
      <c r="B1302">
        <v>29</v>
      </c>
      <c r="C1302" t="s">
        <v>11</v>
      </c>
      <c r="D1302" t="s">
        <v>29</v>
      </c>
      <c r="E1302" t="s">
        <v>30</v>
      </c>
      <c r="F1302">
        <v>38.64</v>
      </c>
      <c r="G1302" t="s">
        <v>14</v>
      </c>
      <c r="H1302" t="s">
        <v>37</v>
      </c>
      <c r="I1302">
        <v>4</v>
      </c>
      <c r="J1302">
        <v>16</v>
      </c>
      <c r="K1302">
        <v>3</v>
      </c>
      <c r="L1302" s="4">
        <v>46</v>
      </c>
      <c r="M1302" s="4">
        <v>7.3599999999999994</v>
      </c>
      <c r="N1302" t="s">
        <v>91</v>
      </c>
    </row>
    <row r="1303" spans="1:14">
      <c r="A1303">
        <v>1302</v>
      </c>
      <c r="B1303">
        <v>28</v>
      </c>
      <c r="C1303" t="s">
        <v>16</v>
      </c>
      <c r="D1303" t="s">
        <v>20</v>
      </c>
      <c r="E1303" t="s">
        <v>21</v>
      </c>
      <c r="F1303">
        <v>64.16</v>
      </c>
      <c r="G1303" t="s">
        <v>24</v>
      </c>
      <c r="H1303" t="s">
        <v>37</v>
      </c>
      <c r="I1303">
        <v>3.7</v>
      </c>
      <c r="J1303">
        <v>28</v>
      </c>
      <c r="K1303">
        <v>9</v>
      </c>
      <c r="L1303" s="4">
        <v>89.111111111111114</v>
      </c>
      <c r="M1303" s="4">
        <v>24.951111111111118</v>
      </c>
      <c r="N1303" t="s">
        <v>91</v>
      </c>
    </row>
    <row r="1304" spans="1:14">
      <c r="A1304">
        <v>1303</v>
      </c>
      <c r="B1304">
        <v>35</v>
      </c>
      <c r="C1304" t="s">
        <v>16</v>
      </c>
      <c r="D1304" t="s">
        <v>20</v>
      </c>
      <c r="E1304" t="s">
        <v>36</v>
      </c>
      <c r="F1304">
        <v>238.78</v>
      </c>
      <c r="G1304" t="s">
        <v>31</v>
      </c>
      <c r="H1304" t="s">
        <v>15</v>
      </c>
      <c r="I1304">
        <v>3.8</v>
      </c>
      <c r="J1304">
        <v>9</v>
      </c>
      <c r="K1304">
        <v>2</v>
      </c>
      <c r="L1304" s="4">
        <v>262.39560439560438</v>
      </c>
      <c r="M1304" s="4">
        <v>23.615604395604379</v>
      </c>
      <c r="N1304" t="s">
        <v>92</v>
      </c>
    </row>
    <row r="1305" spans="1:14">
      <c r="A1305">
        <v>1304</v>
      </c>
      <c r="B1305">
        <v>34</v>
      </c>
      <c r="C1305" t="s">
        <v>11</v>
      </c>
      <c r="D1305" t="s">
        <v>12</v>
      </c>
      <c r="E1305" t="s">
        <v>50</v>
      </c>
      <c r="F1305">
        <v>159.38999999999999</v>
      </c>
      <c r="G1305" t="s">
        <v>19</v>
      </c>
      <c r="H1305" t="s">
        <v>15</v>
      </c>
      <c r="I1305">
        <v>3</v>
      </c>
      <c r="J1305">
        <v>6</v>
      </c>
      <c r="K1305">
        <v>3</v>
      </c>
      <c r="L1305" s="4">
        <v>169.56382978723403</v>
      </c>
      <c r="M1305" s="4">
        <v>10.173829787234041</v>
      </c>
      <c r="N1305" t="s">
        <v>91</v>
      </c>
    </row>
    <row r="1306" spans="1:14">
      <c r="A1306">
        <v>1305</v>
      </c>
      <c r="B1306">
        <v>22</v>
      </c>
      <c r="C1306" t="s">
        <v>11</v>
      </c>
      <c r="D1306" t="s">
        <v>25</v>
      </c>
      <c r="E1306" t="s">
        <v>54</v>
      </c>
      <c r="F1306">
        <v>60.87</v>
      </c>
      <c r="G1306" t="s">
        <v>24</v>
      </c>
      <c r="H1306" t="s">
        <v>15</v>
      </c>
      <c r="I1306">
        <v>3.6</v>
      </c>
      <c r="J1306">
        <v>14</v>
      </c>
      <c r="K1306">
        <v>7</v>
      </c>
      <c r="L1306" s="4">
        <v>70.779069767441854</v>
      </c>
      <c r="M1306" s="4">
        <v>9.9090697674418564</v>
      </c>
      <c r="N1306" t="s">
        <v>100</v>
      </c>
    </row>
    <row r="1307" spans="1:14">
      <c r="A1307">
        <v>1306</v>
      </c>
      <c r="B1307">
        <v>70</v>
      </c>
      <c r="C1307" t="s">
        <v>16</v>
      </c>
      <c r="D1307" t="s">
        <v>33</v>
      </c>
      <c r="E1307" t="s">
        <v>34</v>
      </c>
      <c r="F1307">
        <v>61.28</v>
      </c>
      <c r="G1307" t="s">
        <v>31</v>
      </c>
      <c r="H1307" t="s">
        <v>15</v>
      </c>
      <c r="I1307">
        <v>4.5999999999999996</v>
      </c>
      <c r="J1307">
        <v>14</v>
      </c>
      <c r="K1307">
        <v>7</v>
      </c>
      <c r="L1307" s="4">
        <v>71.255813953488371</v>
      </c>
      <c r="M1307" s="4">
        <v>9.9758139534883696</v>
      </c>
      <c r="N1307" t="s">
        <v>95</v>
      </c>
    </row>
    <row r="1308" spans="1:14">
      <c r="A1308">
        <v>1307</v>
      </c>
      <c r="B1308">
        <v>42</v>
      </c>
      <c r="C1308" t="s">
        <v>16</v>
      </c>
      <c r="D1308" t="s">
        <v>33</v>
      </c>
      <c r="E1308" t="s">
        <v>38</v>
      </c>
      <c r="F1308">
        <v>219.14</v>
      </c>
      <c r="G1308" t="s">
        <v>24</v>
      </c>
      <c r="H1308" t="s">
        <v>15</v>
      </c>
      <c r="I1308">
        <v>4.2</v>
      </c>
      <c r="J1308">
        <v>18</v>
      </c>
      <c r="K1308">
        <v>4</v>
      </c>
      <c r="L1308" s="4">
        <v>267.24390243902434</v>
      </c>
      <c r="M1308" s="4">
        <v>48.103902439024353</v>
      </c>
      <c r="N1308" t="s">
        <v>92</v>
      </c>
    </row>
    <row r="1309" spans="1:14">
      <c r="A1309">
        <v>1308</v>
      </c>
      <c r="B1309">
        <v>22</v>
      </c>
      <c r="C1309" t="s">
        <v>11</v>
      </c>
      <c r="D1309" t="s">
        <v>41</v>
      </c>
      <c r="E1309" t="s">
        <v>44</v>
      </c>
      <c r="F1309">
        <v>125.23</v>
      </c>
      <c r="G1309" t="s">
        <v>24</v>
      </c>
      <c r="H1309" t="s">
        <v>15</v>
      </c>
      <c r="I1309">
        <v>4.8</v>
      </c>
      <c r="J1309">
        <v>13</v>
      </c>
      <c r="K1309">
        <v>4</v>
      </c>
      <c r="L1309" s="4">
        <v>143.94252873563218</v>
      </c>
      <c r="M1309" s="4">
        <v>18.712528735632176</v>
      </c>
      <c r="N1309" t="s">
        <v>100</v>
      </c>
    </row>
    <row r="1310" spans="1:14">
      <c r="A1310">
        <v>1309</v>
      </c>
      <c r="B1310">
        <v>39</v>
      </c>
      <c r="C1310" t="s">
        <v>11</v>
      </c>
      <c r="D1310" t="s">
        <v>12</v>
      </c>
      <c r="E1310" t="s">
        <v>56</v>
      </c>
      <c r="F1310">
        <v>77.930000000000007</v>
      </c>
      <c r="G1310" t="s">
        <v>31</v>
      </c>
      <c r="H1310" t="s">
        <v>15</v>
      </c>
      <c r="I1310">
        <v>3.5</v>
      </c>
      <c r="J1310">
        <v>10</v>
      </c>
      <c r="K1310">
        <v>5</v>
      </c>
      <c r="L1310" s="4">
        <v>86.588888888888889</v>
      </c>
      <c r="M1310" s="4">
        <v>8.6588888888888818</v>
      </c>
      <c r="N1310" t="s">
        <v>92</v>
      </c>
    </row>
    <row r="1311" spans="1:14">
      <c r="A1311">
        <v>1310</v>
      </c>
      <c r="B1311">
        <v>48</v>
      </c>
      <c r="C1311" t="s">
        <v>16</v>
      </c>
      <c r="D1311" t="s">
        <v>27</v>
      </c>
      <c r="E1311" t="s">
        <v>32</v>
      </c>
      <c r="F1311">
        <v>579.51</v>
      </c>
      <c r="G1311" t="s">
        <v>19</v>
      </c>
      <c r="H1311" t="s">
        <v>15</v>
      </c>
      <c r="I1311">
        <v>2.5</v>
      </c>
      <c r="J1311">
        <v>11</v>
      </c>
      <c r="K1311">
        <v>3</v>
      </c>
      <c r="L1311" s="4">
        <v>651.13483146067415</v>
      </c>
      <c r="M1311" s="4">
        <v>71.624831460674159</v>
      </c>
      <c r="N1311" t="s">
        <v>93</v>
      </c>
    </row>
    <row r="1312" spans="1:14">
      <c r="A1312">
        <v>1311</v>
      </c>
      <c r="B1312">
        <v>58</v>
      </c>
      <c r="C1312" t="s">
        <v>16</v>
      </c>
      <c r="D1312" t="s">
        <v>17</v>
      </c>
      <c r="E1312" t="s">
        <v>48</v>
      </c>
      <c r="F1312">
        <v>142.47</v>
      </c>
      <c r="G1312" t="s">
        <v>19</v>
      </c>
      <c r="H1312" t="s">
        <v>15</v>
      </c>
      <c r="I1312">
        <v>3.5</v>
      </c>
      <c r="J1312">
        <v>20</v>
      </c>
      <c r="K1312">
        <v>5</v>
      </c>
      <c r="L1312" s="4">
        <v>178.08749999999998</v>
      </c>
      <c r="M1312" s="4">
        <v>35.617499999999978</v>
      </c>
      <c r="N1312" t="s">
        <v>94</v>
      </c>
    </row>
    <row r="1313" spans="1:14">
      <c r="A1313">
        <v>1312</v>
      </c>
      <c r="B1313">
        <v>21</v>
      </c>
      <c r="C1313" t="s">
        <v>16</v>
      </c>
      <c r="D1313" t="s">
        <v>20</v>
      </c>
      <c r="E1313" t="s">
        <v>36</v>
      </c>
      <c r="F1313">
        <v>34.03</v>
      </c>
      <c r="G1313" t="s">
        <v>31</v>
      </c>
      <c r="H1313" t="s">
        <v>37</v>
      </c>
      <c r="I1313">
        <v>3.3</v>
      </c>
      <c r="J1313">
        <v>6</v>
      </c>
      <c r="K1313">
        <v>3</v>
      </c>
      <c r="L1313" s="4">
        <v>36.202127659574472</v>
      </c>
      <c r="M1313" s="4">
        <v>2.1721276595744712</v>
      </c>
      <c r="N1313" t="s">
        <v>100</v>
      </c>
    </row>
    <row r="1314" spans="1:14">
      <c r="A1314">
        <v>1313</v>
      </c>
      <c r="B1314">
        <v>56</v>
      </c>
      <c r="C1314" t="s">
        <v>16</v>
      </c>
      <c r="D1314" t="s">
        <v>17</v>
      </c>
      <c r="E1314" t="s">
        <v>42</v>
      </c>
      <c r="F1314">
        <v>191.15</v>
      </c>
      <c r="G1314" t="s">
        <v>31</v>
      </c>
      <c r="H1314" t="s">
        <v>15</v>
      </c>
      <c r="I1314">
        <v>3.2</v>
      </c>
      <c r="J1314">
        <v>30</v>
      </c>
      <c r="K1314">
        <v>10</v>
      </c>
      <c r="L1314" s="4">
        <v>273.07142857142861</v>
      </c>
      <c r="M1314" s="4">
        <v>81.921428571428606</v>
      </c>
      <c r="N1314" t="s">
        <v>94</v>
      </c>
    </row>
    <row r="1315" spans="1:14">
      <c r="A1315">
        <v>1314</v>
      </c>
      <c r="B1315">
        <v>57</v>
      </c>
      <c r="C1315" t="s">
        <v>11</v>
      </c>
      <c r="D1315" t="s">
        <v>25</v>
      </c>
      <c r="E1315" t="s">
        <v>54</v>
      </c>
      <c r="F1315">
        <v>57.36</v>
      </c>
      <c r="G1315" t="s">
        <v>31</v>
      </c>
      <c r="H1315" t="s">
        <v>15</v>
      </c>
      <c r="I1315">
        <v>3.8</v>
      </c>
      <c r="J1315">
        <v>20</v>
      </c>
      <c r="K1315">
        <v>5</v>
      </c>
      <c r="L1315" s="4">
        <v>71.699999999999989</v>
      </c>
      <c r="M1315" s="4">
        <v>14.339999999999989</v>
      </c>
      <c r="N1315" t="s">
        <v>94</v>
      </c>
    </row>
    <row r="1316" spans="1:14">
      <c r="A1316">
        <v>1315</v>
      </c>
      <c r="B1316">
        <v>40</v>
      </c>
      <c r="C1316" t="s">
        <v>16</v>
      </c>
      <c r="D1316" t="s">
        <v>20</v>
      </c>
      <c r="E1316" t="s">
        <v>36</v>
      </c>
      <c r="F1316">
        <v>235.9</v>
      </c>
      <c r="G1316" t="s">
        <v>14</v>
      </c>
      <c r="H1316" t="s">
        <v>15</v>
      </c>
      <c r="I1316">
        <v>3.5</v>
      </c>
      <c r="J1316">
        <v>13</v>
      </c>
      <c r="K1316">
        <v>4</v>
      </c>
      <c r="L1316" s="4">
        <v>271.14942528735634</v>
      </c>
      <c r="M1316" s="4">
        <v>35.249425287356331</v>
      </c>
      <c r="N1316" t="s">
        <v>92</v>
      </c>
    </row>
    <row r="1317" spans="1:14">
      <c r="A1317">
        <v>1316</v>
      </c>
      <c r="B1317">
        <v>53</v>
      </c>
      <c r="C1317" t="s">
        <v>16</v>
      </c>
      <c r="D1317" t="s">
        <v>27</v>
      </c>
      <c r="E1317" t="s">
        <v>32</v>
      </c>
      <c r="F1317">
        <v>1327.45</v>
      </c>
      <c r="G1317" t="s">
        <v>31</v>
      </c>
      <c r="H1317" t="s">
        <v>15</v>
      </c>
      <c r="I1317">
        <v>3.9</v>
      </c>
      <c r="J1317">
        <v>6</v>
      </c>
      <c r="K1317">
        <v>3</v>
      </c>
      <c r="L1317" s="4">
        <v>1412.18085106383</v>
      </c>
      <c r="M1317" s="4">
        <v>84.730851063829959</v>
      </c>
      <c r="N1317" t="s">
        <v>93</v>
      </c>
    </row>
    <row r="1318" spans="1:14">
      <c r="A1318">
        <v>1317</v>
      </c>
      <c r="B1318">
        <v>69</v>
      </c>
      <c r="C1318" t="s">
        <v>16</v>
      </c>
      <c r="D1318" t="s">
        <v>22</v>
      </c>
      <c r="E1318" t="s">
        <v>52</v>
      </c>
      <c r="F1318">
        <v>120.8</v>
      </c>
      <c r="G1318" t="s">
        <v>19</v>
      </c>
      <c r="H1318" t="s">
        <v>15</v>
      </c>
      <c r="I1318">
        <v>4.8</v>
      </c>
      <c r="J1318">
        <v>20</v>
      </c>
      <c r="K1318">
        <v>5</v>
      </c>
      <c r="L1318" s="4">
        <v>151</v>
      </c>
      <c r="M1318" s="4">
        <v>30.200000000000003</v>
      </c>
      <c r="N1318" t="s">
        <v>95</v>
      </c>
    </row>
    <row r="1319" spans="1:14">
      <c r="A1319">
        <v>1318</v>
      </c>
      <c r="B1319">
        <v>30</v>
      </c>
      <c r="C1319" t="s">
        <v>16</v>
      </c>
      <c r="D1319" t="s">
        <v>27</v>
      </c>
      <c r="E1319" t="s">
        <v>49</v>
      </c>
      <c r="F1319">
        <v>2944.78</v>
      </c>
      <c r="G1319" t="s">
        <v>19</v>
      </c>
      <c r="H1319" t="s">
        <v>15</v>
      </c>
      <c r="I1319">
        <v>4</v>
      </c>
      <c r="J1319">
        <v>23</v>
      </c>
      <c r="K1319">
        <v>9</v>
      </c>
      <c r="L1319" s="4">
        <v>3824.3896103896104</v>
      </c>
      <c r="M1319" s="4">
        <v>879.60961038961022</v>
      </c>
      <c r="N1319" t="s">
        <v>91</v>
      </c>
    </row>
    <row r="1320" spans="1:14">
      <c r="A1320">
        <v>1319</v>
      </c>
      <c r="B1320">
        <v>52</v>
      </c>
      <c r="C1320" t="s">
        <v>11</v>
      </c>
      <c r="D1320" t="s">
        <v>29</v>
      </c>
      <c r="E1320" t="s">
        <v>55</v>
      </c>
      <c r="F1320">
        <v>105.98</v>
      </c>
      <c r="G1320" t="s">
        <v>19</v>
      </c>
      <c r="H1320" t="s">
        <v>15</v>
      </c>
      <c r="I1320">
        <v>3.9</v>
      </c>
      <c r="J1320">
        <v>19</v>
      </c>
      <c r="K1320">
        <v>7</v>
      </c>
      <c r="L1320" s="4">
        <v>130.83950617283949</v>
      </c>
      <c r="M1320" s="4">
        <v>24.859506172839488</v>
      </c>
      <c r="N1320" t="s">
        <v>93</v>
      </c>
    </row>
    <row r="1321" spans="1:14">
      <c r="A1321">
        <v>1320</v>
      </c>
      <c r="B1321">
        <v>24</v>
      </c>
      <c r="C1321" t="s">
        <v>16</v>
      </c>
      <c r="D1321" t="s">
        <v>20</v>
      </c>
      <c r="E1321" t="s">
        <v>21</v>
      </c>
      <c r="F1321">
        <v>71.53</v>
      </c>
      <c r="G1321" t="s">
        <v>14</v>
      </c>
      <c r="H1321" t="s">
        <v>15</v>
      </c>
      <c r="I1321">
        <v>4</v>
      </c>
      <c r="J1321">
        <v>11</v>
      </c>
      <c r="K1321">
        <v>3</v>
      </c>
      <c r="L1321" s="4">
        <v>80.370786516853926</v>
      </c>
      <c r="M1321" s="4">
        <v>8.8407865168539246</v>
      </c>
      <c r="N1321" t="s">
        <v>100</v>
      </c>
    </row>
    <row r="1322" spans="1:14">
      <c r="A1322">
        <v>1321</v>
      </c>
      <c r="B1322">
        <v>51</v>
      </c>
      <c r="C1322" t="s">
        <v>11</v>
      </c>
      <c r="D1322" t="s">
        <v>29</v>
      </c>
      <c r="E1322" t="s">
        <v>55</v>
      </c>
      <c r="F1322">
        <v>30.99</v>
      </c>
      <c r="G1322" t="s">
        <v>31</v>
      </c>
      <c r="H1322" t="s">
        <v>37</v>
      </c>
      <c r="I1322">
        <v>3.4</v>
      </c>
      <c r="J1322">
        <v>8</v>
      </c>
      <c r="K1322">
        <v>4</v>
      </c>
      <c r="L1322" s="4">
        <v>33.684782608695649</v>
      </c>
      <c r="M1322" s="4">
        <v>2.6947826086956503</v>
      </c>
      <c r="N1322" t="s">
        <v>93</v>
      </c>
    </row>
    <row r="1323" spans="1:14">
      <c r="A1323">
        <v>1322</v>
      </c>
      <c r="B1323">
        <v>50</v>
      </c>
      <c r="C1323" t="s">
        <v>11</v>
      </c>
      <c r="D1323" t="s">
        <v>29</v>
      </c>
      <c r="E1323" t="s">
        <v>51</v>
      </c>
      <c r="F1323">
        <v>53.04</v>
      </c>
      <c r="G1323" t="s">
        <v>31</v>
      </c>
      <c r="H1323" t="s">
        <v>37</v>
      </c>
      <c r="I1323">
        <v>3.7</v>
      </c>
      <c r="J1323">
        <v>10</v>
      </c>
      <c r="K1323">
        <v>0</v>
      </c>
      <c r="L1323" s="4">
        <v>58.93333333333333</v>
      </c>
      <c r="M1323" s="4">
        <v>5.8933333333333309</v>
      </c>
      <c r="N1323" t="s">
        <v>93</v>
      </c>
    </row>
    <row r="1324" spans="1:14">
      <c r="A1324">
        <v>1323</v>
      </c>
      <c r="B1324">
        <v>52</v>
      </c>
      <c r="C1324" t="s">
        <v>11</v>
      </c>
      <c r="D1324" t="s">
        <v>29</v>
      </c>
      <c r="E1324" t="s">
        <v>55</v>
      </c>
      <c r="F1324">
        <v>50.77</v>
      </c>
      <c r="G1324" t="s">
        <v>24</v>
      </c>
      <c r="H1324" t="s">
        <v>37</v>
      </c>
      <c r="I1324">
        <v>4.4000000000000004</v>
      </c>
      <c r="J1324">
        <v>12</v>
      </c>
      <c r="K1324">
        <v>6</v>
      </c>
      <c r="L1324" s="4">
        <v>57.69318181818182</v>
      </c>
      <c r="M1324" s="4">
        <v>6.923181818181817</v>
      </c>
      <c r="N1324" t="s">
        <v>93</v>
      </c>
    </row>
    <row r="1325" spans="1:14">
      <c r="A1325">
        <v>1324</v>
      </c>
      <c r="B1325">
        <v>23</v>
      </c>
      <c r="C1325" t="s">
        <v>11</v>
      </c>
      <c r="D1325" t="s">
        <v>29</v>
      </c>
      <c r="E1325" t="s">
        <v>55</v>
      </c>
      <c r="F1325">
        <v>25.79</v>
      </c>
      <c r="G1325" t="s">
        <v>14</v>
      </c>
      <c r="H1325" t="s">
        <v>15</v>
      </c>
      <c r="I1325">
        <v>4.5999999999999996</v>
      </c>
      <c r="J1325">
        <v>16</v>
      </c>
      <c r="K1325">
        <v>8</v>
      </c>
      <c r="L1325" s="4">
        <v>30.702380952380953</v>
      </c>
      <c r="M1325" s="4">
        <v>4.9123809523809534</v>
      </c>
      <c r="N1325" t="s">
        <v>100</v>
      </c>
    </row>
    <row r="1326" spans="1:14">
      <c r="A1326">
        <v>1325</v>
      </c>
      <c r="B1326">
        <v>64</v>
      </c>
      <c r="C1326" t="s">
        <v>16</v>
      </c>
      <c r="D1326" t="s">
        <v>20</v>
      </c>
      <c r="E1326" t="s">
        <v>39</v>
      </c>
      <c r="F1326">
        <v>194.44</v>
      </c>
      <c r="G1326" t="s">
        <v>24</v>
      </c>
      <c r="H1326" t="s">
        <v>15</v>
      </c>
      <c r="I1326">
        <v>4.3</v>
      </c>
      <c r="J1326">
        <v>30</v>
      </c>
      <c r="K1326">
        <v>10</v>
      </c>
      <c r="L1326" s="4">
        <v>277.7714285714286</v>
      </c>
      <c r="M1326" s="4">
        <v>83.331428571428603</v>
      </c>
      <c r="N1326" t="s">
        <v>94</v>
      </c>
    </row>
    <row r="1327" spans="1:14">
      <c r="A1327">
        <v>1326</v>
      </c>
      <c r="B1327">
        <v>25</v>
      </c>
      <c r="C1327" t="s">
        <v>11</v>
      </c>
      <c r="D1327" t="s">
        <v>33</v>
      </c>
      <c r="E1327" t="s">
        <v>34</v>
      </c>
      <c r="F1327">
        <v>160.51</v>
      </c>
      <c r="G1327" t="s">
        <v>31</v>
      </c>
      <c r="H1327" t="s">
        <v>15</v>
      </c>
      <c r="I1327">
        <v>3.4</v>
      </c>
      <c r="J1327">
        <v>15</v>
      </c>
      <c r="K1327">
        <v>5</v>
      </c>
      <c r="L1327" s="4">
        <v>188.83529411764707</v>
      </c>
      <c r="M1327" s="4">
        <v>28.325294117647076</v>
      </c>
      <c r="N1327" t="s">
        <v>91</v>
      </c>
    </row>
    <row r="1328" spans="1:14">
      <c r="A1328">
        <v>1327</v>
      </c>
      <c r="B1328">
        <v>67</v>
      </c>
      <c r="C1328" t="s">
        <v>16</v>
      </c>
      <c r="D1328" t="s">
        <v>20</v>
      </c>
      <c r="E1328" t="s">
        <v>36</v>
      </c>
      <c r="F1328">
        <v>36.44</v>
      </c>
      <c r="G1328" t="s">
        <v>19</v>
      </c>
      <c r="H1328" t="s">
        <v>15</v>
      </c>
      <c r="I1328">
        <v>3</v>
      </c>
      <c r="J1328">
        <v>13</v>
      </c>
      <c r="K1328">
        <v>4</v>
      </c>
      <c r="L1328" s="4">
        <v>41.885057471264368</v>
      </c>
      <c r="M1328" s="4">
        <v>5.44505747126437</v>
      </c>
      <c r="N1328" t="s">
        <v>95</v>
      </c>
    </row>
    <row r="1329" spans="1:14">
      <c r="A1329">
        <v>1328</v>
      </c>
      <c r="B1329">
        <v>57</v>
      </c>
      <c r="C1329" t="s">
        <v>11</v>
      </c>
      <c r="D1329" t="s">
        <v>12</v>
      </c>
      <c r="E1329" t="s">
        <v>50</v>
      </c>
      <c r="F1329">
        <v>80.59</v>
      </c>
      <c r="G1329" t="s">
        <v>31</v>
      </c>
      <c r="H1329" t="s">
        <v>37</v>
      </c>
      <c r="I1329">
        <v>3.1</v>
      </c>
      <c r="J1329">
        <v>16</v>
      </c>
      <c r="K1329">
        <v>3</v>
      </c>
      <c r="L1329" s="4">
        <v>95.940476190476204</v>
      </c>
      <c r="M1329" s="4">
        <v>15.350476190476201</v>
      </c>
      <c r="N1329" t="s">
        <v>94</v>
      </c>
    </row>
    <row r="1330" spans="1:14">
      <c r="A1330">
        <v>1329</v>
      </c>
      <c r="B1330">
        <v>36</v>
      </c>
      <c r="C1330" t="s">
        <v>11</v>
      </c>
      <c r="D1330" t="s">
        <v>41</v>
      </c>
      <c r="E1330" t="s">
        <v>44</v>
      </c>
      <c r="F1330">
        <v>194.05</v>
      </c>
      <c r="G1330" t="s">
        <v>24</v>
      </c>
      <c r="H1330" t="s">
        <v>15</v>
      </c>
      <c r="I1330">
        <v>3.3</v>
      </c>
      <c r="J1330">
        <v>8</v>
      </c>
      <c r="K1330">
        <v>4</v>
      </c>
      <c r="L1330" s="4">
        <v>210.92391304347825</v>
      </c>
      <c r="M1330" s="4">
        <v>16.87391304347824</v>
      </c>
      <c r="N1330" t="s">
        <v>92</v>
      </c>
    </row>
    <row r="1331" spans="1:14">
      <c r="A1331">
        <v>1330</v>
      </c>
      <c r="B1331">
        <v>62</v>
      </c>
      <c r="C1331" t="s">
        <v>16</v>
      </c>
      <c r="D1331" t="s">
        <v>17</v>
      </c>
      <c r="E1331" t="s">
        <v>18</v>
      </c>
      <c r="F1331">
        <v>143.18</v>
      </c>
      <c r="G1331" t="s">
        <v>19</v>
      </c>
      <c r="H1331" t="s">
        <v>15</v>
      </c>
      <c r="I1331">
        <v>2.8</v>
      </c>
      <c r="J1331">
        <v>24</v>
      </c>
      <c r="K1331">
        <v>7</v>
      </c>
      <c r="L1331" s="4">
        <v>188.39473684210526</v>
      </c>
      <c r="M1331" s="4">
        <v>45.214736842105253</v>
      </c>
      <c r="N1331" t="s">
        <v>94</v>
      </c>
    </row>
    <row r="1332" spans="1:14">
      <c r="A1332">
        <v>1331</v>
      </c>
      <c r="B1332">
        <v>47</v>
      </c>
      <c r="C1332" t="s">
        <v>16</v>
      </c>
      <c r="D1332" t="s">
        <v>27</v>
      </c>
      <c r="E1332" t="s">
        <v>28</v>
      </c>
      <c r="F1332">
        <v>1170.3699999999999</v>
      </c>
      <c r="G1332" t="s">
        <v>14</v>
      </c>
      <c r="H1332" t="s">
        <v>15</v>
      </c>
      <c r="I1332">
        <v>3.4</v>
      </c>
      <c r="J1332">
        <v>16</v>
      </c>
      <c r="K1332">
        <v>3</v>
      </c>
      <c r="L1332" s="4">
        <v>1393.297619047619</v>
      </c>
      <c r="M1332" s="4">
        <v>222.92761904761915</v>
      </c>
      <c r="N1332" t="s">
        <v>93</v>
      </c>
    </row>
    <row r="1333" spans="1:14">
      <c r="A1333">
        <v>1332</v>
      </c>
      <c r="B1333">
        <v>25</v>
      </c>
      <c r="C1333" t="s">
        <v>11</v>
      </c>
      <c r="D1333" t="s">
        <v>41</v>
      </c>
      <c r="E1333" t="s">
        <v>46</v>
      </c>
      <c r="F1333">
        <v>164.39</v>
      </c>
      <c r="G1333" t="s">
        <v>24</v>
      </c>
      <c r="H1333" t="s">
        <v>15</v>
      </c>
      <c r="I1333">
        <v>3.6</v>
      </c>
      <c r="J1333">
        <v>18</v>
      </c>
      <c r="K1333">
        <v>4</v>
      </c>
      <c r="L1333" s="4">
        <v>200.47560975609753</v>
      </c>
      <c r="M1333" s="4">
        <v>36.08560975609754</v>
      </c>
      <c r="N1333" t="s">
        <v>91</v>
      </c>
    </row>
    <row r="1334" spans="1:14">
      <c r="A1334">
        <v>1333</v>
      </c>
      <c r="B1334">
        <v>56</v>
      </c>
      <c r="C1334" t="s">
        <v>16</v>
      </c>
      <c r="D1334" t="s">
        <v>20</v>
      </c>
      <c r="E1334" t="s">
        <v>36</v>
      </c>
      <c r="F1334">
        <v>52.53</v>
      </c>
      <c r="G1334" t="s">
        <v>31</v>
      </c>
      <c r="H1334" t="s">
        <v>37</v>
      </c>
      <c r="I1334">
        <v>3.1</v>
      </c>
      <c r="J1334">
        <v>14</v>
      </c>
      <c r="K1334">
        <v>2</v>
      </c>
      <c r="L1334" s="4">
        <v>61.081395348837212</v>
      </c>
      <c r="M1334" s="4">
        <v>8.551395348837211</v>
      </c>
      <c r="N1334" t="s">
        <v>94</v>
      </c>
    </row>
    <row r="1335" spans="1:14">
      <c r="A1335">
        <v>1334</v>
      </c>
      <c r="B1335">
        <v>55</v>
      </c>
      <c r="C1335" t="s">
        <v>11</v>
      </c>
      <c r="D1335" t="s">
        <v>33</v>
      </c>
      <c r="E1335" t="s">
        <v>38</v>
      </c>
      <c r="F1335">
        <v>46.45</v>
      </c>
      <c r="G1335" t="s">
        <v>24</v>
      </c>
      <c r="H1335" t="s">
        <v>15</v>
      </c>
      <c r="I1335">
        <v>4.9000000000000004</v>
      </c>
      <c r="J1335">
        <v>16</v>
      </c>
      <c r="K1335">
        <v>8</v>
      </c>
      <c r="L1335" s="4">
        <v>55.297619047619051</v>
      </c>
      <c r="M1335" s="4">
        <v>8.8476190476190482</v>
      </c>
      <c r="N1335" t="s">
        <v>94</v>
      </c>
    </row>
    <row r="1336" spans="1:14">
      <c r="A1336">
        <v>1335</v>
      </c>
      <c r="B1336">
        <v>34</v>
      </c>
      <c r="C1336" t="s">
        <v>16</v>
      </c>
      <c r="D1336" t="s">
        <v>33</v>
      </c>
      <c r="E1336" t="s">
        <v>40</v>
      </c>
      <c r="F1336">
        <v>85.32</v>
      </c>
      <c r="G1336" t="s">
        <v>31</v>
      </c>
      <c r="H1336" t="s">
        <v>37</v>
      </c>
      <c r="I1336">
        <v>4.8</v>
      </c>
      <c r="J1336">
        <v>15</v>
      </c>
      <c r="K1336">
        <v>5</v>
      </c>
      <c r="L1336" s="4">
        <v>100.37647058823529</v>
      </c>
      <c r="M1336" s="4">
        <v>15.0564705882353</v>
      </c>
      <c r="N1336" t="s">
        <v>91</v>
      </c>
    </row>
    <row r="1337" spans="1:14">
      <c r="A1337">
        <v>1336</v>
      </c>
      <c r="B1337">
        <v>58</v>
      </c>
      <c r="C1337" t="s">
        <v>16</v>
      </c>
      <c r="D1337" t="s">
        <v>27</v>
      </c>
      <c r="E1337" t="s">
        <v>28</v>
      </c>
      <c r="F1337">
        <v>1082.29</v>
      </c>
      <c r="G1337" t="s">
        <v>31</v>
      </c>
      <c r="H1337" t="s">
        <v>15</v>
      </c>
      <c r="I1337">
        <v>3.2</v>
      </c>
      <c r="J1337">
        <v>8</v>
      </c>
      <c r="K1337">
        <v>4</v>
      </c>
      <c r="L1337" s="4">
        <v>1176.4021739130435</v>
      </c>
      <c r="M1337" s="4">
        <v>94.112173913043534</v>
      </c>
      <c r="N1337" t="s">
        <v>94</v>
      </c>
    </row>
    <row r="1338" spans="1:14">
      <c r="A1338">
        <v>1337</v>
      </c>
      <c r="B1338">
        <v>60</v>
      </c>
      <c r="C1338" t="s">
        <v>11</v>
      </c>
      <c r="D1338" t="s">
        <v>12</v>
      </c>
      <c r="E1338" t="s">
        <v>56</v>
      </c>
      <c r="F1338">
        <v>97.14</v>
      </c>
      <c r="G1338" t="s">
        <v>14</v>
      </c>
      <c r="H1338" t="s">
        <v>37</v>
      </c>
      <c r="I1338">
        <v>3.3</v>
      </c>
      <c r="J1338">
        <v>17</v>
      </c>
      <c r="K1338">
        <v>6</v>
      </c>
      <c r="L1338" s="4">
        <v>117.03614457831326</v>
      </c>
      <c r="M1338" s="4">
        <v>19.896144578313255</v>
      </c>
      <c r="N1338" t="s">
        <v>94</v>
      </c>
    </row>
    <row r="1339" spans="1:14">
      <c r="A1339">
        <v>1338</v>
      </c>
      <c r="B1339">
        <v>22</v>
      </c>
      <c r="C1339" t="s">
        <v>11</v>
      </c>
      <c r="D1339" t="s">
        <v>41</v>
      </c>
      <c r="E1339" t="s">
        <v>45</v>
      </c>
      <c r="F1339">
        <v>72.12</v>
      </c>
      <c r="G1339" t="s">
        <v>14</v>
      </c>
      <c r="H1339" t="s">
        <v>37</v>
      </c>
      <c r="I1339">
        <v>2.4</v>
      </c>
      <c r="J1339">
        <v>8</v>
      </c>
      <c r="K1339">
        <v>4</v>
      </c>
      <c r="L1339" s="4">
        <v>78.391304347826093</v>
      </c>
      <c r="M1339" s="4">
        <v>6.2713043478260886</v>
      </c>
      <c r="N1339" t="s">
        <v>100</v>
      </c>
    </row>
    <row r="1340" spans="1:14">
      <c r="A1340">
        <v>1339</v>
      </c>
      <c r="B1340">
        <v>31</v>
      </c>
      <c r="C1340" t="s">
        <v>11</v>
      </c>
      <c r="D1340" t="s">
        <v>41</v>
      </c>
      <c r="E1340" t="s">
        <v>42</v>
      </c>
      <c r="F1340">
        <v>115.32</v>
      </c>
      <c r="G1340" t="s">
        <v>31</v>
      </c>
      <c r="H1340" t="s">
        <v>15</v>
      </c>
      <c r="I1340">
        <v>2.6</v>
      </c>
      <c r="J1340">
        <v>12</v>
      </c>
      <c r="K1340">
        <v>6</v>
      </c>
      <c r="L1340" s="4">
        <v>131.04545454545453</v>
      </c>
      <c r="M1340" s="4">
        <v>15.725454545454539</v>
      </c>
      <c r="N1340" t="s">
        <v>91</v>
      </c>
    </row>
    <row r="1341" spans="1:14">
      <c r="A1341">
        <v>1340</v>
      </c>
      <c r="B1341">
        <v>51</v>
      </c>
      <c r="C1341" t="s">
        <v>11</v>
      </c>
      <c r="D1341" t="s">
        <v>29</v>
      </c>
      <c r="E1341" t="s">
        <v>55</v>
      </c>
      <c r="F1341">
        <v>76.33</v>
      </c>
      <c r="G1341" t="s">
        <v>19</v>
      </c>
      <c r="H1341" t="s">
        <v>15</v>
      </c>
      <c r="I1341">
        <v>4</v>
      </c>
      <c r="J1341">
        <v>9</v>
      </c>
      <c r="K1341">
        <v>2</v>
      </c>
      <c r="L1341" s="4">
        <v>83.879120879120876</v>
      </c>
      <c r="M1341" s="4">
        <v>7.5491208791208777</v>
      </c>
      <c r="N1341" t="s">
        <v>93</v>
      </c>
    </row>
    <row r="1342" spans="1:14">
      <c r="A1342">
        <v>1341</v>
      </c>
      <c r="B1342">
        <v>62</v>
      </c>
      <c r="C1342" t="s">
        <v>16</v>
      </c>
      <c r="D1342" t="s">
        <v>17</v>
      </c>
      <c r="E1342" t="s">
        <v>48</v>
      </c>
      <c r="F1342">
        <v>181.25</v>
      </c>
      <c r="G1342" t="s">
        <v>31</v>
      </c>
      <c r="H1342" t="s">
        <v>15</v>
      </c>
      <c r="I1342">
        <v>2.8</v>
      </c>
      <c r="J1342">
        <v>21</v>
      </c>
      <c r="K1342">
        <v>8</v>
      </c>
      <c r="L1342" s="4">
        <v>229.43037974683543</v>
      </c>
      <c r="M1342" s="4">
        <v>48.180379746835428</v>
      </c>
      <c r="N1342" t="s">
        <v>94</v>
      </c>
    </row>
    <row r="1343" spans="1:14">
      <c r="A1343">
        <v>1342</v>
      </c>
      <c r="B1343">
        <v>62</v>
      </c>
      <c r="C1343" t="s">
        <v>16</v>
      </c>
      <c r="D1343" t="s">
        <v>22</v>
      </c>
      <c r="E1343" t="s">
        <v>52</v>
      </c>
      <c r="F1343">
        <v>178.48</v>
      </c>
      <c r="G1343" t="s">
        <v>19</v>
      </c>
      <c r="H1343" t="s">
        <v>15</v>
      </c>
      <c r="I1343">
        <v>2.9</v>
      </c>
      <c r="J1343">
        <v>20</v>
      </c>
      <c r="K1343">
        <v>5</v>
      </c>
      <c r="L1343" s="4">
        <v>223.09999999999997</v>
      </c>
      <c r="M1343" s="4">
        <v>44.619999999999976</v>
      </c>
      <c r="N1343" t="s">
        <v>94</v>
      </c>
    </row>
    <row r="1344" spans="1:14">
      <c r="A1344">
        <v>1343</v>
      </c>
      <c r="B1344">
        <v>49</v>
      </c>
      <c r="C1344" t="s">
        <v>16</v>
      </c>
      <c r="D1344" t="s">
        <v>20</v>
      </c>
      <c r="E1344" t="s">
        <v>36</v>
      </c>
      <c r="F1344">
        <v>28.95</v>
      </c>
      <c r="G1344" t="s">
        <v>31</v>
      </c>
      <c r="H1344" t="s">
        <v>37</v>
      </c>
      <c r="I1344">
        <v>3.4</v>
      </c>
      <c r="J1344">
        <v>24</v>
      </c>
      <c r="K1344">
        <v>7</v>
      </c>
      <c r="L1344" s="4">
        <v>38.09210526315789</v>
      </c>
      <c r="M1344" s="4">
        <v>9.142105263157891</v>
      </c>
      <c r="N1344" t="s">
        <v>93</v>
      </c>
    </row>
    <row r="1345" spans="1:14">
      <c r="A1345">
        <v>1344</v>
      </c>
      <c r="B1345">
        <v>55</v>
      </c>
      <c r="C1345" t="s">
        <v>11</v>
      </c>
      <c r="D1345" t="s">
        <v>33</v>
      </c>
      <c r="E1345" t="s">
        <v>38</v>
      </c>
      <c r="F1345">
        <v>96.28</v>
      </c>
      <c r="G1345" t="s">
        <v>19</v>
      </c>
      <c r="H1345" t="s">
        <v>15</v>
      </c>
      <c r="I1345">
        <v>4</v>
      </c>
      <c r="J1345">
        <v>17</v>
      </c>
      <c r="K1345">
        <v>6</v>
      </c>
      <c r="L1345" s="4">
        <v>116</v>
      </c>
      <c r="M1345" s="4">
        <v>19.72</v>
      </c>
      <c r="N1345" t="s">
        <v>94</v>
      </c>
    </row>
    <row r="1346" spans="1:14">
      <c r="A1346">
        <v>1345</v>
      </c>
      <c r="B1346">
        <v>36</v>
      </c>
      <c r="C1346" t="s">
        <v>16</v>
      </c>
      <c r="D1346" t="s">
        <v>25</v>
      </c>
      <c r="E1346" t="s">
        <v>54</v>
      </c>
      <c r="F1346">
        <v>17.13</v>
      </c>
      <c r="G1346" t="s">
        <v>24</v>
      </c>
      <c r="H1346" t="s">
        <v>37</v>
      </c>
      <c r="I1346">
        <v>2.9</v>
      </c>
      <c r="J1346">
        <v>9</v>
      </c>
      <c r="K1346">
        <v>2</v>
      </c>
      <c r="L1346" s="4">
        <v>18.824175824175821</v>
      </c>
      <c r="M1346" s="4">
        <v>1.6941758241758222</v>
      </c>
      <c r="N1346" t="s">
        <v>92</v>
      </c>
    </row>
    <row r="1347" spans="1:14">
      <c r="A1347">
        <v>1346</v>
      </c>
      <c r="B1347">
        <v>41</v>
      </c>
      <c r="C1347" t="s">
        <v>11</v>
      </c>
      <c r="D1347" t="s">
        <v>22</v>
      </c>
      <c r="E1347" t="s">
        <v>52</v>
      </c>
      <c r="F1347">
        <v>233.88</v>
      </c>
      <c r="G1347" t="s">
        <v>31</v>
      </c>
      <c r="H1347" t="s">
        <v>15</v>
      </c>
      <c r="I1347">
        <v>4.4000000000000004</v>
      </c>
      <c r="J1347">
        <v>14</v>
      </c>
      <c r="K1347">
        <v>7</v>
      </c>
      <c r="L1347" s="4">
        <v>271.95348837209303</v>
      </c>
      <c r="M1347" s="4">
        <v>38.073488372093038</v>
      </c>
      <c r="N1347" t="s">
        <v>92</v>
      </c>
    </row>
    <row r="1348" spans="1:14">
      <c r="A1348">
        <v>1347</v>
      </c>
      <c r="B1348">
        <v>33</v>
      </c>
      <c r="C1348" t="s">
        <v>11</v>
      </c>
      <c r="D1348" t="s">
        <v>33</v>
      </c>
      <c r="E1348" t="s">
        <v>38</v>
      </c>
      <c r="F1348">
        <v>125.68</v>
      </c>
      <c r="G1348" t="s">
        <v>24</v>
      </c>
      <c r="H1348" t="s">
        <v>15</v>
      </c>
      <c r="I1348">
        <v>4.5</v>
      </c>
      <c r="J1348">
        <v>24</v>
      </c>
      <c r="K1348">
        <v>7</v>
      </c>
      <c r="L1348" s="4">
        <v>165.36842105263159</v>
      </c>
      <c r="M1348" s="4">
        <v>39.688421052631583</v>
      </c>
      <c r="N1348" t="s">
        <v>91</v>
      </c>
    </row>
    <row r="1349" spans="1:14">
      <c r="A1349">
        <v>1348</v>
      </c>
      <c r="B1349">
        <v>22</v>
      </c>
      <c r="C1349" t="s">
        <v>16</v>
      </c>
      <c r="D1349" t="s">
        <v>22</v>
      </c>
      <c r="E1349" t="s">
        <v>43</v>
      </c>
      <c r="F1349">
        <v>132.30000000000001</v>
      </c>
      <c r="G1349" t="s">
        <v>14</v>
      </c>
      <c r="H1349" t="s">
        <v>15</v>
      </c>
      <c r="I1349">
        <v>4.4000000000000004</v>
      </c>
      <c r="J1349">
        <v>8</v>
      </c>
      <c r="K1349">
        <v>4</v>
      </c>
      <c r="L1349" s="4">
        <v>143.80434782608697</v>
      </c>
      <c r="M1349" s="4">
        <v>11.504347826086956</v>
      </c>
      <c r="N1349" t="s">
        <v>100</v>
      </c>
    </row>
    <row r="1350" spans="1:14">
      <c r="A1350">
        <v>1349</v>
      </c>
      <c r="B1350">
        <v>65</v>
      </c>
      <c r="C1350" t="s">
        <v>11</v>
      </c>
      <c r="D1350" t="s">
        <v>41</v>
      </c>
      <c r="E1350" t="s">
        <v>42</v>
      </c>
      <c r="F1350">
        <v>80.239999999999995</v>
      </c>
      <c r="G1350" t="s">
        <v>31</v>
      </c>
      <c r="H1350" t="s">
        <v>15</v>
      </c>
      <c r="I1350">
        <v>3.3</v>
      </c>
      <c r="J1350">
        <v>6</v>
      </c>
      <c r="K1350">
        <v>3</v>
      </c>
      <c r="L1350" s="4">
        <v>85.361702127659569</v>
      </c>
      <c r="M1350" s="4">
        <v>5.1217021276595744</v>
      </c>
      <c r="N1350" t="s">
        <v>95</v>
      </c>
    </row>
    <row r="1351" spans="1:14">
      <c r="A1351">
        <v>1350</v>
      </c>
      <c r="B1351">
        <v>58</v>
      </c>
      <c r="C1351" t="s">
        <v>11</v>
      </c>
      <c r="D1351" t="s">
        <v>41</v>
      </c>
      <c r="E1351" t="s">
        <v>45</v>
      </c>
      <c r="F1351">
        <v>197.63</v>
      </c>
      <c r="G1351" t="s">
        <v>19</v>
      </c>
      <c r="H1351" t="s">
        <v>15</v>
      </c>
      <c r="I1351">
        <v>4.2</v>
      </c>
      <c r="J1351">
        <v>30</v>
      </c>
      <c r="K1351">
        <v>10</v>
      </c>
      <c r="L1351" s="4">
        <v>282.32857142857142</v>
      </c>
      <c r="M1351" s="4">
        <v>84.698571428571427</v>
      </c>
      <c r="N1351" t="s">
        <v>94</v>
      </c>
    </row>
    <row r="1352" spans="1:14">
      <c r="A1352">
        <v>1351</v>
      </c>
      <c r="B1352">
        <v>58</v>
      </c>
      <c r="C1352" t="s">
        <v>16</v>
      </c>
      <c r="D1352" t="s">
        <v>20</v>
      </c>
      <c r="E1352" t="s">
        <v>21</v>
      </c>
      <c r="F1352">
        <v>144</v>
      </c>
      <c r="G1352" t="s">
        <v>14</v>
      </c>
      <c r="H1352" t="s">
        <v>15</v>
      </c>
      <c r="I1352">
        <v>4.4000000000000004</v>
      </c>
      <c r="J1352">
        <v>24</v>
      </c>
      <c r="K1352">
        <v>7</v>
      </c>
      <c r="L1352" s="4">
        <v>189.4736842105263</v>
      </c>
      <c r="M1352" s="4">
        <v>45.473684210526301</v>
      </c>
      <c r="N1352" t="s">
        <v>94</v>
      </c>
    </row>
    <row r="1353" spans="1:14">
      <c r="A1353">
        <v>1352</v>
      </c>
      <c r="B1353">
        <v>67</v>
      </c>
      <c r="C1353" t="s">
        <v>11</v>
      </c>
      <c r="D1353" t="s">
        <v>12</v>
      </c>
      <c r="E1353" t="s">
        <v>50</v>
      </c>
      <c r="F1353">
        <v>173.81</v>
      </c>
      <c r="G1353" t="s">
        <v>31</v>
      </c>
      <c r="H1353" t="s">
        <v>15</v>
      </c>
      <c r="I1353">
        <v>2.7</v>
      </c>
      <c r="J1353">
        <v>8</v>
      </c>
      <c r="K1353">
        <v>4</v>
      </c>
      <c r="L1353" s="4">
        <v>188.92391304347825</v>
      </c>
      <c r="M1353" s="4">
        <v>15.113913043478249</v>
      </c>
      <c r="N1353" t="s">
        <v>95</v>
      </c>
    </row>
    <row r="1354" spans="1:14">
      <c r="A1354">
        <v>1353</v>
      </c>
      <c r="B1354">
        <v>54</v>
      </c>
      <c r="C1354" t="s">
        <v>11</v>
      </c>
      <c r="D1354" t="s">
        <v>41</v>
      </c>
      <c r="E1354" t="s">
        <v>46</v>
      </c>
      <c r="F1354">
        <v>130.33000000000001</v>
      </c>
      <c r="G1354" t="s">
        <v>31</v>
      </c>
      <c r="H1354" t="s">
        <v>15</v>
      </c>
      <c r="I1354">
        <v>3.9</v>
      </c>
      <c r="J1354">
        <v>16</v>
      </c>
      <c r="K1354">
        <v>8</v>
      </c>
      <c r="L1354" s="4">
        <v>155.15476190476193</v>
      </c>
      <c r="M1354" s="4">
        <v>24.824761904761914</v>
      </c>
      <c r="N1354" t="s">
        <v>93</v>
      </c>
    </row>
    <row r="1355" spans="1:14">
      <c r="A1355">
        <v>1354</v>
      </c>
      <c r="B1355">
        <v>52</v>
      </c>
      <c r="C1355" t="s">
        <v>11</v>
      </c>
      <c r="D1355" t="s">
        <v>12</v>
      </c>
      <c r="E1355" t="s">
        <v>56</v>
      </c>
      <c r="F1355">
        <v>151.16999999999999</v>
      </c>
      <c r="G1355" t="s">
        <v>19</v>
      </c>
      <c r="H1355" t="s">
        <v>15</v>
      </c>
      <c r="I1355">
        <v>2.7</v>
      </c>
      <c r="J1355">
        <v>21</v>
      </c>
      <c r="K1355">
        <v>8</v>
      </c>
      <c r="L1355" s="4">
        <v>191.35443037974682</v>
      </c>
      <c r="M1355" s="4">
        <v>40.184430379746829</v>
      </c>
      <c r="N1355" t="s">
        <v>93</v>
      </c>
    </row>
    <row r="1356" spans="1:14">
      <c r="A1356">
        <v>1355</v>
      </c>
      <c r="B1356">
        <v>43</v>
      </c>
      <c r="C1356" t="s">
        <v>11</v>
      </c>
      <c r="D1356" t="s">
        <v>29</v>
      </c>
      <c r="E1356" t="s">
        <v>55</v>
      </c>
      <c r="F1356">
        <v>56.31</v>
      </c>
      <c r="G1356" t="s">
        <v>19</v>
      </c>
      <c r="H1356" t="s">
        <v>37</v>
      </c>
      <c r="I1356">
        <v>5</v>
      </c>
      <c r="J1356">
        <v>6</v>
      </c>
      <c r="K1356">
        <v>3</v>
      </c>
      <c r="L1356" s="4">
        <v>59.904255319148945</v>
      </c>
      <c r="M1356" s="4">
        <v>3.5942553191489424</v>
      </c>
      <c r="N1356" t="s">
        <v>92</v>
      </c>
    </row>
    <row r="1357" spans="1:14">
      <c r="A1357">
        <v>1356</v>
      </c>
      <c r="B1357">
        <v>39</v>
      </c>
      <c r="C1357" t="s">
        <v>11</v>
      </c>
      <c r="D1357" t="s">
        <v>33</v>
      </c>
      <c r="E1357" t="s">
        <v>34</v>
      </c>
      <c r="F1357">
        <v>79.95</v>
      </c>
      <c r="G1357" t="s">
        <v>31</v>
      </c>
      <c r="H1357" t="s">
        <v>15</v>
      </c>
      <c r="I1357">
        <v>3.4</v>
      </c>
      <c r="J1357">
        <v>30</v>
      </c>
      <c r="K1357">
        <v>10</v>
      </c>
      <c r="L1357" s="4">
        <v>114.21428571428572</v>
      </c>
      <c r="M1357" s="4">
        <v>34.26428571428572</v>
      </c>
      <c r="N1357" t="s">
        <v>92</v>
      </c>
    </row>
    <row r="1358" spans="1:14">
      <c r="A1358">
        <v>1357</v>
      </c>
      <c r="B1358">
        <v>60</v>
      </c>
      <c r="C1358" t="s">
        <v>16</v>
      </c>
      <c r="D1358" t="s">
        <v>27</v>
      </c>
      <c r="E1358" t="s">
        <v>32</v>
      </c>
      <c r="F1358">
        <v>1905.2</v>
      </c>
      <c r="G1358" t="s">
        <v>24</v>
      </c>
      <c r="H1358" t="s">
        <v>15</v>
      </c>
      <c r="I1358">
        <v>3.3</v>
      </c>
      <c r="J1358">
        <v>21</v>
      </c>
      <c r="K1358">
        <v>8</v>
      </c>
      <c r="L1358" s="4">
        <v>2411.6455696202529</v>
      </c>
      <c r="M1358" s="4">
        <v>506.44556962025285</v>
      </c>
      <c r="N1358" t="s">
        <v>94</v>
      </c>
    </row>
    <row r="1359" spans="1:14">
      <c r="A1359">
        <v>1358</v>
      </c>
      <c r="B1359">
        <v>30</v>
      </c>
      <c r="C1359" t="s">
        <v>11</v>
      </c>
      <c r="D1359" t="s">
        <v>22</v>
      </c>
      <c r="E1359" t="s">
        <v>52</v>
      </c>
      <c r="F1359">
        <v>172.51</v>
      </c>
      <c r="G1359" t="s">
        <v>31</v>
      </c>
      <c r="H1359" t="s">
        <v>15</v>
      </c>
      <c r="I1359">
        <v>2.4</v>
      </c>
      <c r="J1359">
        <v>22</v>
      </c>
      <c r="K1359">
        <v>6</v>
      </c>
      <c r="L1359" s="4">
        <v>221.16666666666666</v>
      </c>
      <c r="M1359" s="4">
        <v>48.656666666666666</v>
      </c>
      <c r="N1359" t="s">
        <v>91</v>
      </c>
    </row>
    <row r="1360" spans="1:14">
      <c r="A1360">
        <v>1359</v>
      </c>
      <c r="B1360">
        <v>28</v>
      </c>
      <c r="C1360" t="s">
        <v>11</v>
      </c>
      <c r="D1360" t="s">
        <v>33</v>
      </c>
      <c r="E1360" t="s">
        <v>40</v>
      </c>
      <c r="F1360">
        <v>162.07</v>
      </c>
      <c r="G1360" t="s">
        <v>19</v>
      </c>
      <c r="H1360" t="s">
        <v>15</v>
      </c>
      <c r="I1360">
        <v>2.7</v>
      </c>
      <c r="J1360">
        <v>11</v>
      </c>
      <c r="K1360">
        <v>3</v>
      </c>
      <c r="L1360" s="4">
        <v>182.10112359550561</v>
      </c>
      <c r="M1360" s="4">
        <v>20.031123595505619</v>
      </c>
      <c r="N1360" t="s">
        <v>91</v>
      </c>
    </row>
    <row r="1361" spans="1:14">
      <c r="A1361">
        <v>1360</v>
      </c>
      <c r="B1361">
        <v>60</v>
      </c>
      <c r="C1361" t="s">
        <v>11</v>
      </c>
      <c r="D1361" t="s">
        <v>41</v>
      </c>
      <c r="E1361" t="s">
        <v>46</v>
      </c>
      <c r="F1361">
        <v>75.11</v>
      </c>
      <c r="G1361" t="s">
        <v>31</v>
      </c>
      <c r="H1361" t="s">
        <v>15</v>
      </c>
      <c r="I1361">
        <v>4</v>
      </c>
      <c r="J1361">
        <v>12</v>
      </c>
      <c r="K1361">
        <v>6</v>
      </c>
      <c r="L1361" s="4">
        <v>85.35227272727272</v>
      </c>
      <c r="M1361" s="4">
        <v>10.24227272727272</v>
      </c>
      <c r="N1361" t="s">
        <v>94</v>
      </c>
    </row>
    <row r="1362" spans="1:14">
      <c r="A1362">
        <v>1361</v>
      </c>
      <c r="B1362">
        <v>52</v>
      </c>
      <c r="C1362" t="s">
        <v>11</v>
      </c>
      <c r="D1362" t="s">
        <v>25</v>
      </c>
      <c r="E1362" t="s">
        <v>54</v>
      </c>
      <c r="F1362">
        <v>66.05</v>
      </c>
      <c r="G1362" t="s">
        <v>31</v>
      </c>
      <c r="H1362" t="s">
        <v>37</v>
      </c>
      <c r="I1362">
        <v>3.7</v>
      </c>
      <c r="J1362">
        <v>10</v>
      </c>
      <c r="K1362">
        <v>5</v>
      </c>
      <c r="L1362" s="4">
        <v>73.388888888888886</v>
      </c>
      <c r="M1362" s="4">
        <v>7.3388888888888886</v>
      </c>
      <c r="N1362" t="s">
        <v>93</v>
      </c>
    </row>
    <row r="1363" spans="1:14">
      <c r="A1363">
        <v>1362</v>
      </c>
      <c r="B1363">
        <v>32</v>
      </c>
      <c r="C1363" t="s">
        <v>16</v>
      </c>
      <c r="D1363" t="s">
        <v>20</v>
      </c>
      <c r="E1363" t="s">
        <v>21</v>
      </c>
      <c r="F1363">
        <v>136.35</v>
      </c>
      <c r="G1363" t="s">
        <v>19</v>
      </c>
      <c r="H1363" t="s">
        <v>15</v>
      </c>
      <c r="I1363">
        <v>3.3</v>
      </c>
      <c r="J1363">
        <v>16</v>
      </c>
      <c r="K1363">
        <v>3</v>
      </c>
      <c r="L1363" s="4">
        <v>162.32142857142858</v>
      </c>
      <c r="M1363" s="4">
        <v>25.971428571428589</v>
      </c>
      <c r="N1363" t="s">
        <v>91</v>
      </c>
    </row>
    <row r="1364" spans="1:14">
      <c r="A1364">
        <v>1363</v>
      </c>
      <c r="B1364">
        <v>39</v>
      </c>
      <c r="C1364" t="s">
        <v>11</v>
      </c>
      <c r="D1364" t="s">
        <v>29</v>
      </c>
      <c r="E1364" t="s">
        <v>51</v>
      </c>
      <c r="F1364">
        <v>141.19</v>
      </c>
      <c r="G1364" t="s">
        <v>24</v>
      </c>
      <c r="H1364" t="s">
        <v>15</v>
      </c>
      <c r="I1364">
        <v>1.5</v>
      </c>
      <c r="J1364">
        <v>14</v>
      </c>
      <c r="K1364">
        <v>7</v>
      </c>
      <c r="L1364" s="4">
        <v>164.17441860465115</v>
      </c>
      <c r="M1364" s="4">
        <v>22.984418604651154</v>
      </c>
      <c r="N1364" t="s">
        <v>92</v>
      </c>
    </row>
    <row r="1365" spans="1:14">
      <c r="A1365">
        <v>1364</v>
      </c>
      <c r="B1365">
        <v>42</v>
      </c>
      <c r="C1365" t="s">
        <v>11</v>
      </c>
      <c r="D1365" t="s">
        <v>33</v>
      </c>
      <c r="E1365" t="s">
        <v>34</v>
      </c>
      <c r="F1365">
        <v>76.55</v>
      </c>
      <c r="G1365" t="s">
        <v>14</v>
      </c>
      <c r="H1365" t="s">
        <v>37</v>
      </c>
      <c r="I1365">
        <v>3.6</v>
      </c>
      <c r="J1365">
        <v>15</v>
      </c>
      <c r="K1365">
        <v>5</v>
      </c>
      <c r="L1365" s="4">
        <v>90.058823529411768</v>
      </c>
      <c r="M1365" s="4">
        <v>13.508823529411771</v>
      </c>
      <c r="N1365" t="s">
        <v>92</v>
      </c>
    </row>
    <row r="1366" spans="1:14">
      <c r="A1366">
        <v>1365</v>
      </c>
      <c r="B1366">
        <v>52</v>
      </c>
      <c r="C1366" t="s">
        <v>16</v>
      </c>
      <c r="D1366" t="s">
        <v>33</v>
      </c>
      <c r="E1366" t="s">
        <v>34</v>
      </c>
      <c r="F1366">
        <v>248.92</v>
      </c>
      <c r="G1366" t="s">
        <v>19</v>
      </c>
      <c r="H1366" t="s">
        <v>15</v>
      </c>
      <c r="I1366">
        <v>3.4</v>
      </c>
      <c r="J1366">
        <v>13</v>
      </c>
      <c r="K1366">
        <v>4</v>
      </c>
      <c r="L1366" s="4">
        <v>286.11494252873564</v>
      </c>
      <c r="M1366" s="4">
        <v>37.194942528735652</v>
      </c>
      <c r="N1366" t="s">
        <v>93</v>
      </c>
    </row>
    <row r="1367" spans="1:14">
      <c r="A1367">
        <v>1366</v>
      </c>
      <c r="B1367">
        <v>54</v>
      </c>
      <c r="C1367" t="s">
        <v>16</v>
      </c>
      <c r="D1367" t="s">
        <v>33</v>
      </c>
      <c r="E1367" t="s">
        <v>40</v>
      </c>
      <c r="F1367">
        <v>247.98</v>
      </c>
      <c r="G1367" t="s">
        <v>19</v>
      </c>
      <c r="H1367" t="s">
        <v>15</v>
      </c>
      <c r="I1367">
        <v>3.6</v>
      </c>
      <c r="J1367">
        <v>10</v>
      </c>
      <c r="K1367">
        <v>5</v>
      </c>
      <c r="L1367" s="4">
        <v>275.5333333333333</v>
      </c>
      <c r="M1367" s="4">
        <v>27.553333333333313</v>
      </c>
      <c r="N1367" t="s">
        <v>93</v>
      </c>
    </row>
    <row r="1368" spans="1:14">
      <c r="A1368">
        <v>1367</v>
      </c>
      <c r="B1368">
        <v>64</v>
      </c>
      <c r="C1368" t="s">
        <v>16</v>
      </c>
      <c r="D1368" t="s">
        <v>27</v>
      </c>
      <c r="E1368" t="s">
        <v>32</v>
      </c>
      <c r="F1368">
        <v>1925.6</v>
      </c>
      <c r="G1368" t="s">
        <v>19</v>
      </c>
      <c r="H1368" t="s">
        <v>15</v>
      </c>
      <c r="I1368">
        <v>2.6</v>
      </c>
      <c r="J1368">
        <v>13</v>
      </c>
      <c r="K1368">
        <v>4</v>
      </c>
      <c r="L1368" s="4">
        <v>2213.333333333333</v>
      </c>
      <c r="M1368" s="4">
        <v>287.73333333333312</v>
      </c>
      <c r="N1368" t="s">
        <v>94</v>
      </c>
    </row>
    <row r="1369" spans="1:14">
      <c r="A1369">
        <v>1368</v>
      </c>
      <c r="B1369">
        <v>51</v>
      </c>
      <c r="C1369" t="s">
        <v>16</v>
      </c>
      <c r="D1369" t="s">
        <v>20</v>
      </c>
      <c r="E1369" t="s">
        <v>39</v>
      </c>
      <c r="F1369">
        <v>139.66</v>
      </c>
      <c r="G1369" t="s">
        <v>24</v>
      </c>
      <c r="H1369" t="s">
        <v>15</v>
      </c>
      <c r="I1369">
        <v>3.6</v>
      </c>
      <c r="J1369">
        <v>9</v>
      </c>
      <c r="K1369">
        <v>2</v>
      </c>
      <c r="L1369" s="4">
        <v>153.47252747252747</v>
      </c>
      <c r="M1369" s="4">
        <v>13.812527472527478</v>
      </c>
      <c r="N1369" t="s">
        <v>93</v>
      </c>
    </row>
    <row r="1370" spans="1:14">
      <c r="A1370">
        <v>1369</v>
      </c>
      <c r="B1370">
        <v>65</v>
      </c>
      <c r="C1370" t="s">
        <v>16</v>
      </c>
      <c r="D1370" t="s">
        <v>17</v>
      </c>
      <c r="E1370" t="s">
        <v>42</v>
      </c>
      <c r="F1370">
        <v>199.78</v>
      </c>
      <c r="G1370" t="s">
        <v>14</v>
      </c>
      <c r="H1370" t="s">
        <v>15</v>
      </c>
      <c r="I1370">
        <v>3.5</v>
      </c>
      <c r="J1370">
        <v>15</v>
      </c>
      <c r="K1370">
        <v>5</v>
      </c>
      <c r="L1370" s="4">
        <v>235.03529411764706</v>
      </c>
      <c r="M1370" s="4">
        <v>35.255294117647054</v>
      </c>
      <c r="N1370" t="s">
        <v>95</v>
      </c>
    </row>
    <row r="1371" spans="1:14">
      <c r="A1371">
        <v>1370</v>
      </c>
      <c r="B1371">
        <v>22</v>
      </c>
      <c r="C1371" t="s">
        <v>11</v>
      </c>
      <c r="D1371" t="s">
        <v>29</v>
      </c>
      <c r="E1371" t="s">
        <v>55</v>
      </c>
      <c r="F1371">
        <v>45.19</v>
      </c>
      <c r="G1371" t="s">
        <v>31</v>
      </c>
      <c r="H1371" t="s">
        <v>15</v>
      </c>
      <c r="I1371">
        <v>4.7</v>
      </c>
      <c r="J1371">
        <v>12</v>
      </c>
      <c r="K1371">
        <v>6</v>
      </c>
      <c r="L1371" s="4">
        <v>51.352272727272727</v>
      </c>
      <c r="M1371" s="4">
        <v>6.1622727272727289</v>
      </c>
      <c r="N1371" t="s">
        <v>100</v>
      </c>
    </row>
    <row r="1372" spans="1:14">
      <c r="A1372">
        <v>1371</v>
      </c>
      <c r="B1372">
        <v>30</v>
      </c>
      <c r="C1372" t="s">
        <v>11</v>
      </c>
      <c r="D1372" t="s">
        <v>33</v>
      </c>
      <c r="E1372" t="s">
        <v>40</v>
      </c>
      <c r="F1372">
        <v>206.49</v>
      </c>
      <c r="G1372" t="s">
        <v>31</v>
      </c>
      <c r="H1372" t="s">
        <v>15</v>
      </c>
      <c r="I1372">
        <v>3.6</v>
      </c>
      <c r="J1372">
        <v>20</v>
      </c>
      <c r="K1372">
        <v>5</v>
      </c>
      <c r="L1372" s="4">
        <v>258.11250000000001</v>
      </c>
      <c r="M1372" s="4">
        <v>51.622500000000002</v>
      </c>
      <c r="N1372" t="s">
        <v>91</v>
      </c>
    </row>
    <row r="1373" spans="1:14">
      <c r="A1373">
        <v>1372</v>
      </c>
      <c r="B1373">
        <v>52</v>
      </c>
      <c r="C1373" t="s">
        <v>16</v>
      </c>
      <c r="D1373" t="s">
        <v>27</v>
      </c>
      <c r="E1373" t="s">
        <v>28</v>
      </c>
      <c r="F1373">
        <v>1357.56</v>
      </c>
      <c r="G1373" t="s">
        <v>14</v>
      </c>
      <c r="H1373" t="s">
        <v>15</v>
      </c>
      <c r="I1373">
        <v>5</v>
      </c>
      <c r="J1373">
        <v>16</v>
      </c>
      <c r="K1373">
        <v>8</v>
      </c>
      <c r="L1373" s="4">
        <v>1616.1428571428571</v>
      </c>
      <c r="M1373" s="4">
        <v>258.58285714285716</v>
      </c>
      <c r="N1373" t="s">
        <v>93</v>
      </c>
    </row>
    <row r="1374" spans="1:14">
      <c r="A1374">
        <v>1373</v>
      </c>
      <c r="B1374">
        <v>26</v>
      </c>
      <c r="C1374" t="s">
        <v>11</v>
      </c>
      <c r="D1374" t="s">
        <v>33</v>
      </c>
      <c r="E1374" t="s">
        <v>40</v>
      </c>
      <c r="F1374">
        <v>160.69</v>
      </c>
      <c r="G1374" t="s">
        <v>14</v>
      </c>
      <c r="H1374" t="s">
        <v>15</v>
      </c>
      <c r="I1374">
        <v>4.3</v>
      </c>
      <c r="J1374">
        <v>15</v>
      </c>
      <c r="K1374">
        <v>5</v>
      </c>
      <c r="L1374" s="4">
        <v>189.04705882352943</v>
      </c>
      <c r="M1374" s="4">
        <v>28.357058823529428</v>
      </c>
      <c r="N1374" t="s">
        <v>91</v>
      </c>
    </row>
    <row r="1375" spans="1:14">
      <c r="A1375">
        <v>1374</v>
      </c>
      <c r="B1375">
        <v>29</v>
      </c>
      <c r="C1375" t="s">
        <v>11</v>
      </c>
      <c r="D1375" t="s">
        <v>20</v>
      </c>
      <c r="E1375" t="s">
        <v>36</v>
      </c>
      <c r="F1375">
        <v>239.09</v>
      </c>
      <c r="G1375" t="s">
        <v>31</v>
      </c>
      <c r="H1375" t="s">
        <v>15</v>
      </c>
      <c r="I1375">
        <v>4</v>
      </c>
      <c r="J1375">
        <v>6</v>
      </c>
      <c r="K1375">
        <v>3</v>
      </c>
      <c r="L1375" s="4">
        <v>254.35106382978725</v>
      </c>
      <c r="M1375" s="4">
        <v>15.261063829787247</v>
      </c>
      <c r="N1375" t="s">
        <v>91</v>
      </c>
    </row>
    <row r="1376" spans="1:14">
      <c r="A1376">
        <v>1375</v>
      </c>
      <c r="B1376">
        <v>61</v>
      </c>
      <c r="C1376" t="s">
        <v>16</v>
      </c>
      <c r="D1376" t="s">
        <v>27</v>
      </c>
      <c r="E1376" t="s">
        <v>53</v>
      </c>
      <c r="F1376">
        <v>2519.73</v>
      </c>
      <c r="G1376" t="s">
        <v>31</v>
      </c>
      <c r="H1376" t="s">
        <v>15</v>
      </c>
      <c r="I1376">
        <v>3.5</v>
      </c>
      <c r="J1376">
        <v>20</v>
      </c>
      <c r="K1376">
        <v>5</v>
      </c>
      <c r="L1376" s="4">
        <v>3149.6624999999999</v>
      </c>
      <c r="M1376" s="4">
        <v>629.93249999999989</v>
      </c>
      <c r="N1376" t="s">
        <v>94</v>
      </c>
    </row>
    <row r="1377" spans="1:14">
      <c r="A1377">
        <v>1376</v>
      </c>
      <c r="B1377">
        <v>62</v>
      </c>
      <c r="C1377" t="s">
        <v>11</v>
      </c>
      <c r="D1377" t="s">
        <v>33</v>
      </c>
      <c r="E1377" t="s">
        <v>34</v>
      </c>
      <c r="F1377">
        <v>218.99</v>
      </c>
      <c r="G1377" t="s">
        <v>14</v>
      </c>
      <c r="H1377" t="s">
        <v>15</v>
      </c>
      <c r="I1377">
        <v>3.6</v>
      </c>
      <c r="J1377">
        <v>16</v>
      </c>
      <c r="K1377">
        <v>3</v>
      </c>
      <c r="L1377" s="4">
        <v>260.70238095238096</v>
      </c>
      <c r="M1377" s="4">
        <v>41.712380952380954</v>
      </c>
      <c r="N1377" t="s">
        <v>94</v>
      </c>
    </row>
    <row r="1378" spans="1:14">
      <c r="A1378">
        <v>1377</v>
      </c>
      <c r="B1378">
        <v>64</v>
      </c>
      <c r="C1378" t="s">
        <v>16</v>
      </c>
      <c r="D1378" t="s">
        <v>33</v>
      </c>
      <c r="E1378" t="s">
        <v>34</v>
      </c>
      <c r="F1378">
        <v>244.01</v>
      </c>
      <c r="G1378" t="s">
        <v>19</v>
      </c>
      <c r="H1378" t="s">
        <v>15</v>
      </c>
      <c r="I1378">
        <v>4.0999999999999996</v>
      </c>
      <c r="J1378">
        <v>15</v>
      </c>
      <c r="K1378">
        <v>5</v>
      </c>
      <c r="L1378" s="4">
        <v>287.07058823529411</v>
      </c>
      <c r="M1378" s="4">
        <v>43.060588235294119</v>
      </c>
      <c r="N1378" t="s">
        <v>94</v>
      </c>
    </row>
    <row r="1379" spans="1:14">
      <c r="A1379">
        <v>1378</v>
      </c>
      <c r="B1379">
        <v>31</v>
      </c>
      <c r="C1379" t="s">
        <v>11</v>
      </c>
      <c r="D1379" t="s">
        <v>22</v>
      </c>
      <c r="E1379" t="s">
        <v>43</v>
      </c>
      <c r="F1379">
        <v>140.22999999999999</v>
      </c>
      <c r="G1379" t="s">
        <v>14</v>
      </c>
      <c r="H1379" t="s">
        <v>15</v>
      </c>
      <c r="I1379">
        <v>3</v>
      </c>
      <c r="J1379">
        <v>9</v>
      </c>
      <c r="K1379">
        <v>2</v>
      </c>
      <c r="L1379" s="4">
        <v>154.09890109890108</v>
      </c>
      <c r="M1379" s="4">
        <v>13.868901098901091</v>
      </c>
      <c r="N1379" t="s">
        <v>91</v>
      </c>
    </row>
    <row r="1380" spans="1:14">
      <c r="A1380">
        <v>1379</v>
      </c>
      <c r="B1380">
        <v>49</v>
      </c>
      <c r="C1380" t="s">
        <v>16</v>
      </c>
      <c r="D1380" t="s">
        <v>27</v>
      </c>
      <c r="E1380" t="s">
        <v>32</v>
      </c>
      <c r="F1380">
        <v>2191.92</v>
      </c>
      <c r="G1380" t="s">
        <v>31</v>
      </c>
      <c r="H1380" t="s">
        <v>15</v>
      </c>
      <c r="I1380">
        <v>2.8</v>
      </c>
      <c r="J1380">
        <v>13</v>
      </c>
      <c r="K1380">
        <v>4</v>
      </c>
      <c r="L1380" s="4">
        <v>2519.4482758620688</v>
      </c>
      <c r="M1380" s="4">
        <v>327.52827586206877</v>
      </c>
      <c r="N1380" t="s">
        <v>93</v>
      </c>
    </row>
    <row r="1381" spans="1:14">
      <c r="A1381">
        <v>1380</v>
      </c>
      <c r="B1381">
        <v>46</v>
      </c>
      <c r="C1381" t="s">
        <v>11</v>
      </c>
      <c r="D1381" t="s">
        <v>22</v>
      </c>
      <c r="E1381" t="s">
        <v>23</v>
      </c>
      <c r="F1381">
        <v>145.72999999999999</v>
      </c>
      <c r="G1381" t="s">
        <v>14</v>
      </c>
      <c r="H1381" t="s">
        <v>15</v>
      </c>
      <c r="I1381">
        <v>2.7</v>
      </c>
      <c r="J1381">
        <v>14</v>
      </c>
      <c r="K1381">
        <v>2</v>
      </c>
      <c r="L1381" s="4">
        <v>169.45348837209301</v>
      </c>
      <c r="M1381" s="4">
        <v>23.723488372093016</v>
      </c>
      <c r="N1381" t="s">
        <v>93</v>
      </c>
    </row>
    <row r="1382" spans="1:14">
      <c r="A1382">
        <v>1381</v>
      </c>
      <c r="B1382">
        <v>32</v>
      </c>
      <c r="C1382" t="s">
        <v>11</v>
      </c>
      <c r="D1382" t="s">
        <v>41</v>
      </c>
      <c r="E1382" t="s">
        <v>45</v>
      </c>
      <c r="F1382">
        <v>194.29</v>
      </c>
      <c r="G1382" t="s">
        <v>31</v>
      </c>
      <c r="H1382" t="s">
        <v>15</v>
      </c>
      <c r="I1382">
        <v>3.6</v>
      </c>
      <c r="J1382">
        <v>10</v>
      </c>
      <c r="K1382">
        <v>5</v>
      </c>
      <c r="L1382" s="4">
        <v>215.87777777777777</v>
      </c>
      <c r="M1382" s="4">
        <v>21.587777777777774</v>
      </c>
      <c r="N1382" t="s">
        <v>91</v>
      </c>
    </row>
    <row r="1383" spans="1:14">
      <c r="A1383">
        <v>1382</v>
      </c>
      <c r="B1383">
        <v>29</v>
      </c>
      <c r="C1383" t="s">
        <v>16</v>
      </c>
      <c r="D1383" t="s">
        <v>22</v>
      </c>
      <c r="E1383" t="s">
        <v>23</v>
      </c>
      <c r="F1383">
        <v>219.13</v>
      </c>
      <c r="G1383" t="s">
        <v>31</v>
      </c>
      <c r="H1383" t="s">
        <v>15</v>
      </c>
      <c r="I1383">
        <v>2.8</v>
      </c>
      <c r="J1383">
        <v>20</v>
      </c>
      <c r="K1383">
        <v>5</v>
      </c>
      <c r="L1383" s="4">
        <v>273.91249999999997</v>
      </c>
      <c r="M1383" s="4">
        <v>54.78249999999997</v>
      </c>
      <c r="N1383" t="s">
        <v>91</v>
      </c>
    </row>
    <row r="1384" spans="1:14">
      <c r="A1384">
        <v>1383</v>
      </c>
      <c r="B1384">
        <v>53</v>
      </c>
      <c r="C1384" t="s">
        <v>11</v>
      </c>
      <c r="D1384" t="s">
        <v>29</v>
      </c>
      <c r="E1384" t="s">
        <v>30</v>
      </c>
      <c r="F1384">
        <v>73</v>
      </c>
      <c r="G1384" t="s">
        <v>14</v>
      </c>
      <c r="H1384" t="s">
        <v>15</v>
      </c>
      <c r="I1384">
        <v>2.8</v>
      </c>
      <c r="J1384">
        <v>18</v>
      </c>
      <c r="K1384">
        <v>4</v>
      </c>
      <c r="L1384" s="4">
        <v>89.024390243902431</v>
      </c>
      <c r="M1384" s="4">
        <v>16.024390243902431</v>
      </c>
      <c r="N1384" t="s">
        <v>93</v>
      </c>
    </row>
    <row r="1385" spans="1:14">
      <c r="A1385">
        <v>1384</v>
      </c>
      <c r="B1385">
        <v>56</v>
      </c>
      <c r="C1385" t="s">
        <v>16</v>
      </c>
      <c r="D1385" t="s">
        <v>20</v>
      </c>
      <c r="E1385" t="s">
        <v>36</v>
      </c>
      <c r="F1385">
        <v>206.69</v>
      </c>
      <c r="G1385" t="s">
        <v>31</v>
      </c>
      <c r="H1385" t="s">
        <v>15</v>
      </c>
      <c r="I1385">
        <v>4.0999999999999996</v>
      </c>
      <c r="J1385">
        <v>15</v>
      </c>
      <c r="K1385">
        <v>5</v>
      </c>
      <c r="L1385" s="4">
        <v>243.16470588235293</v>
      </c>
      <c r="M1385" s="4">
        <v>36.474705882352936</v>
      </c>
      <c r="N1385" t="s">
        <v>94</v>
      </c>
    </row>
    <row r="1386" spans="1:14">
      <c r="A1386">
        <v>1385</v>
      </c>
      <c r="B1386">
        <v>49</v>
      </c>
      <c r="C1386" t="s">
        <v>16</v>
      </c>
      <c r="D1386" t="s">
        <v>33</v>
      </c>
      <c r="E1386" t="s">
        <v>38</v>
      </c>
      <c r="F1386">
        <v>171.39</v>
      </c>
      <c r="G1386" t="s">
        <v>24</v>
      </c>
      <c r="H1386" t="s">
        <v>15</v>
      </c>
      <c r="I1386">
        <v>5</v>
      </c>
      <c r="J1386">
        <v>13</v>
      </c>
      <c r="K1386">
        <v>4</v>
      </c>
      <c r="L1386" s="4">
        <v>196.99999999999997</v>
      </c>
      <c r="M1386" s="4">
        <v>25.609999999999985</v>
      </c>
      <c r="N1386" t="s">
        <v>93</v>
      </c>
    </row>
    <row r="1387" spans="1:14">
      <c r="A1387">
        <v>1386</v>
      </c>
      <c r="B1387">
        <v>49</v>
      </c>
      <c r="C1387" t="s">
        <v>11</v>
      </c>
      <c r="D1387" t="s">
        <v>22</v>
      </c>
      <c r="E1387" t="s">
        <v>43</v>
      </c>
      <c r="F1387">
        <v>281.41000000000003</v>
      </c>
      <c r="G1387" t="s">
        <v>14</v>
      </c>
      <c r="H1387" t="s">
        <v>15</v>
      </c>
      <c r="I1387">
        <v>4.5999999999999996</v>
      </c>
      <c r="J1387">
        <v>10</v>
      </c>
      <c r="K1387">
        <v>5</v>
      </c>
      <c r="L1387" s="4">
        <v>312.67777777777781</v>
      </c>
      <c r="M1387" s="4">
        <v>31.267777777777781</v>
      </c>
      <c r="N1387" t="s">
        <v>93</v>
      </c>
    </row>
    <row r="1388" spans="1:14">
      <c r="A1388">
        <v>1387</v>
      </c>
      <c r="B1388">
        <v>42</v>
      </c>
      <c r="C1388" t="s">
        <v>16</v>
      </c>
      <c r="D1388" t="s">
        <v>25</v>
      </c>
      <c r="E1388" t="s">
        <v>54</v>
      </c>
      <c r="F1388">
        <v>65.66</v>
      </c>
      <c r="G1388" t="s">
        <v>31</v>
      </c>
      <c r="H1388" t="s">
        <v>37</v>
      </c>
      <c r="I1388">
        <v>3.1</v>
      </c>
      <c r="J1388">
        <v>20</v>
      </c>
      <c r="K1388">
        <v>5</v>
      </c>
      <c r="L1388" s="4">
        <v>82.074999999999989</v>
      </c>
      <c r="M1388" s="4">
        <v>16.414999999999992</v>
      </c>
      <c r="N1388" t="s">
        <v>92</v>
      </c>
    </row>
    <row r="1389" spans="1:14">
      <c r="A1389">
        <v>1388</v>
      </c>
      <c r="B1389">
        <v>66</v>
      </c>
      <c r="C1389" t="s">
        <v>16</v>
      </c>
      <c r="D1389" t="s">
        <v>17</v>
      </c>
      <c r="E1389" t="s">
        <v>35</v>
      </c>
      <c r="F1389">
        <v>117.92</v>
      </c>
      <c r="G1389" t="s">
        <v>31</v>
      </c>
      <c r="H1389" t="s">
        <v>15</v>
      </c>
      <c r="I1389">
        <v>3.1</v>
      </c>
      <c r="J1389">
        <v>18</v>
      </c>
      <c r="K1389">
        <v>9</v>
      </c>
      <c r="L1389" s="4">
        <v>143.80487804878047</v>
      </c>
      <c r="M1389" s="4">
        <v>25.884878048780465</v>
      </c>
      <c r="N1389" t="s">
        <v>95</v>
      </c>
    </row>
    <row r="1390" spans="1:14">
      <c r="A1390">
        <v>1389</v>
      </c>
      <c r="B1390">
        <v>57</v>
      </c>
      <c r="C1390" t="s">
        <v>11</v>
      </c>
      <c r="D1390" t="s">
        <v>12</v>
      </c>
      <c r="E1390" t="s">
        <v>56</v>
      </c>
      <c r="F1390">
        <v>85.12</v>
      </c>
      <c r="G1390" t="s">
        <v>14</v>
      </c>
      <c r="H1390" t="s">
        <v>37</v>
      </c>
      <c r="I1390">
        <v>3</v>
      </c>
      <c r="J1390">
        <v>10</v>
      </c>
      <c r="K1390">
        <v>5</v>
      </c>
      <c r="L1390" s="4">
        <v>94.577777777777783</v>
      </c>
      <c r="M1390" s="4">
        <v>9.4577777777777783</v>
      </c>
      <c r="N1390" t="s">
        <v>94</v>
      </c>
    </row>
    <row r="1391" spans="1:14">
      <c r="A1391">
        <v>1390</v>
      </c>
      <c r="B1391">
        <v>21</v>
      </c>
      <c r="C1391" t="s">
        <v>16</v>
      </c>
      <c r="D1391" t="s">
        <v>27</v>
      </c>
      <c r="E1391" t="s">
        <v>53</v>
      </c>
      <c r="F1391">
        <v>522.74</v>
      </c>
      <c r="G1391" t="s">
        <v>31</v>
      </c>
      <c r="H1391" t="s">
        <v>15</v>
      </c>
      <c r="I1391">
        <v>4.8</v>
      </c>
      <c r="J1391">
        <v>24</v>
      </c>
      <c r="K1391">
        <v>7</v>
      </c>
      <c r="L1391" s="4">
        <v>687.81578947368416</v>
      </c>
      <c r="M1391" s="4">
        <v>165.07578947368415</v>
      </c>
      <c r="N1391" t="s">
        <v>100</v>
      </c>
    </row>
    <row r="1392" spans="1:14">
      <c r="A1392">
        <v>1391</v>
      </c>
      <c r="B1392">
        <v>70</v>
      </c>
      <c r="C1392" t="s">
        <v>16</v>
      </c>
      <c r="D1392" t="s">
        <v>20</v>
      </c>
      <c r="E1392" t="s">
        <v>39</v>
      </c>
      <c r="F1392">
        <v>146.30000000000001</v>
      </c>
      <c r="G1392" t="s">
        <v>31</v>
      </c>
      <c r="H1392" t="s">
        <v>15</v>
      </c>
      <c r="I1392">
        <v>3.3</v>
      </c>
      <c r="J1392">
        <v>20</v>
      </c>
      <c r="K1392">
        <v>5</v>
      </c>
      <c r="L1392" s="4">
        <v>182.875</v>
      </c>
      <c r="M1392" s="4">
        <v>36.574999999999989</v>
      </c>
      <c r="N1392" t="s">
        <v>95</v>
      </c>
    </row>
    <row r="1393" spans="1:14">
      <c r="A1393">
        <v>1392</v>
      </c>
      <c r="B1393">
        <v>57</v>
      </c>
      <c r="C1393" t="s">
        <v>16</v>
      </c>
      <c r="D1393" t="s">
        <v>33</v>
      </c>
      <c r="E1393" t="s">
        <v>40</v>
      </c>
      <c r="F1393">
        <v>188.81</v>
      </c>
      <c r="G1393" t="s">
        <v>19</v>
      </c>
      <c r="H1393" t="s">
        <v>15</v>
      </c>
      <c r="I1393">
        <v>4.0999999999999996</v>
      </c>
      <c r="J1393">
        <v>11</v>
      </c>
      <c r="K1393">
        <v>3</v>
      </c>
      <c r="L1393" s="4">
        <v>212.14606741573033</v>
      </c>
      <c r="M1393" s="4">
        <v>23.336067415730327</v>
      </c>
      <c r="N1393" t="s">
        <v>94</v>
      </c>
    </row>
    <row r="1394" spans="1:14">
      <c r="A1394">
        <v>1393</v>
      </c>
      <c r="B1394">
        <v>24</v>
      </c>
      <c r="C1394" t="s">
        <v>16</v>
      </c>
      <c r="D1394" t="s">
        <v>27</v>
      </c>
      <c r="E1394" t="s">
        <v>32</v>
      </c>
      <c r="F1394">
        <v>973.64</v>
      </c>
      <c r="G1394" t="s">
        <v>14</v>
      </c>
      <c r="H1394" t="s">
        <v>15</v>
      </c>
      <c r="I1394">
        <v>4.3</v>
      </c>
      <c r="J1394">
        <v>16</v>
      </c>
      <c r="K1394">
        <v>3</v>
      </c>
      <c r="L1394" s="4">
        <v>1159.0952380952381</v>
      </c>
      <c r="M1394" s="4">
        <v>185.45523809523809</v>
      </c>
      <c r="N1394" t="s">
        <v>100</v>
      </c>
    </row>
    <row r="1395" spans="1:14">
      <c r="A1395">
        <v>1394</v>
      </c>
      <c r="B1395">
        <v>61</v>
      </c>
      <c r="C1395" t="s">
        <v>16</v>
      </c>
      <c r="D1395" t="s">
        <v>27</v>
      </c>
      <c r="E1395" t="s">
        <v>28</v>
      </c>
      <c r="F1395">
        <v>1496.01</v>
      </c>
      <c r="G1395" t="s">
        <v>24</v>
      </c>
      <c r="H1395" t="s">
        <v>15</v>
      </c>
      <c r="I1395">
        <v>4</v>
      </c>
      <c r="J1395">
        <v>13</v>
      </c>
      <c r="K1395">
        <v>4</v>
      </c>
      <c r="L1395" s="4">
        <v>1719.5517241379309</v>
      </c>
      <c r="M1395" s="4">
        <v>223.54172413793094</v>
      </c>
      <c r="N1395" t="s">
        <v>94</v>
      </c>
    </row>
    <row r="1396" spans="1:14">
      <c r="A1396">
        <v>1395</v>
      </c>
      <c r="B1396">
        <v>56</v>
      </c>
      <c r="C1396" t="s">
        <v>11</v>
      </c>
      <c r="D1396" t="s">
        <v>33</v>
      </c>
      <c r="E1396" t="s">
        <v>34</v>
      </c>
      <c r="F1396">
        <v>228.28</v>
      </c>
      <c r="G1396" t="s">
        <v>31</v>
      </c>
      <c r="H1396" t="s">
        <v>15</v>
      </c>
      <c r="I1396">
        <v>4.0999999999999996</v>
      </c>
      <c r="J1396">
        <v>6</v>
      </c>
      <c r="K1396">
        <v>3</v>
      </c>
      <c r="L1396" s="4">
        <v>242.85106382978725</v>
      </c>
      <c r="M1396" s="4">
        <v>14.571063829787249</v>
      </c>
      <c r="N1396" t="s">
        <v>94</v>
      </c>
    </row>
    <row r="1397" spans="1:14">
      <c r="A1397">
        <v>1396</v>
      </c>
      <c r="B1397">
        <v>40</v>
      </c>
      <c r="C1397" t="s">
        <v>11</v>
      </c>
      <c r="D1397" t="s">
        <v>12</v>
      </c>
      <c r="E1397" t="s">
        <v>50</v>
      </c>
      <c r="F1397">
        <v>119.97</v>
      </c>
      <c r="G1397" t="s">
        <v>31</v>
      </c>
      <c r="H1397" t="s">
        <v>15</v>
      </c>
      <c r="I1397">
        <v>4</v>
      </c>
      <c r="J1397">
        <v>13</v>
      </c>
      <c r="K1397">
        <v>4</v>
      </c>
      <c r="L1397" s="4">
        <v>137.89655172413794</v>
      </c>
      <c r="M1397" s="4">
        <v>17.926551724137937</v>
      </c>
      <c r="N1397" t="s">
        <v>92</v>
      </c>
    </row>
    <row r="1398" spans="1:14">
      <c r="A1398">
        <v>1397</v>
      </c>
      <c r="B1398">
        <v>23</v>
      </c>
      <c r="C1398" t="s">
        <v>11</v>
      </c>
      <c r="D1398" t="s">
        <v>41</v>
      </c>
      <c r="E1398" t="s">
        <v>42</v>
      </c>
      <c r="F1398">
        <v>123.01</v>
      </c>
      <c r="G1398" t="s">
        <v>19</v>
      </c>
      <c r="H1398" t="s">
        <v>15</v>
      </c>
      <c r="I1398">
        <v>3.9</v>
      </c>
      <c r="J1398">
        <v>17</v>
      </c>
      <c r="K1398">
        <v>6</v>
      </c>
      <c r="L1398" s="4">
        <v>148.20481927710844</v>
      </c>
      <c r="M1398" s="4">
        <v>25.194819277108436</v>
      </c>
      <c r="N1398" t="s">
        <v>100</v>
      </c>
    </row>
    <row r="1399" spans="1:14">
      <c r="A1399">
        <v>1398</v>
      </c>
      <c r="B1399">
        <v>43</v>
      </c>
      <c r="C1399" t="s">
        <v>11</v>
      </c>
      <c r="D1399" t="s">
        <v>12</v>
      </c>
      <c r="E1399" t="s">
        <v>13</v>
      </c>
      <c r="F1399">
        <v>162.25</v>
      </c>
      <c r="G1399" t="s">
        <v>19</v>
      </c>
      <c r="H1399" t="s">
        <v>15</v>
      </c>
      <c r="I1399">
        <v>4.2</v>
      </c>
      <c r="J1399">
        <v>6</v>
      </c>
      <c r="K1399">
        <v>3</v>
      </c>
      <c r="L1399" s="4">
        <v>172.60638297872342</v>
      </c>
      <c r="M1399" s="4">
        <v>10.356382978723417</v>
      </c>
      <c r="N1399" t="s">
        <v>92</v>
      </c>
    </row>
    <row r="1400" spans="1:14">
      <c r="A1400">
        <v>1399</v>
      </c>
      <c r="B1400">
        <v>54</v>
      </c>
      <c r="C1400" t="s">
        <v>11</v>
      </c>
      <c r="D1400" t="s">
        <v>33</v>
      </c>
      <c r="E1400" t="s">
        <v>40</v>
      </c>
      <c r="F1400">
        <v>194.79</v>
      </c>
      <c r="G1400" t="s">
        <v>24</v>
      </c>
      <c r="H1400" t="s">
        <v>15</v>
      </c>
      <c r="I1400">
        <v>2.2000000000000002</v>
      </c>
      <c r="J1400">
        <v>16</v>
      </c>
      <c r="K1400">
        <v>8</v>
      </c>
      <c r="L1400" s="4">
        <v>231.89285714285714</v>
      </c>
      <c r="M1400" s="4">
        <v>37.102857142857147</v>
      </c>
      <c r="N1400" t="s">
        <v>93</v>
      </c>
    </row>
    <row r="1401" spans="1:14">
      <c r="A1401">
        <v>1400</v>
      </c>
      <c r="B1401">
        <v>50</v>
      </c>
      <c r="C1401" t="s">
        <v>16</v>
      </c>
      <c r="D1401" t="s">
        <v>20</v>
      </c>
      <c r="E1401" t="s">
        <v>39</v>
      </c>
      <c r="F1401">
        <v>126.38</v>
      </c>
      <c r="G1401" t="s">
        <v>14</v>
      </c>
      <c r="H1401" t="s">
        <v>15</v>
      </c>
      <c r="I1401">
        <v>3.4</v>
      </c>
      <c r="J1401">
        <v>6</v>
      </c>
      <c r="K1401">
        <v>3</v>
      </c>
      <c r="L1401" s="4">
        <v>134.44680851063831</v>
      </c>
      <c r="M1401" s="4">
        <v>8.0668085106383103</v>
      </c>
      <c r="N1401" t="s">
        <v>93</v>
      </c>
    </row>
    <row r="1402" spans="1:14">
      <c r="A1402">
        <v>1401</v>
      </c>
      <c r="B1402">
        <v>67</v>
      </c>
      <c r="C1402" t="s">
        <v>11</v>
      </c>
      <c r="D1402" t="s">
        <v>33</v>
      </c>
      <c r="E1402" t="s">
        <v>38</v>
      </c>
      <c r="F1402">
        <v>246.6</v>
      </c>
      <c r="G1402" t="s">
        <v>19</v>
      </c>
      <c r="H1402" t="s">
        <v>15</v>
      </c>
      <c r="I1402">
        <v>4.8</v>
      </c>
      <c r="J1402">
        <v>15</v>
      </c>
      <c r="K1402">
        <v>5</v>
      </c>
      <c r="L1402" s="4">
        <v>290.11764705882354</v>
      </c>
      <c r="M1402" s="4">
        <v>43.517647058823542</v>
      </c>
      <c r="N1402" t="s">
        <v>95</v>
      </c>
    </row>
    <row r="1403" spans="1:14">
      <c r="A1403">
        <v>1402</v>
      </c>
      <c r="B1403">
        <v>59</v>
      </c>
      <c r="C1403" t="s">
        <v>16</v>
      </c>
      <c r="D1403" t="s">
        <v>17</v>
      </c>
      <c r="E1403" t="s">
        <v>18</v>
      </c>
      <c r="F1403">
        <v>116.03</v>
      </c>
      <c r="G1403" t="s">
        <v>19</v>
      </c>
      <c r="H1403" t="s">
        <v>15</v>
      </c>
      <c r="I1403">
        <v>2.6</v>
      </c>
      <c r="J1403">
        <v>7</v>
      </c>
      <c r="K1403">
        <v>1</v>
      </c>
      <c r="L1403" s="4">
        <v>124.76344086021507</v>
      </c>
      <c r="M1403" s="4">
        <v>8.7334408602150688</v>
      </c>
      <c r="N1403" t="s">
        <v>94</v>
      </c>
    </row>
    <row r="1404" spans="1:14">
      <c r="A1404">
        <v>1403</v>
      </c>
      <c r="B1404">
        <v>21</v>
      </c>
      <c r="C1404" t="s">
        <v>11</v>
      </c>
      <c r="D1404" t="s">
        <v>12</v>
      </c>
      <c r="E1404" t="s">
        <v>56</v>
      </c>
      <c r="F1404">
        <v>157.32</v>
      </c>
      <c r="G1404" t="s">
        <v>24</v>
      </c>
      <c r="H1404" t="s">
        <v>15</v>
      </c>
      <c r="I1404">
        <v>3.1</v>
      </c>
      <c r="J1404">
        <v>18</v>
      </c>
      <c r="K1404">
        <v>4</v>
      </c>
      <c r="L1404" s="4">
        <v>191.85365853658536</v>
      </c>
      <c r="M1404" s="4">
        <v>34.533658536585364</v>
      </c>
      <c r="N1404" t="s">
        <v>100</v>
      </c>
    </row>
    <row r="1405" spans="1:14">
      <c r="A1405">
        <v>1404</v>
      </c>
      <c r="B1405">
        <v>26</v>
      </c>
      <c r="C1405" t="s">
        <v>11</v>
      </c>
      <c r="D1405" t="s">
        <v>29</v>
      </c>
      <c r="E1405" t="s">
        <v>51</v>
      </c>
      <c r="F1405">
        <v>96.17</v>
      </c>
      <c r="G1405" t="s">
        <v>31</v>
      </c>
      <c r="H1405" t="s">
        <v>37</v>
      </c>
      <c r="I1405">
        <v>3.5</v>
      </c>
      <c r="J1405">
        <v>15</v>
      </c>
      <c r="K1405">
        <v>5</v>
      </c>
      <c r="L1405" s="4">
        <v>113.14117647058823</v>
      </c>
      <c r="M1405" s="4">
        <v>16.971176470588233</v>
      </c>
      <c r="N1405" t="s">
        <v>91</v>
      </c>
    </row>
    <row r="1406" spans="1:14">
      <c r="A1406">
        <v>1405</v>
      </c>
      <c r="B1406">
        <v>21</v>
      </c>
      <c r="C1406" t="s">
        <v>11</v>
      </c>
      <c r="D1406" t="s">
        <v>33</v>
      </c>
      <c r="E1406" t="s">
        <v>40</v>
      </c>
      <c r="F1406">
        <v>103.99</v>
      </c>
      <c r="G1406" t="s">
        <v>19</v>
      </c>
      <c r="H1406" t="s">
        <v>15</v>
      </c>
      <c r="I1406">
        <v>4.3</v>
      </c>
      <c r="J1406">
        <v>11</v>
      </c>
      <c r="K1406">
        <v>3</v>
      </c>
      <c r="L1406" s="4">
        <v>116.84269662921348</v>
      </c>
      <c r="M1406" s="4">
        <v>12.852696629213483</v>
      </c>
      <c r="N1406" t="s">
        <v>100</v>
      </c>
    </row>
    <row r="1407" spans="1:14">
      <c r="A1407">
        <v>1406</v>
      </c>
      <c r="B1407">
        <v>57</v>
      </c>
      <c r="C1407" t="s">
        <v>16</v>
      </c>
      <c r="D1407" t="s">
        <v>27</v>
      </c>
      <c r="E1407" t="s">
        <v>32</v>
      </c>
      <c r="F1407">
        <v>629.5</v>
      </c>
      <c r="G1407" t="s">
        <v>19</v>
      </c>
      <c r="H1407" t="s">
        <v>15</v>
      </c>
      <c r="I1407">
        <v>3.7</v>
      </c>
      <c r="J1407">
        <v>15</v>
      </c>
      <c r="K1407">
        <v>5</v>
      </c>
      <c r="L1407" s="4">
        <v>740.58823529411768</v>
      </c>
      <c r="M1407" s="4">
        <v>111.08823529411768</v>
      </c>
      <c r="N1407" t="s">
        <v>94</v>
      </c>
    </row>
    <row r="1408" spans="1:14">
      <c r="A1408">
        <v>1407</v>
      </c>
      <c r="B1408">
        <v>23</v>
      </c>
      <c r="C1408" t="s">
        <v>16</v>
      </c>
      <c r="D1408" t="s">
        <v>27</v>
      </c>
      <c r="E1408" t="s">
        <v>32</v>
      </c>
      <c r="F1408">
        <v>1444.5</v>
      </c>
      <c r="G1408" t="s">
        <v>19</v>
      </c>
      <c r="H1408" t="s">
        <v>15</v>
      </c>
      <c r="I1408">
        <v>3.2</v>
      </c>
      <c r="J1408">
        <v>14</v>
      </c>
      <c r="K1408">
        <v>2</v>
      </c>
      <c r="L1408" s="4">
        <v>1679.6511627906978</v>
      </c>
      <c r="M1408" s="4">
        <v>235.15116279069775</v>
      </c>
      <c r="N1408" t="s">
        <v>100</v>
      </c>
    </row>
    <row r="1409" spans="1:14">
      <c r="A1409">
        <v>1408</v>
      </c>
      <c r="B1409">
        <v>57</v>
      </c>
      <c r="C1409" t="s">
        <v>16</v>
      </c>
      <c r="D1409" t="s">
        <v>17</v>
      </c>
      <c r="E1409" t="s">
        <v>48</v>
      </c>
      <c r="F1409">
        <v>36.46</v>
      </c>
      <c r="G1409" t="s">
        <v>31</v>
      </c>
      <c r="H1409" t="s">
        <v>15</v>
      </c>
      <c r="I1409">
        <v>2.6</v>
      </c>
      <c r="J1409">
        <v>4</v>
      </c>
      <c r="K1409">
        <v>2</v>
      </c>
      <c r="L1409" s="4">
        <v>37.979166666666671</v>
      </c>
      <c r="M1409" s="4">
        <v>1.5191666666666706</v>
      </c>
      <c r="N1409" t="s">
        <v>94</v>
      </c>
    </row>
    <row r="1410" spans="1:14">
      <c r="A1410">
        <v>1409</v>
      </c>
      <c r="B1410">
        <v>31</v>
      </c>
      <c r="C1410" t="s">
        <v>11</v>
      </c>
      <c r="D1410" t="s">
        <v>29</v>
      </c>
      <c r="E1410" t="s">
        <v>30</v>
      </c>
      <c r="F1410">
        <v>80.36</v>
      </c>
      <c r="G1410" t="s">
        <v>31</v>
      </c>
      <c r="H1410" t="s">
        <v>37</v>
      </c>
      <c r="I1410">
        <v>4.5</v>
      </c>
      <c r="J1410">
        <v>17</v>
      </c>
      <c r="K1410">
        <v>6</v>
      </c>
      <c r="L1410" s="4">
        <v>96.819277108433738</v>
      </c>
      <c r="M1410" s="4">
        <v>16.459277108433739</v>
      </c>
      <c r="N1410" t="s">
        <v>91</v>
      </c>
    </row>
    <row r="1411" spans="1:14">
      <c r="A1411">
        <v>1410</v>
      </c>
      <c r="B1411">
        <v>57</v>
      </c>
      <c r="C1411" t="s">
        <v>16</v>
      </c>
      <c r="D1411" t="s">
        <v>27</v>
      </c>
      <c r="E1411" t="s">
        <v>53</v>
      </c>
      <c r="F1411">
        <v>2547.41</v>
      </c>
      <c r="G1411" t="s">
        <v>19</v>
      </c>
      <c r="H1411" t="s">
        <v>15</v>
      </c>
      <c r="I1411">
        <v>3.7</v>
      </c>
      <c r="J1411">
        <v>16</v>
      </c>
      <c r="K1411">
        <v>3</v>
      </c>
      <c r="L1411" s="4">
        <v>3032.6309523809523</v>
      </c>
      <c r="M1411" s="4">
        <v>485.22095238095244</v>
      </c>
      <c r="N1411" t="s">
        <v>94</v>
      </c>
    </row>
    <row r="1412" spans="1:14">
      <c r="A1412">
        <v>1411</v>
      </c>
      <c r="B1412">
        <v>55</v>
      </c>
      <c r="C1412" t="s">
        <v>11</v>
      </c>
      <c r="D1412" t="s">
        <v>33</v>
      </c>
      <c r="E1412" t="s">
        <v>40</v>
      </c>
      <c r="F1412">
        <v>75.06</v>
      </c>
      <c r="G1412" t="s">
        <v>31</v>
      </c>
      <c r="H1412" t="s">
        <v>15</v>
      </c>
      <c r="I1412">
        <v>3.9</v>
      </c>
      <c r="J1412">
        <v>12</v>
      </c>
      <c r="K1412">
        <v>1</v>
      </c>
      <c r="L1412" s="4">
        <v>85.295454545454547</v>
      </c>
      <c r="M1412" s="4">
        <v>10.235454545454544</v>
      </c>
      <c r="N1412" t="s">
        <v>94</v>
      </c>
    </row>
    <row r="1413" spans="1:14">
      <c r="A1413">
        <v>1412</v>
      </c>
      <c r="B1413">
        <v>47</v>
      </c>
      <c r="C1413" t="s">
        <v>11</v>
      </c>
      <c r="D1413" t="s">
        <v>29</v>
      </c>
      <c r="E1413" t="s">
        <v>55</v>
      </c>
      <c r="F1413">
        <v>42.38</v>
      </c>
      <c r="G1413" t="s">
        <v>31</v>
      </c>
      <c r="H1413" t="s">
        <v>37</v>
      </c>
      <c r="I1413">
        <v>3.4</v>
      </c>
      <c r="J1413">
        <v>17</v>
      </c>
      <c r="K1413">
        <v>6</v>
      </c>
      <c r="L1413" s="4">
        <v>51.060240963855428</v>
      </c>
      <c r="M1413" s="4">
        <v>8.6802409638554252</v>
      </c>
      <c r="N1413" t="s">
        <v>93</v>
      </c>
    </row>
    <row r="1414" spans="1:14">
      <c r="A1414">
        <v>1413</v>
      </c>
      <c r="B1414">
        <v>52</v>
      </c>
      <c r="C1414" t="s">
        <v>11</v>
      </c>
      <c r="D1414" t="s">
        <v>29</v>
      </c>
      <c r="E1414" t="s">
        <v>55</v>
      </c>
      <c r="F1414">
        <v>134.53</v>
      </c>
      <c r="G1414" t="s">
        <v>14</v>
      </c>
      <c r="H1414" t="s">
        <v>15</v>
      </c>
      <c r="I1414">
        <v>3.8</v>
      </c>
      <c r="J1414">
        <v>26</v>
      </c>
      <c r="K1414">
        <v>8</v>
      </c>
      <c r="L1414" s="4">
        <v>181.79729729729729</v>
      </c>
      <c r="M1414" s="4">
        <v>47.26729729729729</v>
      </c>
      <c r="N1414" t="s">
        <v>93</v>
      </c>
    </row>
    <row r="1415" spans="1:14">
      <c r="A1415">
        <v>1414</v>
      </c>
      <c r="B1415">
        <v>23</v>
      </c>
      <c r="C1415" t="s">
        <v>16</v>
      </c>
      <c r="D1415" t="s">
        <v>33</v>
      </c>
      <c r="E1415" t="s">
        <v>34</v>
      </c>
      <c r="F1415">
        <v>214.52</v>
      </c>
      <c r="G1415" t="s">
        <v>31</v>
      </c>
      <c r="H1415" t="s">
        <v>15</v>
      </c>
      <c r="I1415">
        <v>2.6</v>
      </c>
      <c r="J1415">
        <v>4</v>
      </c>
      <c r="K1415">
        <v>2</v>
      </c>
      <c r="L1415" s="4">
        <v>223.45833333333334</v>
      </c>
      <c r="M1415" s="4">
        <v>8.9383333333333326</v>
      </c>
      <c r="N1415" t="s">
        <v>100</v>
      </c>
    </row>
    <row r="1416" spans="1:14">
      <c r="A1416">
        <v>1415</v>
      </c>
      <c r="B1416">
        <v>24</v>
      </c>
      <c r="C1416" t="s">
        <v>11</v>
      </c>
      <c r="D1416" t="s">
        <v>29</v>
      </c>
      <c r="E1416" t="s">
        <v>55</v>
      </c>
      <c r="F1416">
        <v>42.87</v>
      </c>
      <c r="G1416" t="s">
        <v>19</v>
      </c>
      <c r="H1416" t="s">
        <v>15</v>
      </c>
      <c r="I1416">
        <v>3.6</v>
      </c>
      <c r="J1416">
        <v>15</v>
      </c>
      <c r="K1416">
        <v>5</v>
      </c>
      <c r="L1416" s="4">
        <v>50.435294117647054</v>
      </c>
      <c r="M1416" s="4">
        <v>7.5652941176470563</v>
      </c>
      <c r="N1416" t="s">
        <v>100</v>
      </c>
    </row>
    <row r="1417" spans="1:14">
      <c r="A1417">
        <v>1416</v>
      </c>
      <c r="B1417">
        <v>22</v>
      </c>
      <c r="C1417" t="s">
        <v>16</v>
      </c>
      <c r="D1417" t="s">
        <v>20</v>
      </c>
      <c r="E1417" t="s">
        <v>21</v>
      </c>
      <c r="F1417">
        <v>180.61</v>
      </c>
      <c r="G1417" t="s">
        <v>19</v>
      </c>
      <c r="H1417" t="s">
        <v>15</v>
      </c>
      <c r="I1417">
        <v>3</v>
      </c>
      <c r="J1417">
        <v>15</v>
      </c>
      <c r="K1417">
        <v>5</v>
      </c>
      <c r="L1417" s="4">
        <v>212.48235294117649</v>
      </c>
      <c r="M1417" s="4">
        <v>31.872352941176473</v>
      </c>
      <c r="N1417" t="s">
        <v>100</v>
      </c>
    </row>
    <row r="1418" spans="1:14">
      <c r="A1418">
        <v>1417</v>
      </c>
      <c r="B1418">
        <v>52</v>
      </c>
      <c r="C1418" t="s">
        <v>16</v>
      </c>
      <c r="D1418" t="s">
        <v>33</v>
      </c>
      <c r="E1418" t="s">
        <v>38</v>
      </c>
      <c r="F1418">
        <v>161.19999999999999</v>
      </c>
      <c r="G1418" t="s">
        <v>24</v>
      </c>
      <c r="H1418" t="s">
        <v>15</v>
      </c>
      <c r="I1418">
        <v>3.1</v>
      </c>
      <c r="J1418">
        <v>4</v>
      </c>
      <c r="K1418">
        <v>2</v>
      </c>
      <c r="L1418" s="4">
        <v>167.91666666666666</v>
      </c>
      <c r="M1418" s="4">
        <v>6.7166666666666686</v>
      </c>
      <c r="N1418" t="s">
        <v>93</v>
      </c>
    </row>
    <row r="1419" spans="1:14">
      <c r="A1419">
        <v>1418</v>
      </c>
      <c r="B1419">
        <v>49</v>
      </c>
      <c r="C1419" t="s">
        <v>11</v>
      </c>
      <c r="D1419" t="s">
        <v>20</v>
      </c>
      <c r="E1419" t="s">
        <v>39</v>
      </c>
      <c r="F1419">
        <v>166.73</v>
      </c>
      <c r="G1419" t="s">
        <v>19</v>
      </c>
      <c r="H1419" t="s">
        <v>15</v>
      </c>
      <c r="I1419">
        <v>2.2999999999999998</v>
      </c>
      <c r="J1419">
        <v>15</v>
      </c>
      <c r="K1419">
        <v>5</v>
      </c>
      <c r="L1419" s="4">
        <v>196.15294117647059</v>
      </c>
      <c r="M1419" s="4">
        <v>29.422941176470601</v>
      </c>
      <c r="N1419" t="s">
        <v>93</v>
      </c>
    </row>
    <row r="1420" spans="1:14">
      <c r="A1420">
        <v>1419</v>
      </c>
      <c r="B1420">
        <v>29</v>
      </c>
      <c r="C1420" t="s">
        <v>11</v>
      </c>
      <c r="D1420" t="s">
        <v>33</v>
      </c>
      <c r="E1420" t="s">
        <v>38</v>
      </c>
      <c r="F1420">
        <v>102.67</v>
      </c>
      <c r="G1420" t="s">
        <v>19</v>
      </c>
      <c r="H1420" t="s">
        <v>15</v>
      </c>
      <c r="I1420">
        <v>3</v>
      </c>
      <c r="J1420">
        <v>6</v>
      </c>
      <c r="K1420">
        <v>3</v>
      </c>
      <c r="L1420" s="4">
        <v>109.22340425531915</v>
      </c>
      <c r="M1420" s="4">
        <v>6.5534042553191512</v>
      </c>
      <c r="N1420" t="s">
        <v>91</v>
      </c>
    </row>
    <row r="1421" spans="1:14">
      <c r="A1421">
        <v>1420</v>
      </c>
      <c r="B1421">
        <v>54</v>
      </c>
      <c r="C1421" t="s">
        <v>16</v>
      </c>
      <c r="D1421" t="s">
        <v>27</v>
      </c>
      <c r="E1421" t="s">
        <v>49</v>
      </c>
      <c r="F1421">
        <v>999.76</v>
      </c>
      <c r="G1421" t="s">
        <v>24</v>
      </c>
      <c r="H1421" t="s">
        <v>15</v>
      </c>
      <c r="I1421">
        <v>4</v>
      </c>
      <c r="J1421">
        <v>8</v>
      </c>
      <c r="K1421">
        <v>4</v>
      </c>
      <c r="L1421" s="4">
        <v>1086.695652173913</v>
      </c>
      <c r="M1421" s="4">
        <v>86.935652173913013</v>
      </c>
      <c r="N1421" t="s">
        <v>93</v>
      </c>
    </row>
    <row r="1422" spans="1:14">
      <c r="A1422">
        <v>1421</v>
      </c>
      <c r="B1422">
        <v>31</v>
      </c>
      <c r="C1422" t="s">
        <v>16</v>
      </c>
      <c r="D1422" t="s">
        <v>20</v>
      </c>
      <c r="E1422" t="s">
        <v>21</v>
      </c>
      <c r="F1422">
        <v>112.39</v>
      </c>
      <c r="G1422" t="s">
        <v>19</v>
      </c>
      <c r="H1422" t="s">
        <v>15</v>
      </c>
      <c r="I1422">
        <v>4.7</v>
      </c>
      <c r="J1422">
        <v>26</v>
      </c>
      <c r="K1422">
        <v>8</v>
      </c>
      <c r="L1422" s="4">
        <v>151.87837837837839</v>
      </c>
      <c r="M1422" s="4">
        <v>39.488378378378385</v>
      </c>
      <c r="N1422" t="s">
        <v>91</v>
      </c>
    </row>
    <row r="1423" spans="1:14">
      <c r="A1423">
        <v>1422</v>
      </c>
      <c r="B1423">
        <v>54</v>
      </c>
      <c r="C1423" t="s">
        <v>16</v>
      </c>
      <c r="D1423" t="s">
        <v>17</v>
      </c>
      <c r="E1423" t="s">
        <v>48</v>
      </c>
      <c r="F1423">
        <v>161.28</v>
      </c>
      <c r="G1423" t="s">
        <v>24</v>
      </c>
      <c r="H1423" t="s">
        <v>15</v>
      </c>
      <c r="I1423">
        <v>3.4</v>
      </c>
      <c r="J1423">
        <v>16</v>
      </c>
      <c r="K1423">
        <v>3</v>
      </c>
      <c r="L1423" s="4">
        <v>192</v>
      </c>
      <c r="M1423" s="4">
        <v>30.72</v>
      </c>
      <c r="N1423" t="s">
        <v>93</v>
      </c>
    </row>
    <row r="1424" spans="1:14">
      <c r="A1424">
        <v>1423</v>
      </c>
      <c r="B1424">
        <v>32</v>
      </c>
      <c r="C1424" t="s">
        <v>16</v>
      </c>
      <c r="D1424" t="s">
        <v>25</v>
      </c>
      <c r="E1424" t="s">
        <v>26</v>
      </c>
      <c r="F1424">
        <v>31.93</v>
      </c>
      <c r="G1424" t="s">
        <v>24</v>
      </c>
      <c r="H1424" t="s">
        <v>37</v>
      </c>
      <c r="I1424">
        <v>4.3</v>
      </c>
      <c r="J1424">
        <v>9</v>
      </c>
      <c r="K1424">
        <v>2</v>
      </c>
      <c r="L1424" s="4">
        <v>35.087912087912088</v>
      </c>
      <c r="M1424" s="4">
        <v>3.1579120879120879</v>
      </c>
      <c r="N1424" t="s">
        <v>91</v>
      </c>
    </row>
    <row r="1425" spans="1:14">
      <c r="A1425">
        <v>1424</v>
      </c>
      <c r="B1425">
        <v>26</v>
      </c>
      <c r="C1425" t="s">
        <v>11</v>
      </c>
      <c r="D1425" t="s">
        <v>41</v>
      </c>
      <c r="E1425" t="s">
        <v>45</v>
      </c>
      <c r="F1425">
        <v>53</v>
      </c>
      <c r="G1425" t="s">
        <v>19</v>
      </c>
      <c r="H1425" t="s">
        <v>37</v>
      </c>
      <c r="I1425">
        <v>4.4000000000000004</v>
      </c>
      <c r="J1425">
        <v>12</v>
      </c>
      <c r="K1425">
        <v>6</v>
      </c>
      <c r="L1425" s="4">
        <v>60.227272727272727</v>
      </c>
      <c r="M1425" s="4">
        <v>7.2272727272727266</v>
      </c>
      <c r="N1425" t="s">
        <v>91</v>
      </c>
    </row>
    <row r="1426" spans="1:14">
      <c r="A1426">
        <v>1425</v>
      </c>
      <c r="B1426">
        <v>22</v>
      </c>
      <c r="C1426" t="s">
        <v>11</v>
      </c>
      <c r="D1426" t="s">
        <v>41</v>
      </c>
      <c r="E1426" t="s">
        <v>45</v>
      </c>
      <c r="F1426">
        <v>64.8</v>
      </c>
      <c r="G1426" t="s">
        <v>14</v>
      </c>
      <c r="H1426" t="s">
        <v>37</v>
      </c>
      <c r="I1426">
        <v>2.7</v>
      </c>
      <c r="J1426">
        <v>19</v>
      </c>
      <c r="K1426">
        <v>7</v>
      </c>
      <c r="L1426" s="4">
        <v>79.999999999999986</v>
      </c>
      <c r="M1426" s="4">
        <v>15.199999999999989</v>
      </c>
      <c r="N1426" t="s">
        <v>100</v>
      </c>
    </row>
    <row r="1427" spans="1:14">
      <c r="A1427">
        <v>1426</v>
      </c>
      <c r="B1427">
        <v>61</v>
      </c>
      <c r="C1427" t="s">
        <v>11</v>
      </c>
      <c r="D1427" t="s">
        <v>22</v>
      </c>
      <c r="E1427" t="s">
        <v>52</v>
      </c>
      <c r="F1427">
        <v>74.16</v>
      </c>
      <c r="G1427" t="s">
        <v>31</v>
      </c>
      <c r="H1427" t="s">
        <v>37</v>
      </c>
      <c r="I1427">
        <v>4.8</v>
      </c>
      <c r="J1427">
        <v>18</v>
      </c>
      <c r="K1427">
        <v>4</v>
      </c>
      <c r="L1427" s="4">
        <v>90.439024390243887</v>
      </c>
      <c r="M1427" s="4">
        <v>16.27902439024389</v>
      </c>
      <c r="N1427" t="s">
        <v>94</v>
      </c>
    </row>
    <row r="1428" spans="1:14">
      <c r="A1428">
        <v>1427</v>
      </c>
      <c r="B1428">
        <v>67</v>
      </c>
      <c r="C1428" t="s">
        <v>16</v>
      </c>
      <c r="D1428" t="s">
        <v>20</v>
      </c>
      <c r="E1428" t="s">
        <v>39</v>
      </c>
      <c r="F1428">
        <v>238.74</v>
      </c>
      <c r="G1428" t="s">
        <v>24</v>
      </c>
      <c r="H1428" t="s">
        <v>15</v>
      </c>
      <c r="I1428">
        <v>3.4</v>
      </c>
      <c r="J1428">
        <v>26</v>
      </c>
      <c r="K1428">
        <v>8</v>
      </c>
      <c r="L1428" s="4">
        <v>322.62162162162161</v>
      </c>
      <c r="M1428" s="4">
        <v>83.881621621621605</v>
      </c>
      <c r="N1428" t="s">
        <v>95</v>
      </c>
    </row>
    <row r="1429" spans="1:14">
      <c r="A1429">
        <v>1428</v>
      </c>
      <c r="B1429">
        <v>28</v>
      </c>
      <c r="C1429" t="s">
        <v>16</v>
      </c>
      <c r="D1429" t="s">
        <v>17</v>
      </c>
      <c r="E1429" t="s">
        <v>48</v>
      </c>
      <c r="F1429">
        <v>30.21</v>
      </c>
      <c r="G1429" t="s">
        <v>24</v>
      </c>
      <c r="H1429" t="s">
        <v>15</v>
      </c>
      <c r="I1429">
        <v>3.7</v>
      </c>
      <c r="J1429">
        <v>14</v>
      </c>
      <c r="K1429">
        <v>2</v>
      </c>
      <c r="L1429" s="4">
        <v>35.127906976744185</v>
      </c>
      <c r="M1429" s="4">
        <v>4.9179069767441845</v>
      </c>
      <c r="N1429" t="s">
        <v>91</v>
      </c>
    </row>
    <row r="1430" spans="1:14">
      <c r="A1430">
        <v>1429</v>
      </c>
      <c r="B1430">
        <v>20</v>
      </c>
      <c r="C1430" t="s">
        <v>11</v>
      </c>
      <c r="D1430" t="s">
        <v>33</v>
      </c>
      <c r="E1430" t="s">
        <v>34</v>
      </c>
      <c r="F1430">
        <v>200.62</v>
      </c>
      <c r="G1430" t="s">
        <v>14</v>
      </c>
      <c r="H1430" t="s">
        <v>15</v>
      </c>
      <c r="I1430">
        <v>4.5999999999999996</v>
      </c>
      <c r="J1430">
        <v>12</v>
      </c>
      <c r="K1430">
        <v>6</v>
      </c>
      <c r="L1430" s="4">
        <v>227.97727272727272</v>
      </c>
      <c r="M1430" s="4">
        <v>27.357272727272715</v>
      </c>
      <c r="N1430" t="s">
        <v>100</v>
      </c>
    </row>
    <row r="1431" spans="1:14">
      <c r="A1431">
        <v>1430</v>
      </c>
      <c r="B1431">
        <v>25</v>
      </c>
      <c r="C1431" t="s">
        <v>16</v>
      </c>
      <c r="D1431" t="s">
        <v>20</v>
      </c>
      <c r="E1431" t="s">
        <v>39</v>
      </c>
      <c r="F1431">
        <v>238.55</v>
      </c>
      <c r="G1431" t="s">
        <v>19</v>
      </c>
      <c r="H1431" t="s">
        <v>15</v>
      </c>
      <c r="I1431">
        <v>4</v>
      </c>
      <c r="J1431">
        <v>12</v>
      </c>
      <c r="K1431">
        <v>6</v>
      </c>
      <c r="L1431" s="4">
        <v>271.07954545454544</v>
      </c>
      <c r="M1431" s="4">
        <v>32.529545454545428</v>
      </c>
      <c r="N1431" t="s">
        <v>91</v>
      </c>
    </row>
    <row r="1432" spans="1:14">
      <c r="A1432">
        <v>1431</v>
      </c>
      <c r="B1432">
        <v>28</v>
      </c>
      <c r="C1432" t="s">
        <v>11</v>
      </c>
      <c r="D1432" t="s">
        <v>41</v>
      </c>
      <c r="E1432" t="s">
        <v>46</v>
      </c>
      <c r="F1432">
        <v>159.04</v>
      </c>
      <c r="G1432" t="s">
        <v>19</v>
      </c>
      <c r="H1432" t="s">
        <v>15</v>
      </c>
      <c r="I1432">
        <v>4.8</v>
      </c>
      <c r="J1432">
        <v>26</v>
      </c>
      <c r="K1432">
        <v>8</v>
      </c>
      <c r="L1432" s="4">
        <v>214.91891891891891</v>
      </c>
      <c r="M1432" s="4">
        <v>55.878918918918913</v>
      </c>
      <c r="N1432" t="s">
        <v>91</v>
      </c>
    </row>
    <row r="1433" spans="1:14">
      <c r="A1433">
        <v>1432</v>
      </c>
      <c r="B1433">
        <v>21</v>
      </c>
      <c r="C1433" t="s">
        <v>16</v>
      </c>
      <c r="D1433" t="s">
        <v>25</v>
      </c>
      <c r="E1433" t="s">
        <v>47</v>
      </c>
      <c r="F1433">
        <v>63.05</v>
      </c>
      <c r="G1433" t="s">
        <v>14</v>
      </c>
      <c r="H1433" t="s">
        <v>37</v>
      </c>
      <c r="I1433">
        <v>4.3</v>
      </c>
      <c r="J1433">
        <v>21</v>
      </c>
      <c r="K1433">
        <v>8</v>
      </c>
      <c r="L1433" s="4">
        <v>79.810126582278471</v>
      </c>
      <c r="M1433" s="4">
        <v>16.760126582278474</v>
      </c>
      <c r="N1433" t="s">
        <v>100</v>
      </c>
    </row>
    <row r="1434" spans="1:14">
      <c r="A1434">
        <v>1433</v>
      </c>
      <c r="B1434">
        <v>35</v>
      </c>
      <c r="C1434" t="s">
        <v>16</v>
      </c>
      <c r="D1434" t="s">
        <v>27</v>
      </c>
      <c r="E1434" t="s">
        <v>32</v>
      </c>
      <c r="F1434">
        <v>2360.5</v>
      </c>
      <c r="G1434" t="s">
        <v>31</v>
      </c>
      <c r="H1434" t="s">
        <v>15</v>
      </c>
      <c r="I1434">
        <v>4.4000000000000004</v>
      </c>
      <c r="J1434">
        <v>12</v>
      </c>
      <c r="K1434">
        <v>6</v>
      </c>
      <c r="L1434" s="4">
        <v>2682.3863636363635</v>
      </c>
      <c r="M1434" s="4">
        <v>321.88636363636351</v>
      </c>
      <c r="N1434" t="s">
        <v>92</v>
      </c>
    </row>
    <row r="1435" spans="1:14">
      <c r="A1435">
        <v>1434</v>
      </c>
      <c r="B1435">
        <v>23</v>
      </c>
      <c r="C1435" t="s">
        <v>11</v>
      </c>
      <c r="D1435" t="s">
        <v>41</v>
      </c>
      <c r="E1435" t="s">
        <v>45</v>
      </c>
      <c r="F1435">
        <v>104.09</v>
      </c>
      <c r="G1435" t="s">
        <v>19</v>
      </c>
      <c r="H1435" t="s">
        <v>15</v>
      </c>
      <c r="I1435">
        <v>3.8</v>
      </c>
      <c r="J1435">
        <v>16</v>
      </c>
      <c r="K1435">
        <v>8</v>
      </c>
      <c r="L1435" s="4">
        <v>123.91666666666667</v>
      </c>
      <c r="M1435" s="4">
        <v>19.826666666666668</v>
      </c>
      <c r="N1435" t="s">
        <v>100</v>
      </c>
    </row>
    <row r="1436" spans="1:14">
      <c r="A1436">
        <v>1435</v>
      </c>
      <c r="B1436">
        <v>52</v>
      </c>
      <c r="C1436" t="s">
        <v>11</v>
      </c>
      <c r="D1436" t="s">
        <v>20</v>
      </c>
      <c r="E1436" t="s">
        <v>21</v>
      </c>
      <c r="F1436">
        <v>245.46</v>
      </c>
      <c r="G1436" t="s">
        <v>19</v>
      </c>
      <c r="H1436" t="s">
        <v>15</v>
      </c>
      <c r="I1436">
        <v>5</v>
      </c>
      <c r="J1436">
        <v>19</v>
      </c>
      <c r="K1436">
        <v>7</v>
      </c>
      <c r="L1436" s="4">
        <v>303.03703703703701</v>
      </c>
      <c r="M1436" s="4">
        <v>57.577037037037002</v>
      </c>
      <c r="N1436" t="s">
        <v>93</v>
      </c>
    </row>
    <row r="1437" spans="1:14">
      <c r="A1437">
        <v>1436</v>
      </c>
      <c r="B1437">
        <v>68</v>
      </c>
      <c r="C1437" t="s">
        <v>16</v>
      </c>
      <c r="D1437" t="s">
        <v>17</v>
      </c>
      <c r="E1437" t="s">
        <v>42</v>
      </c>
      <c r="F1437">
        <v>175.43</v>
      </c>
      <c r="G1437" t="s">
        <v>31</v>
      </c>
      <c r="H1437" t="s">
        <v>15</v>
      </c>
      <c r="I1437">
        <v>3.7</v>
      </c>
      <c r="J1437">
        <v>10</v>
      </c>
      <c r="K1437">
        <v>5</v>
      </c>
      <c r="L1437" s="4">
        <v>194.92222222222222</v>
      </c>
      <c r="M1437" s="4">
        <v>19.49222222222221</v>
      </c>
      <c r="N1437" t="s">
        <v>95</v>
      </c>
    </row>
    <row r="1438" spans="1:14">
      <c r="A1438">
        <v>1437</v>
      </c>
      <c r="B1438">
        <v>55</v>
      </c>
      <c r="C1438" t="s">
        <v>11</v>
      </c>
      <c r="D1438" t="s">
        <v>12</v>
      </c>
      <c r="E1438" t="s">
        <v>50</v>
      </c>
      <c r="F1438">
        <v>169.49</v>
      </c>
      <c r="G1438" t="s">
        <v>24</v>
      </c>
      <c r="H1438" t="s">
        <v>15</v>
      </c>
      <c r="I1438">
        <v>3.6</v>
      </c>
      <c r="J1438">
        <v>18</v>
      </c>
      <c r="K1438">
        <v>4</v>
      </c>
      <c r="L1438" s="4">
        <v>206.69512195121951</v>
      </c>
      <c r="M1438" s="4">
        <v>37.205121951219496</v>
      </c>
      <c r="N1438" t="s">
        <v>94</v>
      </c>
    </row>
    <row r="1439" spans="1:14">
      <c r="A1439">
        <v>1438</v>
      </c>
      <c r="B1439">
        <v>59</v>
      </c>
      <c r="C1439" t="s">
        <v>11</v>
      </c>
      <c r="D1439" t="s">
        <v>29</v>
      </c>
      <c r="E1439" t="s">
        <v>55</v>
      </c>
      <c r="F1439">
        <v>101.48</v>
      </c>
      <c r="G1439" t="s">
        <v>24</v>
      </c>
      <c r="H1439" t="s">
        <v>15</v>
      </c>
      <c r="I1439">
        <v>4.3</v>
      </c>
      <c r="J1439">
        <v>4</v>
      </c>
      <c r="K1439">
        <v>2</v>
      </c>
      <c r="L1439" s="4">
        <v>105.70833333333334</v>
      </c>
      <c r="M1439" s="4">
        <v>4.2283333333333388</v>
      </c>
      <c r="N1439" t="s">
        <v>94</v>
      </c>
    </row>
    <row r="1440" spans="1:14">
      <c r="A1440">
        <v>1439</v>
      </c>
      <c r="B1440">
        <v>22</v>
      </c>
      <c r="C1440" t="s">
        <v>16</v>
      </c>
      <c r="D1440" t="s">
        <v>27</v>
      </c>
      <c r="E1440" t="s">
        <v>49</v>
      </c>
      <c r="F1440">
        <v>2140.58</v>
      </c>
      <c r="G1440" t="s">
        <v>24</v>
      </c>
      <c r="H1440" t="s">
        <v>15</v>
      </c>
      <c r="I1440">
        <v>3.5</v>
      </c>
      <c r="J1440">
        <v>18</v>
      </c>
      <c r="K1440">
        <v>4</v>
      </c>
      <c r="L1440" s="4">
        <v>2610.4634146341459</v>
      </c>
      <c r="M1440" s="4">
        <v>469.88341463414599</v>
      </c>
      <c r="N1440" t="s">
        <v>100</v>
      </c>
    </row>
    <row r="1441" spans="1:14">
      <c r="A1441">
        <v>1440</v>
      </c>
      <c r="B1441">
        <v>47</v>
      </c>
      <c r="C1441" t="s">
        <v>16</v>
      </c>
      <c r="D1441" t="s">
        <v>20</v>
      </c>
      <c r="E1441" t="s">
        <v>21</v>
      </c>
      <c r="F1441">
        <v>203.57</v>
      </c>
      <c r="G1441" t="s">
        <v>14</v>
      </c>
      <c r="H1441" t="s">
        <v>15</v>
      </c>
      <c r="I1441">
        <v>3.7</v>
      </c>
      <c r="J1441">
        <v>16</v>
      </c>
      <c r="K1441">
        <v>3</v>
      </c>
      <c r="L1441" s="4">
        <v>242.3452380952381</v>
      </c>
      <c r="M1441" s="4">
        <v>38.775238095238109</v>
      </c>
      <c r="N1441" t="s">
        <v>93</v>
      </c>
    </row>
    <row r="1442" spans="1:14">
      <c r="A1442">
        <v>1441</v>
      </c>
      <c r="B1442">
        <v>40</v>
      </c>
      <c r="C1442" t="s">
        <v>11</v>
      </c>
      <c r="D1442" t="s">
        <v>41</v>
      </c>
      <c r="E1442" t="s">
        <v>45</v>
      </c>
      <c r="F1442">
        <v>139.26</v>
      </c>
      <c r="G1442" t="s">
        <v>19</v>
      </c>
      <c r="H1442" t="s">
        <v>15</v>
      </c>
      <c r="I1442">
        <v>3.3</v>
      </c>
      <c r="J1442">
        <v>24</v>
      </c>
      <c r="K1442">
        <v>7</v>
      </c>
      <c r="L1442" s="4">
        <v>183.23684210526315</v>
      </c>
      <c r="M1442" s="4">
        <v>43.97684210526316</v>
      </c>
      <c r="N1442" t="s">
        <v>92</v>
      </c>
    </row>
    <row r="1443" spans="1:14">
      <c r="A1443">
        <v>1442</v>
      </c>
      <c r="B1443">
        <v>67</v>
      </c>
      <c r="C1443" t="s">
        <v>11</v>
      </c>
      <c r="D1443" t="s">
        <v>41</v>
      </c>
      <c r="E1443" t="s">
        <v>45</v>
      </c>
      <c r="F1443">
        <v>67.400000000000006</v>
      </c>
      <c r="G1443" t="s">
        <v>19</v>
      </c>
      <c r="H1443" t="s">
        <v>37</v>
      </c>
      <c r="I1443">
        <v>3.3</v>
      </c>
      <c r="J1443">
        <v>22</v>
      </c>
      <c r="K1443">
        <v>6</v>
      </c>
      <c r="L1443" s="4">
        <v>86.410256410256409</v>
      </c>
      <c r="M1443" s="4">
        <v>19.010256410256403</v>
      </c>
      <c r="N1443" t="s">
        <v>95</v>
      </c>
    </row>
    <row r="1444" spans="1:14">
      <c r="A1444">
        <v>1443</v>
      </c>
      <c r="B1444">
        <v>34</v>
      </c>
      <c r="C1444" t="s">
        <v>11</v>
      </c>
      <c r="D1444" t="s">
        <v>29</v>
      </c>
      <c r="E1444" t="s">
        <v>51</v>
      </c>
      <c r="F1444">
        <v>116.44</v>
      </c>
      <c r="G1444" t="s">
        <v>31</v>
      </c>
      <c r="H1444" t="s">
        <v>15</v>
      </c>
      <c r="I1444">
        <v>4</v>
      </c>
      <c r="J1444">
        <v>25</v>
      </c>
      <c r="K1444">
        <v>10</v>
      </c>
      <c r="L1444" s="4">
        <v>155.25333333333333</v>
      </c>
      <c r="M1444" s="4">
        <v>38.813333333333333</v>
      </c>
      <c r="N1444" t="s">
        <v>91</v>
      </c>
    </row>
    <row r="1445" spans="1:14">
      <c r="A1445">
        <v>1444</v>
      </c>
      <c r="B1445">
        <v>50</v>
      </c>
      <c r="C1445" t="s">
        <v>16</v>
      </c>
      <c r="D1445" t="s">
        <v>20</v>
      </c>
      <c r="E1445" t="s">
        <v>36</v>
      </c>
      <c r="F1445">
        <v>184.94</v>
      </c>
      <c r="G1445" t="s">
        <v>31</v>
      </c>
      <c r="H1445" t="s">
        <v>15</v>
      </c>
      <c r="I1445">
        <v>2.5</v>
      </c>
      <c r="J1445">
        <v>8</v>
      </c>
      <c r="K1445">
        <v>4</v>
      </c>
      <c r="L1445" s="4">
        <v>201.02173913043478</v>
      </c>
      <c r="M1445" s="4">
        <v>16.081739130434784</v>
      </c>
      <c r="N1445" t="s">
        <v>93</v>
      </c>
    </row>
    <row r="1446" spans="1:14">
      <c r="A1446">
        <v>1445</v>
      </c>
      <c r="B1446">
        <v>70</v>
      </c>
      <c r="C1446" t="s">
        <v>11</v>
      </c>
      <c r="D1446" t="s">
        <v>12</v>
      </c>
      <c r="E1446" t="s">
        <v>56</v>
      </c>
      <c r="F1446">
        <v>103.96</v>
      </c>
      <c r="G1446" t="s">
        <v>24</v>
      </c>
      <c r="H1446" t="s">
        <v>15</v>
      </c>
      <c r="I1446">
        <v>5</v>
      </c>
      <c r="J1446">
        <v>2</v>
      </c>
      <c r="K1446">
        <v>1</v>
      </c>
      <c r="L1446" s="4">
        <v>106.08163265306122</v>
      </c>
      <c r="M1446" s="4">
        <v>2.1216326530612264</v>
      </c>
      <c r="N1446" t="s">
        <v>95</v>
      </c>
    </row>
    <row r="1447" spans="1:14">
      <c r="A1447">
        <v>1446</v>
      </c>
      <c r="B1447">
        <v>49</v>
      </c>
      <c r="C1447" t="s">
        <v>16</v>
      </c>
      <c r="D1447" t="s">
        <v>17</v>
      </c>
      <c r="E1447" t="s">
        <v>18</v>
      </c>
      <c r="F1447">
        <v>181.17</v>
      </c>
      <c r="G1447" t="s">
        <v>19</v>
      </c>
      <c r="H1447" t="s">
        <v>15</v>
      </c>
      <c r="I1447">
        <v>4.4000000000000004</v>
      </c>
      <c r="J1447">
        <v>18</v>
      </c>
      <c r="K1447">
        <v>4</v>
      </c>
      <c r="L1447" s="4">
        <v>220.93902439024387</v>
      </c>
      <c r="M1447" s="4">
        <v>39.769024390243885</v>
      </c>
      <c r="N1447" t="s">
        <v>93</v>
      </c>
    </row>
    <row r="1448" spans="1:14">
      <c r="A1448">
        <v>1447</v>
      </c>
      <c r="B1448">
        <v>30</v>
      </c>
      <c r="C1448" t="s">
        <v>11</v>
      </c>
      <c r="D1448" t="s">
        <v>29</v>
      </c>
      <c r="E1448" t="s">
        <v>55</v>
      </c>
      <c r="F1448">
        <v>68.95</v>
      </c>
      <c r="G1448" t="s">
        <v>31</v>
      </c>
      <c r="H1448" t="s">
        <v>15</v>
      </c>
      <c r="I1448">
        <v>4.4000000000000004</v>
      </c>
      <c r="J1448">
        <v>22</v>
      </c>
      <c r="K1448">
        <v>6</v>
      </c>
      <c r="L1448" s="4">
        <v>88.397435897435898</v>
      </c>
      <c r="M1448" s="4">
        <v>19.447435897435895</v>
      </c>
      <c r="N1448" t="s">
        <v>91</v>
      </c>
    </row>
    <row r="1449" spans="1:14">
      <c r="A1449">
        <v>1448</v>
      </c>
      <c r="B1449">
        <v>66</v>
      </c>
      <c r="C1449" t="s">
        <v>16</v>
      </c>
      <c r="D1449" t="s">
        <v>33</v>
      </c>
      <c r="E1449" t="s">
        <v>40</v>
      </c>
      <c r="F1449">
        <v>111.46</v>
      </c>
      <c r="G1449" t="s">
        <v>14</v>
      </c>
      <c r="H1449" t="s">
        <v>15</v>
      </c>
      <c r="I1449">
        <v>2.2999999999999998</v>
      </c>
      <c r="J1449">
        <v>10</v>
      </c>
      <c r="K1449">
        <v>0</v>
      </c>
      <c r="L1449" s="4">
        <v>123.84444444444443</v>
      </c>
      <c r="M1449" s="4">
        <v>12.384444444444441</v>
      </c>
      <c r="N1449" t="s">
        <v>95</v>
      </c>
    </row>
    <row r="1450" spans="1:14">
      <c r="A1450">
        <v>1449</v>
      </c>
      <c r="B1450">
        <v>46</v>
      </c>
      <c r="C1450" t="s">
        <v>11</v>
      </c>
      <c r="D1450" t="s">
        <v>41</v>
      </c>
      <c r="E1450" t="s">
        <v>45</v>
      </c>
      <c r="F1450">
        <v>145.36000000000001</v>
      </c>
      <c r="G1450" t="s">
        <v>31</v>
      </c>
      <c r="H1450" t="s">
        <v>15</v>
      </c>
      <c r="I1450">
        <v>4.3</v>
      </c>
      <c r="J1450">
        <v>22</v>
      </c>
      <c r="K1450">
        <v>6</v>
      </c>
      <c r="L1450" s="4">
        <v>186.35897435897436</v>
      </c>
      <c r="M1450" s="4">
        <v>40.998974358974351</v>
      </c>
      <c r="N1450" t="s">
        <v>93</v>
      </c>
    </row>
    <row r="1451" spans="1:14">
      <c r="A1451">
        <v>1450</v>
      </c>
      <c r="B1451">
        <v>40</v>
      </c>
      <c r="C1451" t="s">
        <v>11</v>
      </c>
      <c r="D1451" t="s">
        <v>29</v>
      </c>
      <c r="E1451" t="s">
        <v>30</v>
      </c>
      <c r="F1451">
        <v>46.27</v>
      </c>
      <c r="G1451" t="s">
        <v>19</v>
      </c>
      <c r="H1451" t="s">
        <v>15</v>
      </c>
      <c r="I1451">
        <v>4.5</v>
      </c>
      <c r="J1451">
        <v>18</v>
      </c>
      <c r="K1451">
        <v>4</v>
      </c>
      <c r="L1451" s="4">
        <v>56.426829268292686</v>
      </c>
      <c r="M1451" s="4">
        <v>10.156829268292682</v>
      </c>
      <c r="N1451" t="s">
        <v>92</v>
      </c>
    </row>
    <row r="1452" spans="1:14">
      <c r="A1452">
        <v>1451</v>
      </c>
      <c r="B1452">
        <v>38</v>
      </c>
      <c r="C1452" t="s">
        <v>16</v>
      </c>
      <c r="D1452" t="s">
        <v>17</v>
      </c>
      <c r="E1452" t="s">
        <v>18</v>
      </c>
      <c r="F1452">
        <v>57.51</v>
      </c>
      <c r="G1452" t="s">
        <v>24</v>
      </c>
      <c r="H1452" t="s">
        <v>37</v>
      </c>
      <c r="I1452">
        <v>3.9</v>
      </c>
      <c r="J1452">
        <v>9</v>
      </c>
      <c r="K1452">
        <v>2</v>
      </c>
      <c r="L1452" s="4">
        <v>63.19780219780219</v>
      </c>
      <c r="M1452" s="4">
        <v>5.687802197802192</v>
      </c>
      <c r="N1452" t="s">
        <v>92</v>
      </c>
    </row>
    <row r="1453" spans="1:14">
      <c r="A1453">
        <v>1452</v>
      </c>
      <c r="B1453">
        <v>55</v>
      </c>
      <c r="C1453" t="s">
        <v>11</v>
      </c>
      <c r="D1453" t="s">
        <v>41</v>
      </c>
      <c r="E1453" t="s">
        <v>42</v>
      </c>
      <c r="F1453">
        <v>138.96</v>
      </c>
      <c r="G1453" t="s">
        <v>14</v>
      </c>
      <c r="H1453" t="s">
        <v>15</v>
      </c>
      <c r="I1453">
        <v>4.7</v>
      </c>
      <c r="J1453">
        <v>25</v>
      </c>
      <c r="K1453">
        <v>10</v>
      </c>
      <c r="L1453" s="4">
        <v>185.28</v>
      </c>
      <c r="M1453" s="4">
        <v>46.319999999999993</v>
      </c>
      <c r="N1453" t="s">
        <v>94</v>
      </c>
    </row>
    <row r="1454" spans="1:14">
      <c r="A1454">
        <v>1453</v>
      </c>
      <c r="B1454">
        <v>63</v>
      </c>
      <c r="C1454" t="s">
        <v>16</v>
      </c>
      <c r="D1454" t="s">
        <v>17</v>
      </c>
      <c r="E1454" t="s">
        <v>35</v>
      </c>
      <c r="F1454">
        <v>47.65</v>
      </c>
      <c r="G1454" t="s">
        <v>24</v>
      </c>
      <c r="H1454" t="s">
        <v>15</v>
      </c>
      <c r="I1454">
        <v>4.4000000000000004</v>
      </c>
      <c r="J1454">
        <v>19</v>
      </c>
      <c r="K1454">
        <v>7</v>
      </c>
      <c r="L1454" s="4">
        <v>58.827160493827158</v>
      </c>
      <c r="M1454" s="4">
        <v>11.177160493827159</v>
      </c>
      <c r="N1454" t="s">
        <v>94</v>
      </c>
    </row>
    <row r="1455" spans="1:14">
      <c r="A1455">
        <v>1454</v>
      </c>
      <c r="B1455">
        <v>44</v>
      </c>
      <c r="C1455" t="s">
        <v>11</v>
      </c>
      <c r="D1455" t="s">
        <v>12</v>
      </c>
      <c r="E1455" t="s">
        <v>13</v>
      </c>
      <c r="F1455">
        <v>154.97999999999999</v>
      </c>
      <c r="G1455" t="s">
        <v>19</v>
      </c>
      <c r="H1455" t="s">
        <v>15</v>
      </c>
      <c r="I1455">
        <v>3.8</v>
      </c>
      <c r="J1455">
        <v>26</v>
      </c>
      <c r="K1455">
        <v>8</v>
      </c>
      <c r="L1455" s="4">
        <v>209.43243243243242</v>
      </c>
      <c r="M1455" s="4">
        <v>54.452432432432431</v>
      </c>
      <c r="N1455" t="s">
        <v>92</v>
      </c>
    </row>
    <row r="1456" spans="1:14">
      <c r="A1456">
        <v>1455</v>
      </c>
      <c r="B1456">
        <v>58</v>
      </c>
      <c r="C1456" t="s">
        <v>16</v>
      </c>
      <c r="D1456" t="s">
        <v>25</v>
      </c>
      <c r="E1456" t="s">
        <v>26</v>
      </c>
      <c r="F1456">
        <v>60.75</v>
      </c>
      <c r="G1456" t="s">
        <v>14</v>
      </c>
      <c r="H1456" t="s">
        <v>37</v>
      </c>
      <c r="I1456">
        <v>4.5</v>
      </c>
      <c r="J1456">
        <v>25</v>
      </c>
      <c r="K1456">
        <v>10</v>
      </c>
      <c r="L1456" s="4">
        <v>81</v>
      </c>
      <c r="M1456" s="4">
        <v>20.25</v>
      </c>
      <c r="N1456" t="s">
        <v>94</v>
      </c>
    </row>
    <row r="1457" spans="1:14">
      <c r="A1457">
        <v>1456</v>
      </c>
      <c r="B1457">
        <v>51</v>
      </c>
      <c r="C1457" t="s">
        <v>11</v>
      </c>
      <c r="D1457" t="s">
        <v>41</v>
      </c>
      <c r="E1457" t="s">
        <v>44</v>
      </c>
      <c r="F1457">
        <v>102.64</v>
      </c>
      <c r="G1457" t="s">
        <v>19</v>
      </c>
      <c r="H1457" t="s">
        <v>15</v>
      </c>
      <c r="I1457">
        <v>3.9</v>
      </c>
      <c r="J1457">
        <v>10</v>
      </c>
      <c r="K1457">
        <v>5</v>
      </c>
      <c r="L1457" s="4">
        <v>114.04444444444444</v>
      </c>
      <c r="M1457" s="4">
        <v>11.404444444444437</v>
      </c>
      <c r="N1457" t="s">
        <v>93</v>
      </c>
    </row>
    <row r="1458" spans="1:14">
      <c r="A1458">
        <v>1457</v>
      </c>
      <c r="B1458">
        <v>21</v>
      </c>
      <c r="C1458" t="s">
        <v>11</v>
      </c>
      <c r="D1458" t="s">
        <v>12</v>
      </c>
      <c r="E1458" t="s">
        <v>56</v>
      </c>
      <c r="F1458">
        <v>98.79</v>
      </c>
      <c r="G1458" t="s">
        <v>14</v>
      </c>
      <c r="H1458" t="s">
        <v>15</v>
      </c>
      <c r="I1458">
        <v>3.3</v>
      </c>
      <c r="J1458">
        <v>4</v>
      </c>
      <c r="K1458">
        <v>2</v>
      </c>
      <c r="L1458" s="4">
        <v>102.90625000000001</v>
      </c>
      <c r="M1458" s="4">
        <v>4.116250000000008</v>
      </c>
      <c r="N1458" t="s">
        <v>100</v>
      </c>
    </row>
    <row r="1459" spans="1:14">
      <c r="A1459">
        <v>1458</v>
      </c>
      <c r="B1459">
        <v>33</v>
      </c>
      <c r="C1459" t="s">
        <v>16</v>
      </c>
      <c r="D1459" t="s">
        <v>27</v>
      </c>
      <c r="E1459" t="s">
        <v>49</v>
      </c>
      <c r="F1459">
        <v>2572.06</v>
      </c>
      <c r="G1459" t="s">
        <v>14</v>
      </c>
      <c r="H1459" t="s">
        <v>15</v>
      </c>
      <c r="I1459">
        <v>2.7</v>
      </c>
      <c r="J1459">
        <v>21</v>
      </c>
      <c r="K1459">
        <v>8</v>
      </c>
      <c r="L1459" s="4">
        <v>3255.7721518987341</v>
      </c>
      <c r="M1459" s="4">
        <v>683.71215189873419</v>
      </c>
      <c r="N1459" t="s">
        <v>91</v>
      </c>
    </row>
    <row r="1460" spans="1:14">
      <c r="A1460">
        <v>1459</v>
      </c>
      <c r="B1460">
        <v>26</v>
      </c>
      <c r="C1460" t="s">
        <v>11</v>
      </c>
      <c r="D1460" t="s">
        <v>33</v>
      </c>
      <c r="E1460" t="s">
        <v>38</v>
      </c>
      <c r="F1460">
        <v>240.32</v>
      </c>
      <c r="G1460" t="s">
        <v>14</v>
      </c>
      <c r="H1460" t="s">
        <v>15</v>
      </c>
      <c r="I1460">
        <v>4.2</v>
      </c>
      <c r="J1460">
        <v>18</v>
      </c>
      <c r="K1460">
        <v>9</v>
      </c>
      <c r="L1460" s="4">
        <v>293.07317073170731</v>
      </c>
      <c r="M1460" s="4">
        <v>52.753170731707314</v>
      </c>
      <c r="N1460" t="s">
        <v>91</v>
      </c>
    </row>
    <row r="1461" spans="1:14">
      <c r="A1461">
        <v>1460</v>
      </c>
      <c r="B1461">
        <v>30</v>
      </c>
      <c r="C1461" t="s">
        <v>11</v>
      </c>
      <c r="D1461" t="s">
        <v>20</v>
      </c>
      <c r="E1461" t="s">
        <v>36</v>
      </c>
      <c r="F1461">
        <v>238.27</v>
      </c>
      <c r="G1461" t="s">
        <v>31</v>
      </c>
      <c r="H1461" t="s">
        <v>15</v>
      </c>
      <c r="I1461">
        <v>2.7</v>
      </c>
      <c r="J1461">
        <v>13</v>
      </c>
      <c r="K1461">
        <v>4</v>
      </c>
      <c r="L1461" s="4">
        <v>273.87356321839081</v>
      </c>
      <c r="M1461" s="4">
        <v>35.603563218390804</v>
      </c>
      <c r="N1461" t="s">
        <v>91</v>
      </c>
    </row>
    <row r="1462" spans="1:14">
      <c r="A1462">
        <v>1461</v>
      </c>
      <c r="B1462">
        <v>23</v>
      </c>
      <c r="C1462" t="s">
        <v>11</v>
      </c>
      <c r="D1462" t="s">
        <v>20</v>
      </c>
      <c r="E1462" t="s">
        <v>36</v>
      </c>
      <c r="F1462">
        <v>115.62</v>
      </c>
      <c r="G1462" t="s">
        <v>19</v>
      </c>
      <c r="H1462" t="s">
        <v>15</v>
      </c>
      <c r="I1462">
        <v>5</v>
      </c>
      <c r="J1462">
        <v>13</v>
      </c>
      <c r="K1462">
        <v>4</v>
      </c>
      <c r="L1462" s="4">
        <v>132.89655172413794</v>
      </c>
      <c r="M1462" s="4">
        <v>17.276551724137931</v>
      </c>
      <c r="N1462" t="s">
        <v>100</v>
      </c>
    </row>
    <row r="1463" spans="1:14">
      <c r="A1463">
        <v>1462</v>
      </c>
      <c r="B1463">
        <v>26</v>
      </c>
      <c r="C1463" t="s">
        <v>11</v>
      </c>
      <c r="D1463" t="s">
        <v>41</v>
      </c>
      <c r="E1463" t="s">
        <v>45</v>
      </c>
      <c r="F1463">
        <v>73.14</v>
      </c>
      <c r="G1463" t="s">
        <v>19</v>
      </c>
      <c r="H1463" t="s">
        <v>15</v>
      </c>
      <c r="I1463">
        <v>2.9</v>
      </c>
      <c r="J1463">
        <v>11</v>
      </c>
      <c r="K1463">
        <v>3</v>
      </c>
      <c r="L1463" s="4">
        <v>82.17977528089888</v>
      </c>
      <c r="M1463" s="4">
        <v>9.0397752808988798</v>
      </c>
      <c r="N1463" t="s">
        <v>91</v>
      </c>
    </row>
    <row r="1464" spans="1:14">
      <c r="A1464">
        <v>1463</v>
      </c>
      <c r="B1464">
        <v>68</v>
      </c>
      <c r="C1464" t="s">
        <v>16</v>
      </c>
      <c r="D1464" t="s">
        <v>33</v>
      </c>
      <c r="E1464" t="s">
        <v>34</v>
      </c>
      <c r="F1464">
        <v>161.34</v>
      </c>
      <c r="G1464" t="s">
        <v>19</v>
      </c>
      <c r="H1464" t="s">
        <v>15</v>
      </c>
      <c r="I1464">
        <v>4.0999999999999996</v>
      </c>
      <c r="J1464">
        <v>10</v>
      </c>
      <c r="K1464">
        <v>5</v>
      </c>
      <c r="L1464" s="4">
        <v>179.26666666666668</v>
      </c>
      <c r="M1464" s="4">
        <v>17.926666666666677</v>
      </c>
      <c r="N1464" t="s">
        <v>95</v>
      </c>
    </row>
    <row r="1465" spans="1:14">
      <c r="A1465">
        <v>1464</v>
      </c>
      <c r="B1465">
        <v>64</v>
      </c>
      <c r="C1465" t="s">
        <v>16</v>
      </c>
      <c r="D1465" t="s">
        <v>17</v>
      </c>
      <c r="E1465" t="s">
        <v>18</v>
      </c>
      <c r="F1465">
        <v>199.98</v>
      </c>
      <c r="G1465" t="s">
        <v>24</v>
      </c>
      <c r="H1465" t="s">
        <v>15</v>
      </c>
      <c r="I1465">
        <v>3.6</v>
      </c>
      <c r="J1465">
        <v>26</v>
      </c>
      <c r="K1465">
        <v>8</v>
      </c>
      <c r="L1465" s="4">
        <v>270.24324324324323</v>
      </c>
      <c r="M1465" s="4">
        <v>70.263243243243238</v>
      </c>
      <c r="N1465" t="s">
        <v>94</v>
      </c>
    </row>
    <row r="1466" spans="1:14">
      <c r="A1466">
        <v>1465</v>
      </c>
      <c r="B1466">
        <v>65</v>
      </c>
      <c r="C1466" t="s">
        <v>11</v>
      </c>
      <c r="D1466" t="s">
        <v>12</v>
      </c>
      <c r="E1466" t="s">
        <v>50</v>
      </c>
      <c r="F1466">
        <v>138.32</v>
      </c>
      <c r="G1466" t="s">
        <v>31</v>
      </c>
      <c r="H1466" t="s">
        <v>15</v>
      </c>
      <c r="I1466">
        <v>4.9000000000000004</v>
      </c>
      <c r="J1466">
        <v>6</v>
      </c>
      <c r="K1466">
        <v>3</v>
      </c>
      <c r="L1466" s="4">
        <v>147.14893617021278</v>
      </c>
      <c r="M1466" s="4">
        <v>8.8289361702127849</v>
      </c>
      <c r="N1466" t="s">
        <v>95</v>
      </c>
    </row>
    <row r="1467" spans="1:14">
      <c r="A1467">
        <v>1466</v>
      </c>
      <c r="B1467">
        <v>68</v>
      </c>
      <c r="C1467" t="s">
        <v>16</v>
      </c>
      <c r="D1467" t="s">
        <v>17</v>
      </c>
      <c r="E1467" t="s">
        <v>42</v>
      </c>
      <c r="F1467">
        <v>173.95</v>
      </c>
      <c r="G1467" t="s">
        <v>14</v>
      </c>
      <c r="H1467" t="s">
        <v>15</v>
      </c>
      <c r="I1467">
        <v>3.8</v>
      </c>
      <c r="J1467">
        <v>13</v>
      </c>
      <c r="K1467">
        <v>4</v>
      </c>
      <c r="L1467" s="4">
        <v>199.94252873563218</v>
      </c>
      <c r="M1467" s="4">
        <v>25.992528735632192</v>
      </c>
      <c r="N1467" t="s">
        <v>95</v>
      </c>
    </row>
    <row r="1468" spans="1:14">
      <c r="A1468">
        <v>1467</v>
      </c>
      <c r="B1468">
        <v>51</v>
      </c>
      <c r="C1468" t="s">
        <v>16</v>
      </c>
      <c r="D1468" t="s">
        <v>20</v>
      </c>
      <c r="E1468" t="s">
        <v>39</v>
      </c>
      <c r="F1468">
        <v>155.72999999999999</v>
      </c>
      <c r="G1468" t="s">
        <v>31</v>
      </c>
      <c r="H1468" t="s">
        <v>15</v>
      </c>
      <c r="I1468">
        <v>4.5999999999999996</v>
      </c>
      <c r="J1468">
        <v>19</v>
      </c>
      <c r="K1468">
        <v>7</v>
      </c>
      <c r="L1468" s="4">
        <v>192.25925925925924</v>
      </c>
      <c r="M1468" s="4">
        <v>36.529259259259248</v>
      </c>
      <c r="N1468" t="s">
        <v>93</v>
      </c>
    </row>
    <row r="1469" spans="1:14">
      <c r="A1469">
        <v>1468</v>
      </c>
      <c r="B1469">
        <v>43</v>
      </c>
      <c r="C1469" t="s">
        <v>16</v>
      </c>
      <c r="D1469" t="s">
        <v>27</v>
      </c>
      <c r="E1469" t="s">
        <v>32</v>
      </c>
      <c r="F1469">
        <v>1286.3599999999999</v>
      </c>
      <c r="G1469" t="s">
        <v>14</v>
      </c>
      <c r="H1469" t="s">
        <v>15</v>
      </c>
      <c r="I1469">
        <v>3.3</v>
      </c>
      <c r="J1469">
        <v>4</v>
      </c>
      <c r="K1469">
        <v>2</v>
      </c>
      <c r="L1469" s="4">
        <v>1339.9583333333333</v>
      </c>
      <c r="M1469" s="4">
        <v>53.598333333333358</v>
      </c>
      <c r="N1469" t="s">
        <v>92</v>
      </c>
    </row>
    <row r="1470" spans="1:14">
      <c r="A1470">
        <v>1469</v>
      </c>
      <c r="B1470">
        <v>39</v>
      </c>
      <c r="C1470" t="s">
        <v>16</v>
      </c>
      <c r="D1470" t="s">
        <v>33</v>
      </c>
      <c r="E1470" t="s">
        <v>38</v>
      </c>
      <c r="F1470">
        <v>178.64</v>
      </c>
      <c r="G1470" t="s">
        <v>31</v>
      </c>
      <c r="H1470" t="s">
        <v>15</v>
      </c>
      <c r="I1470">
        <v>3.8</v>
      </c>
      <c r="J1470">
        <v>20</v>
      </c>
      <c r="K1470">
        <v>5</v>
      </c>
      <c r="L1470" s="4">
        <v>223.29999999999998</v>
      </c>
      <c r="M1470" s="4">
        <v>44.66</v>
      </c>
      <c r="N1470" t="s">
        <v>92</v>
      </c>
    </row>
    <row r="1471" spans="1:14">
      <c r="A1471">
        <v>1470</v>
      </c>
      <c r="B1471">
        <v>56</v>
      </c>
      <c r="C1471" t="s">
        <v>11</v>
      </c>
      <c r="D1471" t="s">
        <v>29</v>
      </c>
      <c r="E1471" t="s">
        <v>55</v>
      </c>
      <c r="F1471">
        <v>48.87</v>
      </c>
      <c r="G1471" t="s">
        <v>24</v>
      </c>
      <c r="H1471" t="s">
        <v>15</v>
      </c>
      <c r="I1471">
        <v>3.9</v>
      </c>
      <c r="J1471">
        <v>16</v>
      </c>
      <c r="K1471">
        <v>3</v>
      </c>
      <c r="L1471" s="4">
        <v>58.178571428571431</v>
      </c>
      <c r="M1471" s="4">
        <v>9.3085714285714332</v>
      </c>
      <c r="N1471" t="s">
        <v>94</v>
      </c>
    </row>
    <row r="1472" spans="1:14">
      <c r="A1472">
        <v>1471</v>
      </c>
      <c r="B1472">
        <v>53</v>
      </c>
      <c r="C1472" t="s">
        <v>11</v>
      </c>
      <c r="D1472" t="s">
        <v>12</v>
      </c>
      <c r="E1472" t="s">
        <v>56</v>
      </c>
      <c r="F1472">
        <v>56.39</v>
      </c>
      <c r="G1472" t="s">
        <v>14</v>
      </c>
      <c r="H1472" t="s">
        <v>15</v>
      </c>
      <c r="I1472">
        <v>3.1</v>
      </c>
      <c r="J1472">
        <v>18</v>
      </c>
      <c r="K1472">
        <v>4</v>
      </c>
      <c r="L1472" s="4">
        <v>68.768292682926827</v>
      </c>
      <c r="M1472" s="4">
        <v>12.378292682926826</v>
      </c>
      <c r="N1472" t="s">
        <v>93</v>
      </c>
    </row>
    <row r="1473" spans="1:14">
      <c r="A1473">
        <v>1472</v>
      </c>
      <c r="B1473">
        <v>46</v>
      </c>
      <c r="C1473" t="s">
        <v>16</v>
      </c>
      <c r="D1473" t="s">
        <v>25</v>
      </c>
      <c r="E1473" t="s">
        <v>54</v>
      </c>
      <c r="F1473">
        <v>53.3</v>
      </c>
      <c r="G1473" t="s">
        <v>14</v>
      </c>
      <c r="H1473" t="s">
        <v>15</v>
      </c>
      <c r="I1473">
        <v>2.9</v>
      </c>
      <c r="J1473">
        <v>13</v>
      </c>
      <c r="K1473">
        <v>4</v>
      </c>
      <c r="L1473" s="4">
        <v>61.264367816091948</v>
      </c>
      <c r="M1473" s="4">
        <v>7.9643678160919507</v>
      </c>
      <c r="N1473" t="s">
        <v>93</v>
      </c>
    </row>
    <row r="1474" spans="1:14">
      <c r="A1474">
        <v>1473</v>
      </c>
      <c r="B1474">
        <v>67</v>
      </c>
      <c r="C1474" t="s">
        <v>16</v>
      </c>
      <c r="D1474" t="s">
        <v>17</v>
      </c>
      <c r="E1474" t="s">
        <v>35</v>
      </c>
      <c r="F1474">
        <v>62.98</v>
      </c>
      <c r="G1474" t="s">
        <v>31</v>
      </c>
      <c r="H1474" t="s">
        <v>37</v>
      </c>
      <c r="I1474">
        <v>4.2</v>
      </c>
      <c r="J1474">
        <v>6</v>
      </c>
      <c r="K1474">
        <v>3</v>
      </c>
      <c r="L1474" s="4">
        <v>67</v>
      </c>
      <c r="M1474" s="4">
        <v>4.0200000000000031</v>
      </c>
      <c r="N1474" t="s">
        <v>95</v>
      </c>
    </row>
    <row r="1475" spans="1:14">
      <c r="A1475">
        <v>1474</v>
      </c>
      <c r="B1475">
        <v>59</v>
      </c>
      <c r="C1475" t="s">
        <v>16</v>
      </c>
      <c r="D1475" t="s">
        <v>20</v>
      </c>
      <c r="E1475" t="s">
        <v>21</v>
      </c>
      <c r="F1475">
        <v>152.31</v>
      </c>
      <c r="G1475" t="s">
        <v>14</v>
      </c>
      <c r="H1475" t="s">
        <v>15</v>
      </c>
      <c r="I1475">
        <v>3.9</v>
      </c>
      <c r="J1475">
        <v>16</v>
      </c>
      <c r="K1475">
        <v>3</v>
      </c>
      <c r="L1475" s="4">
        <v>181.32142857142858</v>
      </c>
      <c r="M1475" s="4">
        <v>29.011428571428581</v>
      </c>
      <c r="N1475" t="s">
        <v>94</v>
      </c>
    </row>
    <row r="1476" spans="1:14">
      <c r="A1476">
        <v>1475</v>
      </c>
      <c r="B1476">
        <v>51</v>
      </c>
      <c r="C1476" t="s">
        <v>11</v>
      </c>
      <c r="D1476" t="s">
        <v>29</v>
      </c>
      <c r="E1476" t="s">
        <v>55</v>
      </c>
      <c r="F1476">
        <v>46.25</v>
      </c>
      <c r="G1476" t="s">
        <v>24</v>
      </c>
      <c r="H1476" t="s">
        <v>15</v>
      </c>
      <c r="I1476">
        <v>3.9</v>
      </c>
      <c r="J1476">
        <v>18</v>
      </c>
      <c r="K1476">
        <v>4</v>
      </c>
      <c r="L1476" s="4">
        <v>56.40243902439024</v>
      </c>
      <c r="M1476" s="4">
        <v>10.15243902439024</v>
      </c>
      <c r="N1476" t="s">
        <v>93</v>
      </c>
    </row>
    <row r="1477" spans="1:14">
      <c r="A1477">
        <v>1476</v>
      </c>
      <c r="B1477">
        <v>22</v>
      </c>
      <c r="C1477" t="s">
        <v>11</v>
      </c>
      <c r="D1477" t="s">
        <v>33</v>
      </c>
      <c r="E1477" t="s">
        <v>34</v>
      </c>
      <c r="F1477">
        <v>217.07</v>
      </c>
      <c r="G1477" t="s">
        <v>24</v>
      </c>
      <c r="H1477" t="s">
        <v>15</v>
      </c>
      <c r="I1477">
        <v>3.4</v>
      </c>
      <c r="J1477">
        <v>16</v>
      </c>
      <c r="K1477">
        <v>3</v>
      </c>
      <c r="L1477" s="4">
        <v>258.41666666666669</v>
      </c>
      <c r="M1477" s="4">
        <v>41.346666666666692</v>
      </c>
      <c r="N1477" t="s">
        <v>100</v>
      </c>
    </row>
    <row r="1478" spans="1:14">
      <c r="A1478">
        <v>1477</v>
      </c>
      <c r="B1478">
        <v>53</v>
      </c>
      <c r="C1478" t="s">
        <v>11</v>
      </c>
      <c r="D1478" t="s">
        <v>12</v>
      </c>
      <c r="E1478" t="s">
        <v>50</v>
      </c>
      <c r="F1478">
        <v>46.68</v>
      </c>
      <c r="G1478" t="s">
        <v>14</v>
      </c>
      <c r="H1478" t="s">
        <v>37</v>
      </c>
      <c r="I1478">
        <v>4.4000000000000004</v>
      </c>
      <c r="J1478">
        <v>12</v>
      </c>
      <c r="K1478">
        <v>6</v>
      </c>
      <c r="L1478" s="4">
        <v>53.045454545454547</v>
      </c>
      <c r="M1478" s="4">
        <v>6.365454545454547</v>
      </c>
      <c r="N1478" t="s">
        <v>93</v>
      </c>
    </row>
    <row r="1479" spans="1:14">
      <c r="A1479">
        <v>1478</v>
      </c>
      <c r="B1479">
        <v>70</v>
      </c>
      <c r="C1479" t="s">
        <v>11</v>
      </c>
      <c r="D1479" t="s">
        <v>41</v>
      </c>
      <c r="E1479" t="s">
        <v>45</v>
      </c>
      <c r="F1479">
        <v>186.33</v>
      </c>
      <c r="G1479" t="s">
        <v>19</v>
      </c>
      <c r="H1479" t="s">
        <v>15</v>
      </c>
      <c r="I1479">
        <v>4.5999999999999996</v>
      </c>
      <c r="J1479">
        <v>10</v>
      </c>
      <c r="K1479">
        <v>5</v>
      </c>
      <c r="L1479" s="4">
        <v>207.03333333333333</v>
      </c>
      <c r="M1479" s="4">
        <v>20.703333333333319</v>
      </c>
      <c r="N1479" t="s">
        <v>95</v>
      </c>
    </row>
    <row r="1480" spans="1:14">
      <c r="A1480">
        <v>1479</v>
      </c>
      <c r="B1480">
        <v>44</v>
      </c>
      <c r="C1480" t="s">
        <v>11</v>
      </c>
      <c r="D1480" t="s">
        <v>29</v>
      </c>
      <c r="E1480" t="s">
        <v>30</v>
      </c>
      <c r="F1480">
        <v>34.06</v>
      </c>
      <c r="G1480" t="s">
        <v>14</v>
      </c>
      <c r="H1480" t="s">
        <v>15</v>
      </c>
      <c r="I1480">
        <v>2.8</v>
      </c>
      <c r="J1480">
        <v>17</v>
      </c>
      <c r="K1480">
        <v>6</v>
      </c>
      <c r="L1480" s="4">
        <v>41.036144578313255</v>
      </c>
      <c r="M1480" s="4">
        <v>6.976144578313253</v>
      </c>
      <c r="N1480" t="s">
        <v>92</v>
      </c>
    </row>
    <row r="1481" spans="1:14">
      <c r="A1481">
        <v>1480</v>
      </c>
      <c r="B1481">
        <v>47</v>
      </c>
      <c r="C1481" t="s">
        <v>16</v>
      </c>
      <c r="D1481" t="s">
        <v>33</v>
      </c>
      <c r="E1481" t="s">
        <v>38</v>
      </c>
      <c r="F1481">
        <v>119.82</v>
      </c>
      <c r="G1481" t="s">
        <v>14</v>
      </c>
      <c r="H1481" t="s">
        <v>15</v>
      </c>
      <c r="I1481">
        <v>3.5</v>
      </c>
      <c r="J1481">
        <v>13</v>
      </c>
      <c r="K1481">
        <v>4</v>
      </c>
      <c r="L1481" s="4">
        <v>137.72413793103448</v>
      </c>
      <c r="M1481" s="4">
        <v>17.904137931034484</v>
      </c>
      <c r="N1481" t="s">
        <v>93</v>
      </c>
    </row>
    <row r="1482" spans="1:14">
      <c r="A1482">
        <v>1481</v>
      </c>
      <c r="B1482">
        <v>38</v>
      </c>
      <c r="C1482" t="s">
        <v>11</v>
      </c>
      <c r="D1482" t="s">
        <v>22</v>
      </c>
      <c r="E1482" t="s">
        <v>43</v>
      </c>
      <c r="F1482">
        <v>294.52</v>
      </c>
      <c r="G1482" t="s">
        <v>14</v>
      </c>
      <c r="H1482" t="s">
        <v>15</v>
      </c>
      <c r="I1482">
        <v>3.8</v>
      </c>
      <c r="J1482">
        <v>16</v>
      </c>
      <c r="K1482">
        <v>8</v>
      </c>
      <c r="L1482" s="4">
        <v>350.61904761904759</v>
      </c>
      <c r="M1482" s="4">
        <v>56.09904761904761</v>
      </c>
      <c r="N1482" t="s">
        <v>92</v>
      </c>
    </row>
    <row r="1483" spans="1:14">
      <c r="A1483">
        <v>1482</v>
      </c>
      <c r="B1483">
        <v>46</v>
      </c>
      <c r="C1483" t="s">
        <v>16</v>
      </c>
      <c r="D1483" t="s">
        <v>25</v>
      </c>
      <c r="E1483" t="s">
        <v>47</v>
      </c>
      <c r="F1483">
        <v>71.239999999999995</v>
      </c>
      <c r="G1483" t="s">
        <v>31</v>
      </c>
      <c r="H1483" t="s">
        <v>15</v>
      </c>
      <c r="I1483">
        <v>4.3</v>
      </c>
      <c r="J1483">
        <v>15</v>
      </c>
      <c r="K1483">
        <v>5</v>
      </c>
      <c r="L1483" s="4">
        <v>83.811764705882354</v>
      </c>
      <c r="M1483" s="4">
        <v>12.571764705882359</v>
      </c>
      <c r="N1483" t="s">
        <v>93</v>
      </c>
    </row>
    <row r="1484" spans="1:14">
      <c r="A1484">
        <v>1483</v>
      </c>
      <c r="B1484">
        <v>30</v>
      </c>
      <c r="C1484" t="s">
        <v>11</v>
      </c>
      <c r="D1484" t="s">
        <v>41</v>
      </c>
      <c r="E1484" t="s">
        <v>42</v>
      </c>
      <c r="F1484">
        <v>151.65</v>
      </c>
      <c r="G1484" t="s">
        <v>31</v>
      </c>
      <c r="H1484" t="s">
        <v>15</v>
      </c>
      <c r="I1484">
        <v>3.5</v>
      </c>
      <c r="J1484">
        <v>18</v>
      </c>
      <c r="K1484">
        <v>4</v>
      </c>
      <c r="L1484" s="4">
        <v>184.9390243902439</v>
      </c>
      <c r="M1484" s="4">
        <v>33.289024390243895</v>
      </c>
      <c r="N1484" t="s">
        <v>91</v>
      </c>
    </row>
    <row r="1485" spans="1:14">
      <c r="A1485">
        <v>1484</v>
      </c>
      <c r="B1485">
        <v>36</v>
      </c>
      <c r="C1485" t="s">
        <v>16</v>
      </c>
      <c r="D1485" t="s">
        <v>20</v>
      </c>
      <c r="E1485" t="s">
        <v>39</v>
      </c>
      <c r="F1485">
        <v>80.95</v>
      </c>
      <c r="G1485" t="s">
        <v>31</v>
      </c>
      <c r="H1485" t="s">
        <v>15</v>
      </c>
      <c r="I1485">
        <v>4</v>
      </c>
      <c r="J1485">
        <v>17</v>
      </c>
      <c r="K1485">
        <v>6</v>
      </c>
      <c r="L1485" s="4">
        <v>97.530120481927725</v>
      </c>
      <c r="M1485" s="4">
        <v>16.580120481927722</v>
      </c>
      <c r="N1485" t="s">
        <v>92</v>
      </c>
    </row>
    <row r="1486" spans="1:14">
      <c r="A1486">
        <v>1485</v>
      </c>
      <c r="B1486">
        <v>67</v>
      </c>
      <c r="C1486" t="s">
        <v>16</v>
      </c>
      <c r="D1486" t="s">
        <v>20</v>
      </c>
      <c r="E1486" t="s">
        <v>21</v>
      </c>
      <c r="F1486">
        <v>185.85</v>
      </c>
      <c r="G1486" t="s">
        <v>31</v>
      </c>
      <c r="H1486" t="s">
        <v>15</v>
      </c>
      <c r="I1486">
        <v>5</v>
      </c>
      <c r="J1486">
        <v>20</v>
      </c>
      <c r="K1486">
        <v>10</v>
      </c>
      <c r="L1486" s="4">
        <v>232.31249999999997</v>
      </c>
      <c r="M1486" s="4">
        <v>46.462499999999977</v>
      </c>
      <c r="N1486" t="s">
        <v>95</v>
      </c>
    </row>
    <row r="1487" spans="1:14">
      <c r="A1487">
        <v>1486</v>
      </c>
      <c r="B1487">
        <v>32</v>
      </c>
      <c r="C1487" t="s">
        <v>16</v>
      </c>
      <c r="D1487" t="s">
        <v>33</v>
      </c>
      <c r="E1487" t="s">
        <v>34</v>
      </c>
      <c r="F1487">
        <v>77.209999999999994</v>
      </c>
      <c r="G1487" t="s">
        <v>14</v>
      </c>
      <c r="H1487" t="s">
        <v>15</v>
      </c>
      <c r="I1487">
        <v>4.0999999999999996</v>
      </c>
      <c r="J1487">
        <v>16</v>
      </c>
      <c r="K1487">
        <v>3</v>
      </c>
      <c r="L1487" s="4">
        <v>91.916666666666657</v>
      </c>
      <c r="M1487" s="4">
        <v>14.706666666666663</v>
      </c>
      <c r="N1487" t="s">
        <v>91</v>
      </c>
    </row>
    <row r="1488" spans="1:14">
      <c r="A1488">
        <v>1487</v>
      </c>
      <c r="B1488">
        <v>66</v>
      </c>
      <c r="C1488" t="s">
        <v>11</v>
      </c>
      <c r="D1488" t="s">
        <v>41</v>
      </c>
      <c r="E1488" t="s">
        <v>44</v>
      </c>
      <c r="F1488">
        <v>192.04</v>
      </c>
      <c r="G1488" t="s">
        <v>24</v>
      </c>
      <c r="H1488" t="s">
        <v>15</v>
      </c>
      <c r="I1488">
        <v>3.9</v>
      </c>
      <c r="J1488">
        <v>15</v>
      </c>
      <c r="K1488">
        <v>5</v>
      </c>
      <c r="L1488" s="4">
        <v>225.92941176470589</v>
      </c>
      <c r="M1488" s="4">
        <v>33.889411764705898</v>
      </c>
      <c r="N1488" t="s">
        <v>95</v>
      </c>
    </row>
    <row r="1489" spans="1:14">
      <c r="A1489">
        <v>1488</v>
      </c>
      <c r="B1489">
        <v>60</v>
      </c>
      <c r="C1489" t="s">
        <v>11</v>
      </c>
      <c r="D1489" t="s">
        <v>33</v>
      </c>
      <c r="E1489" t="s">
        <v>40</v>
      </c>
      <c r="F1489">
        <v>73.34</v>
      </c>
      <c r="G1489" t="s">
        <v>31</v>
      </c>
      <c r="H1489" t="s">
        <v>37</v>
      </c>
      <c r="I1489">
        <v>4.8</v>
      </c>
      <c r="J1489">
        <v>17</v>
      </c>
      <c r="K1489">
        <v>6</v>
      </c>
      <c r="L1489" s="4">
        <v>88.361445783132538</v>
      </c>
      <c r="M1489" s="4">
        <v>15.021445783132535</v>
      </c>
      <c r="N1489" t="s">
        <v>94</v>
      </c>
    </row>
    <row r="1490" spans="1:14">
      <c r="A1490">
        <v>1489</v>
      </c>
      <c r="B1490">
        <v>35</v>
      </c>
      <c r="C1490" t="s">
        <v>11</v>
      </c>
      <c r="D1490" t="s">
        <v>33</v>
      </c>
      <c r="E1490" t="s">
        <v>34</v>
      </c>
      <c r="F1490">
        <v>239.36</v>
      </c>
      <c r="G1490" t="s">
        <v>31</v>
      </c>
      <c r="H1490" t="s">
        <v>15</v>
      </c>
      <c r="I1490">
        <v>4.3</v>
      </c>
      <c r="J1490">
        <v>20</v>
      </c>
      <c r="K1490">
        <v>5</v>
      </c>
      <c r="L1490" s="4">
        <v>299.2</v>
      </c>
      <c r="M1490" s="4">
        <v>59.839999999999975</v>
      </c>
      <c r="N1490" t="s">
        <v>92</v>
      </c>
    </row>
    <row r="1491" spans="1:14">
      <c r="A1491">
        <v>1490</v>
      </c>
      <c r="B1491">
        <v>26</v>
      </c>
      <c r="C1491" t="s">
        <v>11</v>
      </c>
      <c r="D1491" t="s">
        <v>41</v>
      </c>
      <c r="E1491" t="s">
        <v>42</v>
      </c>
      <c r="F1491">
        <v>175.79</v>
      </c>
      <c r="G1491" t="s">
        <v>24</v>
      </c>
      <c r="H1491" t="s">
        <v>15</v>
      </c>
      <c r="I1491">
        <v>3</v>
      </c>
      <c r="J1491">
        <v>15</v>
      </c>
      <c r="K1491">
        <v>5</v>
      </c>
      <c r="L1491" s="4">
        <v>206.81176470588235</v>
      </c>
      <c r="M1491" s="4">
        <v>31.021764705882362</v>
      </c>
      <c r="N1491" t="s">
        <v>91</v>
      </c>
    </row>
    <row r="1492" spans="1:14">
      <c r="A1492">
        <v>1491</v>
      </c>
      <c r="B1492">
        <v>57</v>
      </c>
      <c r="C1492" t="s">
        <v>11</v>
      </c>
      <c r="D1492" t="s">
        <v>29</v>
      </c>
      <c r="E1492" t="s">
        <v>55</v>
      </c>
      <c r="F1492">
        <v>24.93</v>
      </c>
      <c r="G1492" t="s">
        <v>24</v>
      </c>
      <c r="H1492" t="s">
        <v>15</v>
      </c>
      <c r="I1492">
        <v>4.7</v>
      </c>
      <c r="J1492">
        <v>18</v>
      </c>
      <c r="K1492">
        <v>4</v>
      </c>
      <c r="L1492" s="4">
        <v>30.40243902439024</v>
      </c>
      <c r="M1492" s="4">
        <v>5.4724390243902405</v>
      </c>
      <c r="N1492" t="s">
        <v>94</v>
      </c>
    </row>
    <row r="1493" spans="1:14">
      <c r="A1493">
        <v>1492</v>
      </c>
      <c r="B1493">
        <v>47</v>
      </c>
      <c r="C1493" t="s">
        <v>11</v>
      </c>
      <c r="D1493" t="s">
        <v>25</v>
      </c>
      <c r="E1493" t="s">
        <v>57</v>
      </c>
      <c r="F1493">
        <v>34.74</v>
      </c>
      <c r="G1493" t="s">
        <v>19</v>
      </c>
      <c r="H1493" t="s">
        <v>37</v>
      </c>
      <c r="I1493">
        <v>4.3</v>
      </c>
      <c r="J1493">
        <v>18</v>
      </c>
      <c r="K1493">
        <v>4</v>
      </c>
      <c r="L1493" s="4">
        <v>42.365853658536587</v>
      </c>
      <c r="M1493" s="4">
        <v>7.6258536585365846</v>
      </c>
      <c r="N1493" t="s">
        <v>93</v>
      </c>
    </row>
    <row r="1494" spans="1:14">
      <c r="A1494">
        <v>1493</v>
      </c>
      <c r="B1494">
        <v>46</v>
      </c>
      <c r="C1494" t="s">
        <v>16</v>
      </c>
      <c r="D1494" t="s">
        <v>25</v>
      </c>
      <c r="E1494" t="s">
        <v>47</v>
      </c>
      <c r="F1494">
        <v>36.61</v>
      </c>
      <c r="G1494" t="s">
        <v>31</v>
      </c>
      <c r="H1494" t="s">
        <v>15</v>
      </c>
      <c r="I1494">
        <v>4</v>
      </c>
      <c r="J1494">
        <v>24</v>
      </c>
      <c r="K1494">
        <v>7</v>
      </c>
      <c r="L1494" s="4">
        <v>48.171052631578945</v>
      </c>
      <c r="M1494" s="4">
        <v>11.561052631578946</v>
      </c>
      <c r="N1494" t="s">
        <v>93</v>
      </c>
    </row>
    <row r="1495" spans="1:14">
      <c r="A1495">
        <v>1494</v>
      </c>
      <c r="B1495">
        <v>29</v>
      </c>
      <c r="C1495" t="s">
        <v>16</v>
      </c>
      <c r="D1495" t="s">
        <v>27</v>
      </c>
      <c r="E1495" t="s">
        <v>28</v>
      </c>
      <c r="F1495">
        <v>2302.21</v>
      </c>
      <c r="G1495" t="s">
        <v>24</v>
      </c>
      <c r="H1495" t="s">
        <v>15</v>
      </c>
      <c r="I1495">
        <v>3.1</v>
      </c>
      <c r="J1495">
        <v>20</v>
      </c>
      <c r="K1495">
        <v>5</v>
      </c>
      <c r="L1495" s="4">
        <v>2877.7624999999998</v>
      </c>
      <c r="M1495" s="4">
        <v>575.55249999999978</v>
      </c>
      <c r="N1495" t="s">
        <v>91</v>
      </c>
    </row>
    <row r="1496" spans="1:14">
      <c r="A1496">
        <v>1495</v>
      </c>
      <c r="B1496">
        <v>33</v>
      </c>
      <c r="C1496" t="s">
        <v>11</v>
      </c>
      <c r="D1496" t="s">
        <v>29</v>
      </c>
      <c r="E1496" t="s">
        <v>55</v>
      </c>
      <c r="F1496">
        <v>48.6</v>
      </c>
      <c r="G1496" t="s">
        <v>31</v>
      </c>
      <c r="H1496" t="s">
        <v>37</v>
      </c>
      <c r="I1496">
        <v>4.0999999999999996</v>
      </c>
      <c r="J1496">
        <v>11</v>
      </c>
      <c r="K1496">
        <v>3</v>
      </c>
      <c r="L1496" s="4">
        <v>54.606741573033709</v>
      </c>
      <c r="M1496" s="4">
        <v>6.0067415730337075</v>
      </c>
      <c r="N1496" t="s">
        <v>91</v>
      </c>
    </row>
    <row r="1497" spans="1:14">
      <c r="A1497">
        <v>1496</v>
      </c>
      <c r="B1497">
        <v>26</v>
      </c>
      <c r="C1497" t="s">
        <v>16</v>
      </c>
      <c r="D1497" t="s">
        <v>27</v>
      </c>
      <c r="E1497" t="s">
        <v>49</v>
      </c>
      <c r="F1497">
        <v>534.41</v>
      </c>
      <c r="G1497" t="s">
        <v>14</v>
      </c>
      <c r="H1497" t="s">
        <v>15</v>
      </c>
      <c r="I1497">
        <v>3.6</v>
      </c>
      <c r="J1497">
        <v>6</v>
      </c>
      <c r="K1497">
        <v>3</v>
      </c>
      <c r="L1497" s="4">
        <v>568.52127659574467</v>
      </c>
      <c r="M1497" s="4">
        <v>34.111276595744698</v>
      </c>
      <c r="N1497" t="s">
        <v>91</v>
      </c>
    </row>
    <row r="1498" spans="1:14">
      <c r="A1498">
        <v>1497</v>
      </c>
      <c r="B1498">
        <v>67</v>
      </c>
      <c r="C1498" t="s">
        <v>11</v>
      </c>
      <c r="D1498" t="s">
        <v>12</v>
      </c>
      <c r="E1498" t="s">
        <v>13</v>
      </c>
      <c r="F1498">
        <v>175.36</v>
      </c>
      <c r="G1498" t="s">
        <v>31</v>
      </c>
      <c r="H1498" t="s">
        <v>15</v>
      </c>
      <c r="I1498">
        <v>4.0999999999999996</v>
      </c>
      <c r="J1498">
        <v>26</v>
      </c>
      <c r="K1498">
        <v>8</v>
      </c>
      <c r="L1498" s="4">
        <v>236.972972972973</v>
      </c>
      <c r="M1498" s="4">
        <v>61.612972972972983</v>
      </c>
      <c r="N1498" t="s">
        <v>95</v>
      </c>
    </row>
    <row r="1499" spans="1:14">
      <c r="A1499">
        <v>1498</v>
      </c>
      <c r="B1499">
        <v>21</v>
      </c>
      <c r="C1499" t="s">
        <v>11</v>
      </c>
      <c r="D1499" t="s">
        <v>12</v>
      </c>
      <c r="E1499" t="s">
        <v>13</v>
      </c>
      <c r="F1499">
        <v>34.6</v>
      </c>
      <c r="G1499" t="s">
        <v>31</v>
      </c>
      <c r="H1499" t="s">
        <v>37</v>
      </c>
      <c r="I1499">
        <v>3.1</v>
      </c>
      <c r="J1499">
        <v>22</v>
      </c>
      <c r="K1499">
        <v>6</v>
      </c>
      <c r="L1499" s="4">
        <v>44.358974358974358</v>
      </c>
      <c r="M1499" s="4">
        <v>9.7589743589743563</v>
      </c>
      <c r="N1499" t="s">
        <v>100</v>
      </c>
    </row>
    <row r="1500" spans="1:14">
      <c r="A1500">
        <v>1499</v>
      </c>
      <c r="B1500">
        <v>26</v>
      </c>
      <c r="C1500" t="s">
        <v>16</v>
      </c>
      <c r="D1500" t="s">
        <v>20</v>
      </c>
      <c r="E1500" t="s">
        <v>36</v>
      </c>
      <c r="F1500">
        <v>118.37</v>
      </c>
      <c r="G1500" t="s">
        <v>31</v>
      </c>
      <c r="H1500" t="s">
        <v>15</v>
      </c>
      <c r="I1500">
        <v>3.1</v>
      </c>
      <c r="J1500">
        <v>2</v>
      </c>
      <c r="K1500">
        <v>1</v>
      </c>
      <c r="L1500" s="4">
        <v>120.78571428571429</v>
      </c>
      <c r="M1500" s="4">
        <v>2.4157142857142873</v>
      </c>
      <c r="N1500" t="s">
        <v>91</v>
      </c>
    </row>
    <row r="1501" spans="1:14">
      <c r="A1501">
        <v>1500</v>
      </c>
      <c r="B1501">
        <v>55</v>
      </c>
      <c r="C1501" t="s">
        <v>16</v>
      </c>
      <c r="D1501" t="s">
        <v>33</v>
      </c>
      <c r="E1501" t="s">
        <v>34</v>
      </c>
      <c r="F1501">
        <v>203.25</v>
      </c>
      <c r="G1501" t="s">
        <v>19</v>
      </c>
      <c r="H1501" t="s">
        <v>15</v>
      </c>
      <c r="I1501">
        <v>4.3</v>
      </c>
      <c r="J1501">
        <v>18</v>
      </c>
      <c r="K1501">
        <v>4</v>
      </c>
      <c r="L1501" s="4">
        <v>247.86585365853657</v>
      </c>
      <c r="M1501" s="4">
        <v>44.615853658536565</v>
      </c>
      <c r="N1501" t="s">
        <v>94</v>
      </c>
    </row>
    <row r="1502" spans="1:14">
      <c r="A1502">
        <v>1501</v>
      </c>
      <c r="B1502">
        <v>23</v>
      </c>
      <c r="C1502" t="s">
        <v>11</v>
      </c>
      <c r="D1502" t="s">
        <v>33</v>
      </c>
      <c r="E1502" t="s">
        <v>34</v>
      </c>
      <c r="F1502">
        <v>133.44</v>
      </c>
      <c r="G1502" t="s">
        <v>31</v>
      </c>
      <c r="H1502" t="s">
        <v>15</v>
      </c>
      <c r="I1502">
        <v>4.7</v>
      </c>
      <c r="J1502">
        <v>12</v>
      </c>
      <c r="K1502">
        <v>6</v>
      </c>
      <c r="L1502" s="4">
        <v>151.63636363636363</v>
      </c>
      <c r="M1502" s="4">
        <v>18.196363636363628</v>
      </c>
      <c r="N1502" t="s">
        <v>100</v>
      </c>
    </row>
    <row r="1503" spans="1:14">
      <c r="A1503">
        <v>1502</v>
      </c>
      <c r="B1503">
        <v>21</v>
      </c>
      <c r="C1503" t="s">
        <v>11</v>
      </c>
      <c r="D1503" t="s">
        <v>12</v>
      </c>
      <c r="E1503" t="s">
        <v>13</v>
      </c>
      <c r="F1503">
        <v>100</v>
      </c>
      <c r="G1503" t="s">
        <v>19</v>
      </c>
      <c r="H1503" t="s">
        <v>37</v>
      </c>
      <c r="I1503">
        <v>4.0999999999999996</v>
      </c>
      <c r="J1503">
        <v>15</v>
      </c>
      <c r="K1503">
        <v>5</v>
      </c>
      <c r="L1503" s="4">
        <v>117.64705882352942</v>
      </c>
      <c r="M1503" s="4">
        <v>17.64705882352942</v>
      </c>
      <c r="N1503" t="s">
        <v>100</v>
      </c>
    </row>
    <row r="1504" spans="1:14">
      <c r="A1504">
        <v>1503</v>
      </c>
      <c r="B1504">
        <v>23</v>
      </c>
      <c r="C1504" t="s">
        <v>11</v>
      </c>
      <c r="D1504" t="s">
        <v>22</v>
      </c>
      <c r="E1504" t="s">
        <v>52</v>
      </c>
      <c r="F1504">
        <v>55.34</v>
      </c>
      <c r="G1504" t="s">
        <v>24</v>
      </c>
      <c r="H1504" t="s">
        <v>15</v>
      </c>
      <c r="I1504">
        <v>4.2</v>
      </c>
      <c r="J1504">
        <v>17</v>
      </c>
      <c r="K1504">
        <v>6</v>
      </c>
      <c r="L1504" s="4">
        <v>66.674698795180731</v>
      </c>
      <c r="M1504" s="4">
        <v>11.334698795180728</v>
      </c>
      <c r="N1504" t="s">
        <v>100</v>
      </c>
    </row>
    <row r="1505" spans="1:14">
      <c r="A1505">
        <v>1504</v>
      </c>
      <c r="B1505">
        <v>36</v>
      </c>
      <c r="C1505" t="s">
        <v>11</v>
      </c>
      <c r="D1505" t="s">
        <v>33</v>
      </c>
      <c r="E1505" t="s">
        <v>34</v>
      </c>
      <c r="F1505">
        <v>136.43</v>
      </c>
      <c r="G1505" t="s">
        <v>19</v>
      </c>
      <c r="H1505" t="s">
        <v>15</v>
      </c>
      <c r="I1505">
        <v>4</v>
      </c>
      <c r="J1505">
        <v>12</v>
      </c>
      <c r="K1505">
        <v>6</v>
      </c>
      <c r="L1505" s="4">
        <v>155.03409090909091</v>
      </c>
      <c r="M1505" s="4">
        <v>18.6040909090909</v>
      </c>
      <c r="N1505" t="s">
        <v>92</v>
      </c>
    </row>
    <row r="1506" spans="1:14">
      <c r="A1506">
        <v>1505</v>
      </c>
      <c r="B1506">
        <v>35</v>
      </c>
      <c r="C1506" t="s">
        <v>11</v>
      </c>
      <c r="D1506" t="s">
        <v>41</v>
      </c>
      <c r="E1506" t="s">
        <v>45</v>
      </c>
      <c r="F1506">
        <v>67.510000000000005</v>
      </c>
      <c r="G1506" t="s">
        <v>19</v>
      </c>
      <c r="H1506" t="s">
        <v>15</v>
      </c>
      <c r="I1506">
        <v>4.0999999999999996</v>
      </c>
      <c r="J1506">
        <v>10</v>
      </c>
      <c r="K1506">
        <v>5</v>
      </c>
      <c r="L1506" s="4">
        <v>75.01111111111112</v>
      </c>
      <c r="M1506" s="4">
        <v>7.5011111111111148</v>
      </c>
      <c r="N1506" t="s">
        <v>92</v>
      </c>
    </row>
    <row r="1507" spans="1:14">
      <c r="A1507">
        <v>1506</v>
      </c>
      <c r="B1507">
        <v>29</v>
      </c>
      <c r="C1507" t="s">
        <v>16</v>
      </c>
      <c r="D1507" t="s">
        <v>33</v>
      </c>
      <c r="E1507" t="s">
        <v>40</v>
      </c>
      <c r="F1507">
        <v>245.39</v>
      </c>
      <c r="G1507" t="s">
        <v>24</v>
      </c>
      <c r="H1507" t="s">
        <v>15</v>
      </c>
      <c r="I1507">
        <v>4.5</v>
      </c>
      <c r="J1507">
        <v>15</v>
      </c>
      <c r="K1507">
        <v>5</v>
      </c>
      <c r="L1507" s="4">
        <v>288.69411764705882</v>
      </c>
      <c r="M1507" s="4">
        <v>43.304117647058831</v>
      </c>
      <c r="N1507" t="s">
        <v>91</v>
      </c>
    </row>
    <row r="1508" spans="1:14">
      <c r="A1508">
        <v>1507</v>
      </c>
      <c r="B1508">
        <v>20</v>
      </c>
      <c r="C1508" t="s">
        <v>16</v>
      </c>
      <c r="D1508" t="s">
        <v>33</v>
      </c>
      <c r="E1508" t="s">
        <v>34</v>
      </c>
      <c r="F1508">
        <v>113.11</v>
      </c>
      <c r="G1508" t="s">
        <v>31</v>
      </c>
      <c r="H1508" t="s">
        <v>15</v>
      </c>
      <c r="I1508">
        <v>3.4</v>
      </c>
      <c r="J1508">
        <v>8</v>
      </c>
      <c r="K1508">
        <v>4</v>
      </c>
      <c r="L1508" s="4">
        <v>122.94565217391303</v>
      </c>
      <c r="M1508" s="4">
        <v>9.8356521739130329</v>
      </c>
      <c r="N1508" t="s">
        <v>100</v>
      </c>
    </row>
    <row r="1509" spans="1:14">
      <c r="A1509">
        <v>1508</v>
      </c>
      <c r="B1509">
        <v>64</v>
      </c>
      <c r="C1509" t="s">
        <v>11</v>
      </c>
      <c r="D1509" t="s">
        <v>33</v>
      </c>
      <c r="E1509" t="s">
        <v>38</v>
      </c>
      <c r="F1509">
        <v>80.180000000000007</v>
      </c>
      <c r="G1509" t="s">
        <v>19</v>
      </c>
      <c r="H1509" t="s">
        <v>15</v>
      </c>
      <c r="I1509">
        <v>4.4000000000000004</v>
      </c>
      <c r="J1509">
        <v>13</v>
      </c>
      <c r="K1509">
        <v>4</v>
      </c>
      <c r="L1509" s="4">
        <v>92.160919540229898</v>
      </c>
      <c r="M1509" s="4">
        <v>11.980919540229891</v>
      </c>
      <c r="N1509" t="s">
        <v>94</v>
      </c>
    </row>
    <row r="1510" spans="1:14">
      <c r="A1510">
        <v>1509</v>
      </c>
      <c r="B1510">
        <v>67</v>
      </c>
      <c r="C1510" t="s">
        <v>16</v>
      </c>
      <c r="D1510" t="s">
        <v>27</v>
      </c>
      <c r="E1510" t="s">
        <v>28</v>
      </c>
      <c r="F1510">
        <v>1105.76</v>
      </c>
      <c r="G1510" t="s">
        <v>24</v>
      </c>
      <c r="H1510" t="s">
        <v>15</v>
      </c>
      <c r="I1510">
        <v>3.8</v>
      </c>
      <c r="J1510">
        <v>19</v>
      </c>
      <c r="K1510">
        <v>7</v>
      </c>
      <c r="L1510" s="4">
        <v>1365.1358024691358</v>
      </c>
      <c r="M1510" s="4">
        <v>259.37580246913581</v>
      </c>
      <c r="N1510" t="s">
        <v>95</v>
      </c>
    </row>
    <row r="1511" spans="1:14">
      <c r="A1511">
        <v>1510</v>
      </c>
      <c r="B1511">
        <v>26</v>
      </c>
      <c r="C1511" t="s">
        <v>11</v>
      </c>
      <c r="D1511" t="s">
        <v>33</v>
      </c>
      <c r="E1511" t="s">
        <v>34</v>
      </c>
      <c r="F1511">
        <v>96.55</v>
      </c>
      <c r="G1511" t="s">
        <v>24</v>
      </c>
      <c r="H1511" t="s">
        <v>37</v>
      </c>
      <c r="I1511">
        <v>4.5</v>
      </c>
      <c r="J1511">
        <v>10</v>
      </c>
      <c r="K1511">
        <v>5</v>
      </c>
      <c r="L1511" s="4">
        <v>107.27777777777777</v>
      </c>
      <c r="M1511" s="4">
        <v>10.727777777777774</v>
      </c>
      <c r="N1511" t="s">
        <v>91</v>
      </c>
    </row>
    <row r="1512" spans="1:14">
      <c r="A1512">
        <v>1511</v>
      </c>
      <c r="B1512">
        <v>54</v>
      </c>
      <c r="C1512" t="s">
        <v>16</v>
      </c>
      <c r="D1512" t="s">
        <v>20</v>
      </c>
      <c r="E1512" t="s">
        <v>39</v>
      </c>
      <c r="F1512">
        <v>106.35</v>
      </c>
      <c r="G1512" t="s">
        <v>19</v>
      </c>
      <c r="H1512" t="s">
        <v>15</v>
      </c>
      <c r="I1512">
        <v>4.8</v>
      </c>
      <c r="J1512">
        <v>16</v>
      </c>
      <c r="K1512">
        <v>8</v>
      </c>
      <c r="L1512" s="4">
        <v>126.60714285714286</v>
      </c>
      <c r="M1512" s="4">
        <v>20.257142857142867</v>
      </c>
      <c r="N1512" t="s">
        <v>93</v>
      </c>
    </row>
    <row r="1513" spans="1:14">
      <c r="A1513">
        <v>1512</v>
      </c>
      <c r="B1513">
        <v>28</v>
      </c>
      <c r="C1513" t="s">
        <v>11</v>
      </c>
      <c r="D1513" t="s">
        <v>25</v>
      </c>
      <c r="E1513" t="s">
        <v>26</v>
      </c>
      <c r="F1513">
        <v>13.26</v>
      </c>
      <c r="G1513" t="s">
        <v>19</v>
      </c>
      <c r="H1513" t="s">
        <v>37</v>
      </c>
      <c r="I1513">
        <v>4.4000000000000004</v>
      </c>
      <c r="J1513">
        <v>14</v>
      </c>
      <c r="K1513">
        <v>2</v>
      </c>
      <c r="L1513" s="4">
        <v>15.418604651162791</v>
      </c>
      <c r="M1513" s="4">
        <v>2.1586046511627917</v>
      </c>
      <c r="N1513" t="s">
        <v>91</v>
      </c>
    </row>
    <row r="1514" spans="1:14">
      <c r="A1514">
        <v>1513</v>
      </c>
      <c r="B1514">
        <v>64</v>
      </c>
      <c r="C1514" t="s">
        <v>11</v>
      </c>
      <c r="D1514" t="s">
        <v>41</v>
      </c>
      <c r="E1514" t="s">
        <v>45</v>
      </c>
      <c r="F1514">
        <v>180.55</v>
      </c>
      <c r="G1514" t="s">
        <v>19</v>
      </c>
      <c r="H1514" t="s">
        <v>15</v>
      </c>
      <c r="I1514">
        <v>3.9</v>
      </c>
      <c r="J1514">
        <v>4</v>
      </c>
      <c r="K1514">
        <v>2</v>
      </c>
      <c r="L1514" s="4">
        <v>188.07291666666669</v>
      </c>
      <c r="M1514" s="4">
        <v>7.5229166666666742</v>
      </c>
      <c r="N1514" t="s">
        <v>94</v>
      </c>
    </row>
    <row r="1515" spans="1:14">
      <c r="A1515">
        <v>1514</v>
      </c>
      <c r="B1515">
        <v>32</v>
      </c>
      <c r="C1515" t="s">
        <v>11</v>
      </c>
      <c r="D1515" t="s">
        <v>41</v>
      </c>
      <c r="E1515" t="s">
        <v>44</v>
      </c>
      <c r="F1515">
        <v>156.68</v>
      </c>
      <c r="G1515" t="s">
        <v>14</v>
      </c>
      <c r="H1515" t="s">
        <v>15</v>
      </c>
      <c r="I1515">
        <v>4.3</v>
      </c>
      <c r="J1515">
        <v>6</v>
      </c>
      <c r="K1515">
        <v>3</v>
      </c>
      <c r="L1515" s="4">
        <v>166.68085106382981</v>
      </c>
      <c r="M1515" s="4">
        <v>10.000851063829799</v>
      </c>
      <c r="N1515" t="s">
        <v>91</v>
      </c>
    </row>
    <row r="1516" spans="1:14">
      <c r="A1516">
        <v>1515</v>
      </c>
      <c r="B1516">
        <v>44</v>
      </c>
      <c r="C1516" t="s">
        <v>16</v>
      </c>
      <c r="D1516" t="s">
        <v>20</v>
      </c>
      <c r="E1516" t="s">
        <v>36</v>
      </c>
      <c r="F1516">
        <v>187.98</v>
      </c>
      <c r="G1516" t="s">
        <v>24</v>
      </c>
      <c r="H1516" t="s">
        <v>15</v>
      </c>
      <c r="I1516">
        <v>3.6</v>
      </c>
      <c r="J1516">
        <v>19</v>
      </c>
      <c r="K1516">
        <v>7</v>
      </c>
      <c r="L1516" s="4">
        <v>232.07407407407405</v>
      </c>
      <c r="M1516" s="4">
        <v>44.094074074074058</v>
      </c>
      <c r="N1516" t="s">
        <v>92</v>
      </c>
    </row>
    <row r="1517" spans="1:14">
      <c r="A1517">
        <v>1516</v>
      </c>
      <c r="B1517">
        <v>31</v>
      </c>
      <c r="C1517" t="s">
        <v>11</v>
      </c>
      <c r="D1517" t="s">
        <v>29</v>
      </c>
      <c r="E1517" t="s">
        <v>30</v>
      </c>
      <c r="F1517">
        <v>117.64</v>
      </c>
      <c r="G1517" t="s">
        <v>24</v>
      </c>
      <c r="H1517" t="s">
        <v>15</v>
      </c>
      <c r="I1517">
        <v>3.8</v>
      </c>
      <c r="J1517">
        <v>21</v>
      </c>
      <c r="K1517">
        <v>8</v>
      </c>
      <c r="L1517" s="4">
        <v>148.91139240506328</v>
      </c>
      <c r="M1517" s="4">
        <v>31.271392405063281</v>
      </c>
      <c r="N1517" t="s">
        <v>91</v>
      </c>
    </row>
    <row r="1518" spans="1:14">
      <c r="A1518">
        <v>1517</v>
      </c>
      <c r="B1518">
        <v>46</v>
      </c>
      <c r="C1518" t="s">
        <v>16</v>
      </c>
      <c r="D1518" t="s">
        <v>20</v>
      </c>
      <c r="E1518" t="s">
        <v>39</v>
      </c>
      <c r="F1518">
        <v>153.87</v>
      </c>
      <c r="G1518" t="s">
        <v>24</v>
      </c>
      <c r="H1518" t="s">
        <v>15</v>
      </c>
      <c r="I1518">
        <v>4.3</v>
      </c>
      <c r="J1518">
        <v>12</v>
      </c>
      <c r="K1518">
        <v>6</v>
      </c>
      <c r="L1518" s="4">
        <v>174.85227272727272</v>
      </c>
      <c r="M1518" s="4">
        <v>20.982272727272715</v>
      </c>
      <c r="N1518" t="s">
        <v>93</v>
      </c>
    </row>
    <row r="1519" spans="1:14">
      <c r="A1519">
        <v>1518</v>
      </c>
      <c r="B1519">
        <v>23</v>
      </c>
      <c r="C1519" t="s">
        <v>11</v>
      </c>
      <c r="D1519" t="s">
        <v>20</v>
      </c>
      <c r="E1519" t="s">
        <v>39</v>
      </c>
      <c r="F1519">
        <v>42.64</v>
      </c>
      <c r="G1519" t="s">
        <v>19</v>
      </c>
      <c r="H1519" t="s">
        <v>15</v>
      </c>
      <c r="I1519">
        <v>3.4</v>
      </c>
      <c r="J1519">
        <v>4</v>
      </c>
      <c r="K1519">
        <v>2</v>
      </c>
      <c r="L1519" s="4">
        <v>44.416666666666671</v>
      </c>
      <c r="M1519" s="4">
        <v>1.7766666666666708</v>
      </c>
      <c r="N1519" t="s">
        <v>100</v>
      </c>
    </row>
    <row r="1520" spans="1:14">
      <c r="A1520">
        <v>1519</v>
      </c>
      <c r="B1520">
        <v>31</v>
      </c>
      <c r="C1520" t="s">
        <v>16</v>
      </c>
      <c r="D1520" t="s">
        <v>27</v>
      </c>
      <c r="E1520" t="s">
        <v>32</v>
      </c>
      <c r="F1520">
        <v>2438.54</v>
      </c>
      <c r="G1520" t="s">
        <v>31</v>
      </c>
      <c r="H1520" t="s">
        <v>15</v>
      </c>
      <c r="I1520">
        <v>4.5</v>
      </c>
      <c r="J1520">
        <v>8</v>
      </c>
      <c r="K1520">
        <v>4</v>
      </c>
      <c r="L1520" s="4">
        <v>2650.586956521739</v>
      </c>
      <c r="M1520" s="4">
        <v>212.04695652173905</v>
      </c>
      <c r="N1520" t="s">
        <v>91</v>
      </c>
    </row>
    <row r="1521" spans="1:14">
      <c r="A1521">
        <v>1520</v>
      </c>
      <c r="B1521">
        <v>47</v>
      </c>
      <c r="C1521" t="s">
        <v>16</v>
      </c>
      <c r="D1521" t="s">
        <v>33</v>
      </c>
      <c r="E1521" t="s">
        <v>38</v>
      </c>
      <c r="F1521">
        <v>135.83000000000001</v>
      </c>
      <c r="G1521" t="s">
        <v>24</v>
      </c>
      <c r="H1521" t="s">
        <v>15</v>
      </c>
      <c r="I1521">
        <v>4.5999999999999996</v>
      </c>
      <c r="J1521">
        <v>17</v>
      </c>
      <c r="K1521">
        <v>6</v>
      </c>
      <c r="L1521" s="4">
        <v>163.65060240963857</v>
      </c>
      <c r="M1521" s="4">
        <v>27.820602409638553</v>
      </c>
      <c r="N1521" t="s">
        <v>93</v>
      </c>
    </row>
    <row r="1522" spans="1:14">
      <c r="A1522">
        <v>1521</v>
      </c>
      <c r="B1522">
        <v>43</v>
      </c>
      <c r="C1522" t="s">
        <v>16</v>
      </c>
      <c r="D1522" t="s">
        <v>33</v>
      </c>
      <c r="E1522" t="s">
        <v>38</v>
      </c>
      <c r="F1522">
        <v>160.25</v>
      </c>
      <c r="G1522" t="s">
        <v>24</v>
      </c>
      <c r="H1522" t="s">
        <v>15</v>
      </c>
      <c r="I1522">
        <v>4.8</v>
      </c>
      <c r="J1522">
        <v>28</v>
      </c>
      <c r="K1522">
        <v>9</v>
      </c>
      <c r="L1522" s="4">
        <v>222.56944444444446</v>
      </c>
      <c r="M1522" s="4">
        <v>62.319444444444457</v>
      </c>
      <c r="N1522" t="s">
        <v>92</v>
      </c>
    </row>
    <row r="1523" spans="1:14">
      <c r="A1523">
        <v>1522</v>
      </c>
      <c r="B1523">
        <v>27</v>
      </c>
      <c r="C1523" t="s">
        <v>11</v>
      </c>
      <c r="D1523" t="s">
        <v>29</v>
      </c>
      <c r="E1523" t="s">
        <v>51</v>
      </c>
      <c r="F1523">
        <v>68.53</v>
      </c>
      <c r="G1523" t="s">
        <v>19</v>
      </c>
      <c r="H1523" t="s">
        <v>15</v>
      </c>
      <c r="I1523">
        <v>3.7</v>
      </c>
      <c r="J1523">
        <v>17</v>
      </c>
      <c r="K1523">
        <v>6</v>
      </c>
      <c r="L1523" s="4">
        <v>82.566265060240966</v>
      </c>
      <c r="M1523" s="4">
        <v>14.036265060240964</v>
      </c>
      <c r="N1523" t="s">
        <v>91</v>
      </c>
    </row>
    <row r="1524" spans="1:14">
      <c r="A1524">
        <v>1523</v>
      </c>
      <c r="B1524">
        <v>37</v>
      </c>
      <c r="C1524" t="s">
        <v>11</v>
      </c>
      <c r="D1524" t="s">
        <v>41</v>
      </c>
      <c r="E1524" t="s">
        <v>44</v>
      </c>
      <c r="F1524">
        <v>64.5</v>
      </c>
      <c r="G1524" t="s">
        <v>14</v>
      </c>
      <c r="H1524" t="s">
        <v>37</v>
      </c>
      <c r="I1524">
        <v>4</v>
      </c>
      <c r="J1524">
        <v>6</v>
      </c>
      <c r="K1524">
        <v>3</v>
      </c>
      <c r="L1524" s="4">
        <v>68.61702127659575</v>
      </c>
      <c r="M1524" s="4">
        <v>4.1170212765957501</v>
      </c>
      <c r="N1524" t="s">
        <v>92</v>
      </c>
    </row>
    <row r="1525" spans="1:14">
      <c r="A1525">
        <v>1524</v>
      </c>
      <c r="B1525">
        <v>57</v>
      </c>
      <c r="C1525" t="s">
        <v>11</v>
      </c>
      <c r="D1525" t="s">
        <v>20</v>
      </c>
      <c r="E1525" t="s">
        <v>39</v>
      </c>
      <c r="F1525">
        <v>213.01</v>
      </c>
      <c r="G1525" t="s">
        <v>24</v>
      </c>
      <c r="H1525" t="s">
        <v>15</v>
      </c>
      <c r="I1525">
        <v>4.3</v>
      </c>
      <c r="J1525">
        <v>9</v>
      </c>
      <c r="K1525">
        <v>2</v>
      </c>
      <c r="L1525" s="4">
        <v>234.07692307692307</v>
      </c>
      <c r="M1525" s="4">
        <v>21.066923076923075</v>
      </c>
      <c r="N1525" t="s">
        <v>94</v>
      </c>
    </row>
    <row r="1526" spans="1:14">
      <c r="A1526">
        <v>1525</v>
      </c>
      <c r="B1526">
        <v>44</v>
      </c>
      <c r="C1526" t="s">
        <v>16</v>
      </c>
      <c r="D1526" t="s">
        <v>33</v>
      </c>
      <c r="E1526" t="s">
        <v>40</v>
      </c>
      <c r="F1526">
        <v>175.76</v>
      </c>
      <c r="G1526" t="s">
        <v>19</v>
      </c>
      <c r="H1526" t="s">
        <v>15</v>
      </c>
      <c r="I1526">
        <v>4.7</v>
      </c>
      <c r="J1526">
        <v>21</v>
      </c>
      <c r="K1526">
        <v>8</v>
      </c>
      <c r="L1526" s="4">
        <v>222.48101265822783</v>
      </c>
      <c r="M1526" s="4">
        <v>46.721012658227835</v>
      </c>
      <c r="N1526" t="s">
        <v>92</v>
      </c>
    </row>
    <row r="1527" spans="1:14">
      <c r="A1527">
        <v>1526</v>
      </c>
      <c r="B1527">
        <v>51</v>
      </c>
      <c r="C1527" t="s">
        <v>16</v>
      </c>
      <c r="D1527" t="s">
        <v>33</v>
      </c>
      <c r="E1527" t="s">
        <v>34</v>
      </c>
      <c r="F1527">
        <v>136.07</v>
      </c>
      <c r="G1527" t="s">
        <v>19</v>
      </c>
      <c r="H1527" t="s">
        <v>15</v>
      </c>
      <c r="I1527">
        <v>4.3</v>
      </c>
      <c r="J1527">
        <v>26</v>
      </c>
      <c r="K1527">
        <v>8</v>
      </c>
      <c r="L1527" s="4">
        <v>183.87837837837836</v>
      </c>
      <c r="M1527" s="4">
        <v>47.808378378378364</v>
      </c>
      <c r="N1527" t="s">
        <v>93</v>
      </c>
    </row>
    <row r="1528" spans="1:14">
      <c r="A1528">
        <v>1527</v>
      </c>
      <c r="B1528">
        <v>66</v>
      </c>
      <c r="C1528" t="s">
        <v>16</v>
      </c>
      <c r="D1528" t="s">
        <v>27</v>
      </c>
      <c r="E1528" t="s">
        <v>53</v>
      </c>
      <c r="F1528">
        <v>632.67999999999995</v>
      </c>
      <c r="G1528" t="s">
        <v>24</v>
      </c>
      <c r="H1528" t="s">
        <v>15</v>
      </c>
      <c r="I1528">
        <v>5</v>
      </c>
      <c r="J1528">
        <v>24</v>
      </c>
      <c r="K1528">
        <v>7</v>
      </c>
      <c r="L1528" s="4">
        <v>832.47368421052624</v>
      </c>
      <c r="M1528" s="4">
        <v>199.79368421052629</v>
      </c>
      <c r="N1528" t="s">
        <v>95</v>
      </c>
    </row>
    <row r="1529" spans="1:14">
      <c r="A1529">
        <v>1528</v>
      </c>
      <c r="B1529">
        <v>68</v>
      </c>
      <c r="C1529" t="s">
        <v>16</v>
      </c>
      <c r="D1529" t="s">
        <v>20</v>
      </c>
      <c r="E1529" t="s">
        <v>21</v>
      </c>
      <c r="F1529">
        <v>213.91</v>
      </c>
      <c r="G1529" t="s">
        <v>31</v>
      </c>
      <c r="H1529" t="s">
        <v>15</v>
      </c>
      <c r="I1529">
        <v>3.3</v>
      </c>
      <c r="J1529">
        <v>4</v>
      </c>
      <c r="K1529">
        <v>2</v>
      </c>
      <c r="L1529" s="4">
        <v>222.82291666666666</v>
      </c>
      <c r="M1529" s="4">
        <v>8.9129166666666606</v>
      </c>
      <c r="N1529" t="s">
        <v>95</v>
      </c>
    </row>
    <row r="1530" spans="1:14">
      <c r="A1530">
        <v>1529</v>
      </c>
      <c r="B1530">
        <v>52</v>
      </c>
      <c r="C1530" t="s">
        <v>16</v>
      </c>
      <c r="D1530" t="s">
        <v>27</v>
      </c>
      <c r="E1530" t="s">
        <v>28</v>
      </c>
      <c r="F1530">
        <v>631.19000000000005</v>
      </c>
      <c r="G1530" t="s">
        <v>31</v>
      </c>
      <c r="H1530" t="s">
        <v>15</v>
      </c>
      <c r="I1530">
        <v>4.7</v>
      </c>
      <c r="J1530">
        <v>17</v>
      </c>
      <c r="K1530">
        <v>6</v>
      </c>
      <c r="L1530" s="4">
        <v>760.46987951807239</v>
      </c>
      <c r="M1530" s="4">
        <v>129.27987951807233</v>
      </c>
      <c r="N1530" t="s">
        <v>93</v>
      </c>
    </row>
    <row r="1531" spans="1:14">
      <c r="A1531">
        <v>1530</v>
      </c>
      <c r="B1531">
        <v>30</v>
      </c>
      <c r="C1531" t="s">
        <v>11</v>
      </c>
      <c r="D1531" t="s">
        <v>33</v>
      </c>
      <c r="E1531" t="s">
        <v>38</v>
      </c>
      <c r="F1531">
        <v>122.86</v>
      </c>
      <c r="G1531" t="s">
        <v>24</v>
      </c>
      <c r="H1531" t="s">
        <v>15</v>
      </c>
      <c r="I1531">
        <v>2.9</v>
      </c>
      <c r="J1531">
        <v>10</v>
      </c>
      <c r="K1531">
        <v>5</v>
      </c>
      <c r="L1531" s="4">
        <v>136.51111111111112</v>
      </c>
      <c r="M1531" s="4">
        <v>13.651111111111121</v>
      </c>
      <c r="N1531" t="s">
        <v>91</v>
      </c>
    </row>
    <row r="1532" spans="1:14">
      <c r="A1532">
        <v>1531</v>
      </c>
      <c r="B1532">
        <v>50</v>
      </c>
      <c r="C1532" t="s">
        <v>11</v>
      </c>
      <c r="D1532" t="s">
        <v>41</v>
      </c>
      <c r="E1532" t="s">
        <v>44</v>
      </c>
      <c r="F1532">
        <v>146.57</v>
      </c>
      <c r="G1532" t="s">
        <v>14</v>
      </c>
      <c r="H1532" t="s">
        <v>15</v>
      </c>
      <c r="I1532">
        <v>3.3</v>
      </c>
      <c r="J1532">
        <v>17</v>
      </c>
      <c r="K1532">
        <v>6</v>
      </c>
      <c r="L1532" s="4">
        <v>176.59036144578315</v>
      </c>
      <c r="M1532" s="4">
        <v>30.020361445783152</v>
      </c>
      <c r="N1532" t="s">
        <v>93</v>
      </c>
    </row>
    <row r="1533" spans="1:14">
      <c r="A1533">
        <v>1532</v>
      </c>
      <c r="B1533">
        <v>58</v>
      </c>
      <c r="C1533" t="s">
        <v>16</v>
      </c>
      <c r="D1533" t="s">
        <v>22</v>
      </c>
      <c r="E1533" t="s">
        <v>43</v>
      </c>
      <c r="F1533">
        <v>171.7</v>
      </c>
      <c r="G1533" t="s">
        <v>24</v>
      </c>
      <c r="H1533" t="s">
        <v>15</v>
      </c>
      <c r="I1533">
        <v>3.7</v>
      </c>
      <c r="J1533">
        <v>12</v>
      </c>
      <c r="K1533">
        <v>6</v>
      </c>
      <c r="L1533" s="4">
        <v>195.11363636363635</v>
      </c>
      <c r="M1533" s="4">
        <v>23.413636363636357</v>
      </c>
      <c r="N1533" t="s">
        <v>94</v>
      </c>
    </row>
    <row r="1534" spans="1:14">
      <c r="A1534">
        <v>1533</v>
      </c>
      <c r="B1534">
        <v>36</v>
      </c>
      <c r="C1534" t="s">
        <v>16</v>
      </c>
      <c r="D1534" t="s">
        <v>27</v>
      </c>
      <c r="E1534" t="s">
        <v>32</v>
      </c>
      <c r="F1534">
        <v>1385.6</v>
      </c>
      <c r="G1534" t="s">
        <v>19</v>
      </c>
      <c r="H1534" t="s">
        <v>15</v>
      </c>
      <c r="I1534">
        <v>3.4</v>
      </c>
      <c r="J1534">
        <v>8</v>
      </c>
      <c r="K1534">
        <v>4</v>
      </c>
      <c r="L1534" s="4">
        <v>1506.086956521739</v>
      </c>
      <c r="M1534" s="4">
        <v>120.4869565217391</v>
      </c>
      <c r="N1534" t="s">
        <v>92</v>
      </c>
    </row>
    <row r="1535" spans="1:14">
      <c r="A1535">
        <v>1534</v>
      </c>
      <c r="B1535">
        <v>38</v>
      </c>
      <c r="C1535" t="s">
        <v>16</v>
      </c>
      <c r="D1535" t="s">
        <v>17</v>
      </c>
      <c r="E1535" t="s">
        <v>42</v>
      </c>
      <c r="F1535">
        <v>91</v>
      </c>
      <c r="G1535" t="s">
        <v>19</v>
      </c>
      <c r="H1535" t="s">
        <v>37</v>
      </c>
      <c r="I1535">
        <v>4.2</v>
      </c>
      <c r="J1535">
        <v>14</v>
      </c>
      <c r="K1535">
        <v>7</v>
      </c>
      <c r="L1535" s="4">
        <v>105.81395348837209</v>
      </c>
      <c r="M1535" s="4">
        <v>14.813953488372093</v>
      </c>
      <c r="N1535" t="s">
        <v>92</v>
      </c>
    </row>
    <row r="1536" spans="1:14">
      <c r="A1536">
        <v>1535</v>
      </c>
      <c r="B1536">
        <v>23</v>
      </c>
      <c r="C1536" t="s">
        <v>16</v>
      </c>
      <c r="D1536" t="s">
        <v>33</v>
      </c>
      <c r="E1536" t="s">
        <v>40</v>
      </c>
      <c r="F1536">
        <v>191.42</v>
      </c>
      <c r="G1536" t="s">
        <v>24</v>
      </c>
      <c r="H1536" t="s">
        <v>15</v>
      </c>
      <c r="I1536">
        <v>3.9</v>
      </c>
      <c r="J1536">
        <v>18</v>
      </c>
      <c r="K1536">
        <v>4</v>
      </c>
      <c r="L1536" s="4">
        <v>233.43902439024387</v>
      </c>
      <c r="M1536" s="4">
        <v>42.019024390243885</v>
      </c>
      <c r="N1536" t="s">
        <v>100</v>
      </c>
    </row>
    <row r="1537" spans="1:14">
      <c r="A1537">
        <v>1536</v>
      </c>
      <c r="B1537">
        <v>56</v>
      </c>
      <c r="C1537" t="s">
        <v>11</v>
      </c>
      <c r="D1537" t="s">
        <v>12</v>
      </c>
      <c r="E1537" t="s">
        <v>13</v>
      </c>
      <c r="F1537">
        <v>114.28</v>
      </c>
      <c r="G1537" t="s">
        <v>31</v>
      </c>
      <c r="H1537" t="s">
        <v>15</v>
      </c>
      <c r="I1537">
        <v>4</v>
      </c>
      <c r="J1537">
        <v>20</v>
      </c>
      <c r="K1537">
        <v>5</v>
      </c>
      <c r="L1537" s="4">
        <v>142.85</v>
      </c>
      <c r="M1537" s="4">
        <v>28.569999999999993</v>
      </c>
      <c r="N1537" t="s">
        <v>94</v>
      </c>
    </row>
    <row r="1538" spans="1:14">
      <c r="A1538">
        <v>1537</v>
      </c>
      <c r="B1538">
        <v>46</v>
      </c>
      <c r="C1538" t="s">
        <v>16</v>
      </c>
      <c r="D1538" t="s">
        <v>25</v>
      </c>
      <c r="E1538" t="s">
        <v>26</v>
      </c>
      <c r="F1538">
        <v>48.42</v>
      </c>
      <c r="G1538" t="s">
        <v>31</v>
      </c>
      <c r="H1538" t="s">
        <v>15</v>
      </c>
      <c r="I1538">
        <v>3.7</v>
      </c>
      <c r="J1538">
        <v>19</v>
      </c>
      <c r="K1538">
        <v>7</v>
      </c>
      <c r="L1538" s="4">
        <v>59.777777777777779</v>
      </c>
      <c r="M1538" s="4">
        <v>11.357777777777777</v>
      </c>
      <c r="N1538" t="s">
        <v>93</v>
      </c>
    </row>
    <row r="1539" spans="1:14">
      <c r="A1539">
        <v>1538</v>
      </c>
      <c r="B1539">
        <v>48</v>
      </c>
      <c r="C1539" t="s">
        <v>16</v>
      </c>
      <c r="D1539" t="s">
        <v>33</v>
      </c>
      <c r="E1539" t="s">
        <v>40</v>
      </c>
      <c r="F1539">
        <v>84.31</v>
      </c>
      <c r="G1539" t="s">
        <v>19</v>
      </c>
      <c r="H1539" t="s">
        <v>37</v>
      </c>
      <c r="I1539">
        <v>4.5</v>
      </c>
      <c r="J1539">
        <v>10</v>
      </c>
      <c r="K1539">
        <v>0</v>
      </c>
      <c r="L1539" s="4">
        <v>93.677777777777777</v>
      </c>
      <c r="M1539" s="4">
        <v>9.3677777777777749</v>
      </c>
      <c r="N1539" t="s">
        <v>93</v>
      </c>
    </row>
    <row r="1540" spans="1:14">
      <c r="A1540">
        <v>1539</v>
      </c>
      <c r="B1540">
        <v>40</v>
      </c>
      <c r="C1540" t="s">
        <v>16</v>
      </c>
      <c r="D1540" t="s">
        <v>33</v>
      </c>
      <c r="E1540" t="s">
        <v>38</v>
      </c>
      <c r="F1540">
        <v>73.92</v>
      </c>
      <c r="G1540" t="s">
        <v>19</v>
      </c>
      <c r="H1540" t="s">
        <v>15</v>
      </c>
      <c r="I1540">
        <v>3.4</v>
      </c>
      <c r="J1540">
        <v>24</v>
      </c>
      <c r="K1540">
        <v>7</v>
      </c>
      <c r="L1540" s="4">
        <v>97.26315789473685</v>
      </c>
      <c r="M1540" s="4">
        <v>23.343157894736848</v>
      </c>
      <c r="N1540" t="s">
        <v>92</v>
      </c>
    </row>
    <row r="1541" spans="1:14">
      <c r="A1541">
        <v>1540</v>
      </c>
      <c r="B1541">
        <v>47</v>
      </c>
      <c r="C1541" t="s">
        <v>16</v>
      </c>
      <c r="D1541" t="s">
        <v>33</v>
      </c>
      <c r="E1541" t="s">
        <v>38</v>
      </c>
      <c r="F1541">
        <v>67.400000000000006</v>
      </c>
      <c r="G1541" t="s">
        <v>31</v>
      </c>
      <c r="H1541" t="s">
        <v>37</v>
      </c>
      <c r="I1541">
        <v>4.3</v>
      </c>
      <c r="J1541">
        <v>7</v>
      </c>
      <c r="K1541">
        <v>1</v>
      </c>
      <c r="L1541" s="4">
        <v>72.473118279569903</v>
      </c>
      <c r="M1541" s="4">
        <v>5.073118279569897</v>
      </c>
      <c r="N1541" t="s">
        <v>93</v>
      </c>
    </row>
    <row r="1542" spans="1:14">
      <c r="A1542">
        <v>1541</v>
      </c>
      <c r="B1542">
        <v>67</v>
      </c>
      <c r="C1542" t="s">
        <v>16</v>
      </c>
      <c r="D1542" t="s">
        <v>22</v>
      </c>
      <c r="E1542" t="s">
        <v>52</v>
      </c>
      <c r="F1542">
        <v>295.08999999999997</v>
      </c>
      <c r="G1542" t="s">
        <v>14</v>
      </c>
      <c r="H1542" t="s">
        <v>15</v>
      </c>
      <c r="I1542">
        <v>3.6</v>
      </c>
      <c r="J1542">
        <v>4</v>
      </c>
      <c r="K1542">
        <v>2</v>
      </c>
      <c r="L1542" s="4">
        <v>307.38541666666663</v>
      </c>
      <c r="M1542" s="4">
        <v>12.295416666666654</v>
      </c>
      <c r="N1542" t="s">
        <v>95</v>
      </c>
    </row>
    <row r="1543" spans="1:14">
      <c r="A1543">
        <v>1542</v>
      </c>
      <c r="B1543">
        <v>30</v>
      </c>
      <c r="C1543" t="s">
        <v>11</v>
      </c>
      <c r="D1543" t="s">
        <v>33</v>
      </c>
      <c r="E1543" t="s">
        <v>40</v>
      </c>
      <c r="F1543">
        <v>121.3</v>
      </c>
      <c r="G1543" t="s">
        <v>19</v>
      </c>
      <c r="H1543" t="s">
        <v>15</v>
      </c>
      <c r="I1543">
        <v>3.1</v>
      </c>
      <c r="J1543">
        <v>10</v>
      </c>
      <c r="K1543">
        <v>5</v>
      </c>
      <c r="L1543" s="4">
        <v>134.77777777777777</v>
      </c>
      <c r="M1543" s="4">
        <v>13.477777777777774</v>
      </c>
      <c r="N1543" t="s">
        <v>91</v>
      </c>
    </row>
    <row r="1544" spans="1:14">
      <c r="A1544">
        <v>1543</v>
      </c>
      <c r="B1544">
        <v>46</v>
      </c>
      <c r="C1544" t="s">
        <v>16</v>
      </c>
      <c r="D1544" t="s">
        <v>27</v>
      </c>
      <c r="E1544" t="s">
        <v>53</v>
      </c>
      <c r="F1544">
        <v>2344.0300000000002</v>
      </c>
      <c r="G1544" t="s">
        <v>14</v>
      </c>
      <c r="H1544" t="s">
        <v>15</v>
      </c>
      <c r="I1544">
        <v>4.8</v>
      </c>
      <c r="J1544">
        <v>17</v>
      </c>
      <c r="K1544">
        <v>6</v>
      </c>
      <c r="L1544" s="4">
        <v>2824.1325301204824</v>
      </c>
      <c r="M1544" s="4">
        <v>480.10253012048224</v>
      </c>
      <c r="N1544" t="s">
        <v>93</v>
      </c>
    </row>
    <row r="1545" spans="1:14">
      <c r="A1545">
        <v>1544</v>
      </c>
      <c r="B1545">
        <v>64</v>
      </c>
      <c r="C1545" t="s">
        <v>11</v>
      </c>
      <c r="D1545" t="s">
        <v>29</v>
      </c>
      <c r="E1545" t="s">
        <v>51</v>
      </c>
      <c r="F1545">
        <v>87.85</v>
      </c>
      <c r="G1545" t="s">
        <v>19</v>
      </c>
      <c r="H1545" t="s">
        <v>37</v>
      </c>
      <c r="I1545">
        <v>2.1</v>
      </c>
      <c r="J1545">
        <v>16</v>
      </c>
      <c r="K1545">
        <v>8</v>
      </c>
      <c r="L1545" s="4">
        <v>104.58333333333333</v>
      </c>
      <c r="M1545" s="4">
        <v>16.733333333333334</v>
      </c>
      <c r="N1545" t="s">
        <v>94</v>
      </c>
    </row>
    <row r="1546" spans="1:14">
      <c r="A1546">
        <v>1545</v>
      </c>
      <c r="B1546">
        <v>50</v>
      </c>
      <c r="C1546" t="s">
        <v>11</v>
      </c>
      <c r="D1546" t="s">
        <v>29</v>
      </c>
      <c r="E1546" t="s">
        <v>51</v>
      </c>
      <c r="F1546">
        <v>31.22</v>
      </c>
      <c r="G1546" t="s">
        <v>19</v>
      </c>
      <c r="H1546" t="s">
        <v>15</v>
      </c>
      <c r="I1546">
        <v>3.8</v>
      </c>
      <c r="J1546">
        <v>20</v>
      </c>
      <c r="K1546">
        <v>10</v>
      </c>
      <c r="L1546" s="4">
        <v>39.024999999999999</v>
      </c>
      <c r="M1546" s="4">
        <v>7.8049999999999997</v>
      </c>
      <c r="N1546" t="s">
        <v>93</v>
      </c>
    </row>
    <row r="1547" spans="1:14">
      <c r="A1547">
        <v>1546</v>
      </c>
      <c r="B1547">
        <v>60</v>
      </c>
      <c r="C1547" t="s">
        <v>11</v>
      </c>
      <c r="D1547" t="s">
        <v>12</v>
      </c>
      <c r="E1547" t="s">
        <v>56</v>
      </c>
      <c r="F1547">
        <v>74.33</v>
      </c>
      <c r="G1547" t="s">
        <v>24</v>
      </c>
      <c r="H1547" t="s">
        <v>15</v>
      </c>
      <c r="I1547">
        <v>3.8</v>
      </c>
      <c r="J1547">
        <v>24</v>
      </c>
      <c r="K1547">
        <v>7</v>
      </c>
      <c r="L1547" s="4">
        <v>97.80263157894737</v>
      </c>
      <c r="M1547" s="4">
        <v>23.472631578947372</v>
      </c>
      <c r="N1547" t="s">
        <v>94</v>
      </c>
    </row>
    <row r="1548" spans="1:14">
      <c r="A1548">
        <v>1547</v>
      </c>
      <c r="B1548">
        <v>36</v>
      </c>
      <c r="C1548" t="s">
        <v>11</v>
      </c>
      <c r="D1548" t="s">
        <v>20</v>
      </c>
      <c r="E1548" t="s">
        <v>39</v>
      </c>
      <c r="F1548">
        <v>142.80000000000001</v>
      </c>
      <c r="G1548" t="s">
        <v>24</v>
      </c>
      <c r="H1548" t="s">
        <v>15</v>
      </c>
      <c r="I1548">
        <v>5</v>
      </c>
      <c r="J1548">
        <v>18</v>
      </c>
      <c r="K1548">
        <v>4</v>
      </c>
      <c r="L1548" s="4">
        <v>174.14634146341464</v>
      </c>
      <c r="M1548" s="4">
        <v>31.346341463414632</v>
      </c>
      <c r="N1548" t="s">
        <v>92</v>
      </c>
    </row>
    <row r="1549" spans="1:14">
      <c r="A1549">
        <v>1548</v>
      </c>
      <c r="B1549">
        <v>25</v>
      </c>
      <c r="C1549" t="s">
        <v>16</v>
      </c>
      <c r="D1549" t="s">
        <v>20</v>
      </c>
      <c r="E1549" t="s">
        <v>21</v>
      </c>
      <c r="F1549">
        <v>76.08</v>
      </c>
      <c r="G1549" t="s">
        <v>31</v>
      </c>
      <c r="H1549" t="s">
        <v>15</v>
      </c>
      <c r="I1549">
        <v>3.7</v>
      </c>
      <c r="J1549">
        <v>16</v>
      </c>
      <c r="K1549">
        <v>3</v>
      </c>
      <c r="L1549" s="4">
        <v>90.571428571428569</v>
      </c>
      <c r="M1549" s="4">
        <v>14.491428571428571</v>
      </c>
      <c r="N1549" t="s">
        <v>91</v>
      </c>
    </row>
    <row r="1550" spans="1:14">
      <c r="A1550">
        <v>1549</v>
      </c>
      <c r="B1550">
        <v>59</v>
      </c>
      <c r="C1550" t="s">
        <v>16</v>
      </c>
      <c r="D1550" t="s">
        <v>17</v>
      </c>
      <c r="E1550" t="s">
        <v>18</v>
      </c>
      <c r="F1550">
        <v>71.09</v>
      </c>
      <c r="G1550" t="s">
        <v>19</v>
      </c>
      <c r="H1550" t="s">
        <v>37</v>
      </c>
      <c r="I1550">
        <v>3.8</v>
      </c>
      <c r="J1550">
        <v>10</v>
      </c>
      <c r="K1550">
        <v>5</v>
      </c>
      <c r="L1550" s="4">
        <v>78.988888888888894</v>
      </c>
      <c r="M1550" s="4">
        <v>7.8988888888888908</v>
      </c>
      <c r="N1550" t="s">
        <v>94</v>
      </c>
    </row>
    <row r="1551" spans="1:14">
      <c r="A1551">
        <v>1550</v>
      </c>
      <c r="B1551">
        <v>21</v>
      </c>
      <c r="C1551" t="s">
        <v>16</v>
      </c>
      <c r="D1551" t="s">
        <v>33</v>
      </c>
      <c r="E1551" t="s">
        <v>40</v>
      </c>
      <c r="F1551">
        <v>210.67</v>
      </c>
      <c r="G1551" t="s">
        <v>24</v>
      </c>
      <c r="H1551" t="s">
        <v>15</v>
      </c>
      <c r="I1551">
        <v>3.4</v>
      </c>
      <c r="J1551">
        <v>6</v>
      </c>
      <c r="K1551">
        <v>3</v>
      </c>
      <c r="L1551" s="4">
        <v>224.11702127659575</v>
      </c>
      <c r="M1551" s="4">
        <v>13.447021276595763</v>
      </c>
      <c r="N1551" t="s">
        <v>100</v>
      </c>
    </row>
    <row r="1552" spans="1:14">
      <c r="A1552">
        <v>1551</v>
      </c>
      <c r="B1552">
        <v>21</v>
      </c>
      <c r="C1552" t="s">
        <v>11</v>
      </c>
      <c r="D1552" t="s">
        <v>29</v>
      </c>
      <c r="E1552" t="s">
        <v>30</v>
      </c>
      <c r="F1552">
        <v>131.55000000000001</v>
      </c>
      <c r="G1552" t="s">
        <v>31</v>
      </c>
      <c r="H1552" t="s">
        <v>15</v>
      </c>
      <c r="I1552">
        <v>4.3</v>
      </c>
      <c r="J1552">
        <v>13</v>
      </c>
      <c r="K1552">
        <v>4</v>
      </c>
      <c r="L1552" s="4">
        <v>151.20689655172416</v>
      </c>
      <c r="M1552" s="4">
        <v>19.656896551724145</v>
      </c>
      <c r="N1552" t="s">
        <v>100</v>
      </c>
    </row>
    <row r="1553" spans="1:14">
      <c r="A1553">
        <v>1552</v>
      </c>
      <c r="B1553">
        <v>28</v>
      </c>
      <c r="C1553" t="s">
        <v>16</v>
      </c>
      <c r="D1553" t="s">
        <v>20</v>
      </c>
      <c r="E1553" t="s">
        <v>39</v>
      </c>
      <c r="F1553">
        <v>123.55</v>
      </c>
      <c r="G1553" t="s">
        <v>31</v>
      </c>
      <c r="H1553" t="s">
        <v>15</v>
      </c>
      <c r="I1553">
        <v>4.0999999999999996</v>
      </c>
      <c r="J1553">
        <v>21</v>
      </c>
      <c r="K1553">
        <v>8</v>
      </c>
      <c r="L1553" s="4">
        <v>156.39240506329114</v>
      </c>
      <c r="M1553" s="4">
        <v>32.842405063291139</v>
      </c>
      <c r="N1553" t="s">
        <v>91</v>
      </c>
    </row>
    <row r="1554" spans="1:14">
      <c r="A1554">
        <v>1553</v>
      </c>
      <c r="B1554">
        <v>21</v>
      </c>
      <c r="C1554" t="s">
        <v>11</v>
      </c>
      <c r="D1554" t="s">
        <v>12</v>
      </c>
      <c r="E1554" t="s">
        <v>13</v>
      </c>
      <c r="F1554">
        <v>130.77000000000001</v>
      </c>
      <c r="G1554" t="s">
        <v>24</v>
      </c>
      <c r="H1554" t="s">
        <v>15</v>
      </c>
      <c r="I1554">
        <v>4.8</v>
      </c>
      <c r="J1554">
        <v>4</v>
      </c>
      <c r="K1554">
        <v>2</v>
      </c>
      <c r="L1554" s="4">
        <v>136.21875000000003</v>
      </c>
      <c r="M1554" s="4">
        <v>5.4487500000000182</v>
      </c>
      <c r="N1554" t="s">
        <v>100</v>
      </c>
    </row>
    <row r="1555" spans="1:14">
      <c r="A1555">
        <v>1554</v>
      </c>
      <c r="B1555">
        <v>56</v>
      </c>
      <c r="C1555" t="s">
        <v>16</v>
      </c>
      <c r="D1555" t="s">
        <v>17</v>
      </c>
      <c r="E1555" t="s">
        <v>48</v>
      </c>
      <c r="F1555">
        <v>110.31</v>
      </c>
      <c r="G1555" t="s">
        <v>31</v>
      </c>
      <c r="H1555" t="s">
        <v>15</v>
      </c>
      <c r="I1555">
        <v>3</v>
      </c>
      <c r="J1555">
        <v>2</v>
      </c>
      <c r="K1555">
        <v>1</v>
      </c>
      <c r="L1555" s="4">
        <v>112.56122448979592</v>
      </c>
      <c r="M1555" s="4">
        <v>2.2512244897959164</v>
      </c>
      <c r="N1555" t="s">
        <v>94</v>
      </c>
    </row>
    <row r="1556" spans="1:14">
      <c r="A1556">
        <v>1555</v>
      </c>
      <c r="B1556">
        <v>29</v>
      </c>
      <c r="C1556" t="s">
        <v>16</v>
      </c>
      <c r="D1556" t="s">
        <v>20</v>
      </c>
      <c r="E1556" t="s">
        <v>36</v>
      </c>
      <c r="F1556">
        <v>238.27</v>
      </c>
      <c r="G1556" t="s">
        <v>24</v>
      </c>
      <c r="H1556" t="s">
        <v>15</v>
      </c>
      <c r="I1556">
        <v>5</v>
      </c>
      <c r="J1556">
        <v>14</v>
      </c>
      <c r="K1556">
        <v>2</v>
      </c>
      <c r="L1556" s="4">
        <v>277.05813953488376</v>
      </c>
      <c r="M1556" s="4">
        <v>38.788139534883754</v>
      </c>
      <c r="N1556" t="s">
        <v>91</v>
      </c>
    </row>
    <row r="1557" spans="1:14">
      <c r="A1557">
        <v>1556</v>
      </c>
      <c r="B1557">
        <v>20</v>
      </c>
      <c r="C1557" t="s">
        <v>16</v>
      </c>
      <c r="D1557" t="s">
        <v>22</v>
      </c>
      <c r="E1557" t="s">
        <v>52</v>
      </c>
      <c r="F1557">
        <v>201.69</v>
      </c>
      <c r="G1557" t="s">
        <v>14</v>
      </c>
      <c r="H1557" t="s">
        <v>15</v>
      </c>
      <c r="I1557">
        <v>2.9</v>
      </c>
      <c r="J1557">
        <v>23</v>
      </c>
      <c r="K1557">
        <v>9</v>
      </c>
      <c r="L1557" s="4">
        <v>261.93506493506493</v>
      </c>
      <c r="M1557" s="4">
        <v>60.245064935064931</v>
      </c>
      <c r="N1557" t="s">
        <v>100</v>
      </c>
    </row>
    <row r="1558" spans="1:14">
      <c r="A1558">
        <v>1557</v>
      </c>
      <c r="B1558">
        <v>49</v>
      </c>
      <c r="C1558" t="s">
        <v>11</v>
      </c>
      <c r="D1558" t="s">
        <v>20</v>
      </c>
      <c r="E1558" t="s">
        <v>39</v>
      </c>
      <c r="F1558">
        <v>199.72</v>
      </c>
      <c r="G1558" t="s">
        <v>14</v>
      </c>
      <c r="H1558" t="s">
        <v>15</v>
      </c>
      <c r="I1558">
        <v>3.9</v>
      </c>
      <c r="J1558">
        <v>24</v>
      </c>
      <c r="K1558">
        <v>7</v>
      </c>
      <c r="L1558" s="4">
        <v>262.78947368421052</v>
      </c>
      <c r="M1558" s="4">
        <v>63.069473684210521</v>
      </c>
      <c r="N1558" t="s">
        <v>93</v>
      </c>
    </row>
    <row r="1559" spans="1:14">
      <c r="A1559">
        <v>1558</v>
      </c>
      <c r="B1559">
        <v>48</v>
      </c>
      <c r="C1559" t="s">
        <v>16</v>
      </c>
      <c r="D1559" t="s">
        <v>22</v>
      </c>
      <c r="E1559" t="s">
        <v>43</v>
      </c>
      <c r="F1559">
        <v>113.79</v>
      </c>
      <c r="G1559" t="s">
        <v>24</v>
      </c>
      <c r="H1559" t="s">
        <v>15</v>
      </c>
      <c r="I1559">
        <v>3.3</v>
      </c>
      <c r="J1559">
        <v>2</v>
      </c>
      <c r="K1559">
        <v>1</v>
      </c>
      <c r="L1559" s="4">
        <v>116.11224489795919</v>
      </c>
      <c r="M1559" s="4">
        <v>2.3222448979591803</v>
      </c>
      <c r="N1559" t="s">
        <v>93</v>
      </c>
    </row>
    <row r="1560" spans="1:14">
      <c r="A1560">
        <v>1559</v>
      </c>
      <c r="B1560">
        <v>42</v>
      </c>
      <c r="C1560" t="s">
        <v>16</v>
      </c>
      <c r="D1560" t="s">
        <v>20</v>
      </c>
      <c r="E1560" t="s">
        <v>21</v>
      </c>
      <c r="F1560">
        <v>216.19</v>
      </c>
      <c r="G1560" t="s">
        <v>24</v>
      </c>
      <c r="H1560" t="s">
        <v>15</v>
      </c>
      <c r="I1560">
        <v>4.5</v>
      </c>
      <c r="J1560">
        <v>13</v>
      </c>
      <c r="K1560">
        <v>4</v>
      </c>
      <c r="L1560" s="4">
        <v>248.49425287356323</v>
      </c>
      <c r="M1560" s="4">
        <v>32.304252873563229</v>
      </c>
      <c r="N1560" t="s">
        <v>92</v>
      </c>
    </row>
    <row r="1561" spans="1:14">
      <c r="A1561">
        <v>1560</v>
      </c>
      <c r="B1561">
        <v>35</v>
      </c>
      <c r="C1561" t="s">
        <v>11</v>
      </c>
      <c r="D1561" t="s">
        <v>12</v>
      </c>
      <c r="E1561" t="s">
        <v>56</v>
      </c>
      <c r="F1561">
        <v>157.94999999999999</v>
      </c>
      <c r="G1561" t="s">
        <v>19</v>
      </c>
      <c r="H1561" t="s">
        <v>15</v>
      </c>
      <c r="I1561">
        <v>3.8</v>
      </c>
      <c r="J1561">
        <v>14</v>
      </c>
      <c r="K1561">
        <v>2</v>
      </c>
      <c r="L1561" s="4">
        <v>183.66279069767441</v>
      </c>
      <c r="M1561" s="4">
        <v>25.712790697674421</v>
      </c>
      <c r="N1561" t="s">
        <v>92</v>
      </c>
    </row>
    <row r="1562" spans="1:14">
      <c r="A1562">
        <v>1561</v>
      </c>
      <c r="B1562">
        <v>61</v>
      </c>
      <c r="C1562" t="s">
        <v>11</v>
      </c>
      <c r="D1562" t="s">
        <v>41</v>
      </c>
      <c r="E1562" t="s">
        <v>44</v>
      </c>
      <c r="F1562">
        <v>144.71</v>
      </c>
      <c r="G1562" t="s">
        <v>19</v>
      </c>
      <c r="H1562" t="s">
        <v>15</v>
      </c>
      <c r="I1562">
        <v>5</v>
      </c>
      <c r="J1562">
        <v>16</v>
      </c>
      <c r="K1562">
        <v>8</v>
      </c>
      <c r="L1562" s="4">
        <v>172.27380952380955</v>
      </c>
      <c r="M1562" s="4">
        <v>27.563809523809539</v>
      </c>
      <c r="N1562" t="s">
        <v>94</v>
      </c>
    </row>
    <row r="1563" spans="1:14">
      <c r="A1563">
        <v>1562</v>
      </c>
      <c r="B1563">
        <v>27</v>
      </c>
      <c r="C1563" t="s">
        <v>16</v>
      </c>
      <c r="D1563" t="s">
        <v>20</v>
      </c>
      <c r="E1563" t="s">
        <v>36</v>
      </c>
      <c r="F1563">
        <v>123.19</v>
      </c>
      <c r="G1563" t="s">
        <v>24</v>
      </c>
      <c r="H1563" t="s">
        <v>15</v>
      </c>
      <c r="I1563">
        <v>5</v>
      </c>
      <c r="J1563">
        <v>12</v>
      </c>
      <c r="K1563">
        <v>6</v>
      </c>
      <c r="L1563" s="4">
        <v>139.98863636363637</v>
      </c>
      <c r="M1563" s="4">
        <v>16.798636363636376</v>
      </c>
      <c r="N1563" t="s">
        <v>91</v>
      </c>
    </row>
    <row r="1564" spans="1:14">
      <c r="A1564">
        <v>1563</v>
      </c>
      <c r="B1564">
        <v>56</v>
      </c>
      <c r="C1564" t="s">
        <v>16</v>
      </c>
      <c r="D1564" t="s">
        <v>20</v>
      </c>
      <c r="E1564" t="s">
        <v>39</v>
      </c>
      <c r="F1564">
        <v>174.68</v>
      </c>
      <c r="G1564" t="s">
        <v>14</v>
      </c>
      <c r="H1564" t="s">
        <v>15</v>
      </c>
      <c r="I1564">
        <v>3.1</v>
      </c>
      <c r="J1564">
        <v>22</v>
      </c>
      <c r="K1564">
        <v>6</v>
      </c>
      <c r="L1564" s="4">
        <v>223.94871794871796</v>
      </c>
      <c r="M1564" s="4">
        <v>49.268717948717949</v>
      </c>
      <c r="N1564" t="s">
        <v>94</v>
      </c>
    </row>
    <row r="1565" spans="1:14">
      <c r="A1565">
        <v>1564</v>
      </c>
      <c r="B1565">
        <v>54</v>
      </c>
      <c r="C1565" t="s">
        <v>16</v>
      </c>
      <c r="D1565" t="s">
        <v>33</v>
      </c>
      <c r="E1565" t="s">
        <v>38</v>
      </c>
      <c r="F1565">
        <v>80.349999999999994</v>
      </c>
      <c r="G1565" t="s">
        <v>14</v>
      </c>
      <c r="H1565" t="s">
        <v>37</v>
      </c>
      <c r="I1565">
        <v>3.8</v>
      </c>
      <c r="J1565">
        <v>14</v>
      </c>
      <c r="K1565">
        <v>2</v>
      </c>
      <c r="L1565" s="4">
        <v>93.430232558139537</v>
      </c>
      <c r="M1565" s="4">
        <v>13.080232558139542</v>
      </c>
      <c r="N1565" t="s">
        <v>93</v>
      </c>
    </row>
    <row r="1566" spans="1:14">
      <c r="A1566">
        <v>1565</v>
      </c>
      <c r="B1566">
        <v>46</v>
      </c>
      <c r="C1566" t="s">
        <v>11</v>
      </c>
      <c r="D1566" t="s">
        <v>22</v>
      </c>
      <c r="E1566" t="s">
        <v>23</v>
      </c>
      <c r="F1566">
        <v>196.05</v>
      </c>
      <c r="G1566" t="s">
        <v>14</v>
      </c>
      <c r="H1566" t="s">
        <v>15</v>
      </c>
      <c r="I1566">
        <v>4.5999999999999996</v>
      </c>
      <c r="J1566">
        <v>12</v>
      </c>
      <c r="K1566">
        <v>1</v>
      </c>
      <c r="L1566" s="4">
        <v>222.78409090909093</v>
      </c>
      <c r="M1566" s="4">
        <v>26.734090909090924</v>
      </c>
      <c r="N1566" t="s">
        <v>93</v>
      </c>
    </row>
    <row r="1567" spans="1:14">
      <c r="A1567">
        <v>1566</v>
      </c>
      <c r="B1567">
        <v>55</v>
      </c>
      <c r="C1567" t="s">
        <v>11</v>
      </c>
      <c r="D1567" t="s">
        <v>29</v>
      </c>
      <c r="E1567" t="s">
        <v>51</v>
      </c>
      <c r="F1567">
        <v>127.11</v>
      </c>
      <c r="G1567" t="s">
        <v>19</v>
      </c>
      <c r="H1567" t="s">
        <v>15</v>
      </c>
      <c r="I1567">
        <v>4.0999999999999996</v>
      </c>
      <c r="J1567">
        <v>15</v>
      </c>
      <c r="K1567">
        <v>5</v>
      </c>
      <c r="L1567" s="4">
        <v>149.54117647058823</v>
      </c>
      <c r="M1567" s="4">
        <v>22.431176470588227</v>
      </c>
      <c r="N1567" t="s">
        <v>94</v>
      </c>
    </row>
    <row r="1568" spans="1:14">
      <c r="A1568">
        <v>1567</v>
      </c>
      <c r="B1568">
        <v>30</v>
      </c>
      <c r="C1568" t="s">
        <v>11</v>
      </c>
      <c r="D1568" t="s">
        <v>29</v>
      </c>
      <c r="E1568" t="s">
        <v>30</v>
      </c>
      <c r="F1568">
        <v>69.8</v>
      </c>
      <c r="G1568" t="s">
        <v>24</v>
      </c>
      <c r="H1568" t="s">
        <v>37</v>
      </c>
      <c r="I1568">
        <v>2.8</v>
      </c>
      <c r="J1568">
        <v>18</v>
      </c>
      <c r="K1568">
        <v>4</v>
      </c>
      <c r="L1568" s="4">
        <v>85.121951219512184</v>
      </c>
      <c r="M1568" s="4">
        <v>15.321951219512187</v>
      </c>
      <c r="N1568" t="s">
        <v>91</v>
      </c>
    </row>
    <row r="1569" spans="1:14">
      <c r="A1569">
        <v>1568</v>
      </c>
      <c r="B1569">
        <v>27</v>
      </c>
      <c r="C1569" t="s">
        <v>16</v>
      </c>
      <c r="D1569" t="s">
        <v>20</v>
      </c>
      <c r="E1569" t="s">
        <v>36</v>
      </c>
      <c r="F1569">
        <v>210.43</v>
      </c>
      <c r="G1569" t="s">
        <v>14</v>
      </c>
      <c r="H1569" t="s">
        <v>15</v>
      </c>
      <c r="I1569">
        <v>3.9</v>
      </c>
      <c r="J1569">
        <v>16</v>
      </c>
      <c r="K1569">
        <v>3</v>
      </c>
      <c r="L1569" s="4">
        <v>250.51190476190479</v>
      </c>
      <c r="M1569" s="4">
        <v>40.081904761904781</v>
      </c>
      <c r="N1569" t="s">
        <v>91</v>
      </c>
    </row>
    <row r="1570" spans="1:14">
      <c r="A1570">
        <v>1569</v>
      </c>
      <c r="B1570">
        <v>56</v>
      </c>
      <c r="C1570" t="s">
        <v>16</v>
      </c>
      <c r="D1570" t="s">
        <v>20</v>
      </c>
      <c r="E1570" t="s">
        <v>36</v>
      </c>
      <c r="F1570">
        <v>219.8</v>
      </c>
      <c r="G1570" t="s">
        <v>24</v>
      </c>
      <c r="H1570" t="s">
        <v>15</v>
      </c>
      <c r="I1570">
        <v>3.9</v>
      </c>
      <c r="J1570">
        <v>6</v>
      </c>
      <c r="K1570">
        <v>3</v>
      </c>
      <c r="L1570" s="4">
        <v>233.82978723404258</v>
      </c>
      <c r="M1570" s="4">
        <v>14.029787234042573</v>
      </c>
      <c r="N1570" t="s">
        <v>94</v>
      </c>
    </row>
    <row r="1571" spans="1:14">
      <c r="A1571">
        <v>1570</v>
      </c>
      <c r="B1571">
        <v>42</v>
      </c>
      <c r="C1571" t="s">
        <v>11</v>
      </c>
      <c r="D1571" t="s">
        <v>33</v>
      </c>
      <c r="E1571" t="s">
        <v>38</v>
      </c>
      <c r="F1571">
        <v>74.97</v>
      </c>
      <c r="G1571" t="s">
        <v>31</v>
      </c>
      <c r="H1571" t="s">
        <v>37</v>
      </c>
      <c r="I1571">
        <v>2.2000000000000002</v>
      </c>
      <c r="J1571">
        <v>6</v>
      </c>
      <c r="K1571">
        <v>3</v>
      </c>
      <c r="L1571" s="4">
        <v>79.755319148936167</v>
      </c>
      <c r="M1571" s="4">
        <v>4.7853191489361677</v>
      </c>
      <c r="N1571" t="s">
        <v>92</v>
      </c>
    </row>
    <row r="1572" spans="1:14">
      <c r="A1572">
        <v>1571</v>
      </c>
      <c r="B1572">
        <v>34</v>
      </c>
      <c r="C1572" t="s">
        <v>11</v>
      </c>
      <c r="D1572" t="s">
        <v>29</v>
      </c>
      <c r="E1572" t="s">
        <v>51</v>
      </c>
      <c r="F1572">
        <v>103.19</v>
      </c>
      <c r="G1572" t="s">
        <v>31</v>
      </c>
      <c r="H1572" t="s">
        <v>15</v>
      </c>
      <c r="I1572">
        <v>4</v>
      </c>
      <c r="J1572">
        <v>10</v>
      </c>
      <c r="K1572">
        <v>5</v>
      </c>
      <c r="L1572" s="4">
        <v>114.65555555555555</v>
      </c>
      <c r="M1572" s="4">
        <v>11.465555555555554</v>
      </c>
      <c r="N1572" t="s">
        <v>91</v>
      </c>
    </row>
    <row r="1573" spans="1:14">
      <c r="A1573">
        <v>1572</v>
      </c>
      <c r="B1573">
        <v>21</v>
      </c>
      <c r="C1573" t="s">
        <v>11</v>
      </c>
      <c r="D1573" t="s">
        <v>29</v>
      </c>
      <c r="E1573" t="s">
        <v>55</v>
      </c>
      <c r="F1573">
        <v>138.69</v>
      </c>
      <c r="G1573" t="s">
        <v>24</v>
      </c>
      <c r="H1573" t="s">
        <v>15</v>
      </c>
      <c r="I1573">
        <v>4.5</v>
      </c>
      <c r="J1573">
        <v>16</v>
      </c>
      <c r="K1573">
        <v>3</v>
      </c>
      <c r="L1573" s="4">
        <v>165.10714285714286</v>
      </c>
      <c r="M1573" s="4">
        <v>26.417142857142863</v>
      </c>
      <c r="N1573" t="s">
        <v>100</v>
      </c>
    </row>
    <row r="1574" spans="1:14">
      <c r="A1574">
        <v>1573</v>
      </c>
      <c r="B1574">
        <v>49</v>
      </c>
      <c r="C1574" t="s">
        <v>16</v>
      </c>
      <c r="D1574" t="s">
        <v>20</v>
      </c>
      <c r="E1574" t="s">
        <v>36</v>
      </c>
      <c r="F1574">
        <v>164.76</v>
      </c>
      <c r="G1574" t="s">
        <v>31</v>
      </c>
      <c r="H1574" t="s">
        <v>15</v>
      </c>
      <c r="I1574">
        <v>3.5</v>
      </c>
      <c r="J1574">
        <v>26</v>
      </c>
      <c r="K1574">
        <v>8</v>
      </c>
      <c r="L1574" s="4">
        <v>222.64864864864865</v>
      </c>
      <c r="M1574" s="4">
        <v>57.888648648648655</v>
      </c>
      <c r="N1574" t="s">
        <v>93</v>
      </c>
    </row>
    <row r="1575" spans="1:14">
      <c r="A1575">
        <v>1574</v>
      </c>
      <c r="B1575">
        <v>25</v>
      </c>
      <c r="C1575" t="s">
        <v>16</v>
      </c>
      <c r="D1575" t="s">
        <v>20</v>
      </c>
      <c r="E1575" t="s">
        <v>36</v>
      </c>
      <c r="F1575">
        <v>182.09</v>
      </c>
      <c r="G1575" t="s">
        <v>24</v>
      </c>
      <c r="H1575" t="s">
        <v>15</v>
      </c>
      <c r="I1575">
        <v>3.9</v>
      </c>
      <c r="J1575">
        <v>8</v>
      </c>
      <c r="K1575">
        <v>4</v>
      </c>
      <c r="L1575" s="4">
        <v>197.92391304347825</v>
      </c>
      <c r="M1575" s="4">
        <v>15.833913043478248</v>
      </c>
      <c r="N1575" t="s">
        <v>91</v>
      </c>
    </row>
    <row r="1576" spans="1:14">
      <c r="A1576">
        <v>1575</v>
      </c>
      <c r="B1576">
        <v>50</v>
      </c>
      <c r="C1576" t="s">
        <v>16</v>
      </c>
      <c r="D1576" t="s">
        <v>33</v>
      </c>
      <c r="E1576" t="s">
        <v>38</v>
      </c>
      <c r="F1576">
        <v>180.26</v>
      </c>
      <c r="G1576" t="s">
        <v>19</v>
      </c>
      <c r="H1576" t="s">
        <v>15</v>
      </c>
      <c r="I1576">
        <v>3.9</v>
      </c>
      <c r="J1576">
        <v>2</v>
      </c>
      <c r="K1576">
        <v>1</v>
      </c>
      <c r="L1576" s="4">
        <v>183.93877551020407</v>
      </c>
      <c r="M1576" s="4">
        <v>3.6787755102040762</v>
      </c>
      <c r="N1576" t="s">
        <v>93</v>
      </c>
    </row>
    <row r="1577" spans="1:14">
      <c r="A1577">
        <v>1576</v>
      </c>
      <c r="B1577">
        <v>45</v>
      </c>
      <c r="C1577" t="s">
        <v>11</v>
      </c>
      <c r="D1577" t="s">
        <v>12</v>
      </c>
      <c r="E1577" t="s">
        <v>50</v>
      </c>
      <c r="F1577">
        <v>159.72999999999999</v>
      </c>
      <c r="G1577" t="s">
        <v>19</v>
      </c>
      <c r="H1577" t="s">
        <v>15</v>
      </c>
      <c r="I1577">
        <v>3.7</v>
      </c>
      <c r="J1577">
        <v>10</v>
      </c>
      <c r="K1577">
        <v>5</v>
      </c>
      <c r="L1577" s="4">
        <v>177.47777777777776</v>
      </c>
      <c r="M1577" s="4">
        <v>17.74777777777777</v>
      </c>
      <c r="N1577" t="s">
        <v>93</v>
      </c>
    </row>
    <row r="1578" spans="1:14">
      <c r="A1578">
        <v>1577</v>
      </c>
      <c r="B1578">
        <v>36</v>
      </c>
      <c r="C1578" t="s">
        <v>11</v>
      </c>
      <c r="D1578" t="s">
        <v>41</v>
      </c>
      <c r="E1578" t="s">
        <v>45</v>
      </c>
      <c r="F1578">
        <v>178.61</v>
      </c>
      <c r="G1578" t="s">
        <v>19</v>
      </c>
      <c r="H1578" t="s">
        <v>15</v>
      </c>
      <c r="I1578">
        <v>3.7</v>
      </c>
      <c r="J1578">
        <v>16</v>
      </c>
      <c r="K1578">
        <v>3</v>
      </c>
      <c r="L1578" s="4">
        <v>212.63095238095241</v>
      </c>
      <c r="M1578" s="4">
        <v>34.020952380952394</v>
      </c>
      <c r="N1578" t="s">
        <v>92</v>
      </c>
    </row>
    <row r="1579" spans="1:14">
      <c r="A1579">
        <v>1578</v>
      </c>
      <c r="B1579">
        <v>55</v>
      </c>
      <c r="C1579" t="s">
        <v>11</v>
      </c>
      <c r="D1579" t="s">
        <v>41</v>
      </c>
      <c r="E1579" t="s">
        <v>44</v>
      </c>
      <c r="F1579">
        <v>100.75</v>
      </c>
      <c r="G1579" t="s">
        <v>14</v>
      </c>
      <c r="H1579" t="s">
        <v>15</v>
      </c>
      <c r="I1579">
        <v>4.2</v>
      </c>
      <c r="J1579">
        <v>26</v>
      </c>
      <c r="K1579">
        <v>8</v>
      </c>
      <c r="L1579" s="4">
        <v>136.14864864864865</v>
      </c>
      <c r="M1579" s="4">
        <v>35.398648648648646</v>
      </c>
      <c r="N1579" t="s">
        <v>94</v>
      </c>
    </row>
    <row r="1580" spans="1:14">
      <c r="A1580">
        <v>1579</v>
      </c>
      <c r="B1580">
        <v>67</v>
      </c>
      <c r="C1580" t="s">
        <v>11</v>
      </c>
      <c r="D1580" t="s">
        <v>20</v>
      </c>
      <c r="E1580" t="s">
        <v>36</v>
      </c>
      <c r="F1580">
        <v>65.25</v>
      </c>
      <c r="G1580" t="s">
        <v>24</v>
      </c>
      <c r="H1580" t="s">
        <v>15</v>
      </c>
      <c r="I1580">
        <v>3.8</v>
      </c>
      <c r="J1580">
        <v>17</v>
      </c>
      <c r="K1580">
        <v>6</v>
      </c>
      <c r="L1580" s="4">
        <v>78.614457831325311</v>
      </c>
      <c r="M1580" s="4">
        <v>13.364457831325311</v>
      </c>
      <c r="N1580" t="s">
        <v>95</v>
      </c>
    </row>
    <row r="1581" spans="1:14">
      <c r="A1581">
        <v>1580</v>
      </c>
      <c r="B1581">
        <v>31</v>
      </c>
      <c r="C1581" t="s">
        <v>16</v>
      </c>
      <c r="D1581" t="s">
        <v>17</v>
      </c>
      <c r="E1581" t="s">
        <v>18</v>
      </c>
      <c r="F1581">
        <v>191.96</v>
      </c>
      <c r="G1581" t="s">
        <v>31</v>
      </c>
      <c r="H1581" t="s">
        <v>15</v>
      </c>
      <c r="I1581">
        <v>3.7</v>
      </c>
      <c r="J1581">
        <v>13</v>
      </c>
      <c r="K1581">
        <v>4</v>
      </c>
      <c r="L1581" s="4">
        <v>220.64367816091956</v>
      </c>
      <c r="M1581" s="4">
        <v>28.683678160919555</v>
      </c>
      <c r="N1581" t="s">
        <v>91</v>
      </c>
    </row>
    <row r="1582" spans="1:14">
      <c r="A1582">
        <v>1581</v>
      </c>
      <c r="B1582">
        <v>42</v>
      </c>
      <c r="C1582" t="s">
        <v>11</v>
      </c>
      <c r="D1582" t="s">
        <v>41</v>
      </c>
      <c r="E1582" t="s">
        <v>46</v>
      </c>
      <c r="F1582">
        <v>152.61000000000001</v>
      </c>
      <c r="G1582" t="s">
        <v>31</v>
      </c>
      <c r="H1582" t="s">
        <v>15</v>
      </c>
      <c r="I1582">
        <v>3.2</v>
      </c>
      <c r="J1582">
        <v>18</v>
      </c>
      <c r="K1582">
        <v>4</v>
      </c>
      <c r="L1582" s="4">
        <v>186.10975609756099</v>
      </c>
      <c r="M1582" s="4">
        <v>33.499756097560976</v>
      </c>
      <c r="N1582" t="s">
        <v>92</v>
      </c>
    </row>
    <row r="1583" spans="1:14">
      <c r="A1583">
        <v>1582</v>
      </c>
      <c r="B1583">
        <v>37</v>
      </c>
      <c r="C1583" t="s">
        <v>16</v>
      </c>
      <c r="D1583" t="s">
        <v>20</v>
      </c>
      <c r="E1583" t="s">
        <v>36</v>
      </c>
      <c r="F1583">
        <v>118.07</v>
      </c>
      <c r="G1583" t="s">
        <v>24</v>
      </c>
      <c r="H1583" t="s">
        <v>15</v>
      </c>
      <c r="I1583">
        <v>2.8</v>
      </c>
      <c r="J1583">
        <v>22</v>
      </c>
      <c r="K1583">
        <v>6</v>
      </c>
      <c r="L1583" s="4">
        <v>151.37179487179486</v>
      </c>
      <c r="M1583" s="4">
        <v>33.301794871794868</v>
      </c>
      <c r="N1583" t="s">
        <v>92</v>
      </c>
    </row>
    <row r="1584" spans="1:14">
      <c r="A1584">
        <v>1583</v>
      </c>
      <c r="B1584">
        <v>39</v>
      </c>
      <c r="C1584" t="s">
        <v>11</v>
      </c>
      <c r="D1584" t="s">
        <v>29</v>
      </c>
      <c r="E1584" t="s">
        <v>51</v>
      </c>
      <c r="F1584">
        <v>100.38</v>
      </c>
      <c r="G1584" t="s">
        <v>14</v>
      </c>
      <c r="H1584" t="s">
        <v>15</v>
      </c>
      <c r="I1584">
        <v>4.3</v>
      </c>
      <c r="J1584">
        <v>10</v>
      </c>
      <c r="K1584">
        <v>5</v>
      </c>
      <c r="L1584" s="4">
        <v>111.53333333333333</v>
      </c>
      <c r="M1584" s="4">
        <v>11.153333333333336</v>
      </c>
      <c r="N1584" t="s">
        <v>92</v>
      </c>
    </row>
    <row r="1585" spans="1:14">
      <c r="A1585">
        <v>1584</v>
      </c>
      <c r="B1585">
        <v>53</v>
      </c>
      <c r="C1585" t="s">
        <v>11</v>
      </c>
      <c r="D1585" t="s">
        <v>22</v>
      </c>
      <c r="E1585" t="s">
        <v>52</v>
      </c>
      <c r="F1585">
        <v>198.76</v>
      </c>
      <c r="G1585" t="s">
        <v>19</v>
      </c>
      <c r="H1585" t="s">
        <v>15</v>
      </c>
      <c r="I1585">
        <v>3.8</v>
      </c>
      <c r="J1585">
        <v>15</v>
      </c>
      <c r="K1585">
        <v>5</v>
      </c>
      <c r="L1585" s="4">
        <v>233.83529411764707</v>
      </c>
      <c r="M1585" s="4">
        <v>35.075294117647076</v>
      </c>
      <c r="N1585" t="s">
        <v>93</v>
      </c>
    </row>
    <row r="1586" spans="1:14">
      <c r="A1586">
        <v>1585</v>
      </c>
      <c r="B1586">
        <v>48</v>
      </c>
      <c r="C1586" t="s">
        <v>16</v>
      </c>
      <c r="D1586" t="s">
        <v>20</v>
      </c>
      <c r="E1586" t="s">
        <v>21</v>
      </c>
      <c r="F1586">
        <v>33.840000000000003</v>
      </c>
      <c r="G1586" t="s">
        <v>14</v>
      </c>
      <c r="H1586" t="s">
        <v>15</v>
      </c>
      <c r="I1586">
        <v>4.0999999999999996</v>
      </c>
      <c r="J1586">
        <v>13</v>
      </c>
      <c r="K1586">
        <v>4</v>
      </c>
      <c r="L1586" s="4">
        <v>38.896551724137936</v>
      </c>
      <c r="M1586" s="4">
        <v>5.0565517241379325</v>
      </c>
      <c r="N1586" t="s">
        <v>93</v>
      </c>
    </row>
    <row r="1587" spans="1:14">
      <c r="A1587">
        <v>1586</v>
      </c>
      <c r="B1587">
        <v>30</v>
      </c>
      <c r="C1587" t="s">
        <v>16</v>
      </c>
      <c r="D1587" t="s">
        <v>33</v>
      </c>
      <c r="E1587" t="s">
        <v>34</v>
      </c>
      <c r="F1587">
        <v>106.05</v>
      </c>
      <c r="G1587" t="s">
        <v>14</v>
      </c>
      <c r="H1587" t="s">
        <v>15</v>
      </c>
      <c r="I1587">
        <v>4.4000000000000004</v>
      </c>
      <c r="J1587">
        <v>13</v>
      </c>
      <c r="K1587">
        <v>4</v>
      </c>
      <c r="L1587" s="4">
        <v>121.89655172413792</v>
      </c>
      <c r="M1587" s="4">
        <v>15.846551724137925</v>
      </c>
      <c r="N1587" t="s">
        <v>91</v>
      </c>
    </row>
    <row r="1588" spans="1:14">
      <c r="A1588">
        <v>1587</v>
      </c>
      <c r="B1588">
        <v>40</v>
      </c>
      <c r="C1588" t="s">
        <v>11</v>
      </c>
      <c r="D1588" t="s">
        <v>33</v>
      </c>
      <c r="E1588" t="s">
        <v>34</v>
      </c>
      <c r="F1588">
        <v>54.39</v>
      </c>
      <c r="G1588" t="s">
        <v>14</v>
      </c>
      <c r="H1588" t="s">
        <v>15</v>
      </c>
      <c r="I1588">
        <v>3.9</v>
      </c>
      <c r="J1588">
        <v>8</v>
      </c>
      <c r="K1588">
        <v>4</v>
      </c>
      <c r="L1588" s="4">
        <v>59.119565217391305</v>
      </c>
      <c r="M1588" s="4">
        <v>4.7295652173913041</v>
      </c>
      <c r="N1588" t="s">
        <v>92</v>
      </c>
    </row>
    <row r="1589" spans="1:14">
      <c r="A1589">
        <v>1588</v>
      </c>
      <c r="B1589">
        <v>52</v>
      </c>
      <c r="C1589" t="s">
        <v>11</v>
      </c>
      <c r="D1589" t="s">
        <v>25</v>
      </c>
      <c r="E1589" t="s">
        <v>57</v>
      </c>
      <c r="F1589">
        <v>11.01</v>
      </c>
      <c r="G1589" t="s">
        <v>24</v>
      </c>
      <c r="H1589" t="s">
        <v>37</v>
      </c>
      <c r="I1589">
        <v>4.0999999999999996</v>
      </c>
      <c r="J1589">
        <v>8</v>
      </c>
      <c r="K1589">
        <v>4</v>
      </c>
      <c r="L1589" s="4">
        <v>11.967391304347826</v>
      </c>
      <c r="M1589" s="4">
        <v>0.95739130434782638</v>
      </c>
      <c r="N1589" t="s">
        <v>93</v>
      </c>
    </row>
    <row r="1590" spans="1:14">
      <c r="A1590">
        <v>1589</v>
      </c>
      <c r="B1590">
        <v>67</v>
      </c>
      <c r="C1590" t="s">
        <v>11</v>
      </c>
      <c r="D1590" t="s">
        <v>33</v>
      </c>
      <c r="E1590" t="s">
        <v>34</v>
      </c>
      <c r="F1590">
        <v>126.08</v>
      </c>
      <c r="G1590" t="s">
        <v>31</v>
      </c>
      <c r="H1590" t="s">
        <v>15</v>
      </c>
      <c r="I1590">
        <v>3.8</v>
      </c>
      <c r="J1590">
        <v>22</v>
      </c>
      <c r="K1590">
        <v>6</v>
      </c>
      <c r="L1590" s="4">
        <v>161.64102564102564</v>
      </c>
      <c r="M1590" s="4">
        <v>35.561025641025637</v>
      </c>
      <c r="N1590" t="s">
        <v>95</v>
      </c>
    </row>
    <row r="1591" spans="1:14">
      <c r="A1591">
        <v>1590</v>
      </c>
      <c r="B1591">
        <v>43</v>
      </c>
      <c r="C1591" t="s">
        <v>16</v>
      </c>
      <c r="D1591" t="s">
        <v>17</v>
      </c>
      <c r="E1591" t="s">
        <v>35</v>
      </c>
      <c r="F1591">
        <v>114.33</v>
      </c>
      <c r="G1591" t="s">
        <v>31</v>
      </c>
      <c r="H1591" t="s">
        <v>15</v>
      </c>
      <c r="I1591">
        <v>3.9</v>
      </c>
      <c r="J1591">
        <v>13</v>
      </c>
      <c r="K1591">
        <v>4</v>
      </c>
      <c r="L1591" s="4">
        <v>131.41379310344828</v>
      </c>
      <c r="M1591" s="4">
        <v>17.083793103448286</v>
      </c>
      <c r="N1591" t="s">
        <v>92</v>
      </c>
    </row>
    <row r="1592" spans="1:14">
      <c r="A1592">
        <v>1591</v>
      </c>
      <c r="B1592">
        <v>52</v>
      </c>
      <c r="C1592" t="s">
        <v>16</v>
      </c>
      <c r="D1592" t="s">
        <v>17</v>
      </c>
      <c r="E1592" t="s">
        <v>42</v>
      </c>
      <c r="F1592">
        <v>157.41</v>
      </c>
      <c r="G1592" t="s">
        <v>31</v>
      </c>
      <c r="H1592" t="s">
        <v>15</v>
      </c>
      <c r="I1592">
        <v>4.7</v>
      </c>
      <c r="J1592">
        <v>16</v>
      </c>
      <c r="K1592">
        <v>3</v>
      </c>
      <c r="L1592" s="4">
        <v>187.39285714285714</v>
      </c>
      <c r="M1592" s="4">
        <v>29.982857142857142</v>
      </c>
      <c r="N1592" t="s">
        <v>93</v>
      </c>
    </row>
    <row r="1593" spans="1:14">
      <c r="A1593">
        <v>1592</v>
      </c>
      <c r="B1593">
        <v>70</v>
      </c>
      <c r="C1593" t="s">
        <v>11</v>
      </c>
      <c r="D1593" t="s">
        <v>33</v>
      </c>
      <c r="E1593" t="s">
        <v>34</v>
      </c>
      <c r="F1593">
        <v>157.88999999999999</v>
      </c>
      <c r="G1593" t="s">
        <v>14</v>
      </c>
      <c r="H1593" t="s">
        <v>15</v>
      </c>
      <c r="I1593">
        <v>4</v>
      </c>
      <c r="J1593">
        <v>16</v>
      </c>
      <c r="K1593">
        <v>3</v>
      </c>
      <c r="L1593" s="4">
        <v>187.96428571428569</v>
      </c>
      <c r="M1593" s="4">
        <v>30.074285714285708</v>
      </c>
      <c r="N1593" t="s">
        <v>95</v>
      </c>
    </row>
    <row r="1594" spans="1:14">
      <c r="A1594">
        <v>1593</v>
      </c>
      <c r="B1594">
        <v>46</v>
      </c>
      <c r="C1594" t="s">
        <v>11</v>
      </c>
      <c r="D1594" t="s">
        <v>41</v>
      </c>
      <c r="E1594" t="s">
        <v>45</v>
      </c>
      <c r="F1594">
        <v>52.6</v>
      </c>
      <c r="G1594" t="s">
        <v>31</v>
      </c>
      <c r="H1594" t="s">
        <v>15</v>
      </c>
      <c r="I1594">
        <v>4</v>
      </c>
      <c r="J1594">
        <v>7</v>
      </c>
      <c r="K1594">
        <v>1</v>
      </c>
      <c r="L1594" s="4">
        <v>56.55913978494624</v>
      </c>
      <c r="M1594" s="4">
        <v>3.9591397849462382</v>
      </c>
      <c r="N1594" t="s">
        <v>93</v>
      </c>
    </row>
    <row r="1595" spans="1:14">
      <c r="A1595">
        <v>1594</v>
      </c>
      <c r="B1595">
        <v>63</v>
      </c>
      <c r="C1595" t="s">
        <v>16</v>
      </c>
      <c r="D1595" t="s">
        <v>20</v>
      </c>
      <c r="E1595" t="s">
        <v>21</v>
      </c>
      <c r="F1595">
        <v>37.630000000000003</v>
      </c>
      <c r="G1595" t="s">
        <v>19</v>
      </c>
      <c r="H1595" t="s">
        <v>37</v>
      </c>
      <c r="I1595">
        <v>3.6</v>
      </c>
      <c r="J1595">
        <v>13</v>
      </c>
      <c r="K1595">
        <v>4</v>
      </c>
      <c r="L1595" s="4">
        <v>43.252873563218394</v>
      </c>
      <c r="M1595" s="4">
        <v>5.6228735632183913</v>
      </c>
      <c r="N1595" t="s">
        <v>94</v>
      </c>
    </row>
    <row r="1596" spans="1:14">
      <c r="A1596">
        <v>1595</v>
      </c>
      <c r="B1596">
        <v>60</v>
      </c>
      <c r="C1596" t="s">
        <v>16</v>
      </c>
      <c r="D1596" t="s">
        <v>27</v>
      </c>
      <c r="E1596" t="s">
        <v>28</v>
      </c>
      <c r="F1596">
        <v>1061.83</v>
      </c>
      <c r="G1596" t="s">
        <v>31</v>
      </c>
      <c r="H1596" t="s">
        <v>15</v>
      </c>
      <c r="I1596">
        <v>4.9000000000000004</v>
      </c>
      <c r="J1596">
        <v>10</v>
      </c>
      <c r="K1596">
        <v>5</v>
      </c>
      <c r="L1596" s="4">
        <v>1179.8111111111109</v>
      </c>
      <c r="M1596" s="4">
        <v>117.98111111111098</v>
      </c>
      <c r="N1596" t="s">
        <v>94</v>
      </c>
    </row>
    <row r="1597" spans="1:14">
      <c r="A1597">
        <v>1596</v>
      </c>
      <c r="B1597">
        <v>53</v>
      </c>
      <c r="C1597" t="s">
        <v>16</v>
      </c>
      <c r="D1597" t="s">
        <v>17</v>
      </c>
      <c r="E1597" t="s">
        <v>18</v>
      </c>
      <c r="F1597">
        <v>44.56</v>
      </c>
      <c r="G1597" t="s">
        <v>31</v>
      </c>
      <c r="H1597" t="s">
        <v>15</v>
      </c>
      <c r="I1597">
        <v>3.9</v>
      </c>
      <c r="J1597">
        <v>26</v>
      </c>
      <c r="K1597">
        <v>8</v>
      </c>
      <c r="L1597" s="4">
        <v>60.216216216216218</v>
      </c>
      <c r="M1597" s="4">
        <v>15.656216216216215</v>
      </c>
      <c r="N1597" t="s">
        <v>93</v>
      </c>
    </row>
    <row r="1598" spans="1:14">
      <c r="A1598">
        <v>1597</v>
      </c>
      <c r="B1598">
        <v>43</v>
      </c>
      <c r="C1598" t="s">
        <v>11</v>
      </c>
      <c r="D1598" t="s">
        <v>41</v>
      </c>
      <c r="E1598" t="s">
        <v>42</v>
      </c>
      <c r="F1598">
        <v>57.06</v>
      </c>
      <c r="G1598" t="s">
        <v>19</v>
      </c>
      <c r="H1598" t="s">
        <v>15</v>
      </c>
      <c r="I1598">
        <v>3.9</v>
      </c>
      <c r="J1598">
        <v>26</v>
      </c>
      <c r="K1598">
        <v>8</v>
      </c>
      <c r="L1598" s="4">
        <v>77.108108108108112</v>
      </c>
      <c r="M1598" s="4">
        <v>20.04810810810811</v>
      </c>
      <c r="N1598" t="s">
        <v>92</v>
      </c>
    </row>
    <row r="1599" spans="1:14">
      <c r="A1599">
        <v>1598</v>
      </c>
      <c r="B1599">
        <v>44</v>
      </c>
      <c r="C1599" t="s">
        <v>11</v>
      </c>
      <c r="D1599" t="s">
        <v>41</v>
      </c>
      <c r="E1599" t="s">
        <v>46</v>
      </c>
      <c r="F1599">
        <v>34.94</v>
      </c>
      <c r="G1599" t="s">
        <v>14</v>
      </c>
      <c r="H1599" t="s">
        <v>37</v>
      </c>
      <c r="I1599">
        <v>1.6</v>
      </c>
      <c r="J1599">
        <v>22</v>
      </c>
      <c r="K1599">
        <v>11</v>
      </c>
      <c r="L1599" s="4">
        <v>44.794871794871788</v>
      </c>
      <c r="M1599" s="4">
        <v>9.8548717948717908</v>
      </c>
      <c r="N1599" t="s">
        <v>92</v>
      </c>
    </row>
    <row r="1600" spans="1:14">
      <c r="A1600">
        <v>1599</v>
      </c>
      <c r="B1600">
        <v>32</v>
      </c>
      <c r="C1600" t="s">
        <v>16</v>
      </c>
      <c r="D1600" t="s">
        <v>25</v>
      </c>
      <c r="E1600" t="s">
        <v>47</v>
      </c>
      <c r="F1600">
        <v>12.13</v>
      </c>
      <c r="G1600" t="s">
        <v>24</v>
      </c>
      <c r="H1600" t="s">
        <v>15</v>
      </c>
      <c r="I1600">
        <v>4.9000000000000004</v>
      </c>
      <c r="J1600">
        <v>16</v>
      </c>
      <c r="K1600">
        <v>3</v>
      </c>
      <c r="L1600" s="4">
        <v>14.440476190476192</v>
      </c>
      <c r="M1600" s="4">
        <v>2.3104761904761908</v>
      </c>
      <c r="N1600" t="s">
        <v>91</v>
      </c>
    </row>
    <row r="1601" spans="1:14">
      <c r="A1601">
        <v>1600</v>
      </c>
      <c r="B1601">
        <v>53</v>
      </c>
      <c r="C1601" t="s">
        <v>16</v>
      </c>
      <c r="D1601" t="s">
        <v>27</v>
      </c>
      <c r="E1601" t="s">
        <v>28</v>
      </c>
      <c r="F1601">
        <v>930.34</v>
      </c>
      <c r="G1601" t="s">
        <v>31</v>
      </c>
      <c r="H1601" t="s">
        <v>15</v>
      </c>
      <c r="I1601">
        <v>4.5999999999999996</v>
      </c>
      <c r="J1601">
        <v>10</v>
      </c>
      <c r="K1601">
        <v>5</v>
      </c>
      <c r="L1601" s="4">
        <v>1033.7111111111112</v>
      </c>
      <c r="M1601" s="4">
        <v>103.37111111111119</v>
      </c>
      <c r="N1601" t="s">
        <v>93</v>
      </c>
    </row>
    <row r="1602" spans="1:14">
      <c r="A1602">
        <v>1601</v>
      </c>
      <c r="B1602">
        <v>24</v>
      </c>
      <c r="C1602" t="s">
        <v>16</v>
      </c>
      <c r="D1602" t="s">
        <v>27</v>
      </c>
      <c r="E1602" t="s">
        <v>28</v>
      </c>
      <c r="F1602">
        <v>2059.52</v>
      </c>
      <c r="G1602" t="s">
        <v>24</v>
      </c>
      <c r="H1602" t="s">
        <v>15</v>
      </c>
      <c r="I1602">
        <v>3.4</v>
      </c>
      <c r="J1602">
        <v>18</v>
      </c>
      <c r="K1602">
        <v>4</v>
      </c>
      <c r="L1602" s="4">
        <v>2511.6097560975609</v>
      </c>
      <c r="M1602" s="4">
        <v>452.08975609756089</v>
      </c>
      <c r="N1602" t="s">
        <v>100</v>
      </c>
    </row>
    <row r="1603" spans="1:14">
      <c r="A1603">
        <v>1602</v>
      </c>
      <c r="B1603">
        <v>36</v>
      </c>
      <c r="C1603" t="s">
        <v>16</v>
      </c>
      <c r="D1603" t="s">
        <v>33</v>
      </c>
      <c r="E1603" t="s">
        <v>40</v>
      </c>
      <c r="F1603">
        <v>160.32</v>
      </c>
      <c r="G1603" t="s">
        <v>14</v>
      </c>
      <c r="H1603" t="s">
        <v>15</v>
      </c>
      <c r="I1603">
        <v>3.9</v>
      </c>
      <c r="J1603">
        <v>16</v>
      </c>
      <c r="K1603">
        <v>8</v>
      </c>
      <c r="L1603" s="4">
        <v>190.85714285714286</v>
      </c>
      <c r="M1603" s="4">
        <v>30.537142857142868</v>
      </c>
      <c r="N1603" t="s">
        <v>92</v>
      </c>
    </row>
    <row r="1604" spans="1:14">
      <c r="A1604">
        <v>1603</v>
      </c>
      <c r="B1604">
        <v>57</v>
      </c>
      <c r="C1604" t="s">
        <v>11</v>
      </c>
      <c r="D1604" t="s">
        <v>12</v>
      </c>
      <c r="E1604" t="s">
        <v>13</v>
      </c>
      <c r="F1604">
        <v>28.73</v>
      </c>
      <c r="G1604" t="s">
        <v>24</v>
      </c>
      <c r="H1604" t="s">
        <v>15</v>
      </c>
      <c r="I1604">
        <v>3.8</v>
      </c>
      <c r="J1604">
        <v>10</v>
      </c>
      <c r="K1604">
        <v>5</v>
      </c>
      <c r="L1604" s="4">
        <v>31.922222222222221</v>
      </c>
      <c r="M1604" s="4">
        <v>3.1922222222222203</v>
      </c>
      <c r="N1604" t="s">
        <v>94</v>
      </c>
    </row>
    <row r="1605" spans="1:14">
      <c r="A1605">
        <v>1604</v>
      </c>
      <c r="B1605">
        <v>67</v>
      </c>
      <c r="C1605" t="s">
        <v>16</v>
      </c>
      <c r="D1605" t="s">
        <v>33</v>
      </c>
      <c r="E1605" t="s">
        <v>34</v>
      </c>
      <c r="F1605">
        <v>229.11</v>
      </c>
      <c r="G1605" t="s">
        <v>31</v>
      </c>
      <c r="H1605" t="s">
        <v>15</v>
      </c>
      <c r="I1605">
        <v>4</v>
      </c>
      <c r="J1605">
        <v>13</v>
      </c>
      <c r="K1605">
        <v>4</v>
      </c>
      <c r="L1605" s="4">
        <v>263.34482758620692</v>
      </c>
      <c r="M1605" s="4">
        <v>34.234827586206904</v>
      </c>
      <c r="N1605" t="s">
        <v>95</v>
      </c>
    </row>
    <row r="1606" spans="1:14">
      <c r="A1606">
        <v>1605</v>
      </c>
      <c r="B1606">
        <v>38</v>
      </c>
      <c r="C1606" t="s">
        <v>16</v>
      </c>
      <c r="D1606" t="s">
        <v>20</v>
      </c>
      <c r="E1606" t="s">
        <v>36</v>
      </c>
      <c r="F1606">
        <v>163.57</v>
      </c>
      <c r="G1606" t="s">
        <v>19</v>
      </c>
      <c r="H1606" t="s">
        <v>15</v>
      </c>
      <c r="I1606">
        <v>4</v>
      </c>
      <c r="J1606">
        <v>11</v>
      </c>
      <c r="K1606">
        <v>3</v>
      </c>
      <c r="L1606" s="4">
        <v>183.78651685393257</v>
      </c>
      <c r="M1606" s="4">
        <v>20.216516853932575</v>
      </c>
      <c r="N1606" t="s">
        <v>92</v>
      </c>
    </row>
    <row r="1607" spans="1:14">
      <c r="A1607">
        <v>1606</v>
      </c>
      <c r="B1607">
        <v>48</v>
      </c>
      <c r="C1607" t="s">
        <v>16</v>
      </c>
      <c r="D1607" t="s">
        <v>20</v>
      </c>
      <c r="E1607" t="s">
        <v>21</v>
      </c>
      <c r="F1607">
        <v>149.97999999999999</v>
      </c>
      <c r="G1607" t="s">
        <v>24</v>
      </c>
      <c r="H1607" t="s">
        <v>15</v>
      </c>
      <c r="I1607">
        <v>4.0999999999999996</v>
      </c>
      <c r="J1607">
        <v>9</v>
      </c>
      <c r="K1607">
        <v>2</v>
      </c>
      <c r="L1607" s="4">
        <v>164.8131868131868</v>
      </c>
      <c r="M1607" s="4">
        <v>14.833186813186813</v>
      </c>
      <c r="N1607" t="s">
        <v>93</v>
      </c>
    </row>
    <row r="1608" spans="1:14">
      <c r="A1608">
        <v>1607</v>
      </c>
      <c r="B1608">
        <v>47</v>
      </c>
      <c r="C1608" t="s">
        <v>16</v>
      </c>
      <c r="D1608" t="s">
        <v>17</v>
      </c>
      <c r="E1608" t="s">
        <v>42</v>
      </c>
      <c r="F1608">
        <v>32.58</v>
      </c>
      <c r="G1608" t="s">
        <v>24</v>
      </c>
      <c r="H1608" t="s">
        <v>15</v>
      </c>
      <c r="I1608">
        <v>4.5</v>
      </c>
      <c r="J1608">
        <v>14</v>
      </c>
      <c r="K1608">
        <v>7</v>
      </c>
      <c r="L1608" s="4">
        <v>37.883720930232556</v>
      </c>
      <c r="M1608" s="4">
        <v>5.3037209302325579</v>
      </c>
      <c r="N1608" t="s">
        <v>93</v>
      </c>
    </row>
    <row r="1609" spans="1:14">
      <c r="A1609">
        <v>1608</v>
      </c>
      <c r="B1609">
        <v>60</v>
      </c>
      <c r="C1609" t="s">
        <v>16</v>
      </c>
      <c r="D1609" t="s">
        <v>20</v>
      </c>
      <c r="E1609" t="s">
        <v>36</v>
      </c>
      <c r="F1609">
        <v>61.48</v>
      </c>
      <c r="G1609" t="s">
        <v>19</v>
      </c>
      <c r="H1609" t="s">
        <v>15</v>
      </c>
      <c r="I1609">
        <v>3.9</v>
      </c>
      <c r="J1609">
        <v>22</v>
      </c>
      <c r="K1609">
        <v>6</v>
      </c>
      <c r="L1609" s="4">
        <v>78.820512820512818</v>
      </c>
      <c r="M1609" s="4">
        <v>17.340512820512821</v>
      </c>
      <c r="N1609" t="s">
        <v>94</v>
      </c>
    </row>
    <row r="1610" spans="1:14">
      <c r="A1610">
        <v>1609</v>
      </c>
      <c r="B1610">
        <v>56</v>
      </c>
      <c r="C1610" t="s">
        <v>11</v>
      </c>
      <c r="D1610" t="s">
        <v>33</v>
      </c>
      <c r="E1610" t="s">
        <v>38</v>
      </c>
      <c r="F1610">
        <v>140.04</v>
      </c>
      <c r="G1610" t="s">
        <v>24</v>
      </c>
      <c r="H1610" t="s">
        <v>15</v>
      </c>
      <c r="I1610">
        <v>3.2</v>
      </c>
      <c r="J1610">
        <v>11</v>
      </c>
      <c r="K1610">
        <v>3</v>
      </c>
      <c r="L1610" s="4">
        <v>157.34831460674155</v>
      </c>
      <c r="M1610" s="4">
        <v>17.308314606741561</v>
      </c>
      <c r="N1610" t="s">
        <v>94</v>
      </c>
    </row>
    <row r="1611" spans="1:14">
      <c r="A1611">
        <v>1610</v>
      </c>
      <c r="B1611">
        <v>60</v>
      </c>
      <c r="C1611" t="s">
        <v>11</v>
      </c>
      <c r="D1611" t="s">
        <v>12</v>
      </c>
      <c r="E1611" t="s">
        <v>50</v>
      </c>
      <c r="F1611">
        <v>47.05</v>
      </c>
      <c r="G1611" t="s">
        <v>24</v>
      </c>
      <c r="H1611" t="s">
        <v>15</v>
      </c>
      <c r="I1611">
        <v>2.2999999999999998</v>
      </c>
      <c r="J1611">
        <v>15</v>
      </c>
      <c r="K1611">
        <v>5</v>
      </c>
      <c r="L1611" s="4">
        <v>55.352941176470587</v>
      </c>
      <c r="M1611" s="4">
        <v>8.3029411764705898</v>
      </c>
      <c r="N1611" t="s">
        <v>94</v>
      </c>
    </row>
    <row r="1612" spans="1:14">
      <c r="A1612">
        <v>1611</v>
      </c>
      <c r="B1612">
        <v>58</v>
      </c>
      <c r="C1612" t="s">
        <v>11</v>
      </c>
      <c r="D1612" t="s">
        <v>20</v>
      </c>
      <c r="E1612" t="s">
        <v>39</v>
      </c>
      <c r="F1612">
        <v>187.21</v>
      </c>
      <c r="G1612" t="s">
        <v>24</v>
      </c>
      <c r="H1612" t="s">
        <v>15</v>
      </c>
      <c r="I1612">
        <v>3.7</v>
      </c>
      <c r="J1612">
        <v>19</v>
      </c>
      <c r="K1612">
        <v>7</v>
      </c>
      <c r="L1612" s="4">
        <v>231.12345679012344</v>
      </c>
      <c r="M1612" s="4">
        <v>43.913456790123433</v>
      </c>
      <c r="N1612" t="s">
        <v>94</v>
      </c>
    </row>
    <row r="1613" spans="1:14">
      <c r="A1613">
        <v>1612</v>
      </c>
      <c r="B1613">
        <v>67</v>
      </c>
      <c r="C1613" t="s">
        <v>11</v>
      </c>
      <c r="D1613" t="s">
        <v>33</v>
      </c>
      <c r="E1613" t="s">
        <v>40</v>
      </c>
      <c r="F1613">
        <v>211.09</v>
      </c>
      <c r="G1613" t="s">
        <v>19</v>
      </c>
      <c r="H1613" t="s">
        <v>15</v>
      </c>
      <c r="I1613">
        <v>3.8</v>
      </c>
      <c r="J1613">
        <v>9</v>
      </c>
      <c r="K1613">
        <v>2</v>
      </c>
      <c r="L1613" s="4">
        <v>231.96703296703296</v>
      </c>
      <c r="M1613" s="4">
        <v>20.87703296703296</v>
      </c>
      <c r="N1613" t="s">
        <v>95</v>
      </c>
    </row>
    <row r="1614" spans="1:14">
      <c r="A1614">
        <v>1613</v>
      </c>
      <c r="B1614">
        <v>56</v>
      </c>
      <c r="C1614" t="s">
        <v>11</v>
      </c>
      <c r="D1614" t="s">
        <v>33</v>
      </c>
      <c r="E1614" t="s">
        <v>40</v>
      </c>
      <c r="F1614">
        <v>181.83</v>
      </c>
      <c r="G1614" t="s">
        <v>19</v>
      </c>
      <c r="H1614" t="s">
        <v>15</v>
      </c>
      <c r="I1614">
        <v>4</v>
      </c>
      <c r="J1614">
        <v>2</v>
      </c>
      <c r="K1614">
        <v>1</v>
      </c>
      <c r="L1614" s="4">
        <v>185.54081632653063</v>
      </c>
      <c r="M1614" s="4">
        <v>3.7108163265306189</v>
      </c>
      <c r="N1614" t="s">
        <v>94</v>
      </c>
    </row>
    <row r="1615" spans="1:14">
      <c r="A1615">
        <v>1614</v>
      </c>
      <c r="B1615">
        <v>39</v>
      </c>
      <c r="C1615" t="s">
        <v>11</v>
      </c>
      <c r="D1615" t="s">
        <v>29</v>
      </c>
      <c r="E1615" t="s">
        <v>30</v>
      </c>
      <c r="F1615">
        <v>96.55</v>
      </c>
      <c r="G1615" t="s">
        <v>24</v>
      </c>
      <c r="H1615" t="s">
        <v>37</v>
      </c>
      <c r="I1615">
        <v>3.5</v>
      </c>
      <c r="J1615">
        <v>21</v>
      </c>
      <c r="K1615">
        <v>8</v>
      </c>
      <c r="L1615" s="4">
        <v>122.21518987341771</v>
      </c>
      <c r="M1615" s="4">
        <v>25.665189873417717</v>
      </c>
      <c r="N1615" t="s">
        <v>92</v>
      </c>
    </row>
    <row r="1616" spans="1:14">
      <c r="A1616">
        <v>1615</v>
      </c>
      <c r="B1616">
        <v>53</v>
      </c>
      <c r="C1616" t="s">
        <v>11</v>
      </c>
      <c r="D1616" t="s">
        <v>29</v>
      </c>
      <c r="E1616" t="s">
        <v>55</v>
      </c>
      <c r="F1616">
        <v>105.07</v>
      </c>
      <c r="G1616" t="s">
        <v>19</v>
      </c>
      <c r="H1616" t="s">
        <v>15</v>
      </c>
      <c r="I1616">
        <v>3.2</v>
      </c>
      <c r="J1616">
        <v>24</v>
      </c>
      <c r="K1616">
        <v>7</v>
      </c>
      <c r="L1616" s="4">
        <v>138.25</v>
      </c>
      <c r="M1616" s="4">
        <v>33.180000000000007</v>
      </c>
      <c r="N1616" t="s">
        <v>93</v>
      </c>
    </row>
    <row r="1617" spans="1:14">
      <c r="A1617">
        <v>1616</v>
      </c>
      <c r="B1617">
        <v>50</v>
      </c>
      <c r="C1617" t="s">
        <v>11</v>
      </c>
      <c r="D1617" t="s">
        <v>29</v>
      </c>
      <c r="E1617" t="s">
        <v>55</v>
      </c>
      <c r="F1617">
        <v>140.66</v>
      </c>
      <c r="G1617" t="s">
        <v>24</v>
      </c>
      <c r="H1617" t="s">
        <v>15</v>
      </c>
      <c r="I1617">
        <v>4.5</v>
      </c>
      <c r="J1617">
        <v>22</v>
      </c>
      <c r="K1617">
        <v>6</v>
      </c>
      <c r="L1617" s="4">
        <v>180.33333333333331</v>
      </c>
      <c r="M1617" s="4">
        <v>39.673333333333318</v>
      </c>
      <c r="N1617" t="s">
        <v>93</v>
      </c>
    </row>
    <row r="1618" spans="1:14">
      <c r="A1618">
        <v>1617</v>
      </c>
      <c r="B1618">
        <v>38</v>
      </c>
      <c r="C1618" t="s">
        <v>11</v>
      </c>
      <c r="D1618" t="s">
        <v>29</v>
      </c>
      <c r="E1618" t="s">
        <v>30</v>
      </c>
      <c r="F1618">
        <v>48.99</v>
      </c>
      <c r="G1618" t="s">
        <v>31</v>
      </c>
      <c r="H1618" t="s">
        <v>37</v>
      </c>
      <c r="I1618">
        <v>4.5999999999999996</v>
      </c>
      <c r="J1618">
        <v>20</v>
      </c>
      <c r="K1618">
        <v>5</v>
      </c>
      <c r="L1618" s="4">
        <v>61.237499999999997</v>
      </c>
      <c r="M1618" s="4">
        <v>12.247499999999995</v>
      </c>
      <c r="N1618" t="s">
        <v>92</v>
      </c>
    </row>
    <row r="1619" spans="1:14">
      <c r="A1619">
        <v>1618</v>
      </c>
      <c r="B1619">
        <v>20</v>
      </c>
      <c r="C1619" t="s">
        <v>11</v>
      </c>
      <c r="D1619" t="s">
        <v>33</v>
      </c>
      <c r="E1619" t="s">
        <v>40</v>
      </c>
      <c r="F1619">
        <v>43.11</v>
      </c>
      <c r="G1619" t="s">
        <v>14</v>
      </c>
      <c r="H1619" t="s">
        <v>37</v>
      </c>
      <c r="I1619">
        <v>2.7</v>
      </c>
      <c r="J1619">
        <v>11</v>
      </c>
      <c r="K1619">
        <v>3</v>
      </c>
      <c r="L1619" s="4">
        <v>48.438202247191008</v>
      </c>
      <c r="M1619" s="4">
        <v>5.3282022471910082</v>
      </c>
      <c r="N1619" t="s">
        <v>100</v>
      </c>
    </row>
    <row r="1620" spans="1:14">
      <c r="A1620">
        <v>1619</v>
      </c>
      <c r="B1620">
        <v>55</v>
      </c>
      <c r="C1620" t="s">
        <v>16</v>
      </c>
      <c r="D1620" t="s">
        <v>17</v>
      </c>
      <c r="E1620" t="s">
        <v>48</v>
      </c>
      <c r="F1620">
        <v>168.41</v>
      </c>
      <c r="G1620" t="s">
        <v>24</v>
      </c>
      <c r="H1620" t="s">
        <v>15</v>
      </c>
      <c r="I1620">
        <v>3.4</v>
      </c>
      <c r="J1620">
        <v>8</v>
      </c>
      <c r="K1620">
        <v>4</v>
      </c>
      <c r="L1620" s="4">
        <v>183.05434782608694</v>
      </c>
      <c r="M1620" s="4">
        <v>14.644347826086943</v>
      </c>
      <c r="N1620" t="s">
        <v>94</v>
      </c>
    </row>
    <row r="1621" spans="1:14">
      <c r="A1621">
        <v>1620</v>
      </c>
      <c r="B1621">
        <v>33</v>
      </c>
      <c r="C1621" t="s">
        <v>16</v>
      </c>
      <c r="D1621" t="s">
        <v>20</v>
      </c>
      <c r="E1621" t="s">
        <v>39</v>
      </c>
      <c r="F1621">
        <v>174.82</v>
      </c>
      <c r="G1621" t="s">
        <v>31</v>
      </c>
      <c r="H1621" t="s">
        <v>15</v>
      </c>
      <c r="I1621">
        <v>3.2</v>
      </c>
      <c r="J1621">
        <v>11</v>
      </c>
      <c r="K1621">
        <v>3</v>
      </c>
      <c r="L1621" s="4">
        <v>196.42696629213481</v>
      </c>
      <c r="M1621" s="4">
        <v>21.606966292134814</v>
      </c>
      <c r="N1621" t="s">
        <v>91</v>
      </c>
    </row>
    <row r="1622" spans="1:14">
      <c r="A1622">
        <v>1621</v>
      </c>
      <c r="B1622">
        <v>68</v>
      </c>
      <c r="C1622" t="s">
        <v>11</v>
      </c>
      <c r="D1622" t="s">
        <v>29</v>
      </c>
      <c r="E1622" t="s">
        <v>55</v>
      </c>
      <c r="F1622">
        <v>76.84</v>
      </c>
      <c r="G1622" t="s">
        <v>14</v>
      </c>
      <c r="H1622" t="s">
        <v>37</v>
      </c>
      <c r="I1622">
        <v>3.2</v>
      </c>
      <c r="J1622">
        <v>15</v>
      </c>
      <c r="K1622">
        <v>5</v>
      </c>
      <c r="L1622" s="4">
        <v>90.4</v>
      </c>
      <c r="M1622" s="4">
        <v>13.560000000000002</v>
      </c>
      <c r="N1622" t="s">
        <v>95</v>
      </c>
    </row>
    <row r="1623" spans="1:14">
      <c r="A1623">
        <v>1622</v>
      </c>
      <c r="B1623">
        <v>41</v>
      </c>
      <c r="C1623" t="s">
        <v>11</v>
      </c>
      <c r="D1623" t="s">
        <v>29</v>
      </c>
      <c r="E1623" t="s">
        <v>55</v>
      </c>
      <c r="F1623">
        <v>106.37</v>
      </c>
      <c r="G1623" t="s">
        <v>24</v>
      </c>
      <c r="H1623" t="s">
        <v>15</v>
      </c>
      <c r="I1623">
        <v>2.2999999999999998</v>
      </c>
      <c r="J1623">
        <v>20</v>
      </c>
      <c r="K1623">
        <v>5</v>
      </c>
      <c r="L1623" s="4">
        <v>132.96250000000001</v>
      </c>
      <c r="M1623" s="4">
        <v>26.592500000000001</v>
      </c>
      <c r="N1623" t="s">
        <v>92</v>
      </c>
    </row>
    <row r="1624" spans="1:14">
      <c r="A1624">
        <v>1623</v>
      </c>
      <c r="B1624">
        <v>54</v>
      </c>
      <c r="C1624" t="s">
        <v>16</v>
      </c>
      <c r="D1624" t="s">
        <v>27</v>
      </c>
      <c r="E1624" t="s">
        <v>28</v>
      </c>
      <c r="F1624">
        <v>2164.64</v>
      </c>
      <c r="G1624" t="s">
        <v>19</v>
      </c>
      <c r="H1624" t="s">
        <v>15</v>
      </c>
      <c r="I1624">
        <v>3.9</v>
      </c>
      <c r="J1624">
        <v>10</v>
      </c>
      <c r="K1624">
        <v>5</v>
      </c>
      <c r="L1624" s="4">
        <v>2405.1555555555556</v>
      </c>
      <c r="M1624" s="4">
        <v>240.51555555555569</v>
      </c>
      <c r="N1624" t="s">
        <v>93</v>
      </c>
    </row>
    <row r="1625" spans="1:14">
      <c r="A1625">
        <v>1624</v>
      </c>
      <c r="B1625">
        <v>31</v>
      </c>
      <c r="C1625" t="s">
        <v>11</v>
      </c>
      <c r="D1625" t="s">
        <v>29</v>
      </c>
      <c r="E1625" t="s">
        <v>55</v>
      </c>
      <c r="F1625">
        <v>61.15</v>
      </c>
      <c r="G1625" t="s">
        <v>31</v>
      </c>
      <c r="H1625" t="s">
        <v>15</v>
      </c>
      <c r="I1625">
        <v>3.4</v>
      </c>
      <c r="J1625">
        <v>17</v>
      </c>
      <c r="K1625">
        <v>6</v>
      </c>
      <c r="L1625" s="4">
        <v>73.674698795180731</v>
      </c>
      <c r="M1625" s="4">
        <v>12.524698795180733</v>
      </c>
      <c r="N1625" t="s">
        <v>91</v>
      </c>
    </row>
    <row r="1626" spans="1:14">
      <c r="A1626">
        <v>1625</v>
      </c>
      <c r="B1626">
        <v>31</v>
      </c>
      <c r="C1626" t="s">
        <v>16</v>
      </c>
      <c r="D1626" t="s">
        <v>27</v>
      </c>
      <c r="E1626" t="s">
        <v>53</v>
      </c>
      <c r="F1626">
        <v>1128.3</v>
      </c>
      <c r="G1626" t="s">
        <v>31</v>
      </c>
      <c r="H1626" t="s">
        <v>15</v>
      </c>
      <c r="I1626">
        <v>3.2</v>
      </c>
      <c r="J1626">
        <v>10</v>
      </c>
      <c r="K1626">
        <v>5</v>
      </c>
      <c r="L1626" s="4">
        <v>1253.6666666666665</v>
      </c>
      <c r="M1626" s="4">
        <v>125.36666666666656</v>
      </c>
      <c r="N1626" t="s">
        <v>91</v>
      </c>
    </row>
    <row r="1627" spans="1:14">
      <c r="A1627">
        <v>1626</v>
      </c>
      <c r="B1627">
        <v>47</v>
      </c>
      <c r="C1627" t="s">
        <v>16</v>
      </c>
      <c r="D1627" t="s">
        <v>27</v>
      </c>
      <c r="E1627" t="s">
        <v>28</v>
      </c>
      <c r="F1627">
        <v>696.28</v>
      </c>
      <c r="G1627" t="s">
        <v>14</v>
      </c>
      <c r="H1627" t="s">
        <v>15</v>
      </c>
      <c r="I1627">
        <v>3.7</v>
      </c>
      <c r="J1627">
        <v>15</v>
      </c>
      <c r="K1627">
        <v>5</v>
      </c>
      <c r="L1627" s="4">
        <v>819.15294117647056</v>
      </c>
      <c r="M1627" s="4">
        <v>122.87294117647059</v>
      </c>
      <c r="N1627" t="s">
        <v>93</v>
      </c>
    </row>
    <row r="1628" spans="1:14">
      <c r="A1628">
        <v>1627</v>
      </c>
      <c r="B1628">
        <v>55</v>
      </c>
      <c r="C1628" t="s">
        <v>16</v>
      </c>
      <c r="D1628" t="s">
        <v>33</v>
      </c>
      <c r="E1628" t="s">
        <v>34</v>
      </c>
      <c r="F1628">
        <v>212.95</v>
      </c>
      <c r="G1628" t="s">
        <v>24</v>
      </c>
      <c r="H1628" t="s">
        <v>15</v>
      </c>
      <c r="I1628">
        <v>3.4</v>
      </c>
      <c r="J1628">
        <v>12</v>
      </c>
      <c r="K1628">
        <v>6</v>
      </c>
      <c r="L1628" s="4">
        <v>241.98863636363635</v>
      </c>
      <c r="M1628" s="4">
        <v>29.038636363636357</v>
      </c>
      <c r="N1628" t="s">
        <v>94</v>
      </c>
    </row>
    <row r="1629" spans="1:14">
      <c r="A1629">
        <v>1628</v>
      </c>
      <c r="B1629">
        <v>56</v>
      </c>
      <c r="C1629" t="s">
        <v>11</v>
      </c>
      <c r="D1629" t="s">
        <v>33</v>
      </c>
      <c r="E1629" t="s">
        <v>40</v>
      </c>
      <c r="F1629">
        <v>213.37</v>
      </c>
      <c r="G1629" t="s">
        <v>24</v>
      </c>
      <c r="H1629" t="s">
        <v>15</v>
      </c>
      <c r="I1629">
        <v>2.9</v>
      </c>
      <c r="J1629">
        <v>4</v>
      </c>
      <c r="K1629">
        <v>2</v>
      </c>
      <c r="L1629" s="4">
        <v>222.26041666666669</v>
      </c>
      <c r="M1629" s="4">
        <v>8.8904166666666811</v>
      </c>
      <c r="N1629" t="s">
        <v>94</v>
      </c>
    </row>
    <row r="1630" spans="1:14">
      <c r="A1630">
        <v>1629</v>
      </c>
      <c r="B1630">
        <v>57</v>
      </c>
      <c r="C1630" t="s">
        <v>11</v>
      </c>
      <c r="D1630" t="s">
        <v>25</v>
      </c>
      <c r="E1630" t="s">
        <v>47</v>
      </c>
      <c r="F1630">
        <v>30.58</v>
      </c>
      <c r="G1630" t="s">
        <v>31</v>
      </c>
      <c r="H1630" t="s">
        <v>15</v>
      </c>
      <c r="I1630">
        <v>4.4000000000000004</v>
      </c>
      <c r="J1630">
        <v>14</v>
      </c>
      <c r="K1630">
        <v>7</v>
      </c>
      <c r="L1630" s="4">
        <v>35.558139534883722</v>
      </c>
      <c r="M1630" s="4">
        <v>4.9781395348837236</v>
      </c>
      <c r="N1630" t="s">
        <v>94</v>
      </c>
    </row>
    <row r="1631" spans="1:14">
      <c r="A1631">
        <v>1630</v>
      </c>
      <c r="B1631">
        <v>54</v>
      </c>
      <c r="C1631" t="s">
        <v>11</v>
      </c>
      <c r="D1631" t="s">
        <v>33</v>
      </c>
      <c r="E1631" t="s">
        <v>34</v>
      </c>
      <c r="F1631">
        <v>146.74</v>
      </c>
      <c r="G1631" t="s">
        <v>31</v>
      </c>
      <c r="H1631" t="s">
        <v>15</v>
      </c>
      <c r="I1631">
        <v>3.7</v>
      </c>
      <c r="J1631">
        <v>28</v>
      </c>
      <c r="K1631">
        <v>9</v>
      </c>
      <c r="L1631" s="4">
        <v>203.80555555555557</v>
      </c>
      <c r="M1631" s="4">
        <v>57.065555555555562</v>
      </c>
      <c r="N1631" t="s">
        <v>93</v>
      </c>
    </row>
    <row r="1632" spans="1:14">
      <c r="A1632">
        <v>1631</v>
      </c>
      <c r="B1632">
        <v>44</v>
      </c>
      <c r="C1632" t="s">
        <v>11</v>
      </c>
      <c r="D1632" t="s">
        <v>25</v>
      </c>
      <c r="E1632" t="s">
        <v>26</v>
      </c>
      <c r="F1632">
        <v>14.22</v>
      </c>
      <c r="G1632" t="s">
        <v>19</v>
      </c>
      <c r="H1632" t="s">
        <v>37</v>
      </c>
      <c r="I1632">
        <v>2.5</v>
      </c>
      <c r="J1632">
        <v>14</v>
      </c>
      <c r="K1632">
        <v>7</v>
      </c>
      <c r="L1632" s="4">
        <v>16.534883720930235</v>
      </c>
      <c r="M1632" s="4">
        <v>2.3148837209302346</v>
      </c>
      <c r="N1632" t="s">
        <v>92</v>
      </c>
    </row>
    <row r="1633" spans="1:14">
      <c r="A1633">
        <v>1632</v>
      </c>
      <c r="B1633">
        <v>44</v>
      </c>
      <c r="C1633" t="s">
        <v>16</v>
      </c>
      <c r="D1633" t="s">
        <v>20</v>
      </c>
      <c r="E1633" t="s">
        <v>21</v>
      </c>
      <c r="F1633">
        <v>87.41</v>
      </c>
      <c r="G1633" t="s">
        <v>14</v>
      </c>
      <c r="H1633" t="s">
        <v>37</v>
      </c>
      <c r="I1633">
        <v>3.4</v>
      </c>
      <c r="J1633">
        <v>4</v>
      </c>
      <c r="K1633">
        <v>2</v>
      </c>
      <c r="L1633" s="4">
        <v>91.052083333333329</v>
      </c>
      <c r="M1633" s="4">
        <v>3.642083333333332</v>
      </c>
      <c r="N1633" t="s">
        <v>92</v>
      </c>
    </row>
    <row r="1634" spans="1:14">
      <c r="A1634">
        <v>1633</v>
      </c>
      <c r="B1634">
        <v>23</v>
      </c>
      <c r="C1634" t="s">
        <v>11</v>
      </c>
      <c r="D1634" t="s">
        <v>25</v>
      </c>
      <c r="E1634" t="s">
        <v>47</v>
      </c>
      <c r="F1634">
        <v>78.14</v>
      </c>
      <c r="G1634" t="s">
        <v>24</v>
      </c>
      <c r="H1634" t="s">
        <v>15</v>
      </c>
      <c r="I1634">
        <v>3.7</v>
      </c>
      <c r="J1634">
        <v>14</v>
      </c>
      <c r="K1634">
        <v>7</v>
      </c>
      <c r="L1634" s="4">
        <v>90.860465116279073</v>
      </c>
      <c r="M1634" s="4">
        <v>12.720465116279073</v>
      </c>
      <c r="N1634" t="s">
        <v>100</v>
      </c>
    </row>
    <row r="1635" spans="1:14">
      <c r="A1635">
        <v>1634</v>
      </c>
      <c r="B1635">
        <v>64</v>
      </c>
      <c r="C1635" t="s">
        <v>11</v>
      </c>
      <c r="D1635" t="s">
        <v>25</v>
      </c>
      <c r="E1635" t="s">
        <v>54</v>
      </c>
      <c r="F1635">
        <v>40.22</v>
      </c>
      <c r="G1635" t="s">
        <v>19</v>
      </c>
      <c r="H1635" t="s">
        <v>37</v>
      </c>
      <c r="I1635">
        <v>4.5</v>
      </c>
      <c r="J1635">
        <v>11</v>
      </c>
      <c r="K1635">
        <v>3</v>
      </c>
      <c r="L1635" s="4">
        <v>45.191011235955052</v>
      </c>
      <c r="M1635" s="4">
        <v>4.9710112359550536</v>
      </c>
      <c r="N1635" t="s">
        <v>94</v>
      </c>
    </row>
    <row r="1636" spans="1:14">
      <c r="A1636">
        <v>1635</v>
      </c>
      <c r="B1636">
        <v>39</v>
      </c>
      <c r="C1636" t="s">
        <v>16</v>
      </c>
      <c r="D1636" t="s">
        <v>22</v>
      </c>
      <c r="E1636" t="s">
        <v>23</v>
      </c>
      <c r="F1636">
        <v>199.12</v>
      </c>
      <c r="G1636" t="s">
        <v>31</v>
      </c>
      <c r="H1636" t="s">
        <v>15</v>
      </c>
      <c r="I1636">
        <v>3.7</v>
      </c>
      <c r="J1636">
        <v>19</v>
      </c>
      <c r="K1636">
        <v>7</v>
      </c>
      <c r="L1636" s="4">
        <v>245.82716049382714</v>
      </c>
      <c r="M1636" s="4">
        <v>46.707160493827132</v>
      </c>
      <c r="N1636" t="s">
        <v>92</v>
      </c>
    </row>
    <row r="1637" spans="1:14">
      <c r="A1637">
        <v>1636</v>
      </c>
      <c r="B1637">
        <v>40</v>
      </c>
      <c r="C1637" t="s">
        <v>11</v>
      </c>
      <c r="D1637" t="s">
        <v>20</v>
      </c>
      <c r="E1637" t="s">
        <v>39</v>
      </c>
      <c r="F1637">
        <v>204.66</v>
      </c>
      <c r="G1637" t="s">
        <v>24</v>
      </c>
      <c r="H1637" t="s">
        <v>15</v>
      </c>
      <c r="I1637">
        <v>3</v>
      </c>
      <c r="J1637">
        <v>16</v>
      </c>
      <c r="K1637">
        <v>3</v>
      </c>
      <c r="L1637" s="4">
        <v>243.64285714285714</v>
      </c>
      <c r="M1637" s="4">
        <v>38.982857142857142</v>
      </c>
      <c r="N1637" t="s">
        <v>92</v>
      </c>
    </row>
    <row r="1638" spans="1:14">
      <c r="A1638">
        <v>1637</v>
      </c>
      <c r="B1638">
        <v>21</v>
      </c>
      <c r="C1638" t="s">
        <v>11</v>
      </c>
      <c r="D1638" t="s">
        <v>33</v>
      </c>
      <c r="E1638" t="s">
        <v>38</v>
      </c>
      <c r="F1638">
        <v>121.27</v>
      </c>
      <c r="G1638" t="s">
        <v>31</v>
      </c>
      <c r="H1638" t="s">
        <v>15</v>
      </c>
      <c r="I1638">
        <v>5</v>
      </c>
      <c r="J1638">
        <v>22</v>
      </c>
      <c r="K1638">
        <v>6</v>
      </c>
      <c r="L1638" s="4">
        <v>155.47435897435898</v>
      </c>
      <c r="M1638" s="4">
        <v>34.204358974358982</v>
      </c>
      <c r="N1638" t="s">
        <v>100</v>
      </c>
    </row>
    <row r="1639" spans="1:14">
      <c r="A1639">
        <v>1638</v>
      </c>
      <c r="B1639">
        <v>28</v>
      </c>
      <c r="C1639" t="s">
        <v>11</v>
      </c>
      <c r="D1639" t="s">
        <v>12</v>
      </c>
      <c r="E1639" t="s">
        <v>50</v>
      </c>
      <c r="F1639">
        <v>63.38</v>
      </c>
      <c r="G1639" t="s">
        <v>31</v>
      </c>
      <c r="H1639" t="s">
        <v>37</v>
      </c>
      <c r="I1639">
        <v>4.9000000000000004</v>
      </c>
      <c r="J1639">
        <v>23</v>
      </c>
      <c r="K1639">
        <v>9</v>
      </c>
      <c r="L1639" s="4">
        <v>82.311688311688314</v>
      </c>
      <c r="M1639" s="4">
        <v>18.931688311688312</v>
      </c>
      <c r="N1639" t="s">
        <v>91</v>
      </c>
    </row>
    <row r="1640" spans="1:14">
      <c r="A1640">
        <v>1639</v>
      </c>
      <c r="B1640">
        <v>34</v>
      </c>
      <c r="C1640" t="s">
        <v>16</v>
      </c>
      <c r="D1640" t="s">
        <v>27</v>
      </c>
      <c r="E1640" t="s">
        <v>53</v>
      </c>
      <c r="F1640">
        <v>1458.59</v>
      </c>
      <c r="G1640" t="s">
        <v>19</v>
      </c>
      <c r="H1640" t="s">
        <v>15</v>
      </c>
      <c r="I1640">
        <v>3.8</v>
      </c>
      <c r="J1640">
        <v>15</v>
      </c>
      <c r="K1640">
        <v>5</v>
      </c>
      <c r="L1640" s="4">
        <v>1715.9882352941177</v>
      </c>
      <c r="M1640" s="4">
        <v>257.39823529411774</v>
      </c>
      <c r="N1640" t="s">
        <v>91</v>
      </c>
    </row>
    <row r="1641" spans="1:14">
      <c r="A1641">
        <v>1640</v>
      </c>
      <c r="B1641">
        <v>47</v>
      </c>
      <c r="C1641" t="s">
        <v>11</v>
      </c>
      <c r="D1641" t="s">
        <v>41</v>
      </c>
      <c r="E1641" t="s">
        <v>42</v>
      </c>
      <c r="F1641">
        <v>115.9</v>
      </c>
      <c r="G1641" t="s">
        <v>24</v>
      </c>
      <c r="H1641" t="s">
        <v>15</v>
      </c>
      <c r="I1641">
        <v>4</v>
      </c>
      <c r="J1641">
        <v>24</v>
      </c>
      <c r="K1641">
        <v>12</v>
      </c>
      <c r="L1641" s="4">
        <v>152.5</v>
      </c>
      <c r="M1641" s="4">
        <v>36.599999999999994</v>
      </c>
      <c r="N1641" t="s">
        <v>93</v>
      </c>
    </row>
    <row r="1642" spans="1:14">
      <c r="A1642">
        <v>1641</v>
      </c>
      <c r="B1642">
        <v>30</v>
      </c>
      <c r="C1642" t="s">
        <v>11</v>
      </c>
      <c r="D1642" t="s">
        <v>12</v>
      </c>
      <c r="E1642" t="s">
        <v>50</v>
      </c>
      <c r="F1642">
        <v>45.95</v>
      </c>
      <c r="G1642" t="s">
        <v>24</v>
      </c>
      <c r="H1642" t="s">
        <v>37</v>
      </c>
      <c r="I1642">
        <v>3.8</v>
      </c>
      <c r="J1642">
        <v>14</v>
      </c>
      <c r="K1642">
        <v>2</v>
      </c>
      <c r="L1642" s="4">
        <v>53.430232558139537</v>
      </c>
      <c r="M1642" s="4">
        <v>7.4802325581395337</v>
      </c>
      <c r="N1642" t="s">
        <v>91</v>
      </c>
    </row>
    <row r="1643" spans="1:14">
      <c r="A1643">
        <v>1642</v>
      </c>
      <c r="B1643">
        <v>53</v>
      </c>
      <c r="C1643" t="s">
        <v>16</v>
      </c>
      <c r="D1643" t="s">
        <v>27</v>
      </c>
      <c r="E1643" t="s">
        <v>53</v>
      </c>
      <c r="F1643">
        <v>2248.9899999999998</v>
      </c>
      <c r="G1643" t="s">
        <v>19</v>
      </c>
      <c r="H1643" t="s">
        <v>15</v>
      </c>
      <c r="I1643">
        <v>3.6</v>
      </c>
      <c r="J1643">
        <v>14</v>
      </c>
      <c r="K1643">
        <v>2</v>
      </c>
      <c r="L1643" s="4">
        <v>2615.1046511627906</v>
      </c>
      <c r="M1643" s="4">
        <v>366.11465116279078</v>
      </c>
      <c r="N1643" t="s">
        <v>93</v>
      </c>
    </row>
    <row r="1644" spans="1:14">
      <c r="A1644">
        <v>1643</v>
      </c>
      <c r="B1644">
        <v>33</v>
      </c>
      <c r="C1644" t="s">
        <v>11</v>
      </c>
      <c r="D1644" t="s">
        <v>33</v>
      </c>
      <c r="E1644" t="s">
        <v>38</v>
      </c>
      <c r="F1644">
        <v>168.21</v>
      </c>
      <c r="G1644" t="s">
        <v>24</v>
      </c>
      <c r="H1644" t="s">
        <v>15</v>
      </c>
      <c r="I1644">
        <v>3.1</v>
      </c>
      <c r="J1644">
        <v>18</v>
      </c>
      <c r="K1644">
        <v>9</v>
      </c>
      <c r="L1644" s="4">
        <v>205.13414634146341</v>
      </c>
      <c r="M1644" s="4">
        <v>36.924146341463398</v>
      </c>
      <c r="N1644" t="s">
        <v>91</v>
      </c>
    </row>
    <row r="1645" spans="1:14">
      <c r="A1645">
        <v>1644</v>
      </c>
      <c r="B1645">
        <v>28</v>
      </c>
      <c r="C1645" t="s">
        <v>16</v>
      </c>
      <c r="D1645" t="s">
        <v>20</v>
      </c>
      <c r="E1645" t="s">
        <v>39</v>
      </c>
      <c r="F1645">
        <v>38.31</v>
      </c>
      <c r="G1645" t="s">
        <v>19</v>
      </c>
      <c r="H1645" t="s">
        <v>15</v>
      </c>
      <c r="I1645">
        <v>3.7</v>
      </c>
      <c r="J1645">
        <v>17</v>
      </c>
      <c r="K1645">
        <v>6</v>
      </c>
      <c r="L1645" s="4">
        <v>46.156626506024104</v>
      </c>
      <c r="M1645" s="4">
        <v>7.8466265060241014</v>
      </c>
      <c r="N1645" t="s">
        <v>91</v>
      </c>
    </row>
    <row r="1646" spans="1:14">
      <c r="A1646">
        <v>1645</v>
      </c>
      <c r="B1646">
        <v>58</v>
      </c>
      <c r="C1646" t="s">
        <v>16</v>
      </c>
      <c r="D1646" t="s">
        <v>20</v>
      </c>
      <c r="E1646" t="s">
        <v>39</v>
      </c>
      <c r="F1646">
        <v>137.26</v>
      </c>
      <c r="G1646" t="s">
        <v>24</v>
      </c>
      <c r="H1646" t="s">
        <v>15</v>
      </c>
      <c r="I1646">
        <v>4.4000000000000004</v>
      </c>
      <c r="J1646">
        <v>13</v>
      </c>
      <c r="K1646">
        <v>4</v>
      </c>
      <c r="L1646" s="4">
        <v>157.77011494252872</v>
      </c>
      <c r="M1646" s="4">
        <v>20.51011494252873</v>
      </c>
      <c r="N1646" t="s">
        <v>94</v>
      </c>
    </row>
    <row r="1647" spans="1:14">
      <c r="A1647">
        <v>1646</v>
      </c>
      <c r="B1647">
        <v>59</v>
      </c>
      <c r="C1647" t="s">
        <v>16</v>
      </c>
      <c r="D1647" t="s">
        <v>33</v>
      </c>
      <c r="E1647" t="s">
        <v>40</v>
      </c>
      <c r="F1647">
        <v>115.57</v>
      </c>
      <c r="G1647" t="s">
        <v>24</v>
      </c>
      <c r="H1647" t="s">
        <v>15</v>
      </c>
      <c r="I1647">
        <v>2.5</v>
      </c>
      <c r="J1647">
        <v>13</v>
      </c>
      <c r="K1647">
        <v>4</v>
      </c>
      <c r="L1647" s="4">
        <v>132.83908045977012</v>
      </c>
      <c r="M1647" s="4">
        <v>17.269080459770123</v>
      </c>
      <c r="N1647" t="s">
        <v>94</v>
      </c>
    </row>
    <row r="1648" spans="1:14">
      <c r="A1648">
        <v>1647</v>
      </c>
      <c r="B1648">
        <v>54</v>
      </c>
      <c r="C1648" t="s">
        <v>16</v>
      </c>
      <c r="D1648" t="s">
        <v>33</v>
      </c>
      <c r="E1648" t="s">
        <v>40</v>
      </c>
      <c r="F1648">
        <v>189.63</v>
      </c>
      <c r="G1648" t="s">
        <v>31</v>
      </c>
      <c r="H1648" t="s">
        <v>15</v>
      </c>
      <c r="I1648">
        <v>4.4000000000000004</v>
      </c>
      <c r="J1648">
        <v>14</v>
      </c>
      <c r="K1648">
        <v>7</v>
      </c>
      <c r="L1648" s="4">
        <v>220.5</v>
      </c>
      <c r="M1648" s="4">
        <v>30.870000000000005</v>
      </c>
      <c r="N1648" t="s">
        <v>93</v>
      </c>
    </row>
    <row r="1649" spans="1:14">
      <c r="A1649">
        <v>1648</v>
      </c>
      <c r="B1649">
        <v>67</v>
      </c>
      <c r="C1649" t="s">
        <v>11</v>
      </c>
      <c r="D1649" t="s">
        <v>29</v>
      </c>
      <c r="E1649" t="s">
        <v>30</v>
      </c>
      <c r="F1649">
        <v>58.44</v>
      </c>
      <c r="G1649" t="s">
        <v>24</v>
      </c>
      <c r="H1649" t="s">
        <v>15</v>
      </c>
      <c r="I1649">
        <v>3.4</v>
      </c>
      <c r="J1649">
        <v>18</v>
      </c>
      <c r="K1649">
        <v>4</v>
      </c>
      <c r="L1649" s="4">
        <v>71.268292682926827</v>
      </c>
      <c r="M1649" s="4">
        <v>12.828292682926829</v>
      </c>
      <c r="N1649" t="s">
        <v>95</v>
      </c>
    </row>
    <row r="1650" spans="1:14">
      <c r="A1650">
        <v>1649</v>
      </c>
      <c r="B1650">
        <v>32</v>
      </c>
      <c r="C1650" t="s">
        <v>16</v>
      </c>
      <c r="D1650" t="s">
        <v>27</v>
      </c>
      <c r="E1650" t="s">
        <v>32</v>
      </c>
      <c r="F1650">
        <v>1800.7</v>
      </c>
      <c r="G1650" t="s">
        <v>31</v>
      </c>
      <c r="H1650" t="s">
        <v>15</v>
      </c>
      <c r="I1650">
        <v>3.6</v>
      </c>
      <c r="J1650">
        <v>10</v>
      </c>
      <c r="K1650">
        <v>5</v>
      </c>
      <c r="L1650" s="4">
        <v>2000.7777777777778</v>
      </c>
      <c r="M1650" s="4">
        <v>200.07777777777778</v>
      </c>
      <c r="N1650" t="s">
        <v>91</v>
      </c>
    </row>
    <row r="1651" spans="1:14">
      <c r="A1651">
        <v>1650</v>
      </c>
      <c r="B1651">
        <v>23</v>
      </c>
      <c r="C1651" t="s">
        <v>16</v>
      </c>
      <c r="D1651" t="s">
        <v>25</v>
      </c>
      <c r="E1651" t="s">
        <v>57</v>
      </c>
      <c r="F1651">
        <v>8.34</v>
      </c>
      <c r="G1651" t="s">
        <v>14</v>
      </c>
      <c r="H1651" t="s">
        <v>15</v>
      </c>
      <c r="I1651">
        <v>4.0999999999999996</v>
      </c>
      <c r="J1651">
        <v>25</v>
      </c>
      <c r="K1651">
        <v>10</v>
      </c>
      <c r="L1651" s="4">
        <v>11.12</v>
      </c>
      <c r="M1651" s="4">
        <v>2.7799999999999994</v>
      </c>
      <c r="N1651" t="s">
        <v>100</v>
      </c>
    </row>
    <row r="1652" spans="1:14">
      <c r="A1652">
        <v>1651</v>
      </c>
      <c r="B1652">
        <v>56</v>
      </c>
      <c r="C1652" t="s">
        <v>11</v>
      </c>
      <c r="D1652" t="s">
        <v>12</v>
      </c>
      <c r="E1652" t="s">
        <v>50</v>
      </c>
      <c r="F1652">
        <v>83.07</v>
      </c>
      <c r="G1652" t="s">
        <v>31</v>
      </c>
      <c r="H1652" t="s">
        <v>15</v>
      </c>
      <c r="I1652">
        <v>3.8</v>
      </c>
      <c r="J1652">
        <v>13</v>
      </c>
      <c r="K1652">
        <v>4</v>
      </c>
      <c r="L1652" s="4">
        <v>95.482758620689651</v>
      </c>
      <c r="M1652" s="4">
        <v>12.412758620689658</v>
      </c>
      <c r="N1652" t="s">
        <v>94</v>
      </c>
    </row>
    <row r="1653" spans="1:14">
      <c r="A1653">
        <v>1652</v>
      </c>
      <c r="B1653">
        <v>65</v>
      </c>
      <c r="C1653" t="s">
        <v>16</v>
      </c>
      <c r="D1653" t="s">
        <v>22</v>
      </c>
      <c r="E1653" t="s">
        <v>52</v>
      </c>
      <c r="F1653">
        <v>173.82</v>
      </c>
      <c r="G1653" t="s">
        <v>14</v>
      </c>
      <c r="H1653" t="s">
        <v>15</v>
      </c>
      <c r="I1653">
        <v>5</v>
      </c>
      <c r="J1653">
        <v>22</v>
      </c>
      <c r="K1653">
        <v>6</v>
      </c>
      <c r="L1653" s="4">
        <v>222.84615384615384</v>
      </c>
      <c r="M1653" s="4">
        <v>49.026153846153846</v>
      </c>
      <c r="N1653" t="s">
        <v>95</v>
      </c>
    </row>
    <row r="1654" spans="1:14">
      <c r="A1654">
        <v>1653</v>
      </c>
      <c r="B1654">
        <v>47</v>
      </c>
      <c r="C1654" t="s">
        <v>11</v>
      </c>
      <c r="D1654" t="s">
        <v>41</v>
      </c>
      <c r="E1654" t="s">
        <v>42</v>
      </c>
      <c r="F1654">
        <v>145.85</v>
      </c>
      <c r="G1654" t="s">
        <v>19</v>
      </c>
      <c r="H1654" t="s">
        <v>15</v>
      </c>
      <c r="I1654">
        <v>3</v>
      </c>
      <c r="J1654">
        <v>8</v>
      </c>
      <c r="K1654">
        <v>4</v>
      </c>
      <c r="L1654" s="4">
        <v>158.53260869565216</v>
      </c>
      <c r="M1654" s="4">
        <v>12.682608695652164</v>
      </c>
      <c r="N1654" t="s">
        <v>93</v>
      </c>
    </row>
    <row r="1655" spans="1:14">
      <c r="A1655">
        <v>1654</v>
      </c>
      <c r="B1655">
        <v>22</v>
      </c>
      <c r="C1655" t="s">
        <v>11</v>
      </c>
      <c r="D1655" t="s">
        <v>41</v>
      </c>
      <c r="E1655" t="s">
        <v>42</v>
      </c>
      <c r="F1655">
        <v>79.34</v>
      </c>
      <c r="G1655" t="s">
        <v>24</v>
      </c>
      <c r="H1655" t="s">
        <v>37</v>
      </c>
      <c r="I1655">
        <v>3.5</v>
      </c>
      <c r="J1655">
        <v>24</v>
      </c>
      <c r="K1655">
        <v>7</v>
      </c>
      <c r="L1655" s="4">
        <v>104.39473684210526</v>
      </c>
      <c r="M1655" s="4">
        <v>25.054736842105257</v>
      </c>
      <c r="N1655" t="s">
        <v>100</v>
      </c>
    </row>
    <row r="1656" spans="1:14">
      <c r="A1656">
        <v>1655</v>
      </c>
      <c r="B1656">
        <v>38</v>
      </c>
      <c r="C1656" t="s">
        <v>11</v>
      </c>
      <c r="D1656" t="s">
        <v>41</v>
      </c>
      <c r="E1656" t="s">
        <v>46</v>
      </c>
      <c r="F1656">
        <v>140</v>
      </c>
      <c r="G1656" t="s">
        <v>24</v>
      </c>
      <c r="H1656" t="s">
        <v>15</v>
      </c>
      <c r="I1656">
        <v>3.8</v>
      </c>
      <c r="J1656">
        <v>11</v>
      </c>
      <c r="K1656">
        <v>3</v>
      </c>
      <c r="L1656" s="4">
        <v>157.30337078651687</v>
      </c>
      <c r="M1656" s="4">
        <v>17.303370786516865</v>
      </c>
      <c r="N1656" t="s">
        <v>92</v>
      </c>
    </row>
    <row r="1657" spans="1:14">
      <c r="A1657">
        <v>1656</v>
      </c>
      <c r="B1657">
        <v>48</v>
      </c>
      <c r="C1657" t="s">
        <v>16</v>
      </c>
      <c r="D1657" t="s">
        <v>27</v>
      </c>
      <c r="E1657" t="s">
        <v>28</v>
      </c>
      <c r="F1657">
        <v>532.67999999999995</v>
      </c>
      <c r="G1657" t="s">
        <v>31</v>
      </c>
      <c r="H1657" t="s">
        <v>15</v>
      </c>
      <c r="I1657">
        <v>3</v>
      </c>
      <c r="J1657">
        <v>6</v>
      </c>
      <c r="K1657">
        <v>3</v>
      </c>
      <c r="L1657" s="4">
        <v>566.68085106382978</v>
      </c>
      <c r="M1657" s="4">
        <v>34.000851063829828</v>
      </c>
      <c r="N1657" t="s">
        <v>93</v>
      </c>
    </row>
    <row r="1658" spans="1:14">
      <c r="A1658">
        <v>1657</v>
      </c>
      <c r="B1658">
        <v>26</v>
      </c>
      <c r="C1658" t="s">
        <v>16</v>
      </c>
      <c r="D1658" t="s">
        <v>20</v>
      </c>
      <c r="E1658" t="s">
        <v>39</v>
      </c>
      <c r="F1658">
        <v>168.47</v>
      </c>
      <c r="G1658" t="s">
        <v>24</v>
      </c>
      <c r="H1658" t="s">
        <v>15</v>
      </c>
      <c r="I1658">
        <v>3.7</v>
      </c>
      <c r="J1658">
        <v>22</v>
      </c>
      <c r="K1658">
        <v>11</v>
      </c>
      <c r="L1658" s="4">
        <v>215.98717948717947</v>
      </c>
      <c r="M1658" s="4">
        <v>47.517179487179476</v>
      </c>
      <c r="N1658" t="s">
        <v>91</v>
      </c>
    </row>
    <row r="1659" spans="1:14">
      <c r="A1659">
        <v>1658</v>
      </c>
      <c r="B1659">
        <v>65</v>
      </c>
      <c r="C1659" t="s">
        <v>11</v>
      </c>
      <c r="D1659" t="s">
        <v>41</v>
      </c>
      <c r="E1659" t="s">
        <v>46</v>
      </c>
      <c r="F1659">
        <v>93.8</v>
      </c>
      <c r="G1659" t="s">
        <v>24</v>
      </c>
      <c r="H1659" t="s">
        <v>37</v>
      </c>
      <c r="I1659">
        <v>4.3</v>
      </c>
      <c r="J1659">
        <v>16</v>
      </c>
      <c r="K1659">
        <v>3</v>
      </c>
      <c r="L1659" s="4">
        <v>111.66666666666667</v>
      </c>
      <c r="M1659" s="4">
        <v>17.866666666666674</v>
      </c>
      <c r="N1659" t="s">
        <v>95</v>
      </c>
    </row>
    <row r="1660" spans="1:14">
      <c r="A1660">
        <v>1659</v>
      </c>
      <c r="B1660">
        <v>68</v>
      </c>
      <c r="C1660" t="s">
        <v>16</v>
      </c>
      <c r="D1660" t="s">
        <v>17</v>
      </c>
      <c r="E1660" t="s">
        <v>18</v>
      </c>
      <c r="F1660">
        <v>162.35</v>
      </c>
      <c r="G1660" t="s">
        <v>31</v>
      </c>
      <c r="H1660" t="s">
        <v>15</v>
      </c>
      <c r="I1660">
        <v>4.4000000000000004</v>
      </c>
      <c r="J1660">
        <v>17</v>
      </c>
      <c r="K1660">
        <v>6</v>
      </c>
      <c r="L1660" s="4">
        <v>195.60240963855421</v>
      </c>
      <c r="M1660" s="4">
        <v>33.252409638554212</v>
      </c>
      <c r="N1660" t="s">
        <v>95</v>
      </c>
    </row>
    <row r="1661" spans="1:14">
      <c r="A1661">
        <v>1660</v>
      </c>
      <c r="B1661">
        <v>58</v>
      </c>
      <c r="C1661" t="s">
        <v>16</v>
      </c>
      <c r="D1661" t="s">
        <v>17</v>
      </c>
      <c r="E1661" t="s">
        <v>35</v>
      </c>
      <c r="F1661">
        <v>62.32</v>
      </c>
      <c r="G1661" t="s">
        <v>19</v>
      </c>
      <c r="H1661" t="s">
        <v>15</v>
      </c>
      <c r="I1661">
        <v>3.9</v>
      </c>
      <c r="J1661">
        <v>13</v>
      </c>
      <c r="K1661">
        <v>4</v>
      </c>
      <c r="L1661" s="4">
        <v>71.632183908045974</v>
      </c>
      <c r="M1661" s="4">
        <v>9.3121839080459736</v>
      </c>
      <c r="N1661" t="s">
        <v>94</v>
      </c>
    </row>
    <row r="1662" spans="1:14">
      <c r="A1662">
        <v>1661</v>
      </c>
      <c r="B1662">
        <v>48</v>
      </c>
      <c r="C1662" t="s">
        <v>11</v>
      </c>
      <c r="D1662" t="s">
        <v>29</v>
      </c>
      <c r="E1662" t="s">
        <v>51</v>
      </c>
      <c r="F1662">
        <v>134.47999999999999</v>
      </c>
      <c r="G1662" t="s">
        <v>24</v>
      </c>
      <c r="H1662" t="s">
        <v>15</v>
      </c>
      <c r="I1662">
        <v>3.9</v>
      </c>
      <c r="J1662">
        <v>18</v>
      </c>
      <c r="K1662">
        <v>4</v>
      </c>
      <c r="L1662" s="4">
        <v>163.99999999999997</v>
      </c>
      <c r="M1662" s="4">
        <v>29.519999999999982</v>
      </c>
      <c r="N1662" t="s">
        <v>93</v>
      </c>
    </row>
    <row r="1663" spans="1:14">
      <c r="A1663">
        <v>1662</v>
      </c>
      <c r="B1663">
        <v>37</v>
      </c>
      <c r="C1663" t="s">
        <v>16</v>
      </c>
      <c r="D1663" t="s">
        <v>33</v>
      </c>
      <c r="E1663" t="s">
        <v>40</v>
      </c>
      <c r="F1663">
        <v>200.91</v>
      </c>
      <c r="G1663" t="s">
        <v>19</v>
      </c>
      <c r="H1663" t="s">
        <v>15</v>
      </c>
      <c r="I1663">
        <v>2.8</v>
      </c>
      <c r="J1663">
        <v>16</v>
      </c>
      <c r="K1663">
        <v>3</v>
      </c>
      <c r="L1663" s="4">
        <v>239.17857142857144</v>
      </c>
      <c r="M1663" s="4">
        <v>38.268571428571448</v>
      </c>
      <c r="N1663" t="s">
        <v>92</v>
      </c>
    </row>
    <row r="1664" spans="1:14">
      <c r="A1664">
        <v>1663</v>
      </c>
      <c r="B1664">
        <v>31</v>
      </c>
      <c r="C1664" t="s">
        <v>11</v>
      </c>
      <c r="D1664" t="s">
        <v>29</v>
      </c>
      <c r="E1664" t="s">
        <v>55</v>
      </c>
      <c r="F1664">
        <v>137.99</v>
      </c>
      <c r="G1664" t="s">
        <v>24</v>
      </c>
      <c r="H1664" t="s">
        <v>15</v>
      </c>
      <c r="I1664">
        <v>3.8</v>
      </c>
      <c r="J1664">
        <v>10</v>
      </c>
      <c r="K1664">
        <v>5</v>
      </c>
      <c r="L1664" s="4">
        <v>153.32222222222222</v>
      </c>
      <c r="M1664" s="4">
        <v>15.332222222222214</v>
      </c>
      <c r="N1664" t="s">
        <v>91</v>
      </c>
    </row>
    <row r="1665" spans="1:14">
      <c r="A1665">
        <v>1664</v>
      </c>
      <c r="B1665">
        <v>62</v>
      </c>
      <c r="C1665" t="s">
        <v>11</v>
      </c>
      <c r="D1665" t="s">
        <v>33</v>
      </c>
      <c r="E1665" t="s">
        <v>34</v>
      </c>
      <c r="F1665">
        <v>51.08</v>
      </c>
      <c r="G1665" t="s">
        <v>24</v>
      </c>
      <c r="H1665" t="s">
        <v>37</v>
      </c>
      <c r="I1665">
        <v>3.1</v>
      </c>
      <c r="J1665">
        <v>21</v>
      </c>
      <c r="K1665">
        <v>8</v>
      </c>
      <c r="L1665" s="4">
        <v>64.658227848101262</v>
      </c>
      <c r="M1665" s="4">
        <v>13.578227848101264</v>
      </c>
      <c r="N1665" t="s">
        <v>94</v>
      </c>
    </row>
    <row r="1666" spans="1:14">
      <c r="A1666">
        <v>1665</v>
      </c>
      <c r="B1666">
        <v>56</v>
      </c>
      <c r="C1666" t="s">
        <v>16</v>
      </c>
      <c r="D1666" t="s">
        <v>20</v>
      </c>
      <c r="E1666" t="s">
        <v>21</v>
      </c>
      <c r="F1666">
        <v>211</v>
      </c>
      <c r="G1666" t="s">
        <v>14</v>
      </c>
      <c r="H1666" t="s">
        <v>15</v>
      </c>
      <c r="I1666">
        <v>1.3</v>
      </c>
      <c r="J1666">
        <v>5</v>
      </c>
      <c r="K1666">
        <v>0</v>
      </c>
      <c r="L1666" s="4">
        <v>222.10526315789474</v>
      </c>
      <c r="M1666" s="4">
        <v>11.10526315789474</v>
      </c>
      <c r="N1666" t="s">
        <v>94</v>
      </c>
    </row>
    <row r="1667" spans="1:14">
      <c r="A1667">
        <v>1666</v>
      </c>
      <c r="B1667">
        <v>28</v>
      </c>
      <c r="C1667" t="s">
        <v>11</v>
      </c>
      <c r="D1667" t="s">
        <v>41</v>
      </c>
      <c r="E1667" t="s">
        <v>46</v>
      </c>
      <c r="F1667">
        <v>40.1</v>
      </c>
      <c r="G1667" t="s">
        <v>14</v>
      </c>
      <c r="H1667" t="s">
        <v>15</v>
      </c>
      <c r="I1667">
        <v>3.5</v>
      </c>
      <c r="J1667">
        <v>20</v>
      </c>
      <c r="K1667">
        <v>5</v>
      </c>
      <c r="L1667" s="4">
        <v>50.125</v>
      </c>
      <c r="M1667" s="4">
        <v>10.024999999999999</v>
      </c>
      <c r="N1667" t="s">
        <v>91</v>
      </c>
    </row>
    <row r="1668" spans="1:14">
      <c r="A1668">
        <v>1667</v>
      </c>
      <c r="B1668">
        <v>27</v>
      </c>
      <c r="C1668" t="s">
        <v>16</v>
      </c>
      <c r="D1668" t="s">
        <v>25</v>
      </c>
      <c r="E1668" t="s">
        <v>54</v>
      </c>
      <c r="F1668">
        <v>19.89</v>
      </c>
      <c r="G1668" t="s">
        <v>31</v>
      </c>
      <c r="H1668" t="s">
        <v>15</v>
      </c>
      <c r="I1668">
        <v>4.0999999999999996</v>
      </c>
      <c r="J1668">
        <v>9</v>
      </c>
      <c r="K1668">
        <v>2</v>
      </c>
      <c r="L1668" s="4">
        <v>21.857142857142858</v>
      </c>
      <c r="M1668" s="4">
        <v>1.9671428571428571</v>
      </c>
      <c r="N1668" t="s">
        <v>91</v>
      </c>
    </row>
    <row r="1669" spans="1:14">
      <c r="A1669">
        <v>1668</v>
      </c>
      <c r="B1669">
        <v>61</v>
      </c>
      <c r="C1669" t="s">
        <v>16</v>
      </c>
      <c r="D1669" t="s">
        <v>20</v>
      </c>
      <c r="E1669" t="s">
        <v>36</v>
      </c>
      <c r="F1669">
        <v>135.32</v>
      </c>
      <c r="G1669" t="s">
        <v>14</v>
      </c>
      <c r="H1669" t="s">
        <v>15</v>
      </c>
      <c r="I1669">
        <v>3</v>
      </c>
      <c r="J1669">
        <v>14</v>
      </c>
      <c r="K1669">
        <v>7</v>
      </c>
      <c r="L1669" s="4">
        <v>157.34883720930233</v>
      </c>
      <c r="M1669" s="4">
        <v>22.028837209302338</v>
      </c>
      <c r="N1669" t="s">
        <v>94</v>
      </c>
    </row>
    <row r="1670" spans="1:14">
      <c r="A1670">
        <v>1669</v>
      </c>
      <c r="B1670">
        <v>23</v>
      </c>
      <c r="C1670" t="s">
        <v>11</v>
      </c>
      <c r="D1670" t="s">
        <v>12</v>
      </c>
      <c r="E1670" t="s">
        <v>56</v>
      </c>
      <c r="F1670">
        <v>101.21</v>
      </c>
      <c r="G1670" t="s">
        <v>24</v>
      </c>
      <c r="H1670" t="s">
        <v>15</v>
      </c>
      <c r="I1670">
        <v>3.6</v>
      </c>
      <c r="J1670">
        <v>28</v>
      </c>
      <c r="K1670">
        <v>9</v>
      </c>
      <c r="L1670" s="4">
        <v>140.56944444444443</v>
      </c>
      <c r="M1670" s="4">
        <v>39.359444444444435</v>
      </c>
      <c r="N1670" t="s">
        <v>100</v>
      </c>
    </row>
    <row r="1671" spans="1:14">
      <c r="A1671">
        <v>1670</v>
      </c>
      <c r="B1671">
        <v>60</v>
      </c>
      <c r="C1671" t="s">
        <v>11</v>
      </c>
      <c r="D1671" t="s">
        <v>20</v>
      </c>
      <c r="E1671" t="s">
        <v>36</v>
      </c>
      <c r="F1671">
        <v>163.92</v>
      </c>
      <c r="G1671" t="s">
        <v>19</v>
      </c>
      <c r="H1671" t="s">
        <v>15</v>
      </c>
      <c r="I1671">
        <v>3.1</v>
      </c>
      <c r="J1671">
        <v>15</v>
      </c>
      <c r="K1671">
        <v>5</v>
      </c>
      <c r="L1671" s="4">
        <v>192.84705882352941</v>
      </c>
      <c r="M1671" s="4">
        <v>28.927058823529421</v>
      </c>
      <c r="N1671" t="s">
        <v>94</v>
      </c>
    </row>
    <row r="1672" spans="1:14">
      <c r="A1672">
        <v>1671</v>
      </c>
      <c r="B1672">
        <v>54</v>
      </c>
      <c r="C1672" t="s">
        <v>16</v>
      </c>
      <c r="D1672" t="s">
        <v>33</v>
      </c>
      <c r="E1672" t="s">
        <v>40</v>
      </c>
      <c r="F1672">
        <v>138.78</v>
      </c>
      <c r="G1672" t="s">
        <v>31</v>
      </c>
      <c r="H1672" t="s">
        <v>15</v>
      </c>
      <c r="I1672">
        <v>3.7</v>
      </c>
      <c r="J1672">
        <v>15</v>
      </c>
      <c r="K1672">
        <v>5</v>
      </c>
      <c r="L1672" s="4">
        <v>163.27058823529413</v>
      </c>
      <c r="M1672" s="4">
        <v>24.490588235294126</v>
      </c>
      <c r="N1672" t="s">
        <v>93</v>
      </c>
    </row>
    <row r="1673" spans="1:14">
      <c r="A1673">
        <v>1672</v>
      </c>
      <c r="B1673">
        <v>37</v>
      </c>
      <c r="C1673" t="s">
        <v>16</v>
      </c>
      <c r="D1673" t="s">
        <v>17</v>
      </c>
      <c r="E1673" t="s">
        <v>35</v>
      </c>
      <c r="F1673">
        <v>168.61</v>
      </c>
      <c r="G1673" t="s">
        <v>14</v>
      </c>
      <c r="H1673" t="s">
        <v>15</v>
      </c>
      <c r="I1673">
        <v>4.5999999999999996</v>
      </c>
      <c r="J1673">
        <v>15</v>
      </c>
      <c r="K1673">
        <v>5</v>
      </c>
      <c r="L1673" s="4">
        <v>198.36470588235295</v>
      </c>
      <c r="M1673" s="4">
        <v>29.754705882352937</v>
      </c>
      <c r="N1673" t="s">
        <v>92</v>
      </c>
    </row>
    <row r="1674" spans="1:14">
      <c r="A1674">
        <v>1673</v>
      </c>
      <c r="B1674">
        <v>60</v>
      </c>
      <c r="C1674" t="s">
        <v>11</v>
      </c>
      <c r="D1674" t="s">
        <v>41</v>
      </c>
      <c r="E1674" t="s">
        <v>44</v>
      </c>
      <c r="F1674">
        <v>177.44</v>
      </c>
      <c r="G1674" t="s">
        <v>14</v>
      </c>
      <c r="H1674" t="s">
        <v>15</v>
      </c>
      <c r="I1674">
        <v>3.8</v>
      </c>
      <c r="J1674">
        <v>9</v>
      </c>
      <c r="K1674">
        <v>2</v>
      </c>
      <c r="L1674" s="4">
        <v>194.98901098901098</v>
      </c>
      <c r="M1674" s="4">
        <v>17.549010989010981</v>
      </c>
      <c r="N1674" t="s">
        <v>94</v>
      </c>
    </row>
    <row r="1675" spans="1:14">
      <c r="A1675">
        <v>1674</v>
      </c>
      <c r="B1675">
        <v>42</v>
      </c>
      <c r="C1675" t="s">
        <v>16</v>
      </c>
      <c r="D1675" t="s">
        <v>33</v>
      </c>
      <c r="E1675" t="s">
        <v>40</v>
      </c>
      <c r="F1675">
        <v>58.43</v>
      </c>
      <c r="G1675" t="s">
        <v>31</v>
      </c>
      <c r="H1675" t="s">
        <v>15</v>
      </c>
      <c r="I1675">
        <v>3.9</v>
      </c>
      <c r="J1675">
        <v>13</v>
      </c>
      <c r="K1675">
        <v>4</v>
      </c>
      <c r="L1675" s="4">
        <v>67.160919540229884</v>
      </c>
      <c r="M1675" s="4">
        <v>8.730919540229884</v>
      </c>
      <c r="N1675" t="s">
        <v>92</v>
      </c>
    </row>
    <row r="1676" spans="1:14">
      <c r="A1676">
        <v>1675</v>
      </c>
      <c r="B1676">
        <v>27</v>
      </c>
      <c r="C1676" t="s">
        <v>16</v>
      </c>
      <c r="D1676" t="s">
        <v>22</v>
      </c>
      <c r="E1676" t="s">
        <v>43</v>
      </c>
      <c r="F1676">
        <v>184.18</v>
      </c>
      <c r="G1676" t="s">
        <v>24</v>
      </c>
      <c r="H1676" t="s">
        <v>15</v>
      </c>
      <c r="I1676">
        <v>4.2</v>
      </c>
      <c r="J1676">
        <v>23</v>
      </c>
      <c r="K1676">
        <v>9</v>
      </c>
      <c r="L1676" s="4">
        <v>239.19480519480518</v>
      </c>
      <c r="M1676" s="4">
        <v>55.014805194805177</v>
      </c>
      <c r="N1676" t="s">
        <v>91</v>
      </c>
    </row>
    <row r="1677" spans="1:14">
      <c r="A1677">
        <v>1676</v>
      </c>
      <c r="B1677">
        <v>54</v>
      </c>
      <c r="C1677" t="s">
        <v>11</v>
      </c>
      <c r="D1677" t="s">
        <v>33</v>
      </c>
      <c r="E1677" t="s">
        <v>34</v>
      </c>
      <c r="F1677">
        <v>180.54</v>
      </c>
      <c r="G1677" t="s">
        <v>14</v>
      </c>
      <c r="H1677" t="s">
        <v>15</v>
      </c>
      <c r="I1677">
        <v>3.9</v>
      </c>
      <c r="J1677">
        <v>15</v>
      </c>
      <c r="K1677">
        <v>5</v>
      </c>
      <c r="L1677" s="4">
        <v>212.4</v>
      </c>
      <c r="M1677" s="4">
        <v>31.860000000000014</v>
      </c>
      <c r="N1677" t="s">
        <v>93</v>
      </c>
    </row>
    <row r="1678" spans="1:14">
      <c r="A1678">
        <v>1677</v>
      </c>
      <c r="B1678">
        <v>56</v>
      </c>
      <c r="C1678" t="s">
        <v>16</v>
      </c>
      <c r="D1678" t="s">
        <v>17</v>
      </c>
      <c r="E1678" t="s">
        <v>42</v>
      </c>
      <c r="F1678">
        <v>135.91</v>
      </c>
      <c r="G1678" t="s">
        <v>24</v>
      </c>
      <c r="H1678" t="s">
        <v>15</v>
      </c>
      <c r="I1678">
        <v>3.6</v>
      </c>
      <c r="J1678">
        <v>22</v>
      </c>
      <c r="K1678">
        <v>6</v>
      </c>
      <c r="L1678" s="4">
        <v>174.24358974358972</v>
      </c>
      <c r="M1678" s="4">
        <v>38.333589743589727</v>
      </c>
      <c r="N1678" t="s">
        <v>94</v>
      </c>
    </row>
    <row r="1679" spans="1:14">
      <c r="A1679">
        <v>1678</v>
      </c>
      <c r="B1679">
        <v>44</v>
      </c>
      <c r="C1679" t="s">
        <v>11</v>
      </c>
      <c r="D1679" t="s">
        <v>41</v>
      </c>
      <c r="E1679" t="s">
        <v>46</v>
      </c>
      <c r="F1679">
        <v>183.99</v>
      </c>
      <c r="G1679" t="s">
        <v>14</v>
      </c>
      <c r="H1679" t="s">
        <v>15</v>
      </c>
      <c r="I1679">
        <v>3.1</v>
      </c>
      <c r="J1679">
        <v>16</v>
      </c>
      <c r="K1679">
        <v>8</v>
      </c>
      <c r="L1679" s="4">
        <v>219.03571428571431</v>
      </c>
      <c r="M1679" s="4">
        <v>35.045714285714297</v>
      </c>
      <c r="N1679" t="s">
        <v>92</v>
      </c>
    </row>
    <row r="1680" spans="1:14">
      <c r="A1680">
        <v>1679</v>
      </c>
      <c r="B1680">
        <v>32</v>
      </c>
      <c r="C1680" t="s">
        <v>11</v>
      </c>
      <c r="D1680" t="s">
        <v>33</v>
      </c>
      <c r="E1680" t="s">
        <v>40</v>
      </c>
      <c r="F1680">
        <v>188.12</v>
      </c>
      <c r="G1680" t="s">
        <v>24</v>
      </c>
      <c r="H1680" t="s">
        <v>15</v>
      </c>
      <c r="I1680">
        <v>2.7</v>
      </c>
      <c r="J1680">
        <v>6</v>
      </c>
      <c r="K1680">
        <v>3</v>
      </c>
      <c r="L1680" s="4">
        <v>200.12765957446811</v>
      </c>
      <c r="M1680" s="4">
        <v>12.007659574468107</v>
      </c>
      <c r="N1680" t="s">
        <v>91</v>
      </c>
    </row>
    <row r="1681" spans="1:14">
      <c r="A1681">
        <v>1680</v>
      </c>
      <c r="B1681">
        <v>60</v>
      </c>
      <c r="C1681" t="s">
        <v>11</v>
      </c>
      <c r="D1681" t="s">
        <v>33</v>
      </c>
      <c r="E1681" t="s">
        <v>40</v>
      </c>
      <c r="F1681">
        <v>81.88</v>
      </c>
      <c r="G1681" t="s">
        <v>24</v>
      </c>
      <c r="H1681" t="s">
        <v>37</v>
      </c>
      <c r="I1681">
        <v>4.5</v>
      </c>
      <c r="J1681">
        <v>14</v>
      </c>
      <c r="K1681">
        <v>7</v>
      </c>
      <c r="L1681" s="4">
        <v>95.20930232558139</v>
      </c>
      <c r="M1681" s="4">
        <v>13.329302325581395</v>
      </c>
      <c r="N1681" t="s">
        <v>94</v>
      </c>
    </row>
    <row r="1682" spans="1:14">
      <c r="A1682">
        <v>1681</v>
      </c>
      <c r="B1682">
        <v>55</v>
      </c>
      <c r="C1682" t="s">
        <v>11</v>
      </c>
      <c r="D1682" t="s">
        <v>33</v>
      </c>
      <c r="E1682" t="s">
        <v>40</v>
      </c>
      <c r="F1682">
        <v>134.88</v>
      </c>
      <c r="G1682" t="s">
        <v>24</v>
      </c>
      <c r="H1682" t="s">
        <v>15</v>
      </c>
      <c r="I1682">
        <v>4.0999999999999996</v>
      </c>
      <c r="J1682">
        <v>11</v>
      </c>
      <c r="K1682">
        <v>3</v>
      </c>
      <c r="L1682" s="4">
        <v>151.55056179775281</v>
      </c>
      <c r="M1682" s="4">
        <v>16.670561797752811</v>
      </c>
      <c r="N1682" t="s">
        <v>94</v>
      </c>
    </row>
    <row r="1683" spans="1:14">
      <c r="A1683">
        <v>1682</v>
      </c>
      <c r="B1683">
        <v>60</v>
      </c>
      <c r="C1683" t="s">
        <v>11</v>
      </c>
      <c r="D1683" t="s">
        <v>33</v>
      </c>
      <c r="E1683" t="s">
        <v>40</v>
      </c>
      <c r="F1683">
        <v>76.8</v>
      </c>
      <c r="G1683" t="s">
        <v>24</v>
      </c>
      <c r="H1683" t="s">
        <v>15</v>
      </c>
      <c r="I1683">
        <v>3.3</v>
      </c>
      <c r="J1683">
        <v>17</v>
      </c>
      <c r="K1683">
        <v>6</v>
      </c>
      <c r="L1683" s="4">
        <v>92.53012048192771</v>
      </c>
      <c r="M1683" s="4">
        <v>15.730120481927713</v>
      </c>
      <c r="N1683" t="s">
        <v>94</v>
      </c>
    </row>
    <row r="1684" spans="1:14">
      <c r="A1684">
        <v>1683</v>
      </c>
      <c r="B1684">
        <v>54</v>
      </c>
      <c r="C1684" t="s">
        <v>11</v>
      </c>
      <c r="D1684" t="s">
        <v>29</v>
      </c>
      <c r="E1684" t="s">
        <v>30</v>
      </c>
      <c r="F1684">
        <v>54.63</v>
      </c>
      <c r="G1684" t="s">
        <v>24</v>
      </c>
      <c r="H1684" t="s">
        <v>37</v>
      </c>
      <c r="I1684">
        <v>4.5</v>
      </c>
      <c r="J1684">
        <v>10</v>
      </c>
      <c r="K1684">
        <v>5</v>
      </c>
      <c r="L1684" s="4">
        <v>60.7</v>
      </c>
      <c r="M1684" s="4">
        <v>6.07</v>
      </c>
      <c r="N1684" t="s">
        <v>93</v>
      </c>
    </row>
    <row r="1685" spans="1:14">
      <c r="A1685">
        <v>1684</v>
      </c>
      <c r="B1685">
        <v>39</v>
      </c>
      <c r="C1685" t="s">
        <v>16</v>
      </c>
      <c r="D1685" t="s">
        <v>17</v>
      </c>
      <c r="E1685" t="s">
        <v>42</v>
      </c>
      <c r="F1685">
        <v>47.56</v>
      </c>
      <c r="G1685" t="s">
        <v>19</v>
      </c>
      <c r="H1685" t="s">
        <v>37</v>
      </c>
      <c r="I1685">
        <v>2.1</v>
      </c>
      <c r="J1685">
        <v>6</v>
      </c>
      <c r="K1685">
        <v>3</v>
      </c>
      <c r="L1685" s="4">
        <v>50.59574468085107</v>
      </c>
      <c r="M1685" s="4">
        <v>3.0357446808510673</v>
      </c>
      <c r="N1685" t="s">
        <v>92</v>
      </c>
    </row>
    <row r="1686" spans="1:14">
      <c r="A1686">
        <v>1685</v>
      </c>
      <c r="B1686">
        <v>20</v>
      </c>
      <c r="C1686" t="s">
        <v>16</v>
      </c>
      <c r="D1686" t="s">
        <v>33</v>
      </c>
      <c r="E1686" t="s">
        <v>40</v>
      </c>
      <c r="F1686">
        <v>53.28</v>
      </c>
      <c r="G1686" t="s">
        <v>31</v>
      </c>
      <c r="H1686" t="s">
        <v>15</v>
      </c>
      <c r="I1686">
        <v>3</v>
      </c>
      <c r="J1686">
        <v>23</v>
      </c>
      <c r="K1686">
        <v>9</v>
      </c>
      <c r="L1686" s="4">
        <v>69.194805194805198</v>
      </c>
      <c r="M1686" s="4">
        <v>15.914805194805197</v>
      </c>
      <c r="N1686" t="s">
        <v>100</v>
      </c>
    </row>
    <row r="1687" spans="1:14">
      <c r="A1687">
        <v>1686</v>
      </c>
      <c r="B1687">
        <v>31</v>
      </c>
      <c r="C1687" t="s">
        <v>11</v>
      </c>
      <c r="D1687" t="s">
        <v>25</v>
      </c>
      <c r="E1687" t="s">
        <v>47</v>
      </c>
      <c r="F1687">
        <v>78.790000000000006</v>
      </c>
      <c r="G1687" t="s">
        <v>24</v>
      </c>
      <c r="H1687" t="s">
        <v>37</v>
      </c>
      <c r="I1687">
        <v>4.8</v>
      </c>
      <c r="J1687">
        <v>14</v>
      </c>
      <c r="K1687">
        <v>2</v>
      </c>
      <c r="L1687" s="4">
        <v>91.616279069767444</v>
      </c>
      <c r="M1687" s="4">
        <v>12.826279069767438</v>
      </c>
      <c r="N1687" t="s">
        <v>91</v>
      </c>
    </row>
    <row r="1688" spans="1:14">
      <c r="A1688">
        <v>1687</v>
      </c>
      <c r="B1688">
        <v>45</v>
      </c>
      <c r="C1688" t="s">
        <v>11</v>
      </c>
      <c r="D1688" t="s">
        <v>29</v>
      </c>
      <c r="E1688" t="s">
        <v>30</v>
      </c>
      <c r="F1688">
        <v>52.81</v>
      </c>
      <c r="G1688" t="s">
        <v>24</v>
      </c>
      <c r="H1688" t="s">
        <v>15</v>
      </c>
      <c r="I1688">
        <v>4.5999999999999996</v>
      </c>
      <c r="J1688">
        <v>24</v>
      </c>
      <c r="K1688">
        <v>7</v>
      </c>
      <c r="L1688" s="4">
        <v>69.486842105263165</v>
      </c>
      <c r="M1688" s="4">
        <v>16.676842105263162</v>
      </c>
      <c r="N1688" t="s">
        <v>93</v>
      </c>
    </row>
    <row r="1689" spans="1:14">
      <c r="A1689">
        <v>1688</v>
      </c>
      <c r="B1689">
        <v>38</v>
      </c>
      <c r="C1689" t="s">
        <v>16</v>
      </c>
      <c r="D1689" t="s">
        <v>27</v>
      </c>
      <c r="E1689" t="s">
        <v>32</v>
      </c>
      <c r="F1689">
        <v>2403.13</v>
      </c>
      <c r="G1689" t="s">
        <v>31</v>
      </c>
      <c r="H1689" t="s">
        <v>15</v>
      </c>
      <c r="I1689">
        <v>4.9000000000000004</v>
      </c>
      <c r="J1689">
        <v>8</v>
      </c>
      <c r="K1689">
        <v>4</v>
      </c>
      <c r="L1689" s="4">
        <v>2612.0978260869565</v>
      </c>
      <c r="M1689" s="4">
        <v>208.96782608695639</v>
      </c>
      <c r="N1689" t="s">
        <v>92</v>
      </c>
    </row>
    <row r="1690" spans="1:14">
      <c r="A1690">
        <v>1689</v>
      </c>
      <c r="B1690">
        <v>61</v>
      </c>
      <c r="C1690" t="s">
        <v>11</v>
      </c>
      <c r="D1690" t="s">
        <v>12</v>
      </c>
      <c r="E1690" t="s">
        <v>50</v>
      </c>
      <c r="F1690">
        <v>117</v>
      </c>
      <c r="G1690" t="s">
        <v>31</v>
      </c>
      <c r="H1690" t="s">
        <v>15</v>
      </c>
      <c r="I1690">
        <v>3.4</v>
      </c>
      <c r="J1690">
        <v>15</v>
      </c>
      <c r="K1690">
        <v>5</v>
      </c>
      <c r="L1690" s="4">
        <v>137.64705882352942</v>
      </c>
      <c r="M1690" s="4">
        <v>20.64705882352942</v>
      </c>
      <c r="N1690" t="s">
        <v>94</v>
      </c>
    </row>
    <row r="1691" spans="1:14">
      <c r="A1691">
        <v>1690</v>
      </c>
      <c r="B1691">
        <v>51</v>
      </c>
      <c r="C1691" t="s">
        <v>16</v>
      </c>
      <c r="D1691" t="s">
        <v>33</v>
      </c>
      <c r="E1691" t="s">
        <v>40</v>
      </c>
      <c r="F1691">
        <v>94.71</v>
      </c>
      <c r="G1691" t="s">
        <v>31</v>
      </c>
      <c r="H1691" t="s">
        <v>15</v>
      </c>
      <c r="I1691">
        <v>3.6</v>
      </c>
      <c r="J1691">
        <v>13</v>
      </c>
      <c r="K1691">
        <v>4</v>
      </c>
      <c r="L1691" s="4">
        <v>108.86206896551724</v>
      </c>
      <c r="M1691" s="4">
        <v>14.152068965517245</v>
      </c>
      <c r="N1691" t="s">
        <v>93</v>
      </c>
    </row>
    <row r="1692" spans="1:14">
      <c r="A1692">
        <v>1691</v>
      </c>
      <c r="B1692">
        <v>54</v>
      </c>
      <c r="C1692" t="s">
        <v>11</v>
      </c>
      <c r="D1692" t="s">
        <v>33</v>
      </c>
      <c r="E1692" t="s">
        <v>38</v>
      </c>
      <c r="F1692">
        <v>121.85</v>
      </c>
      <c r="G1692" t="s">
        <v>14</v>
      </c>
      <c r="H1692" t="s">
        <v>15</v>
      </c>
      <c r="I1692">
        <v>4.0999999999999996</v>
      </c>
      <c r="J1692">
        <v>24</v>
      </c>
      <c r="K1692">
        <v>7</v>
      </c>
      <c r="L1692" s="4">
        <v>160.32894736842104</v>
      </c>
      <c r="M1692" s="4">
        <v>38.478947368421046</v>
      </c>
      <c r="N1692" t="s">
        <v>93</v>
      </c>
    </row>
    <row r="1693" spans="1:14">
      <c r="A1693">
        <v>1692</v>
      </c>
      <c r="B1693">
        <v>49</v>
      </c>
      <c r="C1693" t="s">
        <v>16</v>
      </c>
      <c r="D1693" t="s">
        <v>25</v>
      </c>
      <c r="E1693" t="s">
        <v>57</v>
      </c>
      <c r="F1693">
        <v>72.209999999999994</v>
      </c>
      <c r="G1693" t="s">
        <v>14</v>
      </c>
      <c r="H1693" t="s">
        <v>37</v>
      </c>
      <c r="I1693">
        <v>3.8</v>
      </c>
      <c r="J1693">
        <v>16</v>
      </c>
      <c r="K1693">
        <v>3</v>
      </c>
      <c r="L1693" s="4">
        <v>85.964285714285708</v>
      </c>
      <c r="M1693" s="4">
        <v>13.754285714285714</v>
      </c>
      <c r="N1693" t="s">
        <v>93</v>
      </c>
    </row>
    <row r="1694" spans="1:14">
      <c r="A1694">
        <v>1693</v>
      </c>
      <c r="B1694">
        <v>69</v>
      </c>
      <c r="C1694" t="s">
        <v>11</v>
      </c>
      <c r="D1694" t="s">
        <v>12</v>
      </c>
      <c r="E1694" t="s">
        <v>56</v>
      </c>
      <c r="F1694">
        <v>166.88</v>
      </c>
      <c r="G1694" t="s">
        <v>31</v>
      </c>
      <c r="H1694" t="s">
        <v>15</v>
      </c>
      <c r="I1694">
        <v>4.0999999999999996</v>
      </c>
      <c r="J1694">
        <v>8</v>
      </c>
      <c r="K1694">
        <v>4</v>
      </c>
      <c r="L1694" s="4">
        <v>181.39130434782606</v>
      </c>
      <c r="M1694" s="4">
        <v>14.511304347826069</v>
      </c>
      <c r="N1694" t="s">
        <v>95</v>
      </c>
    </row>
    <row r="1695" spans="1:14">
      <c r="A1695">
        <v>1694</v>
      </c>
      <c r="B1695">
        <v>46</v>
      </c>
      <c r="C1695" t="s">
        <v>11</v>
      </c>
      <c r="D1695" t="s">
        <v>29</v>
      </c>
      <c r="E1695" t="s">
        <v>55</v>
      </c>
      <c r="F1695">
        <v>75.22</v>
      </c>
      <c r="G1695" t="s">
        <v>14</v>
      </c>
      <c r="H1695" t="s">
        <v>37</v>
      </c>
      <c r="I1695">
        <v>4.0999999999999996</v>
      </c>
      <c r="J1695">
        <v>10</v>
      </c>
      <c r="K1695">
        <v>5</v>
      </c>
      <c r="L1695" s="4">
        <v>83.577777777777769</v>
      </c>
      <c r="M1695" s="4">
        <v>8.3577777777777698</v>
      </c>
      <c r="N1695" t="s">
        <v>93</v>
      </c>
    </row>
    <row r="1696" spans="1:14">
      <c r="A1696">
        <v>1695</v>
      </c>
      <c r="B1696">
        <v>48</v>
      </c>
      <c r="C1696" t="s">
        <v>16</v>
      </c>
      <c r="D1696" t="s">
        <v>33</v>
      </c>
      <c r="E1696" t="s">
        <v>40</v>
      </c>
      <c r="F1696">
        <v>77.91</v>
      </c>
      <c r="G1696" t="s">
        <v>19</v>
      </c>
      <c r="H1696" t="s">
        <v>15</v>
      </c>
      <c r="I1696">
        <v>3.9</v>
      </c>
      <c r="J1696">
        <v>17</v>
      </c>
      <c r="K1696">
        <v>6</v>
      </c>
      <c r="L1696" s="4">
        <v>93.867469879518069</v>
      </c>
      <c r="M1696" s="4">
        <v>15.957469879518072</v>
      </c>
      <c r="N1696" t="s">
        <v>93</v>
      </c>
    </row>
    <row r="1697" spans="1:14">
      <c r="A1697">
        <v>1696</v>
      </c>
      <c r="B1697">
        <v>58</v>
      </c>
      <c r="C1697" t="s">
        <v>16</v>
      </c>
      <c r="D1697" t="s">
        <v>20</v>
      </c>
      <c r="E1697" t="s">
        <v>36</v>
      </c>
      <c r="F1697">
        <v>65.28</v>
      </c>
      <c r="G1697" t="s">
        <v>24</v>
      </c>
      <c r="H1697" t="s">
        <v>15</v>
      </c>
      <c r="I1697">
        <v>4.5999999999999996</v>
      </c>
      <c r="J1697">
        <v>12</v>
      </c>
      <c r="K1697">
        <v>6</v>
      </c>
      <c r="L1697" s="4">
        <v>74.181818181818187</v>
      </c>
      <c r="M1697" s="4">
        <v>8.9018181818181858</v>
      </c>
      <c r="N1697" t="s">
        <v>94</v>
      </c>
    </row>
    <row r="1698" spans="1:14">
      <c r="A1698">
        <v>1697</v>
      </c>
      <c r="B1698">
        <v>47</v>
      </c>
      <c r="C1698" t="s">
        <v>11</v>
      </c>
      <c r="D1698" t="s">
        <v>33</v>
      </c>
      <c r="E1698" t="s">
        <v>38</v>
      </c>
      <c r="F1698">
        <v>132.81</v>
      </c>
      <c r="G1698" t="s">
        <v>19</v>
      </c>
      <c r="H1698" t="s">
        <v>15</v>
      </c>
      <c r="I1698">
        <v>4.0999999999999996</v>
      </c>
      <c r="J1698">
        <v>6</v>
      </c>
      <c r="K1698">
        <v>3</v>
      </c>
      <c r="L1698" s="4">
        <v>141.28723404255319</v>
      </c>
      <c r="M1698" s="4">
        <v>8.4772340425531922</v>
      </c>
      <c r="N1698" t="s">
        <v>93</v>
      </c>
    </row>
    <row r="1699" spans="1:14">
      <c r="A1699">
        <v>1698</v>
      </c>
      <c r="B1699">
        <v>33</v>
      </c>
      <c r="C1699" t="s">
        <v>16</v>
      </c>
      <c r="D1699" t="s">
        <v>27</v>
      </c>
      <c r="E1699" t="s">
        <v>32</v>
      </c>
      <c r="F1699">
        <v>2290.9699999999998</v>
      </c>
      <c r="G1699" t="s">
        <v>31</v>
      </c>
      <c r="H1699" t="s">
        <v>15</v>
      </c>
      <c r="I1699">
        <v>4.2</v>
      </c>
      <c r="J1699">
        <v>12</v>
      </c>
      <c r="K1699">
        <v>1</v>
      </c>
      <c r="L1699" s="4">
        <v>2603.3749999999995</v>
      </c>
      <c r="M1699" s="4">
        <v>312.40499999999975</v>
      </c>
      <c r="N1699" t="s">
        <v>91</v>
      </c>
    </row>
    <row r="1700" spans="1:14">
      <c r="A1700">
        <v>1699</v>
      </c>
      <c r="B1700">
        <v>34</v>
      </c>
      <c r="C1700" t="s">
        <v>11</v>
      </c>
      <c r="D1700" t="s">
        <v>29</v>
      </c>
      <c r="E1700" t="s">
        <v>55</v>
      </c>
      <c r="F1700">
        <v>31.61</v>
      </c>
      <c r="G1700" t="s">
        <v>14</v>
      </c>
      <c r="H1700" t="s">
        <v>15</v>
      </c>
      <c r="I1700">
        <v>5</v>
      </c>
      <c r="J1700">
        <v>19</v>
      </c>
      <c r="K1700">
        <v>7</v>
      </c>
      <c r="L1700" s="4">
        <v>39.02469135802469</v>
      </c>
      <c r="M1700" s="4">
        <v>7.4146913580246903</v>
      </c>
      <c r="N1700" t="s">
        <v>91</v>
      </c>
    </row>
    <row r="1701" spans="1:14">
      <c r="A1701">
        <v>1700</v>
      </c>
      <c r="B1701">
        <v>43</v>
      </c>
      <c r="C1701" t="s">
        <v>16</v>
      </c>
      <c r="D1701" t="s">
        <v>17</v>
      </c>
      <c r="E1701" t="s">
        <v>18</v>
      </c>
      <c r="F1701">
        <v>184.32</v>
      </c>
      <c r="G1701" t="s">
        <v>19</v>
      </c>
      <c r="H1701" t="s">
        <v>15</v>
      </c>
      <c r="I1701">
        <v>4.5999999999999996</v>
      </c>
      <c r="J1701">
        <v>22</v>
      </c>
      <c r="K1701">
        <v>6</v>
      </c>
      <c r="L1701" s="4">
        <v>236.30769230769229</v>
      </c>
      <c r="M1701" s="4">
        <v>51.987692307692299</v>
      </c>
      <c r="N1701" t="s">
        <v>92</v>
      </c>
    </row>
    <row r="1702" spans="1:14">
      <c r="A1702">
        <v>1701</v>
      </c>
      <c r="B1702">
        <v>58</v>
      </c>
      <c r="C1702" t="s">
        <v>16</v>
      </c>
      <c r="D1702" t="s">
        <v>33</v>
      </c>
      <c r="E1702" t="s">
        <v>34</v>
      </c>
      <c r="F1702">
        <v>135.47</v>
      </c>
      <c r="G1702" t="s">
        <v>19</v>
      </c>
      <c r="H1702" t="s">
        <v>15</v>
      </c>
      <c r="I1702">
        <v>4.9000000000000004</v>
      </c>
      <c r="J1702">
        <v>30</v>
      </c>
      <c r="K1702">
        <v>10</v>
      </c>
      <c r="L1702" s="4">
        <v>193.52857142857144</v>
      </c>
      <c r="M1702" s="4">
        <v>58.05857142857144</v>
      </c>
      <c r="N1702" t="s">
        <v>94</v>
      </c>
    </row>
    <row r="1703" spans="1:14">
      <c r="A1703">
        <v>1702</v>
      </c>
      <c r="B1703">
        <v>58</v>
      </c>
      <c r="C1703" t="s">
        <v>11</v>
      </c>
      <c r="D1703" t="s">
        <v>33</v>
      </c>
      <c r="E1703" t="s">
        <v>40</v>
      </c>
      <c r="F1703">
        <v>101.31</v>
      </c>
      <c r="G1703" t="s">
        <v>14</v>
      </c>
      <c r="H1703" t="s">
        <v>15</v>
      </c>
      <c r="I1703">
        <v>3.9</v>
      </c>
      <c r="J1703">
        <v>26</v>
      </c>
      <c r="K1703">
        <v>8</v>
      </c>
      <c r="L1703" s="4">
        <v>136.90540540540542</v>
      </c>
      <c r="M1703" s="4">
        <v>35.595405405405415</v>
      </c>
      <c r="N1703" t="s">
        <v>94</v>
      </c>
    </row>
    <row r="1704" spans="1:14">
      <c r="A1704">
        <v>1703</v>
      </c>
      <c r="B1704">
        <v>41</v>
      </c>
      <c r="C1704" t="s">
        <v>11</v>
      </c>
      <c r="D1704" t="s">
        <v>41</v>
      </c>
      <c r="E1704" t="s">
        <v>46</v>
      </c>
      <c r="F1704">
        <v>162.41</v>
      </c>
      <c r="G1704" t="s">
        <v>24</v>
      </c>
      <c r="H1704" t="s">
        <v>15</v>
      </c>
      <c r="I1704">
        <v>4</v>
      </c>
      <c r="J1704">
        <v>4</v>
      </c>
      <c r="K1704">
        <v>2</v>
      </c>
      <c r="L1704" s="4">
        <v>169.17708333333334</v>
      </c>
      <c r="M1704" s="4">
        <v>6.7670833333333462</v>
      </c>
      <c r="N1704" t="s">
        <v>92</v>
      </c>
    </row>
    <row r="1705" spans="1:14">
      <c r="A1705">
        <v>1704</v>
      </c>
      <c r="B1705">
        <v>70</v>
      </c>
      <c r="C1705" t="s">
        <v>11</v>
      </c>
      <c r="D1705" t="s">
        <v>33</v>
      </c>
      <c r="E1705" t="s">
        <v>40</v>
      </c>
      <c r="F1705">
        <v>207.96</v>
      </c>
      <c r="G1705" t="s">
        <v>19</v>
      </c>
      <c r="H1705" t="s">
        <v>15</v>
      </c>
      <c r="I1705">
        <v>4.0999999999999996</v>
      </c>
      <c r="J1705">
        <v>13</v>
      </c>
      <c r="K1705">
        <v>4</v>
      </c>
      <c r="L1705" s="4">
        <v>239.0344827586207</v>
      </c>
      <c r="M1705" s="4">
        <v>31.07448275862069</v>
      </c>
      <c r="N1705" t="s">
        <v>95</v>
      </c>
    </row>
    <row r="1706" spans="1:14">
      <c r="A1706">
        <v>1705</v>
      </c>
      <c r="B1706">
        <v>35</v>
      </c>
      <c r="C1706" t="s">
        <v>11</v>
      </c>
      <c r="D1706" t="s">
        <v>12</v>
      </c>
      <c r="E1706" t="s">
        <v>50</v>
      </c>
      <c r="F1706">
        <v>63.49</v>
      </c>
      <c r="G1706" t="s">
        <v>24</v>
      </c>
      <c r="H1706" t="s">
        <v>15</v>
      </c>
      <c r="I1706">
        <v>2.2000000000000002</v>
      </c>
      <c r="J1706">
        <v>10</v>
      </c>
      <c r="K1706">
        <v>5</v>
      </c>
      <c r="L1706" s="4">
        <v>70.544444444444451</v>
      </c>
      <c r="M1706" s="4">
        <v>7.0544444444444494</v>
      </c>
      <c r="N1706" t="s">
        <v>92</v>
      </c>
    </row>
    <row r="1707" spans="1:14">
      <c r="A1707">
        <v>1706</v>
      </c>
      <c r="B1707">
        <v>63</v>
      </c>
      <c r="C1707" t="s">
        <v>11</v>
      </c>
      <c r="D1707" t="s">
        <v>33</v>
      </c>
      <c r="E1707" t="s">
        <v>40</v>
      </c>
      <c r="F1707">
        <v>139.55000000000001</v>
      </c>
      <c r="G1707" t="s">
        <v>19</v>
      </c>
      <c r="H1707" t="s">
        <v>15</v>
      </c>
      <c r="I1707">
        <v>4.3</v>
      </c>
      <c r="J1707">
        <v>12</v>
      </c>
      <c r="K1707">
        <v>6</v>
      </c>
      <c r="L1707" s="4">
        <v>158.57954545454547</v>
      </c>
      <c r="M1707" s="4">
        <v>19.029545454545456</v>
      </c>
      <c r="N1707" t="s">
        <v>94</v>
      </c>
    </row>
    <row r="1708" spans="1:14">
      <c r="A1708">
        <v>1707</v>
      </c>
      <c r="B1708">
        <v>38</v>
      </c>
      <c r="C1708" t="s">
        <v>16</v>
      </c>
      <c r="D1708" t="s">
        <v>27</v>
      </c>
      <c r="E1708" t="s">
        <v>49</v>
      </c>
      <c r="F1708">
        <v>2428.09</v>
      </c>
      <c r="G1708" t="s">
        <v>24</v>
      </c>
      <c r="H1708" t="s">
        <v>15</v>
      </c>
      <c r="I1708">
        <v>4.4000000000000004</v>
      </c>
      <c r="J1708">
        <v>22</v>
      </c>
      <c r="K1708">
        <v>6</v>
      </c>
      <c r="L1708" s="4">
        <v>3112.9358974358975</v>
      </c>
      <c r="M1708" s="4">
        <v>684.84589743589731</v>
      </c>
      <c r="N1708" t="s">
        <v>92</v>
      </c>
    </row>
    <row r="1709" spans="1:14">
      <c r="A1709">
        <v>1708</v>
      </c>
      <c r="B1709">
        <v>44</v>
      </c>
      <c r="C1709" t="s">
        <v>11</v>
      </c>
      <c r="D1709" t="s">
        <v>29</v>
      </c>
      <c r="E1709" t="s">
        <v>55</v>
      </c>
      <c r="F1709">
        <v>96.31</v>
      </c>
      <c r="G1709" t="s">
        <v>24</v>
      </c>
      <c r="H1709" t="s">
        <v>15</v>
      </c>
      <c r="I1709">
        <v>3.3</v>
      </c>
      <c r="J1709">
        <v>20</v>
      </c>
      <c r="K1709">
        <v>5</v>
      </c>
      <c r="L1709" s="4">
        <v>120.3875</v>
      </c>
      <c r="M1709" s="4">
        <v>24.077500000000001</v>
      </c>
      <c r="N1709" t="s">
        <v>92</v>
      </c>
    </row>
    <row r="1710" spans="1:14">
      <c r="A1710">
        <v>1709</v>
      </c>
      <c r="B1710">
        <v>67</v>
      </c>
      <c r="C1710" t="s">
        <v>11</v>
      </c>
      <c r="D1710" t="s">
        <v>33</v>
      </c>
      <c r="E1710" t="s">
        <v>34</v>
      </c>
      <c r="F1710">
        <v>161.62</v>
      </c>
      <c r="G1710" t="s">
        <v>14</v>
      </c>
      <c r="H1710" t="s">
        <v>15</v>
      </c>
      <c r="I1710">
        <v>3.6</v>
      </c>
      <c r="J1710">
        <v>18</v>
      </c>
      <c r="K1710">
        <v>4</v>
      </c>
      <c r="L1710" s="4">
        <v>197.09756097560975</v>
      </c>
      <c r="M1710" s="4">
        <v>35.477560975609748</v>
      </c>
      <c r="N1710" t="s">
        <v>95</v>
      </c>
    </row>
    <row r="1711" spans="1:14">
      <c r="A1711">
        <v>1710</v>
      </c>
      <c r="B1711">
        <v>55</v>
      </c>
      <c r="C1711" t="s">
        <v>16</v>
      </c>
      <c r="D1711" t="s">
        <v>17</v>
      </c>
      <c r="E1711" t="s">
        <v>35</v>
      </c>
      <c r="F1711">
        <v>71.430000000000007</v>
      </c>
      <c r="G1711" t="s">
        <v>31</v>
      </c>
      <c r="H1711" t="s">
        <v>37</v>
      </c>
      <c r="I1711">
        <v>4.7</v>
      </c>
      <c r="J1711">
        <v>26</v>
      </c>
      <c r="K1711">
        <v>8</v>
      </c>
      <c r="L1711" s="4">
        <v>96.527027027027032</v>
      </c>
      <c r="M1711" s="4">
        <v>25.097027027027025</v>
      </c>
      <c r="N1711" t="s">
        <v>94</v>
      </c>
    </row>
    <row r="1712" spans="1:14">
      <c r="A1712">
        <v>1711</v>
      </c>
      <c r="B1712">
        <v>29</v>
      </c>
      <c r="C1712" t="s">
        <v>16</v>
      </c>
      <c r="D1712" t="s">
        <v>33</v>
      </c>
      <c r="E1712" t="s">
        <v>40</v>
      </c>
      <c r="F1712">
        <v>208.05</v>
      </c>
      <c r="G1712" t="s">
        <v>14</v>
      </c>
      <c r="H1712" t="s">
        <v>15</v>
      </c>
      <c r="I1712">
        <v>3.3</v>
      </c>
      <c r="J1712">
        <v>13</v>
      </c>
      <c r="K1712">
        <v>4</v>
      </c>
      <c r="L1712" s="4">
        <v>239.13793103448276</v>
      </c>
      <c r="M1712" s="4">
        <v>31.08793103448275</v>
      </c>
      <c r="N1712" t="s">
        <v>91</v>
      </c>
    </row>
    <row r="1713" spans="1:14">
      <c r="A1713">
        <v>1712</v>
      </c>
      <c r="B1713">
        <v>43</v>
      </c>
      <c r="C1713" t="s">
        <v>16</v>
      </c>
      <c r="D1713" t="s">
        <v>17</v>
      </c>
      <c r="E1713" t="s">
        <v>35</v>
      </c>
      <c r="F1713">
        <v>133.51</v>
      </c>
      <c r="G1713" t="s">
        <v>19</v>
      </c>
      <c r="H1713" t="s">
        <v>15</v>
      </c>
      <c r="I1713">
        <v>3.6</v>
      </c>
      <c r="J1713">
        <v>12</v>
      </c>
      <c r="K1713">
        <v>6</v>
      </c>
      <c r="L1713" s="4">
        <v>151.71590909090909</v>
      </c>
      <c r="M1713" s="4">
        <v>18.205909090909103</v>
      </c>
      <c r="N1713" t="s">
        <v>92</v>
      </c>
    </row>
    <row r="1714" spans="1:14">
      <c r="A1714">
        <v>1713</v>
      </c>
      <c r="B1714">
        <v>68</v>
      </c>
      <c r="C1714" t="s">
        <v>11</v>
      </c>
      <c r="D1714" t="s">
        <v>41</v>
      </c>
      <c r="E1714" t="s">
        <v>46</v>
      </c>
      <c r="F1714">
        <v>64.66</v>
      </c>
      <c r="G1714" t="s">
        <v>24</v>
      </c>
      <c r="H1714" t="s">
        <v>37</v>
      </c>
      <c r="I1714">
        <v>3.6</v>
      </c>
      <c r="J1714">
        <v>4</v>
      </c>
      <c r="K1714">
        <v>2</v>
      </c>
      <c r="L1714" s="4">
        <v>67.354166666666671</v>
      </c>
      <c r="M1714" s="4">
        <v>2.6941666666666748</v>
      </c>
      <c r="N1714" t="s">
        <v>95</v>
      </c>
    </row>
    <row r="1715" spans="1:14">
      <c r="A1715">
        <v>1714</v>
      </c>
      <c r="B1715">
        <v>42</v>
      </c>
      <c r="C1715" t="s">
        <v>11</v>
      </c>
      <c r="D1715" t="s">
        <v>25</v>
      </c>
      <c r="E1715" t="s">
        <v>54</v>
      </c>
      <c r="F1715">
        <v>33.18</v>
      </c>
      <c r="G1715" t="s">
        <v>14</v>
      </c>
      <c r="H1715" t="s">
        <v>37</v>
      </c>
      <c r="I1715">
        <v>4.2</v>
      </c>
      <c r="J1715">
        <v>16</v>
      </c>
      <c r="K1715">
        <v>3</v>
      </c>
      <c r="L1715" s="4">
        <v>39.5</v>
      </c>
      <c r="M1715" s="4">
        <v>6.32</v>
      </c>
      <c r="N1715" t="s">
        <v>92</v>
      </c>
    </row>
    <row r="1716" spans="1:14">
      <c r="A1716">
        <v>1715</v>
      </c>
      <c r="B1716">
        <v>66</v>
      </c>
      <c r="C1716" t="s">
        <v>16</v>
      </c>
      <c r="D1716" t="s">
        <v>20</v>
      </c>
      <c r="E1716" t="s">
        <v>36</v>
      </c>
      <c r="F1716">
        <v>53.42</v>
      </c>
      <c r="G1716" t="s">
        <v>24</v>
      </c>
      <c r="H1716" t="s">
        <v>15</v>
      </c>
      <c r="I1716">
        <v>5</v>
      </c>
      <c r="J1716">
        <v>13</v>
      </c>
      <c r="K1716">
        <v>4</v>
      </c>
      <c r="L1716" s="4">
        <v>61.402298850574716</v>
      </c>
      <c r="M1716" s="4">
        <v>7.9822988505747148</v>
      </c>
      <c r="N1716" t="s">
        <v>95</v>
      </c>
    </row>
    <row r="1717" spans="1:14">
      <c r="A1717">
        <v>1716</v>
      </c>
      <c r="B1717">
        <v>40</v>
      </c>
      <c r="C1717" t="s">
        <v>16</v>
      </c>
      <c r="D1717" t="s">
        <v>25</v>
      </c>
      <c r="E1717" t="s">
        <v>57</v>
      </c>
      <c r="F1717">
        <v>34.409999999999997</v>
      </c>
      <c r="G1717" t="s">
        <v>19</v>
      </c>
      <c r="H1717" t="s">
        <v>15</v>
      </c>
      <c r="I1717">
        <v>3.3</v>
      </c>
      <c r="J1717">
        <v>17</v>
      </c>
      <c r="K1717">
        <v>6</v>
      </c>
      <c r="L1717" s="4">
        <v>41.4578313253012</v>
      </c>
      <c r="M1717" s="4">
        <v>7.0478313253012033</v>
      </c>
      <c r="N1717" t="s">
        <v>92</v>
      </c>
    </row>
    <row r="1718" spans="1:14">
      <c r="A1718">
        <v>1717</v>
      </c>
      <c r="B1718">
        <v>46</v>
      </c>
      <c r="C1718" t="s">
        <v>16</v>
      </c>
      <c r="D1718" t="s">
        <v>27</v>
      </c>
      <c r="E1718" t="s">
        <v>49</v>
      </c>
      <c r="F1718">
        <v>887.32</v>
      </c>
      <c r="G1718" t="s">
        <v>14</v>
      </c>
      <c r="H1718" t="s">
        <v>15</v>
      </c>
      <c r="I1718">
        <v>3.8</v>
      </c>
      <c r="J1718">
        <v>18</v>
      </c>
      <c r="K1718">
        <v>4</v>
      </c>
      <c r="L1718" s="4">
        <v>1082.0975609756097</v>
      </c>
      <c r="M1718" s="4">
        <v>194.77756097560962</v>
      </c>
      <c r="N1718" t="s">
        <v>93</v>
      </c>
    </row>
    <row r="1719" spans="1:14">
      <c r="A1719">
        <v>1718</v>
      </c>
      <c r="B1719">
        <v>40</v>
      </c>
      <c r="C1719" t="s">
        <v>16</v>
      </c>
      <c r="D1719" t="s">
        <v>20</v>
      </c>
      <c r="E1719" t="s">
        <v>21</v>
      </c>
      <c r="F1719">
        <v>225.57</v>
      </c>
      <c r="G1719" t="s">
        <v>24</v>
      </c>
      <c r="H1719" t="s">
        <v>15</v>
      </c>
      <c r="I1719">
        <v>5</v>
      </c>
      <c r="J1719">
        <v>17</v>
      </c>
      <c r="K1719">
        <v>6</v>
      </c>
      <c r="L1719" s="4">
        <v>271.77108433734941</v>
      </c>
      <c r="M1719" s="4">
        <v>46.201084337349414</v>
      </c>
      <c r="N1719" t="s">
        <v>92</v>
      </c>
    </row>
    <row r="1720" spans="1:14">
      <c r="A1720">
        <v>1719</v>
      </c>
      <c r="B1720">
        <v>63</v>
      </c>
      <c r="C1720" t="s">
        <v>16</v>
      </c>
      <c r="D1720" t="s">
        <v>25</v>
      </c>
      <c r="E1720" t="s">
        <v>26</v>
      </c>
      <c r="F1720">
        <v>24.77</v>
      </c>
      <c r="G1720" t="s">
        <v>24</v>
      </c>
      <c r="H1720" t="s">
        <v>37</v>
      </c>
      <c r="I1720">
        <v>4</v>
      </c>
      <c r="J1720">
        <v>13</v>
      </c>
      <c r="K1720">
        <v>4</v>
      </c>
      <c r="L1720" s="4">
        <v>28.47126436781609</v>
      </c>
      <c r="M1720" s="4">
        <v>3.7012643678160906</v>
      </c>
      <c r="N1720" t="s">
        <v>94</v>
      </c>
    </row>
    <row r="1721" spans="1:14">
      <c r="A1721">
        <v>1720</v>
      </c>
      <c r="B1721">
        <v>43</v>
      </c>
      <c r="C1721" t="s">
        <v>11</v>
      </c>
      <c r="D1721" t="s">
        <v>29</v>
      </c>
      <c r="E1721" t="s">
        <v>51</v>
      </c>
      <c r="F1721">
        <v>74.94</v>
      </c>
      <c r="G1721" t="s">
        <v>24</v>
      </c>
      <c r="H1721" t="s">
        <v>15</v>
      </c>
      <c r="I1721">
        <v>4.5</v>
      </c>
      <c r="J1721">
        <v>14</v>
      </c>
      <c r="K1721">
        <v>7</v>
      </c>
      <c r="L1721" s="4">
        <v>87.139534883720927</v>
      </c>
      <c r="M1721" s="4">
        <v>12.199534883720929</v>
      </c>
      <c r="N1721" t="s">
        <v>92</v>
      </c>
    </row>
    <row r="1722" spans="1:14">
      <c r="A1722">
        <v>1721</v>
      </c>
      <c r="B1722">
        <v>60</v>
      </c>
      <c r="C1722" t="s">
        <v>11</v>
      </c>
      <c r="D1722" t="s">
        <v>20</v>
      </c>
      <c r="E1722" t="s">
        <v>36</v>
      </c>
      <c r="F1722">
        <v>154.94999999999999</v>
      </c>
      <c r="G1722" t="s">
        <v>31</v>
      </c>
      <c r="H1722" t="s">
        <v>15</v>
      </c>
      <c r="I1722">
        <v>2.8</v>
      </c>
      <c r="J1722">
        <v>15</v>
      </c>
      <c r="K1722">
        <v>5</v>
      </c>
      <c r="L1722" s="4">
        <v>182.29411764705881</v>
      </c>
      <c r="M1722" s="4">
        <v>27.344117647058823</v>
      </c>
      <c r="N1722" t="s">
        <v>94</v>
      </c>
    </row>
    <row r="1723" spans="1:14">
      <c r="A1723">
        <v>1722</v>
      </c>
      <c r="B1723">
        <v>66</v>
      </c>
      <c r="C1723" t="s">
        <v>11</v>
      </c>
      <c r="D1723" t="s">
        <v>41</v>
      </c>
      <c r="E1723" t="s">
        <v>44</v>
      </c>
      <c r="F1723">
        <v>182.06</v>
      </c>
      <c r="G1723" t="s">
        <v>19</v>
      </c>
      <c r="H1723" t="s">
        <v>15</v>
      </c>
      <c r="I1723">
        <v>3.5</v>
      </c>
      <c r="J1723">
        <v>14</v>
      </c>
      <c r="K1723">
        <v>7</v>
      </c>
      <c r="L1723" s="4">
        <v>211.69767441860466</v>
      </c>
      <c r="M1723" s="4">
        <v>29.637674418604661</v>
      </c>
      <c r="N1723" t="s">
        <v>95</v>
      </c>
    </row>
    <row r="1724" spans="1:14">
      <c r="A1724">
        <v>1723</v>
      </c>
      <c r="B1724">
        <v>28</v>
      </c>
      <c r="C1724" t="s">
        <v>11</v>
      </c>
      <c r="D1724" t="s">
        <v>29</v>
      </c>
      <c r="E1724" t="s">
        <v>30</v>
      </c>
      <c r="F1724">
        <v>102.87</v>
      </c>
      <c r="G1724" t="s">
        <v>14</v>
      </c>
      <c r="H1724" t="s">
        <v>15</v>
      </c>
      <c r="I1724">
        <v>3.6</v>
      </c>
      <c r="J1724">
        <v>22</v>
      </c>
      <c r="K1724">
        <v>6</v>
      </c>
      <c r="L1724" s="4">
        <v>131.88461538461539</v>
      </c>
      <c r="M1724" s="4">
        <v>29.014615384615382</v>
      </c>
      <c r="N1724" t="s">
        <v>91</v>
      </c>
    </row>
    <row r="1725" spans="1:14">
      <c r="A1725">
        <v>1724</v>
      </c>
      <c r="B1725">
        <v>68</v>
      </c>
      <c r="C1725" t="s">
        <v>11</v>
      </c>
      <c r="D1725" t="s">
        <v>33</v>
      </c>
      <c r="E1725" t="s">
        <v>38</v>
      </c>
      <c r="F1725">
        <v>246.27</v>
      </c>
      <c r="G1725" t="s">
        <v>24</v>
      </c>
      <c r="H1725" t="s">
        <v>15</v>
      </c>
      <c r="I1725">
        <v>4.7</v>
      </c>
      <c r="J1725">
        <v>17</v>
      </c>
      <c r="K1725">
        <v>6</v>
      </c>
      <c r="L1725" s="4">
        <v>296.71084337349401</v>
      </c>
      <c r="M1725" s="4">
        <v>50.440843373494005</v>
      </c>
      <c r="N1725" t="s">
        <v>95</v>
      </c>
    </row>
    <row r="1726" spans="1:14">
      <c r="A1726">
        <v>1725</v>
      </c>
      <c r="B1726">
        <v>48</v>
      </c>
      <c r="C1726" t="s">
        <v>16</v>
      </c>
      <c r="D1726" t="s">
        <v>17</v>
      </c>
      <c r="E1726" t="s">
        <v>18</v>
      </c>
      <c r="F1726">
        <v>91.82</v>
      </c>
      <c r="G1726" t="s">
        <v>14</v>
      </c>
      <c r="H1726" t="s">
        <v>37</v>
      </c>
      <c r="I1726">
        <v>4.2</v>
      </c>
      <c r="J1726">
        <v>21</v>
      </c>
      <c r="K1726">
        <v>8</v>
      </c>
      <c r="L1726" s="4">
        <v>116.22784810126581</v>
      </c>
      <c r="M1726" s="4">
        <v>24.407848101265813</v>
      </c>
      <c r="N1726" t="s">
        <v>93</v>
      </c>
    </row>
    <row r="1727" spans="1:14">
      <c r="A1727">
        <v>1726</v>
      </c>
      <c r="B1727">
        <v>21</v>
      </c>
      <c r="C1727" t="s">
        <v>11</v>
      </c>
      <c r="D1727" t="s">
        <v>29</v>
      </c>
      <c r="E1727" t="s">
        <v>51</v>
      </c>
      <c r="F1727">
        <v>34.909999999999997</v>
      </c>
      <c r="G1727" t="s">
        <v>14</v>
      </c>
      <c r="H1727" t="s">
        <v>15</v>
      </c>
      <c r="I1727">
        <v>4.0999999999999996</v>
      </c>
      <c r="J1727">
        <v>16</v>
      </c>
      <c r="K1727">
        <v>3</v>
      </c>
      <c r="L1727" s="4">
        <v>41.55952380952381</v>
      </c>
      <c r="M1727" s="4">
        <v>6.6495238095238136</v>
      </c>
      <c r="N1727" t="s">
        <v>100</v>
      </c>
    </row>
    <row r="1728" spans="1:14">
      <c r="A1728">
        <v>1727</v>
      </c>
      <c r="B1728">
        <v>22</v>
      </c>
      <c r="C1728" t="s">
        <v>16</v>
      </c>
      <c r="D1728" t="s">
        <v>27</v>
      </c>
      <c r="E1728" t="s">
        <v>49</v>
      </c>
      <c r="F1728">
        <v>2921.73</v>
      </c>
      <c r="G1728" t="s">
        <v>19</v>
      </c>
      <c r="H1728" t="s">
        <v>15</v>
      </c>
      <c r="I1728">
        <v>4.4000000000000004</v>
      </c>
      <c r="J1728">
        <v>11</v>
      </c>
      <c r="K1728">
        <v>3</v>
      </c>
      <c r="L1728" s="4">
        <v>3282.8426966292136</v>
      </c>
      <c r="M1728" s="4">
        <v>361.11269662921359</v>
      </c>
      <c r="N1728" t="s">
        <v>100</v>
      </c>
    </row>
    <row r="1729" spans="1:14">
      <c r="A1729">
        <v>1728</v>
      </c>
      <c r="B1729">
        <v>20</v>
      </c>
      <c r="C1729" t="s">
        <v>11</v>
      </c>
      <c r="D1729" t="s">
        <v>12</v>
      </c>
      <c r="E1729" t="s">
        <v>13</v>
      </c>
      <c r="F1729">
        <v>141.9</v>
      </c>
      <c r="G1729" t="s">
        <v>24</v>
      </c>
      <c r="H1729" t="s">
        <v>15</v>
      </c>
      <c r="I1729">
        <v>3.4</v>
      </c>
      <c r="J1729">
        <v>11</v>
      </c>
      <c r="K1729">
        <v>3</v>
      </c>
      <c r="L1729" s="4">
        <v>159.43820224719101</v>
      </c>
      <c r="M1729" s="4">
        <v>17.538202247191009</v>
      </c>
      <c r="N1729" t="s">
        <v>100</v>
      </c>
    </row>
    <row r="1730" spans="1:14">
      <c r="A1730">
        <v>1729</v>
      </c>
      <c r="B1730">
        <v>64</v>
      </c>
      <c r="C1730" t="s">
        <v>11</v>
      </c>
      <c r="D1730" t="s">
        <v>12</v>
      </c>
      <c r="E1730" t="s">
        <v>56</v>
      </c>
      <c r="F1730">
        <v>95.27</v>
      </c>
      <c r="G1730" t="s">
        <v>19</v>
      </c>
      <c r="H1730" t="s">
        <v>15</v>
      </c>
      <c r="I1730">
        <v>4.5999999999999996</v>
      </c>
      <c r="J1730">
        <v>24</v>
      </c>
      <c r="K1730">
        <v>7</v>
      </c>
      <c r="L1730" s="4">
        <v>125.35526315789473</v>
      </c>
      <c r="M1730" s="4">
        <v>30.08526315789473</v>
      </c>
      <c r="N1730" t="s">
        <v>94</v>
      </c>
    </row>
    <row r="1731" spans="1:14">
      <c r="A1731">
        <v>1730</v>
      </c>
      <c r="B1731">
        <v>43</v>
      </c>
      <c r="C1731" t="s">
        <v>11</v>
      </c>
      <c r="D1731" t="s">
        <v>12</v>
      </c>
      <c r="E1731" t="s">
        <v>56</v>
      </c>
      <c r="F1731">
        <v>26.57</v>
      </c>
      <c r="G1731" t="s">
        <v>31</v>
      </c>
      <c r="H1731" t="s">
        <v>37</v>
      </c>
      <c r="I1731">
        <v>3.8</v>
      </c>
      <c r="J1731">
        <v>22</v>
      </c>
      <c r="K1731">
        <v>6</v>
      </c>
      <c r="L1731" s="4">
        <v>34.064102564102562</v>
      </c>
      <c r="M1731" s="4">
        <v>7.4941025641025618</v>
      </c>
      <c r="N1731" t="s">
        <v>92</v>
      </c>
    </row>
    <row r="1732" spans="1:14">
      <c r="A1732">
        <v>1731</v>
      </c>
      <c r="B1732">
        <v>41</v>
      </c>
      <c r="C1732" t="s">
        <v>11</v>
      </c>
      <c r="D1732" t="s">
        <v>33</v>
      </c>
      <c r="E1732" t="s">
        <v>40</v>
      </c>
      <c r="F1732">
        <v>232.67</v>
      </c>
      <c r="G1732" t="s">
        <v>24</v>
      </c>
      <c r="H1732" t="s">
        <v>15</v>
      </c>
      <c r="I1732">
        <v>4.3</v>
      </c>
      <c r="J1732">
        <v>20</v>
      </c>
      <c r="K1732">
        <v>5</v>
      </c>
      <c r="L1732" s="4">
        <v>290.83749999999998</v>
      </c>
      <c r="M1732" s="4">
        <v>58.16749999999999</v>
      </c>
      <c r="N1732" t="s">
        <v>92</v>
      </c>
    </row>
    <row r="1733" spans="1:14">
      <c r="A1733">
        <v>1732</v>
      </c>
      <c r="B1733">
        <v>37</v>
      </c>
      <c r="C1733" t="s">
        <v>16</v>
      </c>
      <c r="D1733" t="s">
        <v>17</v>
      </c>
      <c r="E1733" t="s">
        <v>48</v>
      </c>
      <c r="F1733">
        <v>144.66999999999999</v>
      </c>
      <c r="G1733" t="s">
        <v>24</v>
      </c>
      <c r="H1733" t="s">
        <v>15</v>
      </c>
      <c r="I1733">
        <v>5</v>
      </c>
      <c r="J1733">
        <v>10</v>
      </c>
      <c r="K1733">
        <v>5</v>
      </c>
      <c r="L1733" s="4">
        <v>160.74444444444444</v>
      </c>
      <c r="M1733" s="4">
        <v>16.074444444444453</v>
      </c>
      <c r="N1733" t="s">
        <v>92</v>
      </c>
    </row>
    <row r="1734" spans="1:14">
      <c r="A1734">
        <v>1733</v>
      </c>
      <c r="B1734">
        <v>37</v>
      </c>
      <c r="C1734" t="s">
        <v>16</v>
      </c>
      <c r="D1734" t="s">
        <v>20</v>
      </c>
      <c r="E1734" t="s">
        <v>21</v>
      </c>
      <c r="F1734">
        <v>38.82</v>
      </c>
      <c r="G1734" t="s">
        <v>31</v>
      </c>
      <c r="H1734" t="s">
        <v>37</v>
      </c>
      <c r="I1734">
        <v>3.8</v>
      </c>
      <c r="J1734">
        <v>22</v>
      </c>
      <c r="K1734">
        <v>6</v>
      </c>
      <c r="L1734" s="4">
        <v>49.769230769230766</v>
      </c>
      <c r="M1734" s="4">
        <v>10.949230769230766</v>
      </c>
      <c r="N1734" t="s">
        <v>92</v>
      </c>
    </row>
    <row r="1735" spans="1:14">
      <c r="A1735">
        <v>1734</v>
      </c>
      <c r="B1735">
        <v>52</v>
      </c>
      <c r="C1735" t="s">
        <v>16</v>
      </c>
      <c r="D1735" t="s">
        <v>17</v>
      </c>
      <c r="E1735" t="s">
        <v>48</v>
      </c>
      <c r="F1735">
        <v>165.6</v>
      </c>
      <c r="G1735" t="s">
        <v>19</v>
      </c>
      <c r="H1735" t="s">
        <v>15</v>
      </c>
      <c r="I1735">
        <v>4.2</v>
      </c>
      <c r="J1735">
        <v>8</v>
      </c>
      <c r="K1735">
        <v>4</v>
      </c>
      <c r="L1735" s="4">
        <v>180</v>
      </c>
      <c r="M1735" s="4">
        <v>14.400000000000006</v>
      </c>
      <c r="N1735" t="s">
        <v>93</v>
      </c>
    </row>
    <row r="1736" spans="1:14">
      <c r="A1736">
        <v>1735</v>
      </c>
      <c r="B1736">
        <v>29</v>
      </c>
      <c r="C1736" t="s">
        <v>16</v>
      </c>
      <c r="D1736" t="s">
        <v>20</v>
      </c>
      <c r="E1736" t="s">
        <v>36</v>
      </c>
      <c r="F1736">
        <v>89.4</v>
      </c>
      <c r="G1736" t="s">
        <v>19</v>
      </c>
      <c r="H1736" t="s">
        <v>15</v>
      </c>
      <c r="I1736">
        <v>4.8</v>
      </c>
      <c r="J1736">
        <v>15</v>
      </c>
      <c r="K1736">
        <v>5</v>
      </c>
      <c r="L1736" s="4">
        <v>105.1764705882353</v>
      </c>
      <c r="M1736" s="4">
        <v>15.776470588235298</v>
      </c>
      <c r="N1736" t="s">
        <v>91</v>
      </c>
    </row>
    <row r="1737" spans="1:14">
      <c r="A1737">
        <v>1736</v>
      </c>
      <c r="B1737">
        <v>61</v>
      </c>
      <c r="C1737" t="s">
        <v>11</v>
      </c>
      <c r="D1737" t="s">
        <v>41</v>
      </c>
      <c r="E1737" t="s">
        <v>44</v>
      </c>
      <c r="F1737">
        <v>55.18</v>
      </c>
      <c r="G1737" t="s">
        <v>24</v>
      </c>
      <c r="H1737" t="s">
        <v>37</v>
      </c>
      <c r="I1737">
        <v>3.9</v>
      </c>
      <c r="J1737">
        <v>13</v>
      </c>
      <c r="K1737">
        <v>4</v>
      </c>
      <c r="L1737" s="4">
        <v>63.425287356321839</v>
      </c>
      <c r="M1737" s="4">
        <v>8.245287356321839</v>
      </c>
      <c r="N1737" t="s">
        <v>94</v>
      </c>
    </row>
    <row r="1738" spans="1:14">
      <c r="A1738">
        <v>1737</v>
      </c>
      <c r="B1738">
        <v>27</v>
      </c>
      <c r="C1738" t="s">
        <v>16</v>
      </c>
      <c r="D1738" t="s">
        <v>27</v>
      </c>
      <c r="E1738" t="s">
        <v>49</v>
      </c>
      <c r="F1738">
        <v>2194.8200000000002</v>
      </c>
      <c r="G1738" t="s">
        <v>14</v>
      </c>
      <c r="H1738" t="s">
        <v>15</v>
      </c>
      <c r="I1738">
        <v>4.2</v>
      </c>
      <c r="J1738">
        <v>24</v>
      </c>
      <c r="K1738">
        <v>7</v>
      </c>
      <c r="L1738" s="4">
        <v>2887.9210526315792</v>
      </c>
      <c r="M1738" s="4">
        <v>693.10105263157902</v>
      </c>
      <c r="N1738" t="s">
        <v>91</v>
      </c>
    </row>
    <row r="1739" spans="1:14">
      <c r="A1739">
        <v>1738</v>
      </c>
      <c r="B1739">
        <v>69</v>
      </c>
      <c r="C1739" t="s">
        <v>11</v>
      </c>
      <c r="D1739" t="s">
        <v>41</v>
      </c>
      <c r="E1739" t="s">
        <v>45</v>
      </c>
      <c r="F1739">
        <v>149.44</v>
      </c>
      <c r="G1739" t="s">
        <v>14</v>
      </c>
      <c r="H1739" t="s">
        <v>15</v>
      </c>
      <c r="I1739">
        <v>4.0999999999999996</v>
      </c>
      <c r="J1739">
        <v>10</v>
      </c>
      <c r="K1739">
        <v>5</v>
      </c>
      <c r="L1739" s="4">
        <v>166.04444444444445</v>
      </c>
      <c r="M1739" s="4">
        <v>16.604444444444454</v>
      </c>
      <c r="N1739" t="s">
        <v>95</v>
      </c>
    </row>
    <row r="1740" spans="1:14">
      <c r="A1740">
        <v>1739</v>
      </c>
      <c r="B1740">
        <v>53</v>
      </c>
      <c r="C1740" t="s">
        <v>16</v>
      </c>
      <c r="D1740" t="s">
        <v>17</v>
      </c>
      <c r="E1740" t="s">
        <v>48</v>
      </c>
      <c r="F1740">
        <v>181.37</v>
      </c>
      <c r="G1740" t="s">
        <v>14</v>
      </c>
      <c r="H1740" t="s">
        <v>15</v>
      </c>
      <c r="I1740">
        <v>4</v>
      </c>
      <c r="J1740">
        <v>20</v>
      </c>
      <c r="K1740">
        <v>5</v>
      </c>
      <c r="L1740" s="4">
        <v>226.71250000000001</v>
      </c>
      <c r="M1740" s="4">
        <v>45.342500000000001</v>
      </c>
      <c r="N1740" t="s">
        <v>93</v>
      </c>
    </row>
    <row r="1741" spans="1:14">
      <c r="A1741">
        <v>1740</v>
      </c>
      <c r="B1741">
        <v>42</v>
      </c>
      <c r="C1741" t="s">
        <v>16</v>
      </c>
      <c r="D1741" t="s">
        <v>20</v>
      </c>
      <c r="E1741" t="s">
        <v>36</v>
      </c>
      <c r="F1741">
        <v>65.55</v>
      </c>
      <c r="G1741" t="s">
        <v>31</v>
      </c>
      <c r="H1741" t="s">
        <v>37</v>
      </c>
      <c r="I1741">
        <v>4</v>
      </c>
      <c r="J1741">
        <v>8</v>
      </c>
      <c r="K1741">
        <v>4</v>
      </c>
      <c r="L1741" s="4">
        <v>71.25</v>
      </c>
      <c r="M1741" s="4">
        <v>5.7000000000000028</v>
      </c>
      <c r="N1741" t="s">
        <v>92</v>
      </c>
    </row>
    <row r="1742" spans="1:14">
      <c r="A1742">
        <v>1741</v>
      </c>
      <c r="B1742">
        <v>40</v>
      </c>
      <c r="C1742" t="s">
        <v>11</v>
      </c>
      <c r="D1742" t="s">
        <v>29</v>
      </c>
      <c r="E1742" t="s">
        <v>30</v>
      </c>
      <c r="F1742">
        <v>60.6</v>
      </c>
      <c r="G1742" t="s">
        <v>24</v>
      </c>
      <c r="H1742" t="s">
        <v>15</v>
      </c>
      <c r="I1742">
        <v>4.5</v>
      </c>
      <c r="J1742">
        <v>15</v>
      </c>
      <c r="K1742">
        <v>5</v>
      </c>
      <c r="L1742" s="4">
        <v>71.294117647058826</v>
      </c>
      <c r="M1742" s="4">
        <v>10.694117647058825</v>
      </c>
      <c r="N1742" t="s">
        <v>92</v>
      </c>
    </row>
    <row r="1743" spans="1:14">
      <c r="A1743">
        <v>1742</v>
      </c>
      <c r="B1743">
        <v>45</v>
      </c>
      <c r="C1743" t="s">
        <v>11</v>
      </c>
      <c r="D1743" t="s">
        <v>41</v>
      </c>
      <c r="E1743" t="s">
        <v>45</v>
      </c>
      <c r="F1743">
        <v>87.8</v>
      </c>
      <c r="G1743" t="s">
        <v>14</v>
      </c>
      <c r="H1743" t="s">
        <v>37</v>
      </c>
      <c r="I1743">
        <v>4.7</v>
      </c>
      <c r="J1743">
        <v>21</v>
      </c>
      <c r="K1743">
        <v>8</v>
      </c>
      <c r="L1743" s="4">
        <v>111.1392405063291</v>
      </c>
      <c r="M1743" s="4">
        <v>23.339240506329105</v>
      </c>
      <c r="N1743" t="s">
        <v>93</v>
      </c>
    </row>
    <row r="1744" spans="1:14">
      <c r="A1744">
        <v>1743</v>
      </c>
      <c r="B1744">
        <v>37</v>
      </c>
      <c r="C1744" t="s">
        <v>16</v>
      </c>
      <c r="D1744" t="s">
        <v>20</v>
      </c>
      <c r="E1744" t="s">
        <v>36</v>
      </c>
      <c r="F1744">
        <v>223.54</v>
      </c>
      <c r="G1744" t="s">
        <v>14</v>
      </c>
      <c r="H1744" t="s">
        <v>15</v>
      </c>
      <c r="I1744">
        <v>3.7</v>
      </c>
      <c r="J1744">
        <v>15</v>
      </c>
      <c r="K1744">
        <v>5</v>
      </c>
      <c r="L1744" s="4">
        <v>262.98823529411766</v>
      </c>
      <c r="M1744" s="4">
        <v>39.448235294117666</v>
      </c>
      <c r="N1744" t="s">
        <v>92</v>
      </c>
    </row>
    <row r="1745" spans="1:14">
      <c r="A1745">
        <v>1744</v>
      </c>
      <c r="B1745">
        <v>27</v>
      </c>
      <c r="C1745" t="s">
        <v>11</v>
      </c>
      <c r="D1745" t="s">
        <v>12</v>
      </c>
      <c r="E1745" t="s">
        <v>50</v>
      </c>
      <c r="F1745">
        <v>113.9</v>
      </c>
      <c r="G1745" t="s">
        <v>19</v>
      </c>
      <c r="H1745" t="s">
        <v>15</v>
      </c>
      <c r="I1745">
        <v>4.5</v>
      </c>
      <c r="J1745">
        <v>8</v>
      </c>
      <c r="K1745">
        <v>4</v>
      </c>
      <c r="L1745" s="4">
        <v>123.80434782608695</v>
      </c>
      <c r="M1745" s="4">
        <v>9.9043478260869477</v>
      </c>
      <c r="N1745" t="s">
        <v>91</v>
      </c>
    </row>
    <row r="1746" spans="1:14">
      <c r="A1746">
        <v>1745</v>
      </c>
      <c r="B1746">
        <v>51</v>
      </c>
      <c r="C1746" t="s">
        <v>16</v>
      </c>
      <c r="D1746" t="s">
        <v>25</v>
      </c>
      <c r="E1746" t="s">
        <v>47</v>
      </c>
      <c r="F1746">
        <v>47.16</v>
      </c>
      <c r="G1746" t="s">
        <v>24</v>
      </c>
      <c r="H1746" t="s">
        <v>15</v>
      </c>
      <c r="I1746">
        <v>5</v>
      </c>
      <c r="J1746">
        <v>32</v>
      </c>
      <c r="K1746">
        <v>11</v>
      </c>
      <c r="L1746" s="4">
        <v>69.352941176470594</v>
      </c>
      <c r="M1746" s="4">
        <v>22.192941176470597</v>
      </c>
      <c r="N1746" t="s">
        <v>93</v>
      </c>
    </row>
    <row r="1747" spans="1:14">
      <c r="A1747">
        <v>1746</v>
      </c>
      <c r="B1747">
        <v>60</v>
      </c>
      <c r="C1747" t="s">
        <v>16</v>
      </c>
      <c r="D1747" t="s">
        <v>27</v>
      </c>
      <c r="E1747" t="s">
        <v>32</v>
      </c>
      <c r="F1747">
        <v>2140.91</v>
      </c>
      <c r="G1747" t="s">
        <v>19</v>
      </c>
      <c r="H1747" t="s">
        <v>15</v>
      </c>
      <c r="I1747">
        <v>3.7</v>
      </c>
      <c r="J1747">
        <v>14</v>
      </c>
      <c r="K1747">
        <v>7</v>
      </c>
      <c r="L1747" s="4">
        <v>2489.4302325581393</v>
      </c>
      <c r="M1747" s="4">
        <v>348.52023255813947</v>
      </c>
      <c r="N1747" t="s">
        <v>94</v>
      </c>
    </row>
    <row r="1748" spans="1:14">
      <c r="A1748">
        <v>1747</v>
      </c>
      <c r="B1748">
        <v>39</v>
      </c>
      <c r="C1748" t="s">
        <v>11</v>
      </c>
      <c r="D1748" t="s">
        <v>29</v>
      </c>
      <c r="E1748" t="s">
        <v>51</v>
      </c>
      <c r="F1748">
        <v>114.5</v>
      </c>
      <c r="G1748" t="s">
        <v>14</v>
      </c>
      <c r="H1748" t="s">
        <v>15</v>
      </c>
      <c r="I1748">
        <v>2.6</v>
      </c>
      <c r="J1748">
        <v>7</v>
      </c>
      <c r="K1748">
        <v>1</v>
      </c>
      <c r="L1748" s="4">
        <v>123.11827956989248</v>
      </c>
      <c r="M1748" s="4">
        <v>8.6182795698924792</v>
      </c>
      <c r="N1748" t="s">
        <v>92</v>
      </c>
    </row>
    <row r="1749" spans="1:14">
      <c r="A1749">
        <v>1748</v>
      </c>
      <c r="B1749">
        <v>38</v>
      </c>
      <c r="C1749" t="s">
        <v>16</v>
      </c>
      <c r="D1749" t="s">
        <v>27</v>
      </c>
      <c r="E1749" t="s">
        <v>32</v>
      </c>
      <c r="F1749">
        <v>1304.49</v>
      </c>
      <c r="G1749" t="s">
        <v>24</v>
      </c>
      <c r="H1749" t="s">
        <v>15</v>
      </c>
      <c r="I1749">
        <v>3.5</v>
      </c>
      <c r="J1749">
        <v>12</v>
      </c>
      <c r="K1749">
        <v>6</v>
      </c>
      <c r="L1749" s="4">
        <v>1482.375</v>
      </c>
      <c r="M1749" s="4">
        <v>177.88499999999999</v>
      </c>
      <c r="N1749" t="s">
        <v>92</v>
      </c>
    </row>
    <row r="1750" spans="1:14">
      <c r="A1750">
        <v>1749</v>
      </c>
      <c r="B1750">
        <v>58</v>
      </c>
      <c r="C1750" t="s">
        <v>16</v>
      </c>
      <c r="D1750" t="s">
        <v>17</v>
      </c>
      <c r="E1750" t="s">
        <v>48</v>
      </c>
      <c r="F1750">
        <v>99.6</v>
      </c>
      <c r="G1750" t="s">
        <v>19</v>
      </c>
      <c r="H1750" t="s">
        <v>37</v>
      </c>
      <c r="I1750">
        <v>4.2</v>
      </c>
      <c r="J1750">
        <v>12</v>
      </c>
      <c r="K1750">
        <v>6</v>
      </c>
      <c r="L1750" s="4">
        <v>113.18181818181817</v>
      </c>
      <c r="M1750" s="4">
        <v>13.581818181818178</v>
      </c>
      <c r="N1750" t="s">
        <v>94</v>
      </c>
    </row>
    <row r="1751" spans="1:14">
      <c r="A1751">
        <v>1750</v>
      </c>
      <c r="B1751">
        <v>24</v>
      </c>
      <c r="C1751" t="s">
        <v>16</v>
      </c>
      <c r="D1751" t="s">
        <v>27</v>
      </c>
      <c r="E1751" t="s">
        <v>53</v>
      </c>
      <c r="F1751">
        <v>1953.51</v>
      </c>
      <c r="G1751" t="s">
        <v>14</v>
      </c>
      <c r="H1751" t="s">
        <v>15</v>
      </c>
      <c r="I1751">
        <v>4.9000000000000004</v>
      </c>
      <c r="J1751">
        <v>16</v>
      </c>
      <c r="K1751">
        <v>8</v>
      </c>
      <c r="L1751" s="4">
        <v>2325.6071428571431</v>
      </c>
      <c r="M1751" s="4">
        <v>372.09714285714313</v>
      </c>
      <c r="N1751" t="s">
        <v>100</v>
      </c>
    </row>
    <row r="1752" spans="1:14">
      <c r="A1752">
        <v>1751</v>
      </c>
      <c r="B1752">
        <v>22</v>
      </c>
      <c r="C1752" t="s">
        <v>16</v>
      </c>
      <c r="D1752" t="s">
        <v>17</v>
      </c>
      <c r="E1752" t="s">
        <v>35</v>
      </c>
      <c r="F1752">
        <v>143.30000000000001</v>
      </c>
      <c r="G1752" t="s">
        <v>24</v>
      </c>
      <c r="H1752" t="s">
        <v>15</v>
      </c>
      <c r="I1752">
        <v>3.8</v>
      </c>
      <c r="J1752">
        <v>13</v>
      </c>
      <c r="K1752">
        <v>4</v>
      </c>
      <c r="L1752" s="4">
        <v>164.71264367816093</v>
      </c>
      <c r="M1752" s="4">
        <v>21.412643678160919</v>
      </c>
      <c r="N1752" t="s">
        <v>100</v>
      </c>
    </row>
    <row r="1753" spans="1:14">
      <c r="A1753">
        <v>1752</v>
      </c>
      <c r="B1753">
        <v>56</v>
      </c>
      <c r="C1753" t="s">
        <v>11</v>
      </c>
      <c r="D1753" t="s">
        <v>12</v>
      </c>
      <c r="E1753" t="s">
        <v>50</v>
      </c>
      <c r="F1753">
        <v>48.36</v>
      </c>
      <c r="G1753" t="s">
        <v>14</v>
      </c>
      <c r="H1753" t="s">
        <v>15</v>
      </c>
      <c r="I1753">
        <v>3.4</v>
      </c>
      <c r="J1753">
        <v>17</v>
      </c>
      <c r="K1753">
        <v>6</v>
      </c>
      <c r="L1753" s="4">
        <v>58.265060240963855</v>
      </c>
      <c r="M1753" s="4">
        <v>9.9050602409638557</v>
      </c>
      <c r="N1753" t="s">
        <v>94</v>
      </c>
    </row>
    <row r="1754" spans="1:14">
      <c r="A1754">
        <v>1753</v>
      </c>
      <c r="B1754">
        <v>68</v>
      </c>
      <c r="C1754" t="s">
        <v>16</v>
      </c>
      <c r="D1754" t="s">
        <v>27</v>
      </c>
      <c r="E1754" t="s">
        <v>49</v>
      </c>
      <c r="F1754">
        <v>566.58000000000004</v>
      </c>
      <c r="G1754" t="s">
        <v>31</v>
      </c>
      <c r="H1754" t="s">
        <v>15</v>
      </c>
      <c r="I1754">
        <v>3.2</v>
      </c>
      <c r="J1754">
        <v>11</v>
      </c>
      <c r="K1754">
        <v>3</v>
      </c>
      <c r="L1754" s="4">
        <v>636.60674157303379</v>
      </c>
      <c r="M1754" s="4">
        <v>70.026741573033746</v>
      </c>
      <c r="N1754" t="s">
        <v>95</v>
      </c>
    </row>
    <row r="1755" spans="1:14">
      <c r="A1755">
        <v>1754</v>
      </c>
      <c r="B1755">
        <v>70</v>
      </c>
      <c r="C1755" t="s">
        <v>11</v>
      </c>
      <c r="D1755" t="s">
        <v>25</v>
      </c>
      <c r="E1755" t="s">
        <v>54</v>
      </c>
      <c r="F1755">
        <v>39.270000000000003</v>
      </c>
      <c r="G1755" t="s">
        <v>19</v>
      </c>
      <c r="H1755" t="s">
        <v>15</v>
      </c>
      <c r="I1755">
        <v>3.1</v>
      </c>
      <c r="J1755">
        <v>26</v>
      </c>
      <c r="K1755">
        <v>8</v>
      </c>
      <c r="L1755" s="4">
        <v>53.067567567567572</v>
      </c>
      <c r="M1755" s="4">
        <v>13.797567567567569</v>
      </c>
      <c r="N1755" t="s">
        <v>95</v>
      </c>
    </row>
    <row r="1756" spans="1:14">
      <c r="A1756">
        <v>1755</v>
      </c>
      <c r="B1756">
        <v>22</v>
      </c>
      <c r="C1756" t="s">
        <v>16</v>
      </c>
      <c r="D1756" t="s">
        <v>17</v>
      </c>
      <c r="E1756" t="s">
        <v>18</v>
      </c>
      <c r="F1756">
        <v>98.74</v>
      </c>
      <c r="G1756" t="s">
        <v>31</v>
      </c>
      <c r="H1756" t="s">
        <v>15</v>
      </c>
      <c r="I1756">
        <v>4</v>
      </c>
      <c r="J1756">
        <v>12</v>
      </c>
      <c r="K1756">
        <v>6</v>
      </c>
      <c r="L1756" s="4">
        <v>112.20454545454545</v>
      </c>
      <c r="M1756" s="4">
        <v>13.464545454545458</v>
      </c>
      <c r="N1756" t="s">
        <v>100</v>
      </c>
    </row>
    <row r="1757" spans="1:14">
      <c r="A1757">
        <v>1756</v>
      </c>
      <c r="B1757">
        <v>69</v>
      </c>
      <c r="C1757" t="s">
        <v>11</v>
      </c>
      <c r="D1757" t="s">
        <v>29</v>
      </c>
      <c r="E1757" t="s">
        <v>51</v>
      </c>
      <c r="F1757">
        <v>108.96</v>
      </c>
      <c r="G1757" t="s">
        <v>31</v>
      </c>
      <c r="H1757" t="s">
        <v>15</v>
      </c>
      <c r="I1757">
        <v>4.4000000000000004</v>
      </c>
      <c r="J1757">
        <v>24</v>
      </c>
      <c r="K1757">
        <v>7</v>
      </c>
      <c r="L1757" s="4">
        <v>143.36842105263156</v>
      </c>
      <c r="M1757" s="4">
        <v>34.408421052631567</v>
      </c>
      <c r="N1757" t="s">
        <v>95</v>
      </c>
    </row>
    <row r="1758" spans="1:14">
      <c r="A1758">
        <v>1757</v>
      </c>
      <c r="B1758">
        <v>66</v>
      </c>
      <c r="C1758" t="s">
        <v>16</v>
      </c>
      <c r="D1758" t="s">
        <v>25</v>
      </c>
      <c r="E1758" t="s">
        <v>57</v>
      </c>
      <c r="F1758">
        <v>55.46</v>
      </c>
      <c r="G1758" t="s">
        <v>19</v>
      </c>
      <c r="H1758" t="s">
        <v>15</v>
      </c>
      <c r="I1758">
        <v>3.7</v>
      </c>
      <c r="J1758">
        <v>10</v>
      </c>
      <c r="K1758">
        <v>5</v>
      </c>
      <c r="L1758" s="4">
        <v>61.62222222222222</v>
      </c>
      <c r="M1758" s="4">
        <v>6.1622222222222192</v>
      </c>
      <c r="N1758" t="s">
        <v>95</v>
      </c>
    </row>
    <row r="1759" spans="1:14">
      <c r="A1759">
        <v>1758</v>
      </c>
      <c r="B1759">
        <v>43</v>
      </c>
      <c r="C1759" t="s">
        <v>11</v>
      </c>
      <c r="D1759" t="s">
        <v>20</v>
      </c>
      <c r="E1759" t="s">
        <v>21</v>
      </c>
      <c r="F1759">
        <v>80.150000000000006</v>
      </c>
      <c r="G1759" t="s">
        <v>14</v>
      </c>
      <c r="H1759" t="s">
        <v>15</v>
      </c>
      <c r="I1759">
        <v>4.7</v>
      </c>
      <c r="J1759">
        <v>11</v>
      </c>
      <c r="K1759">
        <v>3</v>
      </c>
      <c r="L1759" s="4">
        <v>90.05617977528091</v>
      </c>
      <c r="M1759" s="4">
        <v>9.9061797752809042</v>
      </c>
      <c r="N1759" t="s">
        <v>92</v>
      </c>
    </row>
    <row r="1760" spans="1:14">
      <c r="A1760">
        <v>1759</v>
      </c>
      <c r="B1760">
        <v>63</v>
      </c>
      <c r="C1760" t="s">
        <v>16</v>
      </c>
      <c r="D1760" t="s">
        <v>20</v>
      </c>
      <c r="E1760" t="s">
        <v>36</v>
      </c>
      <c r="F1760">
        <v>202.07</v>
      </c>
      <c r="G1760" t="s">
        <v>31</v>
      </c>
      <c r="H1760" t="s">
        <v>15</v>
      </c>
      <c r="I1760">
        <v>3.7</v>
      </c>
      <c r="J1760">
        <v>16</v>
      </c>
      <c r="K1760">
        <v>3</v>
      </c>
      <c r="L1760" s="4">
        <v>240.55952380952382</v>
      </c>
      <c r="M1760" s="4">
        <v>38.489523809523831</v>
      </c>
      <c r="N1760" t="s">
        <v>94</v>
      </c>
    </row>
    <row r="1761" spans="1:14">
      <c r="A1761">
        <v>1760</v>
      </c>
      <c r="B1761">
        <v>23</v>
      </c>
      <c r="C1761" t="s">
        <v>16</v>
      </c>
      <c r="D1761" t="s">
        <v>17</v>
      </c>
      <c r="E1761" t="s">
        <v>18</v>
      </c>
      <c r="F1761">
        <v>117.84</v>
      </c>
      <c r="G1761" t="s">
        <v>24</v>
      </c>
      <c r="H1761" t="s">
        <v>15</v>
      </c>
      <c r="I1761">
        <v>3.1</v>
      </c>
      <c r="J1761">
        <v>24</v>
      </c>
      <c r="K1761">
        <v>7</v>
      </c>
      <c r="L1761" s="4">
        <v>155.05263157894737</v>
      </c>
      <c r="M1761" s="4">
        <v>37.212631578947367</v>
      </c>
      <c r="N1761" t="s">
        <v>100</v>
      </c>
    </row>
    <row r="1762" spans="1:14">
      <c r="A1762">
        <v>1761</v>
      </c>
      <c r="B1762">
        <v>44</v>
      </c>
      <c r="C1762" t="s">
        <v>16</v>
      </c>
      <c r="D1762" t="s">
        <v>17</v>
      </c>
      <c r="E1762" t="s">
        <v>18</v>
      </c>
      <c r="F1762">
        <v>194.65</v>
      </c>
      <c r="G1762" t="s">
        <v>19</v>
      </c>
      <c r="H1762" t="s">
        <v>15</v>
      </c>
      <c r="I1762">
        <v>4.2</v>
      </c>
      <c r="J1762">
        <v>22</v>
      </c>
      <c r="K1762">
        <v>6</v>
      </c>
      <c r="L1762" s="4">
        <v>249.55128205128204</v>
      </c>
      <c r="M1762" s="4">
        <v>54.901282051282038</v>
      </c>
      <c r="N1762" t="s">
        <v>92</v>
      </c>
    </row>
    <row r="1763" spans="1:14">
      <c r="A1763">
        <v>1762</v>
      </c>
      <c r="B1763">
        <v>68</v>
      </c>
      <c r="C1763" t="s">
        <v>11</v>
      </c>
      <c r="D1763" t="s">
        <v>29</v>
      </c>
      <c r="E1763" t="s">
        <v>51</v>
      </c>
      <c r="F1763">
        <v>107.91</v>
      </c>
      <c r="G1763" t="s">
        <v>19</v>
      </c>
      <c r="H1763" t="s">
        <v>15</v>
      </c>
      <c r="I1763">
        <v>4</v>
      </c>
      <c r="J1763">
        <v>17</v>
      </c>
      <c r="K1763">
        <v>6</v>
      </c>
      <c r="L1763" s="4">
        <v>130.01204819277109</v>
      </c>
      <c r="M1763" s="4">
        <v>22.102048192771093</v>
      </c>
      <c r="N1763" t="s">
        <v>95</v>
      </c>
    </row>
    <row r="1764" spans="1:14">
      <c r="A1764">
        <v>1763</v>
      </c>
      <c r="B1764">
        <v>34</v>
      </c>
      <c r="C1764" t="s">
        <v>16</v>
      </c>
      <c r="D1764" t="s">
        <v>20</v>
      </c>
      <c r="E1764" t="s">
        <v>39</v>
      </c>
      <c r="F1764">
        <v>184.29</v>
      </c>
      <c r="G1764" t="s">
        <v>14</v>
      </c>
      <c r="H1764" t="s">
        <v>15</v>
      </c>
      <c r="I1764">
        <v>5</v>
      </c>
      <c r="J1764">
        <v>11</v>
      </c>
      <c r="K1764">
        <v>3</v>
      </c>
      <c r="L1764" s="4">
        <v>207.06741573033707</v>
      </c>
      <c r="M1764" s="4">
        <v>22.777415730337083</v>
      </c>
      <c r="N1764" t="s">
        <v>91</v>
      </c>
    </row>
    <row r="1765" spans="1:14">
      <c r="A1765">
        <v>1764</v>
      </c>
      <c r="B1765">
        <v>35</v>
      </c>
      <c r="C1765" t="s">
        <v>11</v>
      </c>
      <c r="D1765" t="s">
        <v>29</v>
      </c>
      <c r="E1765" t="s">
        <v>51</v>
      </c>
      <c r="F1765">
        <v>121.94</v>
      </c>
      <c r="G1765" t="s">
        <v>19</v>
      </c>
      <c r="H1765" t="s">
        <v>15</v>
      </c>
      <c r="I1765">
        <v>3.4</v>
      </c>
      <c r="J1765">
        <v>22</v>
      </c>
      <c r="K1765">
        <v>6</v>
      </c>
      <c r="L1765" s="4">
        <v>156.33333333333331</v>
      </c>
      <c r="M1765" s="4">
        <v>34.393333333333317</v>
      </c>
      <c r="N1765" t="s">
        <v>92</v>
      </c>
    </row>
    <row r="1766" spans="1:14">
      <c r="A1766">
        <v>1765</v>
      </c>
      <c r="B1766">
        <v>51</v>
      </c>
      <c r="C1766" t="s">
        <v>16</v>
      </c>
      <c r="D1766" t="s">
        <v>20</v>
      </c>
      <c r="E1766" t="s">
        <v>21</v>
      </c>
      <c r="F1766">
        <v>218.04</v>
      </c>
      <c r="G1766" t="s">
        <v>31</v>
      </c>
      <c r="H1766" t="s">
        <v>15</v>
      </c>
      <c r="I1766">
        <v>3</v>
      </c>
      <c r="J1766">
        <v>20</v>
      </c>
      <c r="K1766">
        <v>5</v>
      </c>
      <c r="L1766" s="4">
        <v>272.54999999999995</v>
      </c>
      <c r="M1766" s="4">
        <v>54.509999999999962</v>
      </c>
      <c r="N1766" t="s">
        <v>93</v>
      </c>
    </row>
    <row r="1767" spans="1:14">
      <c r="A1767">
        <v>1766</v>
      </c>
      <c r="B1767">
        <v>62</v>
      </c>
      <c r="C1767" t="s">
        <v>11</v>
      </c>
      <c r="D1767" t="s">
        <v>12</v>
      </c>
      <c r="E1767" t="s">
        <v>13</v>
      </c>
      <c r="F1767">
        <v>90.96</v>
      </c>
      <c r="G1767" t="s">
        <v>24</v>
      </c>
      <c r="H1767" t="s">
        <v>15</v>
      </c>
      <c r="I1767">
        <v>3.6</v>
      </c>
      <c r="J1767">
        <v>11</v>
      </c>
      <c r="K1767">
        <v>3</v>
      </c>
      <c r="L1767" s="4">
        <v>102.20224719101122</v>
      </c>
      <c r="M1767" s="4">
        <v>11.242247191011231</v>
      </c>
      <c r="N1767" t="s">
        <v>94</v>
      </c>
    </row>
    <row r="1768" spans="1:14">
      <c r="A1768">
        <v>1767</v>
      </c>
      <c r="B1768">
        <v>44</v>
      </c>
      <c r="C1768" t="s">
        <v>16</v>
      </c>
      <c r="D1768" t="s">
        <v>27</v>
      </c>
      <c r="E1768" t="s">
        <v>49</v>
      </c>
      <c r="F1768">
        <v>2617.6799999999998</v>
      </c>
      <c r="G1768" t="s">
        <v>14</v>
      </c>
      <c r="H1768" t="s">
        <v>15</v>
      </c>
      <c r="I1768">
        <v>3.7</v>
      </c>
      <c r="J1768">
        <v>12</v>
      </c>
      <c r="K1768">
        <v>6</v>
      </c>
      <c r="L1768" s="4">
        <v>2974.6363636363635</v>
      </c>
      <c r="M1768" s="4">
        <v>356.95636363636368</v>
      </c>
      <c r="N1768" t="s">
        <v>92</v>
      </c>
    </row>
    <row r="1769" spans="1:14">
      <c r="A1769">
        <v>1768</v>
      </c>
      <c r="B1769">
        <v>29</v>
      </c>
      <c r="C1769" t="s">
        <v>16</v>
      </c>
      <c r="D1769" t="s">
        <v>20</v>
      </c>
      <c r="E1769" t="s">
        <v>21</v>
      </c>
      <c r="F1769">
        <v>165.92</v>
      </c>
      <c r="G1769" t="s">
        <v>19</v>
      </c>
      <c r="H1769" t="s">
        <v>15</v>
      </c>
      <c r="I1769">
        <v>3.2</v>
      </c>
      <c r="J1769">
        <v>19</v>
      </c>
      <c r="K1769">
        <v>7</v>
      </c>
      <c r="L1769" s="4">
        <v>204.83950617283946</v>
      </c>
      <c r="M1769" s="4">
        <v>38.919506172839476</v>
      </c>
      <c r="N1769" t="s">
        <v>91</v>
      </c>
    </row>
    <row r="1770" spans="1:14">
      <c r="A1770">
        <v>1769</v>
      </c>
      <c r="B1770">
        <v>67</v>
      </c>
      <c r="C1770" t="s">
        <v>11</v>
      </c>
      <c r="D1770" t="s">
        <v>29</v>
      </c>
      <c r="E1770" t="s">
        <v>55</v>
      </c>
      <c r="F1770">
        <v>120.75</v>
      </c>
      <c r="G1770" t="s">
        <v>14</v>
      </c>
      <c r="H1770" t="s">
        <v>15</v>
      </c>
      <c r="I1770">
        <v>3.4</v>
      </c>
      <c r="J1770">
        <v>13</v>
      </c>
      <c r="K1770">
        <v>4</v>
      </c>
      <c r="L1770" s="4">
        <v>138.79310344827587</v>
      </c>
      <c r="M1770" s="4">
        <v>18.043103448275872</v>
      </c>
      <c r="N1770" t="s">
        <v>95</v>
      </c>
    </row>
    <row r="1771" spans="1:14">
      <c r="A1771">
        <v>1770</v>
      </c>
      <c r="B1771">
        <v>55</v>
      </c>
      <c r="C1771" t="s">
        <v>11</v>
      </c>
      <c r="D1771" t="s">
        <v>33</v>
      </c>
      <c r="E1771" t="s">
        <v>34</v>
      </c>
      <c r="F1771">
        <v>213.52</v>
      </c>
      <c r="G1771" t="s">
        <v>24</v>
      </c>
      <c r="H1771" t="s">
        <v>15</v>
      </c>
      <c r="I1771">
        <v>3.1</v>
      </c>
      <c r="J1771">
        <v>14</v>
      </c>
      <c r="K1771">
        <v>7</v>
      </c>
      <c r="L1771" s="4">
        <v>248.27906976744188</v>
      </c>
      <c r="M1771" s="4">
        <v>34.759069767441872</v>
      </c>
      <c r="N1771" t="s">
        <v>94</v>
      </c>
    </row>
    <row r="1772" spans="1:14">
      <c r="A1772">
        <v>1771</v>
      </c>
      <c r="B1772">
        <v>55</v>
      </c>
      <c r="C1772" t="s">
        <v>16</v>
      </c>
      <c r="D1772" t="s">
        <v>27</v>
      </c>
      <c r="E1772" t="s">
        <v>28</v>
      </c>
      <c r="F1772">
        <v>2217.08</v>
      </c>
      <c r="G1772" t="s">
        <v>24</v>
      </c>
      <c r="H1772" t="s">
        <v>15</v>
      </c>
      <c r="I1772">
        <v>4.2</v>
      </c>
      <c r="J1772">
        <v>21</v>
      </c>
      <c r="K1772">
        <v>8</v>
      </c>
      <c r="L1772" s="4">
        <v>2806.4303797468351</v>
      </c>
      <c r="M1772" s="4">
        <v>589.35037974683519</v>
      </c>
      <c r="N1772" t="s">
        <v>94</v>
      </c>
    </row>
    <row r="1773" spans="1:14">
      <c r="A1773">
        <v>1772</v>
      </c>
      <c r="B1773">
        <v>45</v>
      </c>
      <c r="C1773" t="s">
        <v>11</v>
      </c>
      <c r="D1773" t="s">
        <v>33</v>
      </c>
      <c r="E1773" t="s">
        <v>38</v>
      </c>
      <c r="F1773">
        <v>101.95</v>
      </c>
      <c r="G1773" t="s">
        <v>24</v>
      </c>
      <c r="H1773" t="s">
        <v>15</v>
      </c>
      <c r="I1773">
        <v>3.5</v>
      </c>
      <c r="J1773">
        <v>12</v>
      </c>
      <c r="K1773">
        <v>1</v>
      </c>
      <c r="L1773" s="4">
        <v>115.85227272727273</v>
      </c>
      <c r="M1773" s="4">
        <v>13.902272727272731</v>
      </c>
      <c r="N1773" t="s">
        <v>93</v>
      </c>
    </row>
    <row r="1774" spans="1:14">
      <c r="A1774">
        <v>1773</v>
      </c>
      <c r="B1774">
        <v>58</v>
      </c>
      <c r="C1774" t="s">
        <v>11</v>
      </c>
      <c r="D1774" t="s">
        <v>33</v>
      </c>
      <c r="E1774" t="s">
        <v>38</v>
      </c>
      <c r="F1774">
        <v>89.54</v>
      </c>
      <c r="G1774" t="s">
        <v>24</v>
      </c>
      <c r="H1774" t="s">
        <v>37</v>
      </c>
      <c r="I1774">
        <v>4.3</v>
      </c>
      <c r="J1774">
        <v>15</v>
      </c>
      <c r="K1774">
        <v>5</v>
      </c>
      <c r="L1774" s="4">
        <v>105.34117647058825</v>
      </c>
      <c r="M1774" s="4">
        <v>15.801176470588246</v>
      </c>
      <c r="N1774" t="s">
        <v>94</v>
      </c>
    </row>
    <row r="1775" spans="1:14">
      <c r="A1775">
        <v>1774</v>
      </c>
      <c r="B1775">
        <v>25</v>
      </c>
      <c r="C1775" t="s">
        <v>11</v>
      </c>
      <c r="D1775" t="s">
        <v>29</v>
      </c>
      <c r="E1775" t="s">
        <v>51</v>
      </c>
      <c r="F1775">
        <v>53.08</v>
      </c>
      <c r="G1775" t="s">
        <v>31</v>
      </c>
      <c r="H1775" t="s">
        <v>15</v>
      </c>
      <c r="I1775">
        <v>2.9</v>
      </c>
      <c r="J1775">
        <v>8</v>
      </c>
      <c r="K1775">
        <v>4</v>
      </c>
      <c r="L1775" s="4">
        <v>57.695652173913039</v>
      </c>
      <c r="M1775" s="4">
        <v>4.6156521739130412</v>
      </c>
      <c r="N1775" t="s">
        <v>91</v>
      </c>
    </row>
    <row r="1776" spans="1:14">
      <c r="A1776">
        <v>1775</v>
      </c>
      <c r="B1776">
        <v>31</v>
      </c>
      <c r="C1776" t="s">
        <v>11</v>
      </c>
      <c r="D1776" t="s">
        <v>25</v>
      </c>
      <c r="E1776" t="s">
        <v>47</v>
      </c>
      <c r="F1776">
        <v>54.74</v>
      </c>
      <c r="G1776" t="s">
        <v>14</v>
      </c>
      <c r="H1776" t="s">
        <v>37</v>
      </c>
      <c r="I1776">
        <v>3.8</v>
      </c>
      <c r="J1776">
        <v>24</v>
      </c>
      <c r="K1776">
        <v>7</v>
      </c>
      <c r="L1776" s="4">
        <v>72.026315789473685</v>
      </c>
      <c r="M1776" s="4">
        <v>17.286315789473683</v>
      </c>
      <c r="N1776" t="s">
        <v>91</v>
      </c>
    </row>
    <row r="1777" spans="1:14">
      <c r="A1777">
        <v>1776</v>
      </c>
      <c r="B1777">
        <v>43</v>
      </c>
      <c r="C1777" t="s">
        <v>11</v>
      </c>
      <c r="D1777" t="s">
        <v>33</v>
      </c>
      <c r="E1777" t="s">
        <v>40</v>
      </c>
      <c r="F1777">
        <v>117.15</v>
      </c>
      <c r="G1777" t="s">
        <v>31</v>
      </c>
      <c r="H1777" t="s">
        <v>15</v>
      </c>
      <c r="I1777">
        <v>3.1</v>
      </c>
      <c r="J1777">
        <v>14</v>
      </c>
      <c r="K1777">
        <v>7</v>
      </c>
      <c r="L1777" s="4">
        <v>136.22093023255815</v>
      </c>
      <c r="M1777" s="4">
        <v>19.07093023255814</v>
      </c>
      <c r="N1777" t="s">
        <v>92</v>
      </c>
    </row>
    <row r="1778" spans="1:14">
      <c r="A1778">
        <v>1777</v>
      </c>
      <c r="B1778">
        <v>63</v>
      </c>
      <c r="C1778" t="s">
        <v>16</v>
      </c>
      <c r="D1778" t="s">
        <v>33</v>
      </c>
      <c r="E1778" t="s">
        <v>40</v>
      </c>
      <c r="F1778">
        <v>92.46</v>
      </c>
      <c r="G1778" t="s">
        <v>19</v>
      </c>
      <c r="H1778" t="s">
        <v>37</v>
      </c>
      <c r="I1778">
        <v>4.3</v>
      </c>
      <c r="J1778">
        <v>13</v>
      </c>
      <c r="K1778">
        <v>4</v>
      </c>
      <c r="L1778" s="4">
        <v>106.27586206896551</v>
      </c>
      <c r="M1778" s="4">
        <v>13.815862068965515</v>
      </c>
      <c r="N1778" t="s">
        <v>94</v>
      </c>
    </row>
    <row r="1779" spans="1:14">
      <c r="A1779">
        <v>1778</v>
      </c>
      <c r="B1779">
        <v>40</v>
      </c>
      <c r="C1779" t="s">
        <v>11</v>
      </c>
      <c r="D1779" t="s">
        <v>25</v>
      </c>
      <c r="E1779" t="s">
        <v>54</v>
      </c>
      <c r="F1779">
        <v>25.19</v>
      </c>
      <c r="G1779" t="s">
        <v>31</v>
      </c>
      <c r="H1779" t="s">
        <v>15</v>
      </c>
      <c r="I1779">
        <v>3.4</v>
      </c>
      <c r="J1779">
        <v>17</v>
      </c>
      <c r="K1779">
        <v>6</v>
      </c>
      <c r="L1779" s="4">
        <v>30.349397590361448</v>
      </c>
      <c r="M1779" s="4">
        <v>5.1593975903614471</v>
      </c>
      <c r="N1779" t="s">
        <v>92</v>
      </c>
    </row>
    <row r="1780" spans="1:14">
      <c r="A1780">
        <v>1779</v>
      </c>
      <c r="B1780">
        <v>25</v>
      </c>
      <c r="C1780" t="s">
        <v>16</v>
      </c>
      <c r="D1780" t="s">
        <v>20</v>
      </c>
      <c r="E1780" t="s">
        <v>39</v>
      </c>
      <c r="F1780">
        <v>204.19</v>
      </c>
      <c r="G1780" t="s">
        <v>31</v>
      </c>
      <c r="H1780" t="s">
        <v>15</v>
      </c>
      <c r="I1780">
        <v>3.9</v>
      </c>
      <c r="J1780">
        <v>4</v>
      </c>
      <c r="K1780">
        <v>2</v>
      </c>
      <c r="L1780" s="4">
        <v>212.69791666666669</v>
      </c>
      <c r="M1780" s="4">
        <v>8.5079166666666879</v>
      </c>
      <c r="N1780" t="s">
        <v>91</v>
      </c>
    </row>
    <row r="1781" spans="1:14">
      <c r="A1781">
        <v>1780</v>
      </c>
      <c r="B1781">
        <v>24</v>
      </c>
      <c r="C1781" t="s">
        <v>11</v>
      </c>
      <c r="D1781" t="s">
        <v>25</v>
      </c>
      <c r="E1781" t="s">
        <v>47</v>
      </c>
      <c r="F1781">
        <v>68.44</v>
      </c>
      <c r="G1781" t="s">
        <v>14</v>
      </c>
      <c r="H1781" t="s">
        <v>15</v>
      </c>
      <c r="I1781">
        <v>3.7</v>
      </c>
      <c r="J1781">
        <v>15</v>
      </c>
      <c r="K1781">
        <v>5</v>
      </c>
      <c r="L1781" s="4">
        <v>80.517647058823528</v>
      </c>
      <c r="M1781" s="4">
        <v>12.07764705882353</v>
      </c>
      <c r="N1781" t="s">
        <v>100</v>
      </c>
    </row>
    <row r="1782" spans="1:14">
      <c r="A1782">
        <v>1781</v>
      </c>
      <c r="B1782">
        <v>57</v>
      </c>
      <c r="C1782" t="s">
        <v>11</v>
      </c>
      <c r="D1782" t="s">
        <v>33</v>
      </c>
      <c r="E1782" t="s">
        <v>34</v>
      </c>
      <c r="F1782">
        <v>65.540000000000006</v>
      </c>
      <c r="G1782" t="s">
        <v>31</v>
      </c>
      <c r="H1782" t="s">
        <v>37</v>
      </c>
      <c r="I1782">
        <v>4.2</v>
      </c>
      <c r="J1782">
        <v>16</v>
      </c>
      <c r="K1782">
        <v>8</v>
      </c>
      <c r="L1782" s="4">
        <v>78.023809523809533</v>
      </c>
      <c r="M1782" s="4">
        <v>12.483809523809526</v>
      </c>
      <c r="N1782" t="s">
        <v>94</v>
      </c>
    </row>
    <row r="1783" spans="1:14">
      <c r="A1783">
        <v>1782</v>
      </c>
      <c r="B1783">
        <v>57</v>
      </c>
      <c r="C1783" t="s">
        <v>16</v>
      </c>
      <c r="D1783" t="s">
        <v>33</v>
      </c>
      <c r="E1783" t="s">
        <v>34</v>
      </c>
      <c r="F1783">
        <v>90.98</v>
      </c>
      <c r="G1783" t="s">
        <v>14</v>
      </c>
      <c r="H1783" t="s">
        <v>15</v>
      </c>
      <c r="I1783">
        <v>3</v>
      </c>
      <c r="J1783">
        <v>16</v>
      </c>
      <c r="K1783">
        <v>8</v>
      </c>
      <c r="L1783" s="4">
        <v>108.30952380952382</v>
      </c>
      <c r="M1783" s="4">
        <v>17.32952380952382</v>
      </c>
      <c r="N1783" t="s">
        <v>94</v>
      </c>
    </row>
    <row r="1784" spans="1:14">
      <c r="A1784">
        <v>1783</v>
      </c>
      <c r="B1784">
        <v>23</v>
      </c>
      <c r="C1784" t="s">
        <v>16</v>
      </c>
      <c r="D1784" t="s">
        <v>27</v>
      </c>
      <c r="E1784" t="s">
        <v>53</v>
      </c>
      <c r="F1784">
        <v>2369.0100000000002</v>
      </c>
      <c r="G1784" t="s">
        <v>31</v>
      </c>
      <c r="H1784" t="s">
        <v>15</v>
      </c>
      <c r="I1784">
        <v>4.0999999999999996</v>
      </c>
      <c r="J1784">
        <v>0</v>
      </c>
      <c r="K1784">
        <v>0</v>
      </c>
      <c r="L1784" s="4">
        <v>2369.0100000000002</v>
      </c>
      <c r="M1784" s="4">
        <v>0</v>
      </c>
      <c r="N1784" t="s">
        <v>100</v>
      </c>
    </row>
    <row r="1785" spans="1:14">
      <c r="A1785">
        <v>1784</v>
      </c>
      <c r="B1785">
        <v>63</v>
      </c>
      <c r="C1785" t="s">
        <v>11</v>
      </c>
      <c r="D1785" t="s">
        <v>29</v>
      </c>
      <c r="E1785" t="s">
        <v>55</v>
      </c>
      <c r="F1785">
        <v>131.24</v>
      </c>
      <c r="G1785" t="s">
        <v>14</v>
      </c>
      <c r="H1785" t="s">
        <v>15</v>
      </c>
      <c r="I1785">
        <v>4.0999999999999996</v>
      </c>
      <c r="J1785">
        <v>11</v>
      </c>
      <c r="K1785">
        <v>3</v>
      </c>
      <c r="L1785" s="4">
        <v>147.46067415730337</v>
      </c>
      <c r="M1785" s="4">
        <v>16.220674157303364</v>
      </c>
      <c r="N1785" t="s">
        <v>94</v>
      </c>
    </row>
    <row r="1786" spans="1:14">
      <c r="A1786">
        <v>1785</v>
      </c>
      <c r="B1786">
        <v>34</v>
      </c>
      <c r="C1786" t="s">
        <v>16</v>
      </c>
      <c r="D1786" t="s">
        <v>20</v>
      </c>
      <c r="E1786" t="s">
        <v>39</v>
      </c>
      <c r="F1786">
        <v>152.61000000000001</v>
      </c>
      <c r="G1786" t="s">
        <v>31</v>
      </c>
      <c r="H1786" t="s">
        <v>15</v>
      </c>
      <c r="I1786">
        <v>3.7</v>
      </c>
      <c r="J1786">
        <v>8</v>
      </c>
      <c r="K1786">
        <v>4</v>
      </c>
      <c r="L1786" s="4">
        <v>165.88043478260872</v>
      </c>
      <c r="M1786" s="4">
        <v>13.270434782608703</v>
      </c>
      <c r="N1786" t="s">
        <v>91</v>
      </c>
    </row>
    <row r="1787" spans="1:14">
      <c r="A1787">
        <v>1786</v>
      </c>
      <c r="B1787">
        <v>64</v>
      </c>
      <c r="C1787" t="s">
        <v>11</v>
      </c>
      <c r="D1787" t="s">
        <v>20</v>
      </c>
      <c r="E1787" t="s">
        <v>39</v>
      </c>
      <c r="F1787">
        <v>224.38</v>
      </c>
      <c r="G1787" t="s">
        <v>19</v>
      </c>
      <c r="H1787" t="s">
        <v>15</v>
      </c>
      <c r="I1787">
        <v>3.4</v>
      </c>
      <c r="J1787">
        <v>11</v>
      </c>
      <c r="K1787">
        <v>3</v>
      </c>
      <c r="L1787" s="4">
        <v>252.11235955056179</v>
      </c>
      <c r="M1787" s="4">
        <v>27.732359550561796</v>
      </c>
      <c r="N1787" t="s">
        <v>94</v>
      </c>
    </row>
    <row r="1788" spans="1:14">
      <c r="A1788">
        <v>1787</v>
      </c>
      <c r="B1788">
        <v>52</v>
      </c>
      <c r="C1788" t="s">
        <v>16</v>
      </c>
      <c r="D1788" t="s">
        <v>17</v>
      </c>
      <c r="E1788" t="s">
        <v>35</v>
      </c>
      <c r="F1788">
        <v>31.54</v>
      </c>
      <c r="G1788" t="s">
        <v>19</v>
      </c>
      <c r="H1788" t="s">
        <v>37</v>
      </c>
      <c r="I1788">
        <v>3.7</v>
      </c>
      <c r="J1788">
        <v>18</v>
      </c>
      <c r="K1788">
        <v>4</v>
      </c>
      <c r="L1788" s="4">
        <v>38.463414634146339</v>
      </c>
      <c r="M1788" s="4">
        <v>6.9234146341463401</v>
      </c>
      <c r="N1788" t="s">
        <v>93</v>
      </c>
    </row>
    <row r="1789" spans="1:14">
      <c r="A1789">
        <v>1788</v>
      </c>
      <c r="B1789">
        <v>31</v>
      </c>
      <c r="C1789" t="s">
        <v>11</v>
      </c>
      <c r="D1789" t="s">
        <v>29</v>
      </c>
      <c r="E1789" t="s">
        <v>51</v>
      </c>
      <c r="F1789">
        <v>122.72</v>
      </c>
      <c r="G1789" t="s">
        <v>31</v>
      </c>
      <c r="H1789" t="s">
        <v>15</v>
      </c>
      <c r="I1789">
        <v>3.2</v>
      </c>
      <c r="J1789">
        <v>9</v>
      </c>
      <c r="K1789">
        <v>2</v>
      </c>
      <c r="L1789" s="4">
        <v>134.85714285714286</v>
      </c>
      <c r="M1789" s="4">
        <v>12.137142857142862</v>
      </c>
      <c r="N1789" t="s">
        <v>91</v>
      </c>
    </row>
    <row r="1790" spans="1:14">
      <c r="A1790">
        <v>1789</v>
      </c>
      <c r="B1790">
        <v>56</v>
      </c>
      <c r="C1790" t="s">
        <v>11</v>
      </c>
      <c r="D1790" t="s">
        <v>12</v>
      </c>
      <c r="E1790" t="s">
        <v>50</v>
      </c>
      <c r="F1790">
        <v>60.7</v>
      </c>
      <c r="G1790" t="s">
        <v>31</v>
      </c>
      <c r="H1790" t="s">
        <v>15</v>
      </c>
      <c r="I1790">
        <v>4.0999999999999996</v>
      </c>
      <c r="J1790">
        <v>14</v>
      </c>
      <c r="K1790">
        <v>7</v>
      </c>
      <c r="L1790" s="4">
        <v>70.581395348837219</v>
      </c>
      <c r="M1790" s="4">
        <v>9.8813953488372164</v>
      </c>
      <c r="N1790" t="s">
        <v>94</v>
      </c>
    </row>
    <row r="1791" spans="1:14">
      <c r="A1791">
        <v>1790</v>
      </c>
      <c r="B1791">
        <v>64</v>
      </c>
      <c r="C1791" t="s">
        <v>16</v>
      </c>
      <c r="D1791" t="s">
        <v>25</v>
      </c>
      <c r="E1791" t="s">
        <v>54</v>
      </c>
      <c r="F1791">
        <v>40.94</v>
      </c>
      <c r="G1791" t="s">
        <v>14</v>
      </c>
      <c r="H1791" t="s">
        <v>15</v>
      </c>
      <c r="I1791">
        <v>3.5</v>
      </c>
      <c r="J1791">
        <v>13</v>
      </c>
      <c r="K1791">
        <v>4</v>
      </c>
      <c r="L1791" s="4">
        <v>47.057471264367813</v>
      </c>
      <c r="M1791" s="4">
        <v>6.1174712643678149</v>
      </c>
      <c r="N1791" t="s">
        <v>94</v>
      </c>
    </row>
    <row r="1792" spans="1:14">
      <c r="A1792">
        <v>1791</v>
      </c>
      <c r="B1792">
        <v>67</v>
      </c>
      <c r="C1792" t="s">
        <v>16</v>
      </c>
      <c r="D1792" t="s">
        <v>20</v>
      </c>
      <c r="E1792" t="s">
        <v>21</v>
      </c>
      <c r="F1792">
        <v>226.26</v>
      </c>
      <c r="G1792" t="s">
        <v>14</v>
      </c>
      <c r="H1792" t="s">
        <v>15</v>
      </c>
      <c r="I1792">
        <v>3</v>
      </c>
      <c r="J1792">
        <v>16</v>
      </c>
      <c r="K1792">
        <v>3</v>
      </c>
      <c r="L1792" s="4">
        <v>269.35714285714283</v>
      </c>
      <c r="M1792" s="4">
        <v>43.097142857142842</v>
      </c>
      <c r="N1792" t="s">
        <v>95</v>
      </c>
    </row>
    <row r="1793" spans="1:14">
      <c r="A1793">
        <v>1792</v>
      </c>
      <c r="B1793">
        <v>48</v>
      </c>
      <c r="C1793" t="s">
        <v>16</v>
      </c>
      <c r="D1793" t="s">
        <v>33</v>
      </c>
      <c r="E1793" t="s">
        <v>34</v>
      </c>
      <c r="F1793">
        <v>94.74</v>
      </c>
      <c r="G1793" t="s">
        <v>24</v>
      </c>
      <c r="H1793" t="s">
        <v>37</v>
      </c>
      <c r="I1793">
        <v>3.4</v>
      </c>
      <c r="J1793">
        <v>26</v>
      </c>
      <c r="K1793">
        <v>8</v>
      </c>
      <c r="L1793" s="4">
        <v>128.02702702702703</v>
      </c>
      <c r="M1793" s="4">
        <v>33.287027027027037</v>
      </c>
      <c r="N1793" t="s">
        <v>93</v>
      </c>
    </row>
    <row r="1794" spans="1:14">
      <c r="A1794">
        <v>1793</v>
      </c>
      <c r="B1794">
        <v>41</v>
      </c>
      <c r="C1794" t="s">
        <v>11</v>
      </c>
      <c r="D1794" t="s">
        <v>29</v>
      </c>
      <c r="E1794" t="s">
        <v>51</v>
      </c>
      <c r="F1794">
        <v>130.69</v>
      </c>
      <c r="G1794" t="s">
        <v>14</v>
      </c>
      <c r="H1794" t="s">
        <v>15</v>
      </c>
      <c r="I1794">
        <v>4.3</v>
      </c>
      <c r="J1794">
        <v>10</v>
      </c>
      <c r="K1794">
        <v>5</v>
      </c>
      <c r="L1794" s="4">
        <v>145.21111111111111</v>
      </c>
      <c r="M1794" s="4">
        <v>14.521111111111111</v>
      </c>
      <c r="N1794" t="s">
        <v>92</v>
      </c>
    </row>
    <row r="1795" spans="1:14">
      <c r="A1795">
        <v>1794</v>
      </c>
      <c r="B1795">
        <v>62</v>
      </c>
      <c r="C1795" t="s">
        <v>16</v>
      </c>
      <c r="D1795" t="s">
        <v>20</v>
      </c>
      <c r="E1795" t="s">
        <v>36</v>
      </c>
      <c r="F1795">
        <v>176.42</v>
      </c>
      <c r="G1795" t="s">
        <v>24</v>
      </c>
      <c r="H1795" t="s">
        <v>15</v>
      </c>
      <c r="I1795">
        <v>4.0999999999999996</v>
      </c>
      <c r="J1795">
        <v>4</v>
      </c>
      <c r="K1795">
        <v>2</v>
      </c>
      <c r="L1795" s="4">
        <v>183.77083333333331</v>
      </c>
      <c r="M1795" s="4">
        <v>7.3508333333333269</v>
      </c>
      <c r="N1795" t="s">
        <v>94</v>
      </c>
    </row>
    <row r="1796" spans="1:14">
      <c r="A1796">
        <v>1795</v>
      </c>
      <c r="B1796">
        <v>24</v>
      </c>
      <c r="C1796" t="s">
        <v>16</v>
      </c>
      <c r="D1796" t="s">
        <v>33</v>
      </c>
      <c r="E1796" t="s">
        <v>34</v>
      </c>
      <c r="F1796">
        <v>103.89</v>
      </c>
      <c r="G1796" t="s">
        <v>24</v>
      </c>
      <c r="H1796" t="s">
        <v>15</v>
      </c>
      <c r="I1796">
        <v>4.8</v>
      </c>
      <c r="J1796">
        <v>15</v>
      </c>
      <c r="K1796">
        <v>5</v>
      </c>
      <c r="L1796" s="4">
        <v>122.22352941176472</v>
      </c>
      <c r="M1796" s="4">
        <v>18.333529411764715</v>
      </c>
      <c r="N1796" t="s">
        <v>100</v>
      </c>
    </row>
    <row r="1797" spans="1:14">
      <c r="A1797">
        <v>1796</v>
      </c>
      <c r="B1797">
        <v>22</v>
      </c>
      <c r="C1797" t="s">
        <v>16</v>
      </c>
      <c r="D1797" t="s">
        <v>17</v>
      </c>
      <c r="E1797" t="s">
        <v>18</v>
      </c>
      <c r="F1797">
        <v>48.19</v>
      </c>
      <c r="G1797" t="s">
        <v>19</v>
      </c>
      <c r="H1797" t="s">
        <v>15</v>
      </c>
      <c r="I1797">
        <v>3.8</v>
      </c>
      <c r="J1797">
        <v>17</v>
      </c>
      <c r="K1797">
        <v>6</v>
      </c>
      <c r="L1797" s="4">
        <v>58.060240963855421</v>
      </c>
      <c r="M1797" s="4">
        <v>9.8702409638554229</v>
      </c>
      <c r="N1797" t="s">
        <v>100</v>
      </c>
    </row>
    <row r="1798" spans="1:14">
      <c r="A1798">
        <v>1797</v>
      </c>
      <c r="B1798">
        <v>68</v>
      </c>
      <c r="C1798" t="s">
        <v>16</v>
      </c>
      <c r="D1798" t="s">
        <v>20</v>
      </c>
      <c r="E1798" t="s">
        <v>36</v>
      </c>
      <c r="F1798">
        <v>57.02</v>
      </c>
      <c r="G1798" t="s">
        <v>19</v>
      </c>
      <c r="H1798" t="s">
        <v>15</v>
      </c>
      <c r="I1798">
        <v>3.7</v>
      </c>
      <c r="J1798">
        <v>0</v>
      </c>
      <c r="K1798">
        <v>0</v>
      </c>
      <c r="L1798" s="4">
        <v>57.02</v>
      </c>
      <c r="M1798" s="4">
        <v>0</v>
      </c>
      <c r="N1798" t="s">
        <v>95</v>
      </c>
    </row>
    <row r="1799" spans="1:14">
      <c r="A1799">
        <v>1798</v>
      </c>
      <c r="B1799">
        <v>70</v>
      </c>
      <c r="C1799" t="s">
        <v>16</v>
      </c>
      <c r="D1799" t="s">
        <v>20</v>
      </c>
      <c r="E1799" t="s">
        <v>21</v>
      </c>
      <c r="F1799">
        <v>54.5</v>
      </c>
      <c r="G1799" t="s">
        <v>24</v>
      </c>
      <c r="H1799" t="s">
        <v>15</v>
      </c>
      <c r="I1799">
        <v>3.5</v>
      </c>
      <c r="J1799">
        <v>6</v>
      </c>
      <c r="K1799">
        <v>3</v>
      </c>
      <c r="L1799" s="4">
        <v>57.978723404255319</v>
      </c>
      <c r="M1799" s="4">
        <v>3.4787234042553195</v>
      </c>
      <c r="N1799" t="s">
        <v>95</v>
      </c>
    </row>
    <row r="1800" spans="1:14">
      <c r="A1800">
        <v>1799</v>
      </c>
      <c r="B1800">
        <v>22</v>
      </c>
      <c r="C1800" t="s">
        <v>16</v>
      </c>
      <c r="D1800" t="s">
        <v>17</v>
      </c>
      <c r="E1800" t="s">
        <v>35</v>
      </c>
      <c r="F1800">
        <v>67.459999999999994</v>
      </c>
      <c r="G1800" t="s">
        <v>19</v>
      </c>
      <c r="H1800" t="s">
        <v>37</v>
      </c>
      <c r="I1800">
        <v>3.7</v>
      </c>
      <c r="J1800">
        <v>6</v>
      </c>
      <c r="K1800">
        <v>3</v>
      </c>
      <c r="L1800" s="4">
        <v>71.765957446808514</v>
      </c>
      <c r="M1800" s="4">
        <v>4.3059574468085202</v>
      </c>
      <c r="N1800" t="s">
        <v>100</v>
      </c>
    </row>
    <row r="1801" spans="1:14">
      <c r="A1801">
        <v>1800</v>
      </c>
      <c r="B1801">
        <v>52</v>
      </c>
      <c r="C1801" t="s">
        <v>16</v>
      </c>
      <c r="D1801" t="s">
        <v>33</v>
      </c>
      <c r="E1801" t="s">
        <v>40</v>
      </c>
      <c r="F1801">
        <v>241.87</v>
      </c>
      <c r="G1801" t="s">
        <v>19</v>
      </c>
      <c r="H1801" t="s">
        <v>15</v>
      </c>
      <c r="I1801">
        <v>3.4</v>
      </c>
      <c r="J1801">
        <v>22</v>
      </c>
      <c r="K1801">
        <v>6</v>
      </c>
      <c r="L1801" s="4">
        <v>310.08974358974359</v>
      </c>
      <c r="M1801" s="4">
        <v>68.219743589743587</v>
      </c>
      <c r="N1801" t="s">
        <v>93</v>
      </c>
    </row>
    <row r="1802" spans="1:14">
      <c r="A1802">
        <v>1801</v>
      </c>
      <c r="B1802">
        <v>28</v>
      </c>
      <c r="C1802" t="s">
        <v>11</v>
      </c>
      <c r="D1802" t="s">
        <v>22</v>
      </c>
      <c r="E1802" t="s">
        <v>52</v>
      </c>
      <c r="F1802">
        <v>117.11</v>
      </c>
      <c r="G1802" t="s">
        <v>19</v>
      </c>
      <c r="H1802" t="s">
        <v>15</v>
      </c>
      <c r="I1802">
        <v>3.2</v>
      </c>
      <c r="J1802">
        <v>13</v>
      </c>
      <c r="K1802">
        <v>4</v>
      </c>
      <c r="L1802" s="4">
        <v>134.60919540229884</v>
      </c>
      <c r="M1802" s="4">
        <v>17.499195402298838</v>
      </c>
      <c r="N1802" t="s">
        <v>91</v>
      </c>
    </row>
    <row r="1803" spans="1:14">
      <c r="A1803">
        <v>1802</v>
      </c>
      <c r="B1803">
        <v>33</v>
      </c>
      <c r="C1803" t="s">
        <v>16</v>
      </c>
      <c r="D1803" t="s">
        <v>22</v>
      </c>
      <c r="E1803" t="s">
        <v>23</v>
      </c>
      <c r="F1803">
        <v>154.72</v>
      </c>
      <c r="G1803" t="s">
        <v>14</v>
      </c>
      <c r="H1803" t="s">
        <v>15</v>
      </c>
      <c r="I1803">
        <v>3.5</v>
      </c>
      <c r="J1803">
        <v>18</v>
      </c>
      <c r="K1803">
        <v>9</v>
      </c>
      <c r="L1803" s="4">
        <v>188.68292682926827</v>
      </c>
      <c r="M1803" s="4">
        <v>33.96292682926827</v>
      </c>
      <c r="N1803" t="s">
        <v>91</v>
      </c>
    </row>
    <row r="1804" spans="1:14">
      <c r="A1804">
        <v>1803</v>
      </c>
      <c r="B1804">
        <v>23</v>
      </c>
      <c r="C1804" t="s">
        <v>16</v>
      </c>
      <c r="D1804" t="s">
        <v>33</v>
      </c>
      <c r="E1804" t="s">
        <v>40</v>
      </c>
      <c r="F1804">
        <v>168.45</v>
      </c>
      <c r="G1804" t="s">
        <v>31</v>
      </c>
      <c r="H1804" t="s">
        <v>15</v>
      </c>
      <c r="I1804">
        <v>3.8</v>
      </c>
      <c r="J1804">
        <v>20</v>
      </c>
      <c r="K1804">
        <v>5</v>
      </c>
      <c r="L1804" s="4">
        <v>210.56249999999997</v>
      </c>
      <c r="M1804" s="4">
        <v>42.112499999999983</v>
      </c>
      <c r="N1804" t="s">
        <v>100</v>
      </c>
    </row>
    <row r="1805" spans="1:14">
      <c r="A1805">
        <v>1804</v>
      </c>
      <c r="B1805">
        <v>60</v>
      </c>
      <c r="C1805" t="s">
        <v>16</v>
      </c>
      <c r="D1805" t="s">
        <v>20</v>
      </c>
      <c r="E1805" t="s">
        <v>39</v>
      </c>
      <c r="F1805">
        <v>202.79</v>
      </c>
      <c r="G1805" t="s">
        <v>31</v>
      </c>
      <c r="H1805" t="s">
        <v>15</v>
      </c>
      <c r="I1805">
        <v>3</v>
      </c>
      <c r="J1805">
        <v>12</v>
      </c>
      <c r="K1805">
        <v>1</v>
      </c>
      <c r="L1805" s="4">
        <v>230.44318181818181</v>
      </c>
      <c r="M1805" s="4">
        <v>27.653181818181821</v>
      </c>
      <c r="N1805" t="s">
        <v>94</v>
      </c>
    </row>
    <row r="1806" spans="1:14">
      <c r="A1806">
        <v>1805</v>
      </c>
      <c r="B1806">
        <v>66</v>
      </c>
      <c r="C1806" t="s">
        <v>11</v>
      </c>
      <c r="D1806" t="s">
        <v>22</v>
      </c>
      <c r="E1806" t="s">
        <v>23</v>
      </c>
      <c r="F1806">
        <v>194.2</v>
      </c>
      <c r="G1806" t="s">
        <v>19</v>
      </c>
      <c r="H1806" t="s">
        <v>15</v>
      </c>
      <c r="I1806">
        <v>4.7</v>
      </c>
      <c r="J1806">
        <v>23</v>
      </c>
      <c r="K1806">
        <v>9</v>
      </c>
      <c r="L1806" s="4">
        <v>252.20779220779218</v>
      </c>
      <c r="M1806" s="4">
        <v>58.007792207792193</v>
      </c>
      <c r="N1806" t="s">
        <v>95</v>
      </c>
    </row>
    <row r="1807" spans="1:14">
      <c r="A1807">
        <v>1806</v>
      </c>
      <c r="B1807">
        <v>59</v>
      </c>
      <c r="C1807" t="s">
        <v>11</v>
      </c>
      <c r="D1807" t="s">
        <v>29</v>
      </c>
      <c r="E1807" t="s">
        <v>30</v>
      </c>
      <c r="F1807">
        <v>90.63</v>
      </c>
      <c r="G1807" t="s">
        <v>14</v>
      </c>
      <c r="H1807" t="s">
        <v>15</v>
      </c>
      <c r="I1807">
        <v>4.7</v>
      </c>
      <c r="J1807">
        <v>12</v>
      </c>
      <c r="K1807">
        <v>6</v>
      </c>
      <c r="L1807" s="4">
        <v>102.98863636363636</v>
      </c>
      <c r="M1807" s="4">
        <v>12.358636363636364</v>
      </c>
      <c r="N1807" t="s">
        <v>94</v>
      </c>
    </row>
    <row r="1808" spans="1:14">
      <c r="A1808">
        <v>1807</v>
      </c>
      <c r="B1808">
        <v>53</v>
      </c>
      <c r="C1808" t="s">
        <v>11</v>
      </c>
      <c r="D1808" t="s">
        <v>33</v>
      </c>
      <c r="E1808" t="s">
        <v>34</v>
      </c>
      <c r="F1808">
        <v>243.55</v>
      </c>
      <c r="G1808" t="s">
        <v>24</v>
      </c>
      <c r="H1808" t="s">
        <v>15</v>
      </c>
      <c r="I1808">
        <v>5</v>
      </c>
      <c r="J1808">
        <v>20</v>
      </c>
      <c r="K1808">
        <v>5</v>
      </c>
      <c r="L1808" s="4">
        <v>304.4375</v>
      </c>
      <c r="M1808" s="4">
        <v>60.887499999999989</v>
      </c>
      <c r="N1808" t="s">
        <v>93</v>
      </c>
    </row>
    <row r="1809" spans="1:14">
      <c r="A1809">
        <v>1808</v>
      </c>
      <c r="B1809">
        <v>30</v>
      </c>
      <c r="C1809" t="s">
        <v>16</v>
      </c>
      <c r="D1809" t="s">
        <v>25</v>
      </c>
      <c r="E1809" t="s">
        <v>47</v>
      </c>
      <c r="F1809">
        <v>38.880000000000003</v>
      </c>
      <c r="G1809" t="s">
        <v>14</v>
      </c>
      <c r="H1809" t="s">
        <v>37</v>
      </c>
      <c r="I1809">
        <v>4.0999999999999996</v>
      </c>
      <c r="J1809">
        <v>13</v>
      </c>
      <c r="K1809">
        <v>4</v>
      </c>
      <c r="L1809" s="4">
        <v>44.689655172413794</v>
      </c>
      <c r="M1809" s="4">
        <v>5.809655172413791</v>
      </c>
      <c r="N1809" t="s">
        <v>91</v>
      </c>
    </row>
    <row r="1810" spans="1:14">
      <c r="A1810">
        <v>1809</v>
      </c>
      <c r="B1810">
        <v>32</v>
      </c>
      <c r="C1810" t="s">
        <v>11</v>
      </c>
      <c r="D1810" t="s">
        <v>29</v>
      </c>
      <c r="E1810" t="s">
        <v>55</v>
      </c>
      <c r="F1810">
        <v>105.29</v>
      </c>
      <c r="G1810" t="s">
        <v>19</v>
      </c>
      <c r="H1810" t="s">
        <v>15</v>
      </c>
      <c r="I1810">
        <v>4</v>
      </c>
      <c r="J1810">
        <v>22</v>
      </c>
      <c r="K1810">
        <v>6</v>
      </c>
      <c r="L1810" s="4">
        <v>134.9871794871795</v>
      </c>
      <c r="M1810" s="4">
        <v>29.697179487179497</v>
      </c>
      <c r="N1810" t="s">
        <v>91</v>
      </c>
    </row>
    <row r="1811" spans="1:14">
      <c r="A1811">
        <v>1810</v>
      </c>
      <c r="B1811">
        <v>38</v>
      </c>
      <c r="C1811" t="s">
        <v>16</v>
      </c>
      <c r="D1811" t="s">
        <v>20</v>
      </c>
      <c r="E1811" t="s">
        <v>21</v>
      </c>
      <c r="F1811">
        <v>140.26</v>
      </c>
      <c r="G1811" t="s">
        <v>24</v>
      </c>
      <c r="H1811" t="s">
        <v>15</v>
      </c>
      <c r="I1811">
        <v>3.7</v>
      </c>
      <c r="J1811">
        <v>18</v>
      </c>
      <c r="K1811">
        <v>4</v>
      </c>
      <c r="L1811" s="4">
        <v>171.04878048780486</v>
      </c>
      <c r="M1811" s="4">
        <v>30.788780487804871</v>
      </c>
      <c r="N1811" t="s">
        <v>92</v>
      </c>
    </row>
    <row r="1812" spans="1:14">
      <c r="A1812">
        <v>1811</v>
      </c>
      <c r="B1812">
        <v>45</v>
      </c>
      <c r="C1812" t="s">
        <v>11</v>
      </c>
      <c r="D1812" t="s">
        <v>41</v>
      </c>
      <c r="E1812" t="s">
        <v>42</v>
      </c>
      <c r="F1812">
        <v>50.56</v>
      </c>
      <c r="G1812" t="s">
        <v>14</v>
      </c>
      <c r="H1812" t="s">
        <v>37</v>
      </c>
      <c r="I1812">
        <v>5</v>
      </c>
      <c r="J1812">
        <v>16</v>
      </c>
      <c r="K1812">
        <v>8</v>
      </c>
      <c r="L1812" s="4">
        <v>60.190476190476197</v>
      </c>
      <c r="M1812" s="4">
        <v>9.6304761904761946</v>
      </c>
      <c r="N1812" t="s">
        <v>93</v>
      </c>
    </row>
    <row r="1813" spans="1:14">
      <c r="A1813">
        <v>1812</v>
      </c>
      <c r="B1813">
        <v>53</v>
      </c>
      <c r="C1813" t="s">
        <v>11</v>
      </c>
      <c r="D1813" t="s">
        <v>25</v>
      </c>
      <c r="E1813" t="s">
        <v>54</v>
      </c>
      <c r="F1813">
        <v>40.869999999999997</v>
      </c>
      <c r="G1813" t="s">
        <v>14</v>
      </c>
      <c r="H1813" t="s">
        <v>15</v>
      </c>
      <c r="I1813">
        <v>3.9</v>
      </c>
      <c r="J1813">
        <v>12</v>
      </c>
      <c r="K1813">
        <v>1</v>
      </c>
      <c r="L1813" s="4">
        <v>46.443181818181813</v>
      </c>
      <c r="M1813" s="4">
        <v>5.5731818181818156</v>
      </c>
      <c r="N1813" t="s">
        <v>93</v>
      </c>
    </row>
    <row r="1814" spans="1:14">
      <c r="A1814">
        <v>1813</v>
      </c>
      <c r="B1814">
        <v>62</v>
      </c>
      <c r="C1814" t="s">
        <v>16</v>
      </c>
      <c r="D1814" t="s">
        <v>17</v>
      </c>
      <c r="E1814" t="s">
        <v>18</v>
      </c>
      <c r="F1814">
        <v>88.13</v>
      </c>
      <c r="G1814" t="s">
        <v>31</v>
      </c>
      <c r="H1814" t="s">
        <v>15</v>
      </c>
      <c r="I1814">
        <v>3.1</v>
      </c>
      <c r="J1814">
        <v>28</v>
      </c>
      <c r="K1814">
        <v>9</v>
      </c>
      <c r="L1814" s="4">
        <v>122.40277777777777</v>
      </c>
      <c r="M1814" s="4">
        <v>34.272777777777776</v>
      </c>
      <c r="N1814" t="s">
        <v>94</v>
      </c>
    </row>
    <row r="1815" spans="1:14">
      <c r="A1815">
        <v>1814</v>
      </c>
      <c r="B1815">
        <v>26</v>
      </c>
      <c r="C1815" t="s">
        <v>16</v>
      </c>
      <c r="D1815" t="s">
        <v>17</v>
      </c>
      <c r="E1815" t="s">
        <v>18</v>
      </c>
      <c r="F1815">
        <v>149.41999999999999</v>
      </c>
      <c r="G1815" t="s">
        <v>24</v>
      </c>
      <c r="H1815" t="s">
        <v>15</v>
      </c>
      <c r="I1815">
        <v>3.9</v>
      </c>
      <c r="J1815">
        <v>25</v>
      </c>
      <c r="K1815">
        <v>10</v>
      </c>
      <c r="L1815" s="4">
        <v>199.22666666666666</v>
      </c>
      <c r="M1815" s="4">
        <v>49.806666666666672</v>
      </c>
      <c r="N1815" t="s">
        <v>91</v>
      </c>
    </row>
    <row r="1816" spans="1:14">
      <c r="A1816">
        <v>1815</v>
      </c>
      <c r="B1816">
        <v>28</v>
      </c>
      <c r="C1816" t="s">
        <v>16</v>
      </c>
      <c r="D1816" t="s">
        <v>33</v>
      </c>
      <c r="E1816" t="s">
        <v>38</v>
      </c>
      <c r="F1816">
        <v>161.21</v>
      </c>
      <c r="G1816" t="s">
        <v>19</v>
      </c>
      <c r="H1816" t="s">
        <v>15</v>
      </c>
      <c r="I1816">
        <v>3.2</v>
      </c>
      <c r="J1816">
        <v>18</v>
      </c>
      <c r="K1816">
        <v>4</v>
      </c>
      <c r="L1816" s="4">
        <v>196.59756097560975</v>
      </c>
      <c r="M1816" s="4">
        <v>35.387560975609745</v>
      </c>
      <c r="N1816" t="s">
        <v>91</v>
      </c>
    </row>
    <row r="1817" spans="1:14">
      <c r="A1817">
        <v>1816</v>
      </c>
      <c r="B1817">
        <v>49</v>
      </c>
      <c r="C1817" t="s">
        <v>11</v>
      </c>
      <c r="D1817" t="s">
        <v>29</v>
      </c>
      <c r="E1817" t="s">
        <v>51</v>
      </c>
      <c r="F1817">
        <v>37.520000000000003</v>
      </c>
      <c r="G1817" t="s">
        <v>31</v>
      </c>
      <c r="H1817" t="s">
        <v>37</v>
      </c>
      <c r="I1817">
        <v>4.5</v>
      </c>
      <c r="J1817">
        <v>6</v>
      </c>
      <c r="K1817">
        <v>3</v>
      </c>
      <c r="L1817" s="4">
        <v>39.914893617021285</v>
      </c>
      <c r="M1817" s="4">
        <v>2.3948936170212818</v>
      </c>
      <c r="N1817" t="s">
        <v>93</v>
      </c>
    </row>
    <row r="1818" spans="1:14">
      <c r="A1818">
        <v>1817</v>
      </c>
      <c r="B1818">
        <v>60</v>
      </c>
      <c r="C1818" t="s">
        <v>16</v>
      </c>
      <c r="D1818" t="s">
        <v>20</v>
      </c>
      <c r="E1818" t="s">
        <v>36</v>
      </c>
      <c r="F1818">
        <v>126.98</v>
      </c>
      <c r="G1818" t="s">
        <v>14</v>
      </c>
      <c r="H1818" t="s">
        <v>15</v>
      </c>
      <c r="I1818">
        <v>5</v>
      </c>
      <c r="J1818">
        <v>22</v>
      </c>
      <c r="K1818">
        <v>6</v>
      </c>
      <c r="L1818" s="4">
        <v>162.7948717948718</v>
      </c>
      <c r="M1818" s="4">
        <v>35.814871794871792</v>
      </c>
      <c r="N1818" t="s">
        <v>94</v>
      </c>
    </row>
    <row r="1819" spans="1:14">
      <c r="A1819">
        <v>1818</v>
      </c>
      <c r="B1819">
        <v>36</v>
      </c>
      <c r="C1819" t="s">
        <v>16</v>
      </c>
      <c r="D1819" t="s">
        <v>33</v>
      </c>
      <c r="E1819" t="s">
        <v>38</v>
      </c>
      <c r="F1819">
        <v>229.83</v>
      </c>
      <c r="G1819" t="s">
        <v>31</v>
      </c>
      <c r="H1819" t="s">
        <v>15</v>
      </c>
      <c r="I1819">
        <v>4.8</v>
      </c>
      <c r="J1819">
        <v>8</v>
      </c>
      <c r="K1819">
        <v>4</v>
      </c>
      <c r="L1819" s="4">
        <v>249.81521739130434</v>
      </c>
      <c r="M1819" s="4">
        <v>19.985217391304332</v>
      </c>
      <c r="N1819" t="s">
        <v>92</v>
      </c>
    </row>
    <row r="1820" spans="1:14">
      <c r="A1820">
        <v>1819</v>
      </c>
      <c r="B1820">
        <v>57</v>
      </c>
      <c r="C1820" t="s">
        <v>11</v>
      </c>
      <c r="D1820" t="s">
        <v>12</v>
      </c>
      <c r="E1820" t="s">
        <v>56</v>
      </c>
      <c r="F1820">
        <v>179.83</v>
      </c>
      <c r="G1820" t="s">
        <v>31</v>
      </c>
      <c r="H1820" t="s">
        <v>15</v>
      </c>
      <c r="I1820">
        <v>2.4</v>
      </c>
      <c r="J1820">
        <v>13</v>
      </c>
      <c r="K1820">
        <v>4</v>
      </c>
      <c r="L1820" s="4">
        <v>206.70114942528738</v>
      </c>
      <c r="M1820" s="4">
        <v>26.871149425287371</v>
      </c>
      <c r="N1820" t="s">
        <v>94</v>
      </c>
    </row>
    <row r="1821" spans="1:14">
      <c r="A1821">
        <v>1820</v>
      </c>
      <c r="B1821">
        <v>21</v>
      </c>
      <c r="C1821" t="s">
        <v>16</v>
      </c>
      <c r="D1821" t="s">
        <v>33</v>
      </c>
      <c r="E1821" t="s">
        <v>40</v>
      </c>
      <c r="F1821">
        <v>231.92</v>
      </c>
      <c r="G1821" t="s">
        <v>24</v>
      </c>
      <c r="H1821" t="s">
        <v>15</v>
      </c>
      <c r="I1821">
        <v>4.7</v>
      </c>
      <c r="J1821">
        <v>26</v>
      </c>
      <c r="K1821">
        <v>8</v>
      </c>
      <c r="L1821" s="4">
        <v>313.40540540540542</v>
      </c>
      <c r="M1821" s="4">
        <v>81.48540540540543</v>
      </c>
      <c r="N1821" t="s">
        <v>100</v>
      </c>
    </row>
    <row r="1822" spans="1:14">
      <c r="A1822">
        <v>1821</v>
      </c>
      <c r="B1822">
        <v>55</v>
      </c>
      <c r="C1822" t="s">
        <v>11</v>
      </c>
      <c r="D1822" t="s">
        <v>33</v>
      </c>
      <c r="E1822" t="s">
        <v>34</v>
      </c>
      <c r="F1822">
        <v>108.55</v>
      </c>
      <c r="G1822" t="s">
        <v>31</v>
      </c>
      <c r="H1822" t="s">
        <v>15</v>
      </c>
      <c r="I1822">
        <v>4</v>
      </c>
      <c r="J1822">
        <v>12</v>
      </c>
      <c r="K1822">
        <v>1</v>
      </c>
      <c r="L1822" s="4">
        <v>123.35227272727272</v>
      </c>
      <c r="M1822" s="4">
        <v>14.802272727272722</v>
      </c>
      <c r="N1822" t="s">
        <v>94</v>
      </c>
    </row>
    <row r="1823" spans="1:14">
      <c r="A1823">
        <v>1822</v>
      </c>
      <c r="B1823">
        <v>39</v>
      </c>
      <c r="C1823" t="s">
        <v>16</v>
      </c>
      <c r="D1823" t="s">
        <v>33</v>
      </c>
      <c r="E1823" t="s">
        <v>38</v>
      </c>
      <c r="F1823">
        <v>40.97</v>
      </c>
      <c r="G1823" t="s">
        <v>14</v>
      </c>
      <c r="H1823" t="s">
        <v>15</v>
      </c>
      <c r="I1823">
        <v>3.9</v>
      </c>
      <c r="J1823">
        <v>24</v>
      </c>
      <c r="K1823">
        <v>12</v>
      </c>
      <c r="L1823" s="4">
        <v>53.907894736842103</v>
      </c>
      <c r="M1823" s="4">
        <v>12.937894736842104</v>
      </c>
      <c r="N1823" t="s">
        <v>92</v>
      </c>
    </row>
    <row r="1824" spans="1:14">
      <c r="A1824">
        <v>1823</v>
      </c>
      <c r="B1824">
        <v>35</v>
      </c>
      <c r="C1824" t="s">
        <v>11</v>
      </c>
      <c r="D1824" t="s">
        <v>29</v>
      </c>
      <c r="E1824" t="s">
        <v>51</v>
      </c>
      <c r="F1824">
        <v>72.38</v>
      </c>
      <c r="G1824" t="s">
        <v>14</v>
      </c>
      <c r="H1824" t="s">
        <v>15</v>
      </c>
      <c r="I1824">
        <v>4.2</v>
      </c>
      <c r="J1824">
        <v>18</v>
      </c>
      <c r="K1824">
        <v>9</v>
      </c>
      <c r="L1824" s="4">
        <v>88.268292682926813</v>
      </c>
      <c r="M1824" s="4">
        <v>15.888292682926817</v>
      </c>
      <c r="N1824" t="s">
        <v>92</v>
      </c>
    </row>
    <row r="1825" spans="1:14">
      <c r="A1825">
        <v>1824</v>
      </c>
      <c r="B1825">
        <v>54</v>
      </c>
      <c r="C1825" t="s">
        <v>16</v>
      </c>
      <c r="D1825" t="s">
        <v>17</v>
      </c>
      <c r="E1825" t="s">
        <v>42</v>
      </c>
      <c r="F1825">
        <v>77.650000000000006</v>
      </c>
      <c r="G1825" t="s">
        <v>19</v>
      </c>
      <c r="H1825" t="s">
        <v>15</v>
      </c>
      <c r="I1825">
        <v>2.7</v>
      </c>
      <c r="J1825">
        <v>15</v>
      </c>
      <c r="K1825">
        <v>5</v>
      </c>
      <c r="L1825" s="4">
        <v>91.352941176470594</v>
      </c>
      <c r="M1825" s="4">
        <v>13.702941176470588</v>
      </c>
      <c r="N1825" t="s">
        <v>93</v>
      </c>
    </row>
    <row r="1826" spans="1:14">
      <c r="A1826">
        <v>1825</v>
      </c>
      <c r="B1826">
        <v>34</v>
      </c>
      <c r="C1826" t="s">
        <v>11</v>
      </c>
      <c r="D1826" t="s">
        <v>29</v>
      </c>
      <c r="E1826" t="s">
        <v>30</v>
      </c>
      <c r="F1826">
        <v>63.86</v>
      </c>
      <c r="G1826" t="s">
        <v>19</v>
      </c>
      <c r="H1826" t="s">
        <v>37</v>
      </c>
      <c r="I1826">
        <v>2.5</v>
      </c>
      <c r="J1826">
        <v>13</v>
      </c>
      <c r="K1826">
        <v>4</v>
      </c>
      <c r="L1826" s="4">
        <v>73.402298850574709</v>
      </c>
      <c r="M1826" s="4">
        <v>9.5422988505747099</v>
      </c>
      <c r="N1826" t="s">
        <v>91</v>
      </c>
    </row>
    <row r="1827" spans="1:14">
      <c r="A1827">
        <v>1826</v>
      </c>
      <c r="B1827">
        <v>61</v>
      </c>
      <c r="C1827" t="s">
        <v>16</v>
      </c>
      <c r="D1827" t="s">
        <v>25</v>
      </c>
      <c r="E1827" t="s">
        <v>57</v>
      </c>
      <c r="F1827">
        <v>75.86</v>
      </c>
      <c r="G1827" t="s">
        <v>14</v>
      </c>
      <c r="H1827" t="s">
        <v>15</v>
      </c>
      <c r="I1827">
        <v>4</v>
      </c>
      <c r="J1827">
        <v>10</v>
      </c>
      <c r="K1827">
        <v>5</v>
      </c>
      <c r="L1827" s="4">
        <v>84.288888888888891</v>
      </c>
      <c r="M1827" s="4">
        <v>8.428888888888892</v>
      </c>
      <c r="N1827" t="s">
        <v>94</v>
      </c>
    </row>
    <row r="1828" spans="1:14">
      <c r="A1828">
        <v>1827</v>
      </c>
      <c r="B1828">
        <v>42</v>
      </c>
      <c r="C1828" t="s">
        <v>11</v>
      </c>
      <c r="D1828" t="s">
        <v>12</v>
      </c>
      <c r="E1828" t="s">
        <v>50</v>
      </c>
      <c r="F1828">
        <v>37.67</v>
      </c>
      <c r="G1828" t="s">
        <v>14</v>
      </c>
      <c r="H1828" t="s">
        <v>15</v>
      </c>
      <c r="I1828">
        <v>3.2</v>
      </c>
      <c r="J1828">
        <v>26</v>
      </c>
      <c r="K1828">
        <v>8</v>
      </c>
      <c r="L1828" s="4">
        <v>50.905405405405411</v>
      </c>
      <c r="M1828" s="4">
        <v>13.235405405405409</v>
      </c>
      <c r="N1828" t="s">
        <v>92</v>
      </c>
    </row>
    <row r="1829" spans="1:14">
      <c r="A1829">
        <v>1828</v>
      </c>
      <c r="B1829">
        <v>28</v>
      </c>
      <c r="C1829" t="s">
        <v>11</v>
      </c>
      <c r="D1829" t="s">
        <v>12</v>
      </c>
      <c r="E1829" t="s">
        <v>13</v>
      </c>
      <c r="F1829">
        <v>120.28</v>
      </c>
      <c r="G1829" t="s">
        <v>24</v>
      </c>
      <c r="H1829" t="s">
        <v>15</v>
      </c>
      <c r="I1829">
        <v>3.5</v>
      </c>
      <c r="J1829">
        <v>13</v>
      </c>
      <c r="K1829">
        <v>4</v>
      </c>
      <c r="L1829" s="4">
        <v>138.2528735632184</v>
      </c>
      <c r="M1829" s="4">
        <v>17.9728735632184</v>
      </c>
      <c r="N1829" t="s">
        <v>91</v>
      </c>
    </row>
    <row r="1830" spans="1:14">
      <c r="A1830">
        <v>1829</v>
      </c>
      <c r="B1830">
        <v>30</v>
      </c>
      <c r="C1830" t="s">
        <v>16</v>
      </c>
      <c r="D1830" t="s">
        <v>25</v>
      </c>
      <c r="E1830" t="s">
        <v>26</v>
      </c>
      <c r="F1830">
        <v>38.97</v>
      </c>
      <c r="G1830" t="s">
        <v>19</v>
      </c>
      <c r="H1830" t="s">
        <v>15</v>
      </c>
      <c r="I1830">
        <v>3.6</v>
      </c>
      <c r="J1830">
        <v>6</v>
      </c>
      <c r="K1830">
        <v>3</v>
      </c>
      <c r="L1830" s="4">
        <v>41.457446808510639</v>
      </c>
      <c r="M1830" s="4">
        <v>2.48744680851064</v>
      </c>
      <c r="N1830" t="s">
        <v>91</v>
      </c>
    </row>
    <row r="1831" spans="1:14">
      <c r="A1831">
        <v>1830</v>
      </c>
      <c r="B1831">
        <v>32</v>
      </c>
      <c r="C1831" t="s">
        <v>11</v>
      </c>
      <c r="D1831" t="s">
        <v>20</v>
      </c>
      <c r="E1831" t="s">
        <v>39</v>
      </c>
      <c r="F1831">
        <v>140.66</v>
      </c>
      <c r="G1831" t="s">
        <v>24</v>
      </c>
      <c r="H1831" t="s">
        <v>15</v>
      </c>
      <c r="I1831">
        <v>3</v>
      </c>
      <c r="J1831">
        <v>12</v>
      </c>
      <c r="K1831">
        <v>6</v>
      </c>
      <c r="L1831" s="4">
        <v>159.84090909090909</v>
      </c>
      <c r="M1831" s="4">
        <v>19.180909090909097</v>
      </c>
      <c r="N1831" t="s">
        <v>91</v>
      </c>
    </row>
    <row r="1832" spans="1:14">
      <c r="A1832">
        <v>1831</v>
      </c>
      <c r="B1832">
        <v>63</v>
      </c>
      <c r="C1832" t="s">
        <v>11</v>
      </c>
      <c r="D1832" t="s">
        <v>20</v>
      </c>
      <c r="E1832" t="s">
        <v>39</v>
      </c>
      <c r="F1832">
        <v>229.74</v>
      </c>
      <c r="G1832" t="s">
        <v>14</v>
      </c>
      <c r="H1832" t="s">
        <v>15</v>
      </c>
      <c r="I1832">
        <v>4.4000000000000004</v>
      </c>
      <c r="J1832">
        <v>17</v>
      </c>
      <c r="K1832">
        <v>6</v>
      </c>
      <c r="L1832" s="4">
        <v>276.79518072289159</v>
      </c>
      <c r="M1832" s="4">
        <v>47.055180722891578</v>
      </c>
      <c r="N1832" t="s">
        <v>94</v>
      </c>
    </row>
    <row r="1833" spans="1:14">
      <c r="A1833">
        <v>1832</v>
      </c>
      <c r="B1833">
        <v>27</v>
      </c>
      <c r="C1833" t="s">
        <v>11</v>
      </c>
      <c r="D1833" t="s">
        <v>22</v>
      </c>
      <c r="E1833" t="s">
        <v>43</v>
      </c>
      <c r="F1833">
        <v>191.41</v>
      </c>
      <c r="G1833" t="s">
        <v>19</v>
      </c>
      <c r="H1833" t="s">
        <v>15</v>
      </c>
      <c r="I1833">
        <v>4.5</v>
      </c>
      <c r="J1833">
        <v>6</v>
      </c>
      <c r="K1833">
        <v>3</v>
      </c>
      <c r="L1833" s="4">
        <v>203.62765957446808</v>
      </c>
      <c r="M1833" s="4">
        <v>12.217659574468087</v>
      </c>
      <c r="N1833" t="s">
        <v>91</v>
      </c>
    </row>
    <row r="1834" spans="1:14">
      <c r="A1834">
        <v>1833</v>
      </c>
      <c r="B1834">
        <v>37</v>
      </c>
      <c r="C1834" t="s">
        <v>16</v>
      </c>
      <c r="D1834" t="s">
        <v>20</v>
      </c>
      <c r="E1834" t="s">
        <v>21</v>
      </c>
      <c r="F1834">
        <v>165.73</v>
      </c>
      <c r="G1834" t="s">
        <v>14</v>
      </c>
      <c r="H1834" t="s">
        <v>15</v>
      </c>
      <c r="I1834">
        <v>3.5</v>
      </c>
      <c r="J1834">
        <v>6</v>
      </c>
      <c r="K1834">
        <v>3</v>
      </c>
      <c r="L1834" s="4">
        <v>176.30851063829786</v>
      </c>
      <c r="M1834" s="4">
        <v>10.578510638297871</v>
      </c>
      <c r="N1834" t="s">
        <v>92</v>
      </c>
    </row>
    <row r="1835" spans="1:14">
      <c r="A1835">
        <v>1834</v>
      </c>
      <c r="B1835">
        <v>54</v>
      </c>
      <c r="C1835" t="s">
        <v>16</v>
      </c>
      <c r="D1835" t="s">
        <v>27</v>
      </c>
      <c r="E1835" t="s">
        <v>28</v>
      </c>
      <c r="F1835">
        <v>2817.12</v>
      </c>
      <c r="G1835" t="s">
        <v>24</v>
      </c>
      <c r="H1835" t="s">
        <v>15</v>
      </c>
      <c r="I1835">
        <v>4</v>
      </c>
      <c r="J1835">
        <v>18</v>
      </c>
      <c r="K1835">
        <v>4</v>
      </c>
      <c r="L1835" s="4">
        <v>3435.5121951219508</v>
      </c>
      <c r="M1835" s="4">
        <v>618.39219512195086</v>
      </c>
      <c r="N1835" t="s">
        <v>93</v>
      </c>
    </row>
    <row r="1836" spans="1:14">
      <c r="A1836">
        <v>1835</v>
      </c>
      <c r="B1836">
        <v>34</v>
      </c>
      <c r="C1836" t="s">
        <v>16</v>
      </c>
      <c r="D1836" t="s">
        <v>33</v>
      </c>
      <c r="E1836" t="s">
        <v>34</v>
      </c>
      <c r="F1836">
        <v>243.34</v>
      </c>
      <c r="G1836" t="s">
        <v>24</v>
      </c>
      <c r="H1836" t="s">
        <v>15</v>
      </c>
      <c r="I1836">
        <v>3.5</v>
      </c>
      <c r="J1836">
        <v>11</v>
      </c>
      <c r="K1836">
        <v>3</v>
      </c>
      <c r="L1836" s="4">
        <v>273.41573033707863</v>
      </c>
      <c r="M1836" s="4">
        <v>30.075730337078625</v>
      </c>
      <c r="N1836" t="s">
        <v>91</v>
      </c>
    </row>
    <row r="1837" spans="1:14">
      <c r="A1837">
        <v>1836</v>
      </c>
      <c r="B1837">
        <v>56</v>
      </c>
      <c r="C1837" t="s">
        <v>16</v>
      </c>
      <c r="D1837" t="s">
        <v>27</v>
      </c>
      <c r="E1837" t="s">
        <v>32</v>
      </c>
      <c r="F1837">
        <v>1574.28</v>
      </c>
      <c r="G1837" t="s">
        <v>19</v>
      </c>
      <c r="H1837" t="s">
        <v>15</v>
      </c>
      <c r="I1837">
        <v>3.3</v>
      </c>
      <c r="J1837">
        <v>13</v>
      </c>
      <c r="K1837">
        <v>4</v>
      </c>
      <c r="L1837" s="4">
        <v>1809.5172413793102</v>
      </c>
      <c r="M1837" s="4">
        <v>235.23724137931026</v>
      </c>
      <c r="N1837" t="s">
        <v>94</v>
      </c>
    </row>
    <row r="1838" spans="1:14">
      <c r="A1838">
        <v>1837</v>
      </c>
      <c r="B1838">
        <v>28</v>
      </c>
      <c r="C1838" t="s">
        <v>11</v>
      </c>
      <c r="D1838" t="s">
        <v>12</v>
      </c>
      <c r="E1838" t="s">
        <v>13</v>
      </c>
      <c r="F1838">
        <v>142.54</v>
      </c>
      <c r="G1838" t="s">
        <v>31</v>
      </c>
      <c r="H1838" t="s">
        <v>15</v>
      </c>
      <c r="I1838">
        <v>4.7</v>
      </c>
      <c r="J1838">
        <v>20</v>
      </c>
      <c r="K1838">
        <v>10</v>
      </c>
      <c r="L1838" s="4">
        <v>178.17499999999998</v>
      </c>
      <c r="M1838" s="4">
        <v>35.634999999999991</v>
      </c>
      <c r="N1838" t="s">
        <v>91</v>
      </c>
    </row>
    <row r="1839" spans="1:14">
      <c r="A1839">
        <v>1838</v>
      </c>
      <c r="B1839">
        <v>26</v>
      </c>
      <c r="C1839" t="s">
        <v>16</v>
      </c>
      <c r="D1839" t="s">
        <v>20</v>
      </c>
      <c r="E1839" t="s">
        <v>21</v>
      </c>
      <c r="F1839">
        <v>138.28</v>
      </c>
      <c r="G1839" t="s">
        <v>14</v>
      </c>
      <c r="H1839" t="s">
        <v>15</v>
      </c>
      <c r="I1839">
        <v>4</v>
      </c>
      <c r="J1839">
        <v>15</v>
      </c>
      <c r="K1839">
        <v>5</v>
      </c>
      <c r="L1839" s="4">
        <v>162.68235294117648</v>
      </c>
      <c r="M1839" s="4">
        <v>24.402352941176474</v>
      </c>
      <c r="N1839" t="s">
        <v>91</v>
      </c>
    </row>
    <row r="1840" spans="1:14">
      <c r="A1840">
        <v>1839</v>
      </c>
      <c r="B1840">
        <v>64</v>
      </c>
      <c r="C1840" t="s">
        <v>11</v>
      </c>
      <c r="D1840" t="s">
        <v>41</v>
      </c>
      <c r="E1840" t="s">
        <v>45</v>
      </c>
      <c r="F1840">
        <v>82.07</v>
      </c>
      <c r="G1840" t="s">
        <v>24</v>
      </c>
      <c r="H1840" t="s">
        <v>15</v>
      </c>
      <c r="I1840">
        <v>4.4000000000000004</v>
      </c>
      <c r="J1840">
        <v>9</v>
      </c>
      <c r="K1840">
        <v>2</v>
      </c>
      <c r="L1840" s="4">
        <v>90.186813186813183</v>
      </c>
      <c r="M1840" s="4">
        <v>8.1168131868131894</v>
      </c>
      <c r="N1840" t="s">
        <v>94</v>
      </c>
    </row>
    <row r="1841" spans="1:14">
      <c r="A1841">
        <v>1840</v>
      </c>
      <c r="B1841">
        <v>64</v>
      </c>
      <c r="C1841" t="s">
        <v>11</v>
      </c>
      <c r="D1841" t="s">
        <v>12</v>
      </c>
      <c r="E1841" t="s">
        <v>56</v>
      </c>
      <c r="F1841">
        <v>137.63999999999999</v>
      </c>
      <c r="G1841" t="s">
        <v>24</v>
      </c>
      <c r="H1841" t="s">
        <v>15</v>
      </c>
      <c r="I1841">
        <v>2.9</v>
      </c>
      <c r="J1841">
        <v>24</v>
      </c>
      <c r="K1841">
        <v>7</v>
      </c>
      <c r="L1841" s="4">
        <v>181.10526315789471</v>
      </c>
      <c r="M1841" s="4">
        <v>43.465263157894725</v>
      </c>
      <c r="N1841" t="s">
        <v>94</v>
      </c>
    </row>
    <row r="1842" spans="1:14">
      <c r="A1842">
        <v>1841</v>
      </c>
      <c r="B1842">
        <v>64</v>
      </c>
      <c r="C1842" t="s">
        <v>11</v>
      </c>
      <c r="D1842" t="s">
        <v>12</v>
      </c>
      <c r="E1842" t="s">
        <v>50</v>
      </c>
      <c r="F1842">
        <v>69.56</v>
      </c>
      <c r="G1842" t="s">
        <v>24</v>
      </c>
      <c r="H1842" t="s">
        <v>37</v>
      </c>
      <c r="I1842">
        <v>3.2</v>
      </c>
      <c r="J1842">
        <v>23</v>
      </c>
      <c r="K1842">
        <v>9</v>
      </c>
      <c r="L1842" s="4">
        <v>90.337662337662337</v>
      </c>
      <c r="M1842" s="4">
        <v>20.777662337662335</v>
      </c>
      <c r="N1842" t="s">
        <v>94</v>
      </c>
    </row>
    <row r="1843" spans="1:14">
      <c r="A1843">
        <v>1842</v>
      </c>
      <c r="B1843">
        <v>40</v>
      </c>
      <c r="C1843" t="s">
        <v>16</v>
      </c>
      <c r="D1843" t="s">
        <v>17</v>
      </c>
      <c r="E1843" t="s">
        <v>48</v>
      </c>
      <c r="F1843">
        <v>119.18</v>
      </c>
      <c r="G1843" t="s">
        <v>31</v>
      </c>
      <c r="H1843" t="s">
        <v>15</v>
      </c>
      <c r="I1843">
        <v>4</v>
      </c>
      <c r="J1843">
        <v>24</v>
      </c>
      <c r="K1843">
        <v>7</v>
      </c>
      <c r="L1843" s="4">
        <v>156.81578947368422</v>
      </c>
      <c r="M1843" s="4">
        <v>37.635789473684213</v>
      </c>
      <c r="N1843" t="s">
        <v>92</v>
      </c>
    </row>
    <row r="1844" spans="1:14">
      <c r="A1844">
        <v>1843</v>
      </c>
      <c r="B1844">
        <v>28</v>
      </c>
      <c r="C1844" t="s">
        <v>16</v>
      </c>
      <c r="D1844" t="s">
        <v>20</v>
      </c>
      <c r="E1844" t="s">
        <v>39</v>
      </c>
      <c r="F1844">
        <v>197.53</v>
      </c>
      <c r="G1844" t="s">
        <v>24</v>
      </c>
      <c r="H1844" t="s">
        <v>15</v>
      </c>
      <c r="I1844">
        <v>4.0999999999999996</v>
      </c>
      <c r="J1844">
        <v>22</v>
      </c>
      <c r="K1844">
        <v>6</v>
      </c>
      <c r="L1844" s="4">
        <v>253.24358974358972</v>
      </c>
      <c r="M1844" s="4">
        <v>55.713589743589722</v>
      </c>
      <c r="N1844" t="s">
        <v>91</v>
      </c>
    </row>
    <row r="1845" spans="1:14">
      <c r="A1845">
        <v>1844</v>
      </c>
      <c r="B1845">
        <v>63</v>
      </c>
      <c r="C1845" t="s">
        <v>11</v>
      </c>
      <c r="D1845" t="s">
        <v>33</v>
      </c>
      <c r="E1845" t="s">
        <v>38</v>
      </c>
      <c r="F1845">
        <v>183.93</v>
      </c>
      <c r="G1845" t="s">
        <v>14</v>
      </c>
      <c r="H1845" t="s">
        <v>15</v>
      </c>
      <c r="I1845">
        <v>4.7</v>
      </c>
      <c r="J1845">
        <v>22</v>
      </c>
      <c r="K1845">
        <v>6</v>
      </c>
      <c r="L1845" s="4">
        <v>235.80769230769232</v>
      </c>
      <c r="M1845" s="4">
        <v>51.877692307692314</v>
      </c>
      <c r="N1845" t="s">
        <v>94</v>
      </c>
    </row>
    <row r="1846" spans="1:14">
      <c r="A1846">
        <v>1845</v>
      </c>
      <c r="B1846">
        <v>54</v>
      </c>
      <c r="C1846" t="s">
        <v>16</v>
      </c>
      <c r="D1846" t="s">
        <v>27</v>
      </c>
      <c r="E1846" t="s">
        <v>28</v>
      </c>
      <c r="F1846">
        <v>1324.31</v>
      </c>
      <c r="G1846" t="s">
        <v>31</v>
      </c>
      <c r="H1846" t="s">
        <v>15</v>
      </c>
      <c r="I1846">
        <v>3.5</v>
      </c>
      <c r="J1846">
        <v>18</v>
      </c>
      <c r="K1846">
        <v>4</v>
      </c>
      <c r="L1846" s="4">
        <v>1615.012195121951</v>
      </c>
      <c r="M1846" s="4">
        <v>290.70219512195104</v>
      </c>
      <c r="N1846" t="s">
        <v>93</v>
      </c>
    </row>
    <row r="1847" spans="1:14">
      <c r="A1847">
        <v>1846</v>
      </c>
      <c r="B1847">
        <v>57</v>
      </c>
      <c r="C1847" t="s">
        <v>16</v>
      </c>
      <c r="D1847" t="s">
        <v>33</v>
      </c>
      <c r="E1847" t="s">
        <v>38</v>
      </c>
      <c r="F1847">
        <v>192.19</v>
      </c>
      <c r="G1847" t="s">
        <v>14</v>
      </c>
      <c r="H1847" t="s">
        <v>15</v>
      </c>
      <c r="I1847">
        <v>3.8</v>
      </c>
      <c r="J1847">
        <v>8</v>
      </c>
      <c r="K1847">
        <v>4</v>
      </c>
      <c r="L1847" s="4">
        <v>208.90217391304347</v>
      </c>
      <c r="M1847" s="4">
        <v>16.712173913043472</v>
      </c>
      <c r="N1847" t="s">
        <v>94</v>
      </c>
    </row>
    <row r="1848" spans="1:14">
      <c r="A1848">
        <v>1847</v>
      </c>
      <c r="B1848">
        <v>34</v>
      </c>
      <c r="C1848" t="s">
        <v>16</v>
      </c>
      <c r="D1848" t="s">
        <v>20</v>
      </c>
      <c r="E1848" t="s">
        <v>39</v>
      </c>
      <c r="F1848">
        <v>111.77</v>
      </c>
      <c r="G1848" t="s">
        <v>19</v>
      </c>
      <c r="H1848" t="s">
        <v>15</v>
      </c>
      <c r="I1848">
        <v>4.5999999999999996</v>
      </c>
      <c r="J1848">
        <v>12</v>
      </c>
      <c r="K1848">
        <v>1</v>
      </c>
      <c r="L1848" s="4">
        <v>127.01136363636363</v>
      </c>
      <c r="M1848" s="4">
        <v>15.24136363636363</v>
      </c>
      <c r="N1848" t="s">
        <v>91</v>
      </c>
    </row>
    <row r="1849" spans="1:14">
      <c r="A1849">
        <v>1848</v>
      </c>
      <c r="B1849">
        <v>52</v>
      </c>
      <c r="C1849" t="s">
        <v>16</v>
      </c>
      <c r="D1849" t="s">
        <v>20</v>
      </c>
      <c r="E1849" t="s">
        <v>21</v>
      </c>
      <c r="F1849">
        <v>105.58</v>
      </c>
      <c r="G1849" t="s">
        <v>31</v>
      </c>
      <c r="H1849" t="s">
        <v>15</v>
      </c>
      <c r="I1849">
        <v>3.2</v>
      </c>
      <c r="J1849">
        <v>17</v>
      </c>
      <c r="K1849">
        <v>6</v>
      </c>
      <c r="L1849" s="4">
        <v>127.20481927710844</v>
      </c>
      <c r="M1849" s="4">
        <v>21.624819277108443</v>
      </c>
      <c r="N1849" t="s">
        <v>93</v>
      </c>
    </row>
    <row r="1850" spans="1:14">
      <c r="A1850">
        <v>1849</v>
      </c>
      <c r="B1850">
        <v>44</v>
      </c>
      <c r="C1850" t="s">
        <v>11</v>
      </c>
      <c r="D1850" t="s">
        <v>29</v>
      </c>
      <c r="E1850" t="s">
        <v>30</v>
      </c>
      <c r="F1850">
        <v>57.25</v>
      </c>
      <c r="G1850" t="s">
        <v>31</v>
      </c>
      <c r="H1850" t="s">
        <v>37</v>
      </c>
      <c r="I1850">
        <v>3.3</v>
      </c>
      <c r="J1850">
        <v>10</v>
      </c>
      <c r="K1850">
        <v>5</v>
      </c>
      <c r="L1850" s="4">
        <v>63.611111111111107</v>
      </c>
      <c r="M1850" s="4">
        <v>6.3611111111111072</v>
      </c>
      <c r="N1850" t="s">
        <v>92</v>
      </c>
    </row>
    <row r="1851" spans="1:14">
      <c r="A1851">
        <v>1850</v>
      </c>
      <c r="B1851">
        <v>43</v>
      </c>
      <c r="C1851" t="s">
        <v>11</v>
      </c>
      <c r="D1851" t="s">
        <v>29</v>
      </c>
      <c r="E1851" t="s">
        <v>51</v>
      </c>
      <c r="F1851">
        <v>146.27000000000001</v>
      </c>
      <c r="G1851" t="s">
        <v>24</v>
      </c>
      <c r="H1851" t="s">
        <v>15</v>
      </c>
      <c r="I1851">
        <v>3.1</v>
      </c>
      <c r="J1851">
        <v>18</v>
      </c>
      <c r="K1851">
        <v>4</v>
      </c>
      <c r="L1851" s="4">
        <v>178.3780487804878</v>
      </c>
      <c r="M1851" s="4">
        <v>32.108048780487792</v>
      </c>
      <c r="N1851" t="s">
        <v>92</v>
      </c>
    </row>
    <row r="1852" spans="1:14">
      <c r="A1852">
        <v>1851</v>
      </c>
      <c r="B1852">
        <v>63</v>
      </c>
      <c r="C1852" t="s">
        <v>11</v>
      </c>
      <c r="D1852" t="s">
        <v>12</v>
      </c>
      <c r="E1852" t="s">
        <v>56</v>
      </c>
      <c r="F1852">
        <v>137.27000000000001</v>
      </c>
      <c r="G1852" t="s">
        <v>24</v>
      </c>
      <c r="H1852" t="s">
        <v>15</v>
      </c>
      <c r="I1852">
        <v>4.4000000000000004</v>
      </c>
      <c r="J1852">
        <v>6</v>
      </c>
      <c r="K1852">
        <v>3</v>
      </c>
      <c r="L1852" s="4">
        <v>146.03191489361703</v>
      </c>
      <c r="M1852" s="4">
        <v>8.7619148936170177</v>
      </c>
      <c r="N1852" t="s">
        <v>94</v>
      </c>
    </row>
    <row r="1853" spans="1:14">
      <c r="A1853">
        <v>1852</v>
      </c>
      <c r="B1853">
        <v>37</v>
      </c>
      <c r="C1853" t="s">
        <v>16</v>
      </c>
      <c r="D1853" t="s">
        <v>17</v>
      </c>
      <c r="E1853" t="s">
        <v>42</v>
      </c>
      <c r="F1853">
        <v>79.69</v>
      </c>
      <c r="G1853" t="s">
        <v>14</v>
      </c>
      <c r="H1853" t="s">
        <v>37</v>
      </c>
      <c r="I1853">
        <v>4.3</v>
      </c>
      <c r="J1853">
        <v>4</v>
      </c>
      <c r="K1853">
        <v>2</v>
      </c>
      <c r="L1853" s="4">
        <v>83.010416666666671</v>
      </c>
      <c r="M1853" s="4">
        <v>3.3204166666666737</v>
      </c>
      <c r="N1853" t="s">
        <v>92</v>
      </c>
    </row>
    <row r="1854" spans="1:14">
      <c r="A1854">
        <v>1853</v>
      </c>
      <c r="B1854">
        <v>48</v>
      </c>
      <c r="C1854" t="s">
        <v>11</v>
      </c>
      <c r="D1854" t="s">
        <v>29</v>
      </c>
      <c r="E1854" t="s">
        <v>51</v>
      </c>
      <c r="F1854">
        <v>29.31</v>
      </c>
      <c r="G1854" t="s">
        <v>24</v>
      </c>
      <c r="H1854" t="s">
        <v>15</v>
      </c>
      <c r="I1854">
        <v>4.9000000000000004</v>
      </c>
      <c r="J1854">
        <v>18</v>
      </c>
      <c r="K1854">
        <v>4</v>
      </c>
      <c r="L1854" s="4">
        <v>35.743902439024389</v>
      </c>
      <c r="M1854" s="4">
        <v>6.43390243902439</v>
      </c>
      <c r="N1854" t="s">
        <v>93</v>
      </c>
    </row>
    <row r="1855" spans="1:14">
      <c r="A1855">
        <v>1854</v>
      </c>
      <c r="B1855">
        <v>47</v>
      </c>
      <c r="C1855" t="s">
        <v>16</v>
      </c>
      <c r="D1855" t="s">
        <v>17</v>
      </c>
      <c r="E1855" t="s">
        <v>48</v>
      </c>
      <c r="F1855">
        <v>110.78</v>
      </c>
      <c r="G1855" t="s">
        <v>19</v>
      </c>
      <c r="H1855" t="s">
        <v>15</v>
      </c>
      <c r="I1855">
        <v>3.9</v>
      </c>
      <c r="J1855">
        <v>10</v>
      </c>
      <c r="K1855">
        <v>5</v>
      </c>
      <c r="L1855" s="4">
        <v>123.08888888888889</v>
      </c>
      <c r="M1855" s="4">
        <v>12.308888888888887</v>
      </c>
      <c r="N1855" t="s">
        <v>93</v>
      </c>
    </row>
    <row r="1856" spans="1:14">
      <c r="A1856">
        <v>1855</v>
      </c>
      <c r="B1856">
        <v>60</v>
      </c>
      <c r="C1856" t="s">
        <v>11</v>
      </c>
      <c r="D1856" t="s">
        <v>12</v>
      </c>
      <c r="E1856" t="s">
        <v>50</v>
      </c>
      <c r="F1856">
        <v>88.27</v>
      </c>
      <c r="G1856" t="s">
        <v>14</v>
      </c>
      <c r="H1856" t="s">
        <v>15</v>
      </c>
      <c r="I1856">
        <v>2.9</v>
      </c>
      <c r="J1856">
        <v>14</v>
      </c>
      <c r="K1856">
        <v>7</v>
      </c>
      <c r="L1856" s="4">
        <v>102.63953488372093</v>
      </c>
      <c r="M1856" s="4">
        <v>14.369534883720931</v>
      </c>
      <c r="N1856" t="s">
        <v>94</v>
      </c>
    </row>
    <row r="1857" spans="1:14">
      <c r="A1857">
        <v>1856</v>
      </c>
      <c r="B1857">
        <v>25</v>
      </c>
      <c r="C1857" t="s">
        <v>11</v>
      </c>
      <c r="D1857" t="s">
        <v>12</v>
      </c>
      <c r="E1857" t="s">
        <v>56</v>
      </c>
      <c r="F1857">
        <v>155.11000000000001</v>
      </c>
      <c r="G1857" t="s">
        <v>14</v>
      </c>
      <c r="H1857" t="s">
        <v>15</v>
      </c>
      <c r="I1857">
        <v>4.4000000000000004</v>
      </c>
      <c r="J1857">
        <v>13</v>
      </c>
      <c r="K1857">
        <v>4</v>
      </c>
      <c r="L1857" s="4">
        <v>178.2873563218391</v>
      </c>
      <c r="M1857" s="4">
        <v>23.177356321839085</v>
      </c>
      <c r="N1857" t="s">
        <v>91</v>
      </c>
    </row>
    <row r="1858" spans="1:14">
      <c r="A1858">
        <v>1857</v>
      </c>
      <c r="B1858">
        <v>20</v>
      </c>
      <c r="C1858" t="s">
        <v>16</v>
      </c>
      <c r="D1858" t="s">
        <v>33</v>
      </c>
      <c r="E1858" t="s">
        <v>40</v>
      </c>
      <c r="F1858">
        <v>125.9</v>
      </c>
      <c r="G1858" t="s">
        <v>14</v>
      </c>
      <c r="H1858" t="s">
        <v>15</v>
      </c>
      <c r="I1858">
        <v>4.0999999999999996</v>
      </c>
      <c r="J1858">
        <v>20</v>
      </c>
      <c r="K1858">
        <v>5</v>
      </c>
      <c r="L1858" s="4">
        <v>157.375</v>
      </c>
      <c r="M1858" s="4">
        <v>31.474999999999994</v>
      </c>
      <c r="N1858" t="s">
        <v>100</v>
      </c>
    </row>
    <row r="1859" spans="1:14">
      <c r="A1859">
        <v>1858</v>
      </c>
      <c r="B1859">
        <v>29</v>
      </c>
      <c r="C1859" t="s">
        <v>11</v>
      </c>
      <c r="D1859" t="s">
        <v>25</v>
      </c>
      <c r="E1859" t="s">
        <v>47</v>
      </c>
      <c r="F1859">
        <v>78.52</v>
      </c>
      <c r="G1859" t="s">
        <v>14</v>
      </c>
      <c r="H1859" t="s">
        <v>37</v>
      </c>
      <c r="I1859">
        <v>3.5</v>
      </c>
      <c r="J1859">
        <v>18</v>
      </c>
      <c r="K1859">
        <v>4</v>
      </c>
      <c r="L1859" s="4">
        <v>95.756097560975604</v>
      </c>
      <c r="M1859" s="4">
        <v>17.236097560975608</v>
      </c>
      <c r="N1859" t="s">
        <v>91</v>
      </c>
    </row>
    <row r="1860" spans="1:14">
      <c r="A1860">
        <v>1859</v>
      </c>
      <c r="B1860">
        <v>49</v>
      </c>
      <c r="C1860" t="s">
        <v>11</v>
      </c>
      <c r="D1860" t="s">
        <v>25</v>
      </c>
      <c r="E1860" t="s">
        <v>26</v>
      </c>
      <c r="F1860">
        <v>21.32</v>
      </c>
      <c r="G1860" t="s">
        <v>14</v>
      </c>
      <c r="H1860" t="s">
        <v>37</v>
      </c>
      <c r="I1860">
        <v>4.5999999999999996</v>
      </c>
      <c r="J1860">
        <v>13</v>
      </c>
      <c r="K1860">
        <v>4</v>
      </c>
      <c r="L1860" s="4">
        <v>24.505747126436781</v>
      </c>
      <c r="M1860" s="4">
        <v>3.1857471264367803</v>
      </c>
      <c r="N1860" t="s">
        <v>93</v>
      </c>
    </row>
    <row r="1861" spans="1:14">
      <c r="A1861">
        <v>1860</v>
      </c>
      <c r="B1861">
        <v>70</v>
      </c>
      <c r="C1861" t="s">
        <v>11</v>
      </c>
      <c r="D1861" t="s">
        <v>33</v>
      </c>
      <c r="E1861" t="s">
        <v>40</v>
      </c>
      <c r="F1861">
        <v>180.88</v>
      </c>
      <c r="G1861" t="s">
        <v>24</v>
      </c>
      <c r="H1861" t="s">
        <v>15</v>
      </c>
      <c r="I1861">
        <v>3.1</v>
      </c>
      <c r="J1861">
        <v>14</v>
      </c>
      <c r="K1861">
        <v>2</v>
      </c>
      <c r="L1861" s="4">
        <v>210.32558139534885</v>
      </c>
      <c r="M1861" s="4">
        <v>29.445581395348853</v>
      </c>
      <c r="N1861" t="s">
        <v>95</v>
      </c>
    </row>
    <row r="1862" spans="1:14">
      <c r="A1862">
        <v>1861</v>
      </c>
      <c r="B1862">
        <v>23</v>
      </c>
      <c r="C1862" t="s">
        <v>11</v>
      </c>
      <c r="D1862" t="s">
        <v>20</v>
      </c>
      <c r="E1862" t="s">
        <v>36</v>
      </c>
      <c r="F1862">
        <v>240.21</v>
      </c>
      <c r="G1862" t="s">
        <v>24</v>
      </c>
      <c r="H1862" t="s">
        <v>15</v>
      </c>
      <c r="I1862">
        <v>2.2999999999999998</v>
      </c>
      <c r="J1862">
        <v>18</v>
      </c>
      <c r="K1862">
        <v>4</v>
      </c>
      <c r="L1862" s="4">
        <v>292.9390243902439</v>
      </c>
      <c r="M1862" s="4">
        <v>52.729024390243893</v>
      </c>
      <c r="N1862" t="s">
        <v>100</v>
      </c>
    </row>
    <row r="1863" spans="1:14">
      <c r="A1863">
        <v>1862</v>
      </c>
      <c r="B1863">
        <v>34</v>
      </c>
      <c r="C1863" t="s">
        <v>16</v>
      </c>
      <c r="D1863" t="s">
        <v>17</v>
      </c>
      <c r="E1863" t="s">
        <v>42</v>
      </c>
      <c r="F1863">
        <v>76.040000000000006</v>
      </c>
      <c r="G1863" t="s">
        <v>31</v>
      </c>
      <c r="H1863" t="s">
        <v>37</v>
      </c>
      <c r="I1863">
        <v>4</v>
      </c>
      <c r="J1863">
        <v>6</v>
      </c>
      <c r="K1863">
        <v>3</v>
      </c>
      <c r="L1863" s="4">
        <v>80.893617021276611</v>
      </c>
      <c r="M1863" s="4">
        <v>4.8536170212766052</v>
      </c>
      <c r="N1863" t="s">
        <v>91</v>
      </c>
    </row>
    <row r="1864" spans="1:14">
      <c r="A1864">
        <v>1863</v>
      </c>
      <c r="B1864">
        <v>68</v>
      </c>
      <c r="C1864" t="s">
        <v>16</v>
      </c>
      <c r="D1864" t="s">
        <v>33</v>
      </c>
      <c r="E1864" t="s">
        <v>38</v>
      </c>
      <c r="F1864">
        <v>52.98</v>
      </c>
      <c r="G1864" t="s">
        <v>19</v>
      </c>
      <c r="H1864" t="s">
        <v>15</v>
      </c>
      <c r="I1864">
        <v>3.8</v>
      </c>
      <c r="J1864">
        <v>22</v>
      </c>
      <c r="K1864">
        <v>6</v>
      </c>
      <c r="L1864" s="4">
        <v>67.92307692307692</v>
      </c>
      <c r="M1864" s="4">
        <v>14.943076923076923</v>
      </c>
      <c r="N1864" t="s">
        <v>95</v>
      </c>
    </row>
    <row r="1865" spans="1:14">
      <c r="A1865">
        <v>1864</v>
      </c>
      <c r="B1865">
        <v>51</v>
      </c>
      <c r="C1865" t="s">
        <v>11</v>
      </c>
      <c r="D1865" t="s">
        <v>29</v>
      </c>
      <c r="E1865" t="s">
        <v>55</v>
      </c>
      <c r="F1865">
        <v>101.93</v>
      </c>
      <c r="G1865" t="s">
        <v>19</v>
      </c>
      <c r="H1865" t="s">
        <v>15</v>
      </c>
      <c r="I1865">
        <v>3.7</v>
      </c>
      <c r="J1865">
        <v>9</v>
      </c>
      <c r="K1865">
        <v>2</v>
      </c>
      <c r="L1865" s="4">
        <v>112.01098901098902</v>
      </c>
      <c r="M1865" s="4">
        <v>10.080989010989015</v>
      </c>
      <c r="N1865" t="s">
        <v>93</v>
      </c>
    </row>
    <row r="1866" spans="1:14">
      <c r="A1866">
        <v>1865</v>
      </c>
      <c r="B1866">
        <v>49</v>
      </c>
      <c r="C1866" t="s">
        <v>16</v>
      </c>
      <c r="D1866" t="s">
        <v>33</v>
      </c>
      <c r="E1866" t="s">
        <v>38</v>
      </c>
      <c r="F1866">
        <v>122.96</v>
      </c>
      <c r="G1866" t="s">
        <v>24</v>
      </c>
      <c r="H1866" t="s">
        <v>15</v>
      </c>
      <c r="I1866">
        <v>4.2</v>
      </c>
      <c r="J1866">
        <v>13</v>
      </c>
      <c r="K1866">
        <v>4</v>
      </c>
      <c r="L1866" s="4">
        <v>141.33333333333331</v>
      </c>
      <c r="M1866" s="4">
        <v>18.373333333333321</v>
      </c>
      <c r="N1866" t="s">
        <v>93</v>
      </c>
    </row>
    <row r="1867" spans="1:14">
      <c r="A1867">
        <v>1866</v>
      </c>
      <c r="B1867">
        <v>46</v>
      </c>
      <c r="C1867" t="s">
        <v>16</v>
      </c>
      <c r="D1867" t="s">
        <v>27</v>
      </c>
      <c r="E1867" t="s">
        <v>49</v>
      </c>
      <c r="F1867">
        <v>2820.93</v>
      </c>
      <c r="G1867" t="s">
        <v>31</v>
      </c>
      <c r="H1867" t="s">
        <v>15</v>
      </c>
      <c r="I1867">
        <v>4.5999999999999996</v>
      </c>
      <c r="J1867">
        <v>13</v>
      </c>
      <c r="K1867">
        <v>4</v>
      </c>
      <c r="L1867" s="4">
        <v>3242.4482758620688</v>
      </c>
      <c r="M1867" s="4">
        <v>421.518275862069</v>
      </c>
      <c r="N1867" t="s">
        <v>93</v>
      </c>
    </row>
    <row r="1868" spans="1:14">
      <c r="A1868">
        <v>1867</v>
      </c>
      <c r="B1868">
        <v>46</v>
      </c>
      <c r="C1868" t="s">
        <v>16</v>
      </c>
      <c r="D1868" t="s">
        <v>17</v>
      </c>
      <c r="E1868" t="s">
        <v>48</v>
      </c>
      <c r="F1868">
        <v>123.87</v>
      </c>
      <c r="G1868" t="s">
        <v>31</v>
      </c>
      <c r="H1868" t="s">
        <v>15</v>
      </c>
      <c r="I1868">
        <v>3.8</v>
      </c>
      <c r="J1868">
        <v>5</v>
      </c>
      <c r="K1868">
        <v>0</v>
      </c>
      <c r="L1868" s="4">
        <v>130.38947368421054</v>
      </c>
      <c r="M1868" s="4">
        <v>6.5194736842105385</v>
      </c>
      <c r="N1868" t="s">
        <v>93</v>
      </c>
    </row>
    <row r="1869" spans="1:14">
      <c r="A1869">
        <v>1868</v>
      </c>
      <c r="B1869">
        <v>49</v>
      </c>
      <c r="C1869" t="s">
        <v>16</v>
      </c>
      <c r="D1869" t="s">
        <v>17</v>
      </c>
      <c r="E1869" t="s">
        <v>48</v>
      </c>
      <c r="F1869">
        <v>67.94</v>
      </c>
      <c r="G1869" t="s">
        <v>31</v>
      </c>
      <c r="H1869" t="s">
        <v>37</v>
      </c>
      <c r="I1869">
        <v>3.9</v>
      </c>
      <c r="J1869">
        <v>24</v>
      </c>
      <c r="K1869">
        <v>7</v>
      </c>
      <c r="L1869" s="4">
        <v>89.39473684210526</v>
      </c>
      <c r="M1869" s="4">
        <v>21.454736842105262</v>
      </c>
      <c r="N1869" t="s">
        <v>93</v>
      </c>
    </row>
    <row r="1870" spans="1:14">
      <c r="A1870">
        <v>1869</v>
      </c>
      <c r="B1870">
        <v>56</v>
      </c>
      <c r="C1870" t="s">
        <v>16</v>
      </c>
      <c r="D1870" t="s">
        <v>17</v>
      </c>
      <c r="E1870" t="s">
        <v>48</v>
      </c>
      <c r="F1870">
        <v>50.4</v>
      </c>
      <c r="G1870" t="s">
        <v>19</v>
      </c>
      <c r="H1870" t="s">
        <v>15</v>
      </c>
      <c r="I1870">
        <v>4.2</v>
      </c>
      <c r="J1870">
        <v>18</v>
      </c>
      <c r="K1870">
        <v>4</v>
      </c>
      <c r="L1870" s="4">
        <v>61.463414634146332</v>
      </c>
      <c r="M1870" s="4">
        <v>11.063414634146334</v>
      </c>
      <c r="N1870" t="s">
        <v>94</v>
      </c>
    </row>
    <row r="1871" spans="1:14">
      <c r="A1871">
        <v>1870</v>
      </c>
      <c r="B1871">
        <v>65</v>
      </c>
      <c r="C1871" t="s">
        <v>16</v>
      </c>
      <c r="D1871" t="s">
        <v>17</v>
      </c>
      <c r="E1871" t="s">
        <v>35</v>
      </c>
      <c r="F1871">
        <v>174.89</v>
      </c>
      <c r="G1871" t="s">
        <v>24</v>
      </c>
      <c r="H1871" t="s">
        <v>15</v>
      </c>
      <c r="I1871">
        <v>2.4</v>
      </c>
      <c r="J1871">
        <v>2</v>
      </c>
      <c r="K1871">
        <v>1</v>
      </c>
      <c r="L1871" s="4">
        <v>178.45918367346937</v>
      </c>
      <c r="M1871" s="4">
        <v>3.5691836734693823</v>
      </c>
      <c r="N1871" t="s">
        <v>95</v>
      </c>
    </row>
    <row r="1872" spans="1:14">
      <c r="A1872">
        <v>1871</v>
      </c>
      <c r="B1872">
        <v>44</v>
      </c>
      <c r="C1872" t="s">
        <v>11</v>
      </c>
      <c r="D1872" t="s">
        <v>41</v>
      </c>
      <c r="E1872" t="s">
        <v>45</v>
      </c>
      <c r="F1872">
        <v>119.31</v>
      </c>
      <c r="G1872" t="s">
        <v>19</v>
      </c>
      <c r="H1872" t="s">
        <v>15</v>
      </c>
      <c r="I1872">
        <v>3.8</v>
      </c>
      <c r="J1872">
        <v>15</v>
      </c>
      <c r="K1872">
        <v>5</v>
      </c>
      <c r="L1872" s="4">
        <v>140.36470588235295</v>
      </c>
      <c r="M1872" s="4">
        <v>21.054705882352948</v>
      </c>
      <c r="N1872" t="s">
        <v>92</v>
      </c>
    </row>
    <row r="1873" spans="1:14">
      <c r="A1873">
        <v>1872</v>
      </c>
      <c r="B1873">
        <v>43</v>
      </c>
      <c r="C1873" t="s">
        <v>16</v>
      </c>
      <c r="D1873" t="s">
        <v>20</v>
      </c>
      <c r="E1873" t="s">
        <v>21</v>
      </c>
      <c r="F1873">
        <v>188.28</v>
      </c>
      <c r="G1873" t="s">
        <v>19</v>
      </c>
      <c r="H1873" t="s">
        <v>15</v>
      </c>
      <c r="I1873">
        <v>3.7</v>
      </c>
      <c r="J1873">
        <v>22</v>
      </c>
      <c r="K1873">
        <v>6</v>
      </c>
      <c r="L1873" s="4">
        <v>241.38461538461539</v>
      </c>
      <c r="M1873" s="4">
        <v>53.104615384615386</v>
      </c>
      <c r="N1873" t="s">
        <v>92</v>
      </c>
    </row>
    <row r="1874" spans="1:14">
      <c r="A1874">
        <v>1873</v>
      </c>
      <c r="B1874">
        <v>58</v>
      </c>
      <c r="C1874" t="s">
        <v>16</v>
      </c>
      <c r="D1874" t="s">
        <v>33</v>
      </c>
      <c r="E1874" t="s">
        <v>40</v>
      </c>
      <c r="F1874">
        <v>75.03</v>
      </c>
      <c r="G1874" t="s">
        <v>19</v>
      </c>
      <c r="H1874" t="s">
        <v>15</v>
      </c>
      <c r="I1874">
        <v>4.3</v>
      </c>
      <c r="J1874">
        <v>10</v>
      </c>
      <c r="K1874">
        <v>5</v>
      </c>
      <c r="L1874" s="4">
        <v>83.36666666666666</v>
      </c>
      <c r="M1874" s="4">
        <v>8.3366666666666589</v>
      </c>
      <c r="N1874" t="s">
        <v>94</v>
      </c>
    </row>
    <row r="1875" spans="1:14">
      <c r="A1875">
        <v>1874</v>
      </c>
      <c r="B1875">
        <v>27</v>
      </c>
      <c r="C1875" t="s">
        <v>11</v>
      </c>
      <c r="D1875" t="s">
        <v>20</v>
      </c>
      <c r="E1875" t="s">
        <v>21</v>
      </c>
      <c r="F1875">
        <v>122.27</v>
      </c>
      <c r="G1875" t="s">
        <v>14</v>
      </c>
      <c r="H1875" t="s">
        <v>15</v>
      </c>
      <c r="I1875">
        <v>5</v>
      </c>
      <c r="J1875">
        <v>15</v>
      </c>
      <c r="K1875">
        <v>5</v>
      </c>
      <c r="L1875" s="4">
        <v>143.84705882352941</v>
      </c>
      <c r="M1875" s="4">
        <v>21.577058823529413</v>
      </c>
      <c r="N1875" t="s">
        <v>91</v>
      </c>
    </row>
    <row r="1876" spans="1:14">
      <c r="A1876">
        <v>1875</v>
      </c>
      <c r="B1876">
        <v>67</v>
      </c>
      <c r="C1876" t="s">
        <v>11</v>
      </c>
      <c r="D1876" t="s">
        <v>41</v>
      </c>
      <c r="E1876" t="s">
        <v>42</v>
      </c>
      <c r="F1876">
        <v>48.15</v>
      </c>
      <c r="G1876" t="s">
        <v>31</v>
      </c>
      <c r="H1876" t="s">
        <v>37</v>
      </c>
      <c r="I1876">
        <v>3.5</v>
      </c>
      <c r="J1876">
        <v>12</v>
      </c>
      <c r="K1876">
        <v>6</v>
      </c>
      <c r="L1876" s="4">
        <v>54.715909090909086</v>
      </c>
      <c r="M1876" s="4">
        <v>6.5659090909090878</v>
      </c>
      <c r="N1876" t="s">
        <v>95</v>
      </c>
    </row>
    <row r="1877" spans="1:14">
      <c r="A1877">
        <v>1876</v>
      </c>
      <c r="B1877">
        <v>57</v>
      </c>
      <c r="C1877" t="s">
        <v>11</v>
      </c>
      <c r="D1877" t="s">
        <v>25</v>
      </c>
      <c r="E1877" t="s">
        <v>57</v>
      </c>
      <c r="F1877">
        <v>75.56</v>
      </c>
      <c r="G1877" t="s">
        <v>31</v>
      </c>
      <c r="H1877" t="s">
        <v>37</v>
      </c>
      <c r="I1877">
        <v>3.8</v>
      </c>
      <c r="J1877">
        <v>22</v>
      </c>
      <c r="K1877">
        <v>6</v>
      </c>
      <c r="L1877" s="4">
        <v>96.871794871794876</v>
      </c>
      <c r="M1877" s="4">
        <v>21.311794871794874</v>
      </c>
      <c r="N1877" t="s">
        <v>94</v>
      </c>
    </row>
    <row r="1878" spans="1:14">
      <c r="A1878">
        <v>1877</v>
      </c>
      <c r="B1878">
        <v>37</v>
      </c>
      <c r="C1878" t="s">
        <v>16</v>
      </c>
      <c r="D1878" t="s">
        <v>22</v>
      </c>
      <c r="E1878" t="s">
        <v>52</v>
      </c>
      <c r="F1878">
        <v>289.68</v>
      </c>
      <c r="G1878" t="s">
        <v>19</v>
      </c>
      <c r="H1878" t="s">
        <v>15</v>
      </c>
      <c r="I1878">
        <v>5</v>
      </c>
      <c r="J1878">
        <v>24</v>
      </c>
      <c r="K1878">
        <v>7</v>
      </c>
      <c r="L1878" s="4">
        <v>381.15789473684214</v>
      </c>
      <c r="M1878" s="4">
        <v>91.477894736842131</v>
      </c>
      <c r="N1878" t="s">
        <v>92</v>
      </c>
    </row>
    <row r="1879" spans="1:14">
      <c r="A1879">
        <v>1878</v>
      </c>
      <c r="B1879">
        <v>59</v>
      </c>
      <c r="C1879" t="s">
        <v>16</v>
      </c>
      <c r="D1879" t="s">
        <v>20</v>
      </c>
      <c r="E1879" t="s">
        <v>39</v>
      </c>
      <c r="F1879">
        <v>241.42</v>
      </c>
      <c r="G1879" t="s">
        <v>31</v>
      </c>
      <c r="H1879" t="s">
        <v>15</v>
      </c>
      <c r="I1879">
        <v>5</v>
      </c>
      <c r="J1879">
        <v>19</v>
      </c>
      <c r="K1879">
        <v>7</v>
      </c>
      <c r="L1879" s="4">
        <v>298.04938271604937</v>
      </c>
      <c r="M1879" s="4">
        <v>56.629382716049378</v>
      </c>
      <c r="N1879" t="s">
        <v>94</v>
      </c>
    </row>
    <row r="1880" spans="1:14">
      <c r="A1880">
        <v>1879</v>
      </c>
      <c r="B1880">
        <v>51</v>
      </c>
      <c r="C1880" t="s">
        <v>11</v>
      </c>
      <c r="D1880" t="s">
        <v>29</v>
      </c>
      <c r="E1880" t="s">
        <v>30</v>
      </c>
      <c r="F1880">
        <v>138.15</v>
      </c>
      <c r="G1880" t="s">
        <v>24</v>
      </c>
      <c r="H1880" t="s">
        <v>15</v>
      </c>
      <c r="I1880">
        <v>3.5</v>
      </c>
      <c r="J1880">
        <v>15</v>
      </c>
      <c r="K1880">
        <v>5</v>
      </c>
      <c r="L1880" s="4">
        <v>162.52941176470588</v>
      </c>
      <c r="M1880" s="4">
        <v>24.379411764705878</v>
      </c>
      <c r="N1880" t="s">
        <v>93</v>
      </c>
    </row>
    <row r="1881" spans="1:14">
      <c r="A1881">
        <v>1880</v>
      </c>
      <c r="B1881">
        <v>30</v>
      </c>
      <c r="C1881" t="s">
        <v>11</v>
      </c>
      <c r="D1881" t="s">
        <v>12</v>
      </c>
      <c r="E1881" t="s">
        <v>50</v>
      </c>
      <c r="F1881">
        <v>46.15</v>
      </c>
      <c r="G1881" t="s">
        <v>14</v>
      </c>
      <c r="H1881" t="s">
        <v>37</v>
      </c>
      <c r="I1881">
        <v>3.7</v>
      </c>
      <c r="J1881">
        <v>14</v>
      </c>
      <c r="K1881">
        <v>2</v>
      </c>
      <c r="L1881" s="4">
        <v>53.662790697674417</v>
      </c>
      <c r="M1881" s="4">
        <v>7.5127906976744185</v>
      </c>
      <c r="N1881" t="s">
        <v>91</v>
      </c>
    </row>
    <row r="1882" spans="1:14">
      <c r="A1882">
        <v>1881</v>
      </c>
      <c r="B1882">
        <v>61</v>
      </c>
      <c r="C1882" t="s">
        <v>16</v>
      </c>
      <c r="D1882" t="s">
        <v>25</v>
      </c>
      <c r="E1882" t="s">
        <v>47</v>
      </c>
      <c r="F1882">
        <v>62.19</v>
      </c>
      <c r="G1882" t="s">
        <v>31</v>
      </c>
      <c r="H1882" t="s">
        <v>15</v>
      </c>
      <c r="I1882">
        <v>2.9</v>
      </c>
      <c r="J1882">
        <v>12</v>
      </c>
      <c r="K1882">
        <v>6</v>
      </c>
      <c r="L1882" s="4">
        <v>70.670454545454547</v>
      </c>
      <c r="M1882" s="4">
        <v>8.480454545454549</v>
      </c>
      <c r="N1882" t="s">
        <v>94</v>
      </c>
    </row>
    <row r="1883" spans="1:14">
      <c r="A1883">
        <v>1882</v>
      </c>
      <c r="B1883">
        <v>24</v>
      </c>
      <c r="C1883" t="s">
        <v>16</v>
      </c>
      <c r="D1883" t="s">
        <v>33</v>
      </c>
      <c r="E1883" t="s">
        <v>34</v>
      </c>
      <c r="F1883">
        <v>223.63</v>
      </c>
      <c r="G1883" t="s">
        <v>19</v>
      </c>
      <c r="H1883" t="s">
        <v>15</v>
      </c>
      <c r="I1883">
        <v>5</v>
      </c>
      <c r="J1883">
        <v>5</v>
      </c>
      <c r="K1883">
        <v>0</v>
      </c>
      <c r="L1883" s="4">
        <v>235.4</v>
      </c>
      <c r="M1883" s="4">
        <v>11.77000000000001</v>
      </c>
      <c r="N1883" t="s">
        <v>100</v>
      </c>
    </row>
    <row r="1884" spans="1:14">
      <c r="A1884">
        <v>1883</v>
      </c>
      <c r="B1884">
        <v>46</v>
      </c>
      <c r="C1884" t="s">
        <v>11</v>
      </c>
      <c r="D1884" t="s">
        <v>25</v>
      </c>
      <c r="E1884" t="s">
        <v>57</v>
      </c>
      <c r="F1884">
        <v>61.01</v>
      </c>
      <c r="G1884" t="s">
        <v>19</v>
      </c>
      <c r="H1884" t="s">
        <v>37</v>
      </c>
      <c r="I1884">
        <v>3.2</v>
      </c>
      <c r="J1884">
        <v>15</v>
      </c>
      <c r="K1884">
        <v>5</v>
      </c>
      <c r="L1884" s="4">
        <v>71.776470588235298</v>
      </c>
      <c r="M1884" s="4">
        <v>10.7664705882353</v>
      </c>
      <c r="N1884" t="s">
        <v>93</v>
      </c>
    </row>
    <row r="1885" spans="1:14">
      <c r="A1885">
        <v>1884</v>
      </c>
      <c r="B1885">
        <v>24</v>
      </c>
      <c r="C1885" t="s">
        <v>16</v>
      </c>
      <c r="D1885" t="s">
        <v>17</v>
      </c>
      <c r="E1885" t="s">
        <v>18</v>
      </c>
      <c r="F1885">
        <v>55.92</v>
      </c>
      <c r="G1885" t="s">
        <v>19</v>
      </c>
      <c r="H1885" t="s">
        <v>15</v>
      </c>
      <c r="I1885">
        <v>4</v>
      </c>
      <c r="J1885">
        <v>12</v>
      </c>
      <c r="K1885">
        <v>6</v>
      </c>
      <c r="L1885" s="4">
        <v>63.545454545454547</v>
      </c>
      <c r="M1885" s="4">
        <v>7.625454545454545</v>
      </c>
      <c r="N1885" t="s">
        <v>100</v>
      </c>
    </row>
    <row r="1886" spans="1:14">
      <c r="A1886">
        <v>1885</v>
      </c>
      <c r="B1886">
        <v>23</v>
      </c>
      <c r="C1886" t="s">
        <v>16</v>
      </c>
      <c r="D1886" t="s">
        <v>27</v>
      </c>
      <c r="E1886" t="s">
        <v>32</v>
      </c>
      <c r="F1886">
        <v>590.1</v>
      </c>
      <c r="G1886" t="s">
        <v>19</v>
      </c>
      <c r="H1886" t="s">
        <v>15</v>
      </c>
      <c r="I1886">
        <v>4.3</v>
      </c>
      <c r="J1886">
        <v>6</v>
      </c>
      <c r="K1886">
        <v>3</v>
      </c>
      <c r="L1886" s="4">
        <v>627.76595744680856</v>
      </c>
      <c r="M1886" s="4">
        <v>37.665957446808534</v>
      </c>
      <c r="N1886" t="s">
        <v>100</v>
      </c>
    </row>
    <row r="1887" spans="1:14">
      <c r="A1887">
        <v>1886</v>
      </c>
      <c r="B1887">
        <v>23</v>
      </c>
      <c r="C1887" t="s">
        <v>11</v>
      </c>
      <c r="D1887" t="s">
        <v>20</v>
      </c>
      <c r="E1887" t="s">
        <v>36</v>
      </c>
      <c r="F1887">
        <v>193.08</v>
      </c>
      <c r="G1887" t="s">
        <v>14</v>
      </c>
      <c r="H1887" t="s">
        <v>15</v>
      </c>
      <c r="I1887">
        <v>3.3</v>
      </c>
      <c r="J1887">
        <v>17</v>
      </c>
      <c r="K1887">
        <v>6</v>
      </c>
      <c r="L1887" s="4">
        <v>232.62650602409641</v>
      </c>
      <c r="M1887" s="4">
        <v>39.546506024096402</v>
      </c>
      <c r="N1887" t="s">
        <v>100</v>
      </c>
    </row>
    <row r="1888" spans="1:14">
      <c r="A1888">
        <v>1887</v>
      </c>
      <c r="B1888">
        <v>24</v>
      </c>
      <c r="C1888" t="s">
        <v>11</v>
      </c>
      <c r="D1888" t="s">
        <v>41</v>
      </c>
      <c r="E1888" t="s">
        <v>45</v>
      </c>
      <c r="F1888">
        <v>165.24</v>
      </c>
      <c r="G1888" t="s">
        <v>24</v>
      </c>
      <c r="H1888" t="s">
        <v>15</v>
      </c>
      <c r="I1888">
        <v>3.9</v>
      </c>
      <c r="J1888">
        <v>15</v>
      </c>
      <c r="K1888">
        <v>5</v>
      </c>
      <c r="L1888" s="4">
        <v>194.4</v>
      </c>
      <c r="M1888" s="4">
        <v>29.159999999999997</v>
      </c>
      <c r="N1888" t="s">
        <v>100</v>
      </c>
    </row>
    <row r="1889" spans="1:14">
      <c r="A1889">
        <v>1888</v>
      </c>
      <c r="B1889">
        <v>38</v>
      </c>
      <c r="C1889" t="s">
        <v>16</v>
      </c>
      <c r="D1889" t="s">
        <v>17</v>
      </c>
      <c r="E1889" t="s">
        <v>18</v>
      </c>
      <c r="F1889">
        <v>80.67</v>
      </c>
      <c r="G1889" t="s">
        <v>31</v>
      </c>
      <c r="H1889" t="s">
        <v>15</v>
      </c>
      <c r="I1889">
        <v>3.6</v>
      </c>
      <c r="J1889">
        <v>19</v>
      </c>
      <c r="K1889">
        <v>7</v>
      </c>
      <c r="L1889" s="4">
        <v>99.592592592592595</v>
      </c>
      <c r="M1889" s="4">
        <v>18.922592592592594</v>
      </c>
      <c r="N1889" t="s">
        <v>92</v>
      </c>
    </row>
    <row r="1890" spans="1:14">
      <c r="A1890">
        <v>1889</v>
      </c>
      <c r="B1890">
        <v>26</v>
      </c>
      <c r="C1890" t="s">
        <v>11</v>
      </c>
      <c r="D1890" t="s">
        <v>29</v>
      </c>
      <c r="E1890" t="s">
        <v>30</v>
      </c>
      <c r="F1890">
        <v>121.33</v>
      </c>
      <c r="G1890" t="s">
        <v>19</v>
      </c>
      <c r="H1890" t="s">
        <v>15</v>
      </c>
      <c r="I1890">
        <v>5</v>
      </c>
      <c r="J1890">
        <v>16</v>
      </c>
      <c r="K1890">
        <v>8</v>
      </c>
      <c r="L1890" s="4">
        <v>144.4404761904762</v>
      </c>
      <c r="M1890" s="4">
        <v>23.110476190476206</v>
      </c>
      <c r="N1890" t="s">
        <v>91</v>
      </c>
    </row>
    <row r="1891" spans="1:14">
      <c r="A1891">
        <v>1890</v>
      </c>
      <c r="B1891">
        <v>42</v>
      </c>
      <c r="C1891" t="s">
        <v>16</v>
      </c>
      <c r="D1891" t="s">
        <v>20</v>
      </c>
      <c r="E1891" t="s">
        <v>36</v>
      </c>
      <c r="F1891">
        <v>41.11</v>
      </c>
      <c r="G1891" t="s">
        <v>19</v>
      </c>
      <c r="H1891" t="s">
        <v>15</v>
      </c>
      <c r="I1891">
        <v>3.1</v>
      </c>
      <c r="J1891">
        <v>28</v>
      </c>
      <c r="K1891">
        <v>9</v>
      </c>
      <c r="L1891" s="4">
        <v>57.097222222222221</v>
      </c>
      <c r="M1891" s="4">
        <v>15.987222222222222</v>
      </c>
      <c r="N1891" t="s">
        <v>92</v>
      </c>
    </row>
    <row r="1892" spans="1:14">
      <c r="A1892">
        <v>1891</v>
      </c>
      <c r="B1892">
        <v>50</v>
      </c>
      <c r="C1892" t="s">
        <v>16</v>
      </c>
      <c r="D1892" t="s">
        <v>22</v>
      </c>
      <c r="E1892" t="s">
        <v>43</v>
      </c>
      <c r="F1892">
        <v>45</v>
      </c>
      <c r="G1892" t="s">
        <v>19</v>
      </c>
      <c r="H1892" t="s">
        <v>37</v>
      </c>
      <c r="I1892">
        <v>4.0999999999999996</v>
      </c>
      <c r="J1892">
        <v>9</v>
      </c>
      <c r="K1892">
        <v>2</v>
      </c>
      <c r="L1892" s="4">
        <v>49.450549450549445</v>
      </c>
      <c r="M1892" s="4">
        <v>4.4505494505494454</v>
      </c>
      <c r="N1892" t="s">
        <v>93</v>
      </c>
    </row>
    <row r="1893" spans="1:14">
      <c r="A1893">
        <v>1892</v>
      </c>
      <c r="B1893">
        <v>42</v>
      </c>
      <c r="C1893" t="s">
        <v>11</v>
      </c>
      <c r="D1893" t="s">
        <v>12</v>
      </c>
      <c r="E1893" t="s">
        <v>13</v>
      </c>
      <c r="F1893">
        <v>50.74</v>
      </c>
      <c r="G1893" t="s">
        <v>14</v>
      </c>
      <c r="H1893" t="s">
        <v>15</v>
      </c>
      <c r="I1893">
        <v>4.2</v>
      </c>
      <c r="J1893">
        <v>4</v>
      </c>
      <c r="K1893">
        <v>2</v>
      </c>
      <c r="L1893" s="4">
        <v>52.854166666666671</v>
      </c>
      <c r="M1893" s="4">
        <v>2.1141666666666694</v>
      </c>
      <c r="N1893" t="s">
        <v>92</v>
      </c>
    </row>
    <row r="1894" spans="1:14">
      <c r="A1894">
        <v>1893</v>
      </c>
      <c r="B1894">
        <v>22</v>
      </c>
      <c r="C1894" t="s">
        <v>11</v>
      </c>
      <c r="D1894" t="s">
        <v>41</v>
      </c>
      <c r="E1894" t="s">
        <v>45</v>
      </c>
      <c r="F1894">
        <v>109.38</v>
      </c>
      <c r="G1894" t="s">
        <v>19</v>
      </c>
      <c r="H1894" t="s">
        <v>15</v>
      </c>
      <c r="I1894">
        <v>4.3</v>
      </c>
      <c r="J1894">
        <v>16</v>
      </c>
      <c r="K1894">
        <v>3</v>
      </c>
      <c r="L1894" s="4">
        <v>130.21428571428572</v>
      </c>
      <c r="M1894" s="4">
        <v>20.834285714285727</v>
      </c>
      <c r="N1894" t="s">
        <v>100</v>
      </c>
    </row>
    <row r="1895" spans="1:14">
      <c r="A1895">
        <v>1894</v>
      </c>
      <c r="B1895">
        <v>40</v>
      </c>
      <c r="C1895" t="s">
        <v>11</v>
      </c>
      <c r="D1895" t="s">
        <v>41</v>
      </c>
      <c r="E1895" t="s">
        <v>45</v>
      </c>
      <c r="F1895">
        <v>55</v>
      </c>
      <c r="G1895" t="s">
        <v>24</v>
      </c>
      <c r="H1895" t="s">
        <v>37</v>
      </c>
      <c r="I1895">
        <v>4</v>
      </c>
      <c r="J1895">
        <v>18</v>
      </c>
      <c r="K1895">
        <v>4</v>
      </c>
      <c r="L1895" s="4">
        <v>67.073170731707307</v>
      </c>
      <c r="M1895" s="4">
        <v>12.073170731707307</v>
      </c>
      <c r="N1895" t="s">
        <v>92</v>
      </c>
    </row>
    <row r="1896" spans="1:14">
      <c r="A1896">
        <v>1895</v>
      </c>
      <c r="B1896">
        <v>52</v>
      </c>
      <c r="C1896" t="s">
        <v>16</v>
      </c>
      <c r="D1896" t="s">
        <v>33</v>
      </c>
      <c r="E1896" t="s">
        <v>38</v>
      </c>
      <c r="F1896">
        <v>181.52</v>
      </c>
      <c r="G1896" t="s">
        <v>24</v>
      </c>
      <c r="H1896" t="s">
        <v>15</v>
      </c>
      <c r="I1896">
        <v>4.3</v>
      </c>
      <c r="J1896">
        <v>24</v>
      </c>
      <c r="K1896">
        <v>7</v>
      </c>
      <c r="L1896" s="4">
        <v>238.84210526315792</v>
      </c>
      <c r="M1896" s="4">
        <v>57.322105263157908</v>
      </c>
      <c r="N1896" t="s">
        <v>93</v>
      </c>
    </row>
    <row r="1897" spans="1:14">
      <c r="A1897">
        <v>1896</v>
      </c>
      <c r="B1897">
        <v>55</v>
      </c>
      <c r="C1897" t="s">
        <v>11</v>
      </c>
      <c r="D1897" t="s">
        <v>12</v>
      </c>
      <c r="E1897" t="s">
        <v>13</v>
      </c>
      <c r="F1897">
        <v>89.11</v>
      </c>
      <c r="G1897" t="s">
        <v>24</v>
      </c>
      <c r="H1897" t="s">
        <v>37</v>
      </c>
      <c r="I1897">
        <v>2.6</v>
      </c>
      <c r="J1897">
        <v>12</v>
      </c>
      <c r="K1897">
        <v>1</v>
      </c>
      <c r="L1897" s="4">
        <v>101.26136363636364</v>
      </c>
      <c r="M1897" s="4">
        <v>12.151363636363641</v>
      </c>
      <c r="N1897" t="s">
        <v>94</v>
      </c>
    </row>
    <row r="1898" spans="1:14">
      <c r="A1898">
        <v>1897</v>
      </c>
      <c r="B1898">
        <v>34</v>
      </c>
      <c r="C1898" t="s">
        <v>11</v>
      </c>
      <c r="D1898" t="s">
        <v>12</v>
      </c>
      <c r="E1898" t="s">
        <v>50</v>
      </c>
      <c r="F1898">
        <v>179.27</v>
      </c>
      <c r="G1898" t="s">
        <v>24</v>
      </c>
      <c r="H1898" t="s">
        <v>15</v>
      </c>
      <c r="I1898">
        <v>4.2</v>
      </c>
      <c r="J1898">
        <v>13</v>
      </c>
      <c r="K1898">
        <v>4</v>
      </c>
      <c r="L1898" s="4">
        <v>206.05747126436782</v>
      </c>
      <c r="M1898" s="4">
        <v>26.787471264367809</v>
      </c>
      <c r="N1898" t="s">
        <v>91</v>
      </c>
    </row>
    <row r="1899" spans="1:14">
      <c r="A1899">
        <v>1898</v>
      </c>
      <c r="B1899">
        <v>28</v>
      </c>
      <c r="C1899" t="s">
        <v>16</v>
      </c>
      <c r="D1899" t="s">
        <v>17</v>
      </c>
      <c r="E1899" t="s">
        <v>35</v>
      </c>
      <c r="F1899">
        <v>147.68</v>
      </c>
      <c r="G1899" t="s">
        <v>14</v>
      </c>
      <c r="H1899" t="s">
        <v>15</v>
      </c>
      <c r="I1899">
        <v>3.5</v>
      </c>
      <c r="J1899">
        <v>24</v>
      </c>
      <c r="K1899">
        <v>7</v>
      </c>
      <c r="L1899" s="4">
        <v>194.31578947368422</v>
      </c>
      <c r="M1899" s="4">
        <v>46.635789473684213</v>
      </c>
      <c r="N1899" t="s">
        <v>91</v>
      </c>
    </row>
    <row r="1900" spans="1:14">
      <c r="A1900">
        <v>1899</v>
      </c>
      <c r="B1900">
        <v>63</v>
      </c>
      <c r="C1900" t="s">
        <v>11</v>
      </c>
      <c r="D1900" t="s">
        <v>41</v>
      </c>
      <c r="E1900" t="s">
        <v>42</v>
      </c>
      <c r="F1900">
        <v>90.28</v>
      </c>
      <c r="G1900" t="s">
        <v>31</v>
      </c>
      <c r="H1900" t="s">
        <v>15</v>
      </c>
      <c r="I1900">
        <v>4</v>
      </c>
      <c r="J1900">
        <v>19</v>
      </c>
      <c r="K1900">
        <v>7</v>
      </c>
      <c r="L1900" s="4">
        <v>111.45679012345678</v>
      </c>
      <c r="M1900" s="4">
        <v>21.176790123456783</v>
      </c>
      <c r="N1900" t="s">
        <v>94</v>
      </c>
    </row>
    <row r="1901" spans="1:14">
      <c r="A1901">
        <v>1900</v>
      </c>
      <c r="B1901">
        <v>43</v>
      </c>
      <c r="C1901" t="s">
        <v>11</v>
      </c>
      <c r="D1901" t="s">
        <v>22</v>
      </c>
      <c r="E1901" t="s">
        <v>52</v>
      </c>
      <c r="F1901">
        <v>261.98</v>
      </c>
      <c r="G1901" t="s">
        <v>24</v>
      </c>
      <c r="H1901" t="s">
        <v>15</v>
      </c>
      <c r="I1901">
        <v>4.2</v>
      </c>
      <c r="J1901">
        <v>24</v>
      </c>
      <c r="K1901">
        <v>7</v>
      </c>
      <c r="L1901" s="4">
        <v>344.71052631578948</v>
      </c>
      <c r="M1901" s="4">
        <v>82.730526315789461</v>
      </c>
      <c r="N1901" t="s">
        <v>92</v>
      </c>
    </row>
    <row r="1902" spans="1:14">
      <c r="A1902">
        <v>1901</v>
      </c>
      <c r="B1902">
        <v>35</v>
      </c>
      <c r="C1902" t="s">
        <v>16</v>
      </c>
      <c r="D1902" t="s">
        <v>27</v>
      </c>
      <c r="E1902" t="s">
        <v>32</v>
      </c>
      <c r="F1902">
        <v>2479.4</v>
      </c>
      <c r="G1902" t="s">
        <v>31</v>
      </c>
      <c r="H1902" t="s">
        <v>15</v>
      </c>
      <c r="I1902">
        <v>3.9</v>
      </c>
      <c r="J1902">
        <v>24</v>
      </c>
      <c r="K1902">
        <v>7</v>
      </c>
      <c r="L1902" s="4">
        <v>3262.3684210526317</v>
      </c>
      <c r="M1902" s="4">
        <v>782.96842105263158</v>
      </c>
      <c r="N1902" t="s">
        <v>92</v>
      </c>
    </row>
    <row r="1903" spans="1:14">
      <c r="A1903">
        <v>1902</v>
      </c>
      <c r="B1903">
        <v>36</v>
      </c>
      <c r="C1903" t="s">
        <v>16</v>
      </c>
      <c r="D1903" t="s">
        <v>20</v>
      </c>
      <c r="E1903" t="s">
        <v>39</v>
      </c>
      <c r="F1903">
        <v>159.18</v>
      </c>
      <c r="G1903" t="s">
        <v>19</v>
      </c>
      <c r="H1903" t="s">
        <v>15</v>
      </c>
      <c r="I1903">
        <v>2.4</v>
      </c>
      <c r="J1903">
        <v>12</v>
      </c>
      <c r="K1903">
        <v>6</v>
      </c>
      <c r="L1903" s="4">
        <v>180.88636363636365</v>
      </c>
      <c r="M1903" s="4">
        <v>21.706363636363648</v>
      </c>
      <c r="N1903" t="s">
        <v>92</v>
      </c>
    </row>
    <row r="1904" spans="1:14">
      <c r="A1904">
        <v>1903</v>
      </c>
      <c r="B1904">
        <v>48</v>
      </c>
      <c r="C1904" t="s">
        <v>16</v>
      </c>
      <c r="D1904" t="s">
        <v>20</v>
      </c>
      <c r="E1904" t="s">
        <v>21</v>
      </c>
      <c r="F1904">
        <v>144.53</v>
      </c>
      <c r="G1904" t="s">
        <v>24</v>
      </c>
      <c r="H1904" t="s">
        <v>15</v>
      </c>
      <c r="I1904">
        <v>3.7</v>
      </c>
      <c r="J1904">
        <v>12</v>
      </c>
      <c r="K1904">
        <v>6</v>
      </c>
      <c r="L1904" s="4">
        <v>164.23863636363637</v>
      </c>
      <c r="M1904" s="4">
        <v>19.708636363636373</v>
      </c>
      <c r="N1904" t="s">
        <v>93</v>
      </c>
    </row>
    <row r="1905" spans="1:14">
      <c r="A1905">
        <v>1904</v>
      </c>
      <c r="B1905">
        <v>34</v>
      </c>
      <c r="C1905" t="s">
        <v>16</v>
      </c>
      <c r="D1905" t="s">
        <v>27</v>
      </c>
      <c r="E1905" t="s">
        <v>53</v>
      </c>
      <c r="F1905">
        <v>1675.77</v>
      </c>
      <c r="G1905" t="s">
        <v>14</v>
      </c>
      <c r="H1905" t="s">
        <v>15</v>
      </c>
      <c r="I1905">
        <v>3.6</v>
      </c>
      <c r="J1905">
        <v>24</v>
      </c>
      <c r="K1905">
        <v>7</v>
      </c>
      <c r="L1905" s="4">
        <v>2204.9605263157896</v>
      </c>
      <c r="M1905" s="4">
        <v>529.19052631578961</v>
      </c>
      <c r="N1905" t="s">
        <v>91</v>
      </c>
    </row>
    <row r="1906" spans="1:14">
      <c r="A1906">
        <v>1905</v>
      </c>
      <c r="B1906">
        <v>47</v>
      </c>
      <c r="C1906" t="s">
        <v>11</v>
      </c>
      <c r="D1906" t="s">
        <v>33</v>
      </c>
      <c r="E1906" t="s">
        <v>38</v>
      </c>
      <c r="F1906">
        <v>64.760000000000005</v>
      </c>
      <c r="G1906" t="s">
        <v>31</v>
      </c>
      <c r="H1906" t="s">
        <v>37</v>
      </c>
      <c r="I1906">
        <v>4.3</v>
      </c>
      <c r="J1906">
        <v>4</v>
      </c>
      <c r="K1906">
        <v>2</v>
      </c>
      <c r="L1906" s="4">
        <v>67.458333333333343</v>
      </c>
      <c r="M1906" s="4">
        <v>2.6983333333333377</v>
      </c>
      <c r="N1906" t="s">
        <v>93</v>
      </c>
    </row>
    <row r="1907" spans="1:14">
      <c r="A1907">
        <v>1906</v>
      </c>
      <c r="B1907">
        <v>48</v>
      </c>
      <c r="C1907" t="s">
        <v>11</v>
      </c>
      <c r="D1907" t="s">
        <v>41</v>
      </c>
      <c r="E1907" t="s">
        <v>45</v>
      </c>
      <c r="F1907">
        <v>118.33</v>
      </c>
      <c r="G1907" t="s">
        <v>19</v>
      </c>
      <c r="H1907" t="s">
        <v>15</v>
      </c>
      <c r="I1907">
        <v>4</v>
      </c>
      <c r="J1907">
        <v>24</v>
      </c>
      <c r="K1907">
        <v>7</v>
      </c>
      <c r="L1907" s="4">
        <v>155.69736842105263</v>
      </c>
      <c r="M1907" s="4">
        <v>37.367368421052632</v>
      </c>
      <c r="N1907" t="s">
        <v>93</v>
      </c>
    </row>
    <row r="1908" spans="1:14">
      <c r="A1908">
        <v>1907</v>
      </c>
      <c r="B1908">
        <v>50</v>
      </c>
      <c r="C1908" t="s">
        <v>11</v>
      </c>
      <c r="D1908" t="s">
        <v>12</v>
      </c>
      <c r="E1908" t="s">
        <v>56</v>
      </c>
      <c r="F1908">
        <v>150.38999999999999</v>
      </c>
      <c r="G1908" t="s">
        <v>31</v>
      </c>
      <c r="H1908" t="s">
        <v>15</v>
      </c>
      <c r="I1908">
        <v>4.2</v>
      </c>
      <c r="J1908">
        <v>11</v>
      </c>
      <c r="K1908">
        <v>3</v>
      </c>
      <c r="L1908" s="4">
        <v>168.97752808988761</v>
      </c>
      <c r="M1908" s="4">
        <v>18.587528089887627</v>
      </c>
      <c r="N1908" t="s">
        <v>93</v>
      </c>
    </row>
    <row r="1909" spans="1:14">
      <c r="A1909">
        <v>1908</v>
      </c>
      <c r="B1909">
        <v>25</v>
      </c>
      <c r="C1909" t="s">
        <v>16</v>
      </c>
      <c r="D1909" t="s">
        <v>33</v>
      </c>
      <c r="E1909" t="s">
        <v>40</v>
      </c>
      <c r="F1909">
        <v>120.73</v>
      </c>
      <c r="G1909" t="s">
        <v>24</v>
      </c>
      <c r="H1909" t="s">
        <v>15</v>
      </c>
      <c r="I1909">
        <v>4</v>
      </c>
      <c r="J1909">
        <v>11</v>
      </c>
      <c r="K1909">
        <v>3</v>
      </c>
      <c r="L1909" s="4">
        <v>135.65168539325842</v>
      </c>
      <c r="M1909" s="4">
        <v>14.921685393258414</v>
      </c>
      <c r="N1909" t="s">
        <v>91</v>
      </c>
    </row>
    <row r="1910" spans="1:14">
      <c r="A1910">
        <v>1909</v>
      </c>
      <c r="B1910">
        <v>67</v>
      </c>
      <c r="C1910" t="s">
        <v>16</v>
      </c>
      <c r="D1910" t="s">
        <v>25</v>
      </c>
      <c r="E1910" t="s">
        <v>47</v>
      </c>
      <c r="F1910">
        <v>25.65</v>
      </c>
      <c r="G1910" t="s">
        <v>24</v>
      </c>
      <c r="H1910" t="s">
        <v>37</v>
      </c>
      <c r="I1910">
        <v>3.5</v>
      </c>
      <c r="J1910">
        <v>17</v>
      </c>
      <c r="K1910">
        <v>6</v>
      </c>
      <c r="L1910" s="4">
        <v>30.903614457831324</v>
      </c>
      <c r="M1910" s="4">
        <v>5.2536144578313255</v>
      </c>
      <c r="N1910" t="s">
        <v>95</v>
      </c>
    </row>
    <row r="1911" spans="1:14">
      <c r="A1911">
        <v>1910</v>
      </c>
      <c r="B1911">
        <v>65</v>
      </c>
      <c r="C1911" t="s">
        <v>11</v>
      </c>
      <c r="D1911" t="s">
        <v>25</v>
      </c>
      <c r="E1911" t="s">
        <v>47</v>
      </c>
      <c r="F1911">
        <v>25.3</v>
      </c>
      <c r="G1911" t="s">
        <v>14</v>
      </c>
      <c r="H1911" t="s">
        <v>37</v>
      </c>
      <c r="I1911">
        <v>3.4</v>
      </c>
      <c r="J1911">
        <v>21</v>
      </c>
      <c r="K1911">
        <v>8</v>
      </c>
      <c r="L1911" s="4">
        <v>32.025316455696199</v>
      </c>
      <c r="M1911" s="4">
        <v>6.7253164556961984</v>
      </c>
      <c r="N1911" t="s">
        <v>95</v>
      </c>
    </row>
    <row r="1912" spans="1:14">
      <c r="A1912">
        <v>1911</v>
      </c>
      <c r="B1912">
        <v>33</v>
      </c>
      <c r="C1912" t="s">
        <v>11</v>
      </c>
      <c r="D1912" t="s">
        <v>20</v>
      </c>
      <c r="E1912" t="s">
        <v>21</v>
      </c>
      <c r="F1912">
        <v>54.43</v>
      </c>
      <c r="G1912" t="s">
        <v>14</v>
      </c>
      <c r="H1912" t="s">
        <v>37</v>
      </c>
      <c r="I1912">
        <v>3.6</v>
      </c>
      <c r="J1912">
        <v>20</v>
      </c>
      <c r="K1912">
        <v>10</v>
      </c>
      <c r="L1912" s="4">
        <v>68.037499999999994</v>
      </c>
      <c r="M1912" s="4">
        <v>13.607499999999995</v>
      </c>
      <c r="N1912" t="s">
        <v>91</v>
      </c>
    </row>
    <row r="1913" spans="1:14">
      <c r="A1913">
        <v>1912</v>
      </c>
      <c r="B1913">
        <v>37</v>
      </c>
      <c r="C1913" t="s">
        <v>16</v>
      </c>
      <c r="D1913" t="s">
        <v>33</v>
      </c>
      <c r="E1913" t="s">
        <v>40</v>
      </c>
      <c r="F1913">
        <v>164.63</v>
      </c>
      <c r="G1913" t="s">
        <v>24</v>
      </c>
      <c r="H1913" t="s">
        <v>15</v>
      </c>
      <c r="I1913">
        <v>2.5</v>
      </c>
      <c r="J1913">
        <v>16</v>
      </c>
      <c r="K1913">
        <v>3</v>
      </c>
      <c r="L1913" s="4">
        <v>195.98809523809524</v>
      </c>
      <c r="M1913" s="4">
        <v>31.358095238095245</v>
      </c>
      <c r="N1913" t="s">
        <v>92</v>
      </c>
    </row>
    <row r="1914" spans="1:14">
      <c r="A1914">
        <v>1913</v>
      </c>
      <c r="B1914">
        <v>24</v>
      </c>
      <c r="C1914" t="s">
        <v>16</v>
      </c>
      <c r="D1914" t="s">
        <v>17</v>
      </c>
      <c r="E1914" t="s">
        <v>42</v>
      </c>
      <c r="F1914">
        <v>109.21</v>
      </c>
      <c r="G1914" t="s">
        <v>31</v>
      </c>
      <c r="H1914" t="s">
        <v>15</v>
      </c>
      <c r="I1914">
        <v>3.9</v>
      </c>
      <c r="J1914">
        <v>22</v>
      </c>
      <c r="K1914">
        <v>11</v>
      </c>
      <c r="L1914" s="4">
        <v>140.0128205128205</v>
      </c>
      <c r="M1914" s="4">
        <v>30.802820512820503</v>
      </c>
      <c r="N1914" t="s">
        <v>100</v>
      </c>
    </row>
    <row r="1915" spans="1:14">
      <c r="A1915">
        <v>1914</v>
      </c>
      <c r="B1915">
        <v>40</v>
      </c>
      <c r="C1915" t="s">
        <v>11</v>
      </c>
      <c r="D1915" t="s">
        <v>41</v>
      </c>
      <c r="E1915" t="s">
        <v>46</v>
      </c>
      <c r="F1915">
        <v>96.67</v>
      </c>
      <c r="G1915" t="s">
        <v>19</v>
      </c>
      <c r="H1915" t="s">
        <v>37</v>
      </c>
      <c r="I1915">
        <v>3.5</v>
      </c>
      <c r="J1915">
        <v>17</v>
      </c>
      <c r="K1915">
        <v>6</v>
      </c>
      <c r="L1915" s="4">
        <v>116.4698795180723</v>
      </c>
      <c r="M1915" s="4">
        <v>19.799879518072302</v>
      </c>
      <c r="N1915" t="s">
        <v>92</v>
      </c>
    </row>
    <row r="1916" spans="1:14">
      <c r="A1916">
        <v>1915</v>
      </c>
      <c r="B1916">
        <v>69</v>
      </c>
      <c r="C1916" t="s">
        <v>11</v>
      </c>
      <c r="D1916" t="s">
        <v>20</v>
      </c>
      <c r="E1916" t="s">
        <v>39</v>
      </c>
      <c r="F1916">
        <v>243.62</v>
      </c>
      <c r="G1916" t="s">
        <v>14</v>
      </c>
      <c r="H1916" t="s">
        <v>15</v>
      </c>
      <c r="I1916">
        <v>4</v>
      </c>
      <c r="J1916">
        <v>16</v>
      </c>
      <c r="K1916">
        <v>3</v>
      </c>
      <c r="L1916" s="4">
        <v>290.02380952380952</v>
      </c>
      <c r="M1916" s="4">
        <v>46.403809523809514</v>
      </c>
      <c r="N1916" t="s">
        <v>95</v>
      </c>
    </row>
    <row r="1917" spans="1:14">
      <c r="A1917">
        <v>1916</v>
      </c>
      <c r="B1917">
        <v>68</v>
      </c>
      <c r="C1917" t="s">
        <v>16</v>
      </c>
      <c r="D1917" t="s">
        <v>20</v>
      </c>
      <c r="E1917" t="s">
        <v>36</v>
      </c>
      <c r="F1917">
        <v>241.87</v>
      </c>
      <c r="G1917" t="s">
        <v>31</v>
      </c>
      <c r="H1917" t="s">
        <v>15</v>
      </c>
      <c r="I1917">
        <v>3.7</v>
      </c>
      <c r="J1917">
        <v>10</v>
      </c>
      <c r="K1917">
        <v>5</v>
      </c>
      <c r="L1917" s="4">
        <v>268.74444444444447</v>
      </c>
      <c r="M1917" s="4">
        <v>26.874444444444464</v>
      </c>
      <c r="N1917" t="s">
        <v>95</v>
      </c>
    </row>
    <row r="1918" spans="1:14">
      <c r="A1918">
        <v>1917</v>
      </c>
      <c r="B1918">
        <v>38</v>
      </c>
      <c r="C1918" t="s">
        <v>11</v>
      </c>
      <c r="D1918" t="s">
        <v>20</v>
      </c>
      <c r="E1918" t="s">
        <v>21</v>
      </c>
      <c r="F1918">
        <v>77.44</v>
      </c>
      <c r="G1918" t="s">
        <v>14</v>
      </c>
      <c r="H1918" t="s">
        <v>15</v>
      </c>
      <c r="I1918">
        <v>4.3</v>
      </c>
      <c r="J1918">
        <v>10</v>
      </c>
      <c r="K1918">
        <v>5</v>
      </c>
      <c r="L1918" s="4">
        <v>86.044444444444437</v>
      </c>
      <c r="M1918" s="4">
        <v>8.6044444444444395</v>
      </c>
      <c r="N1918" t="s">
        <v>92</v>
      </c>
    </row>
    <row r="1919" spans="1:14">
      <c r="A1919">
        <v>1918</v>
      </c>
      <c r="B1919">
        <v>49</v>
      </c>
      <c r="C1919" t="s">
        <v>11</v>
      </c>
      <c r="D1919" t="s">
        <v>29</v>
      </c>
      <c r="E1919" t="s">
        <v>51</v>
      </c>
      <c r="F1919">
        <v>107.16</v>
      </c>
      <c r="G1919" t="s">
        <v>24</v>
      </c>
      <c r="H1919" t="s">
        <v>15</v>
      </c>
      <c r="I1919">
        <v>3.1</v>
      </c>
      <c r="J1919">
        <v>16</v>
      </c>
      <c r="K1919">
        <v>8</v>
      </c>
      <c r="L1919" s="4">
        <v>127.57142857142857</v>
      </c>
      <c r="M1919" s="4">
        <v>20.411428571428573</v>
      </c>
      <c r="N1919" t="s">
        <v>93</v>
      </c>
    </row>
    <row r="1920" spans="1:14">
      <c r="A1920">
        <v>1919</v>
      </c>
      <c r="B1920">
        <v>50</v>
      </c>
      <c r="C1920" t="s">
        <v>16</v>
      </c>
      <c r="D1920" t="s">
        <v>17</v>
      </c>
      <c r="E1920" t="s">
        <v>18</v>
      </c>
      <c r="F1920">
        <v>109.18</v>
      </c>
      <c r="G1920" t="s">
        <v>19</v>
      </c>
      <c r="H1920" t="s">
        <v>15</v>
      </c>
      <c r="I1920">
        <v>4.3</v>
      </c>
      <c r="J1920">
        <v>12</v>
      </c>
      <c r="K1920">
        <v>6</v>
      </c>
      <c r="L1920" s="4">
        <v>124.06818181818183</v>
      </c>
      <c r="M1920" s="4">
        <v>14.88818181818182</v>
      </c>
      <c r="N1920" t="s">
        <v>93</v>
      </c>
    </row>
    <row r="1921" spans="1:14">
      <c r="A1921">
        <v>1920</v>
      </c>
      <c r="B1921">
        <v>62</v>
      </c>
      <c r="C1921" t="s">
        <v>11</v>
      </c>
      <c r="D1921" t="s">
        <v>41</v>
      </c>
      <c r="E1921" t="s">
        <v>44</v>
      </c>
      <c r="F1921">
        <v>135.93</v>
      </c>
      <c r="G1921" t="s">
        <v>31</v>
      </c>
      <c r="H1921" t="s">
        <v>15</v>
      </c>
      <c r="I1921">
        <v>4.0999999999999996</v>
      </c>
      <c r="J1921">
        <v>15</v>
      </c>
      <c r="K1921">
        <v>5</v>
      </c>
      <c r="L1921" s="4">
        <v>159.91764705882355</v>
      </c>
      <c r="M1921" s="4">
        <v>23.987647058823541</v>
      </c>
      <c r="N1921" t="s">
        <v>94</v>
      </c>
    </row>
    <row r="1922" spans="1:14">
      <c r="A1922">
        <v>1921</v>
      </c>
      <c r="B1922">
        <v>34</v>
      </c>
      <c r="C1922" t="s">
        <v>11</v>
      </c>
      <c r="D1922" t="s">
        <v>33</v>
      </c>
      <c r="E1922" t="s">
        <v>40</v>
      </c>
      <c r="F1922">
        <v>219.3</v>
      </c>
      <c r="G1922" t="s">
        <v>14</v>
      </c>
      <c r="H1922" t="s">
        <v>15</v>
      </c>
      <c r="I1922">
        <v>2.8</v>
      </c>
      <c r="J1922">
        <v>20</v>
      </c>
      <c r="K1922">
        <v>5</v>
      </c>
      <c r="L1922" s="4">
        <v>274.125</v>
      </c>
      <c r="M1922" s="4">
        <v>54.824999999999989</v>
      </c>
      <c r="N1922" t="s">
        <v>91</v>
      </c>
    </row>
    <row r="1923" spans="1:14">
      <c r="A1923">
        <v>1922</v>
      </c>
      <c r="B1923">
        <v>24</v>
      </c>
      <c r="C1923" t="s">
        <v>16</v>
      </c>
      <c r="D1923" t="s">
        <v>22</v>
      </c>
      <c r="E1923" t="s">
        <v>23</v>
      </c>
      <c r="F1923">
        <v>265</v>
      </c>
      <c r="G1923" t="s">
        <v>24</v>
      </c>
      <c r="H1923" t="s">
        <v>15</v>
      </c>
      <c r="I1923">
        <v>2.4</v>
      </c>
      <c r="J1923">
        <v>24</v>
      </c>
      <c r="K1923">
        <v>7</v>
      </c>
      <c r="L1923" s="4">
        <v>348.68421052631578</v>
      </c>
      <c r="M1923" s="4">
        <v>83.68421052631578</v>
      </c>
      <c r="N1923" t="s">
        <v>100</v>
      </c>
    </row>
    <row r="1924" spans="1:14">
      <c r="A1924">
        <v>1923</v>
      </c>
      <c r="B1924">
        <v>68</v>
      </c>
      <c r="C1924" t="s">
        <v>11</v>
      </c>
      <c r="D1924" t="s">
        <v>29</v>
      </c>
      <c r="E1924" t="s">
        <v>51</v>
      </c>
      <c r="F1924">
        <v>65.91</v>
      </c>
      <c r="G1924" t="s">
        <v>14</v>
      </c>
      <c r="H1924" t="s">
        <v>37</v>
      </c>
      <c r="I1924">
        <v>5</v>
      </c>
      <c r="J1924">
        <v>9</v>
      </c>
      <c r="K1924">
        <v>2</v>
      </c>
      <c r="L1924" s="4">
        <v>72.428571428571416</v>
      </c>
      <c r="M1924" s="4">
        <v>6.5185714285714198</v>
      </c>
      <c r="N1924" t="s">
        <v>95</v>
      </c>
    </row>
    <row r="1925" spans="1:14">
      <c r="A1925">
        <v>1924</v>
      </c>
      <c r="B1925">
        <v>28</v>
      </c>
      <c r="C1925" t="s">
        <v>16</v>
      </c>
      <c r="D1925" t="s">
        <v>20</v>
      </c>
      <c r="E1925" t="s">
        <v>39</v>
      </c>
      <c r="F1925">
        <v>167.74</v>
      </c>
      <c r="G1925" t="s">
        <v>14</v>
      </c>
      <c r="H1925" t="s">
        <v>15</v>
      </c>
      <c r="I1925">
        <v>4.4000000000000004</v>
      </c>
      <c r="J1925">
        <v>13</v>
      </c>
      <c r="K1925">
        <v>4</v>
      </c>
      <c r="L1925" s="4">
        <v>192.80459770114945</v>
      </c>
      <c r="M1925" s="4">
        <v>25.064597701149438</v>
      </c>
      <c r="N1925" t="s">
        <v>91</v>
      </c>
    </row>
    <row r="1926" spans="1:14">
      <c r="A1926">
        <v>1925</v>
      </c>
      <c r="B1926">
        <v>25</v>
      </c>
      <c r="C1926" t="s">
        <v>11</v>
      </c>
      <c r="D1926" t="s">
        <v>41</v>
      </c>
      <c r="E1926" t="s">
        <v>46</v>
      </c>
      <c r="F1926">
        <v>197.6</v>
      </c>
      <c r="G1926" t="s">
        <v>31</v>
      </c>
      <c r="H1926" t="s">
        <v>15</v>
      </c>
      <c r="I1926">
        <v>5</v>
      </c>
      <c r="J1926">
        <v>13</v>
      </c>
      <c r="K1926">
        <v>4</v>
      </c>
      <c r="L1926" s="4">
        <v>227.12643678160919</v>
      </c>
      <c r="M1926" s="4">
        <v>29.526436781609192</v>
      </c>
      <c r="N1926" t="s">
        <v>91</v>
      </c>
    </row>
    <row r="1927" spans="1:14">
      <c r="A1927">
        <v>1926</v>
      </c>
      <c r="B1927">
        <v>66</v>
      </c>
      <c r="C1927" t="s">
        <v>16</v>
      </c>
      <c r="D1927" t="s">
        <v>20</v>
      </c>
      <c r="E1927" t="s">
        <v>21</v>
      </c>
      <c r="F1927">
        <v>69.37</v>
      </c>
      <c r="G1927" t="s">
        <v>14</v>
      </c>
      <c r="H1927" t="s">
        <v>15</v>
      </c>
      <c r="I1927">
        <v>3.8</v>
      </c>
      <c r="J1927">
        <v>6</v>
      </c>
      <c r="K1927">
        <v>3</v>
      </c>
      <c r="L1927" s="4">
        <v>73.797872340425542</v>
      </c>
      <c r="M1927" s="4">
        <v>4.4278723404255373</v>
      </c>
      <c r="N1927" t="s">
        <v>95</v>
      </c>
    </row>
    <row r="1928" spans="1:14">
      <c r="A1928">
        <v>1927</v>
      </c>
      <c r="B1928">
        <v>63</v>
      </c>
      <c r="C1928" t="s">
        <v>11</v>
      </c>
      <c r="D1928" t="s">
        <v>33</v>
      </c>
      <c r="E1928" t="s">
        <v>38</v>
      </c>
      <c r="F1928">
        <v>176.79</v>
      </c>
      <c r="G1928" t="s">
        <v>24</v>
      </c>
      <c r="H1928" t="s">
        <v>15</v>
      </c>
      <c r="I1928">
        <v>2.5</v>
      </c>
      <c r="J1928">
        <v>16</v>
      </c>
      <c r="K1928">
        <v>3</v>
      </c>
      <c r="L1928" s="4">
        <v>210.46428571428572</v>
      </c>
      <c r="M1928" s="4">
        <v>33.67428571428573</v>
      </c>
      <c r="N1928" t="s">
        <v>94</v>
      </c>
    </row>
    <row r="1929" spans="1:14">
      <c r="A1929">
        <v>1928</v>
      </c>
      <c r="B1929">
        <v>57</v>
      </c>
      <c r="C1929" t="s">
        <v>11</v>
      </c>
      <c r="D1929" t="s">
        <v>29</v>
      </c>
      <c r="E1929" t="s">
        <v>51</v>
      </c>
      <c r="F1929">
        <v>30.64</v>
      </c>
      <c r="G1929" t="s">
        <v>19</v>
      </c>
      <c r="H1929" t="s">
        <v>15</v>
      </c>
      <c r="I1929">
        <v>3.2</v>
      </c>
      <c r="J1929">
        <v>22</v>
      </c>
      <c r="K1929">
        <v>6</v>
      </c>
      <c r="L1929" s="4">
        <v>39.282051282051285</v>
      </c>
      <c r="M1929" s="4">
        <v>8.642051282051284</v>
      </c>
      <c r="N1929" t="s">
        <v>94</v>
      </c>
    </row>
    <row r="1930" spans="1:14">
      <c r="A1930">
        <v>1929</v>
      </c>
      <c r="B1930">
        <v>62</v>
      </c>
      <c r="C1930" t="s">
        <v>16</v>
      </c>
      <c r="D1930" t="s">
        <v>20</v>
      </c>
      <c r="E1930" t="s">
        <v>39</v>
      </c>
      <c r="F1930">
        <v>55.13</v>
      </c>
      <c r="G1930" t="s">
        <v>24</v>
      </c>
      <c r="H1930" t="s">
        <v>15</v>
      </c>
      <c r="I1930">
        <v>4.2</v>
      </c>
      <c r="J1930">
        <v>13</v>
      </c>
      <c r="K1930">
        <v>4</v>
      </c>
      <c r="L1930" s="4">
        <v>63.367816091954026</v>
      </c>
      <c r="M1930" s="4">
        <v>8.2378160919540235</v>
      </c>
      <c r="N1930" t="s">
        <v>94</v>
      </c>
    </row>
    <row r="1931" spans="1:14">
      <c r="A1931">
        <v>1930</v>
      </c>
      <c r="B1931">
        <v>59</v>
      </c>
      <c r="C1931" t="s">
        <v>11</v>
      </c>
      <c r="D1931" t="s">
        <v>20</v>
      </c>
      <c r="E1931" t="s">
        <v>21</v>
      </c>
      <c r="F1931">
        <v>150.71</v>
      </c>
      <c r="G1931" t="s">
        <v>19</v>
      </c>
      <c r="H1931" t="s">
        <v>15</v>
      </c>
      <c r="I1931">
        <v>3.5</v>
      </c>
      <c r="J1931">
        <v>15</v>
      </c>
      <c r="K1931">
        <v>5</v>
      </c>
      <c r="L1931" s="4">
        <v>177.30588235294118</v>
      </c>
      <c r="M1931" s="4">
        <v>26.595882352941175</v>
      </c>
      <c r="N1931" t="s">
        <v>94</v>
      </c>
    </row>
    <row r="1932" spans="1:14">
      <c r="A1932">
        <v>1931</v>
      </c>
      <c r="B1932">
        <v>59</v>
      </c>
      <c r="C1932" t="s">
        <v>11</v>
      </c>
      <c r="D1932" t="s">
        <v>41</v>
      </c>
      <c r="E1932" t="s">
        <v>44</v>
      </c>
      <c r="F1932">
        <v>42.51</v>
      </c>
      <c r="G1932" t="s">
        <v>14</v>
      </c>
      <c r="H1932" t="s">
        <v>15</v>
      </c>
      <c r="I1932">
        <v>3.5</v>
      </c>
      <c r="J1932">
        <v>18</v>
      </c>
      <c r="K1932">
        <v>4</v>
      </c>
      <c r="L1932" s="4">
        <v>51.841463414634141</v>
      </c>
      <c r="M1932" s="4">
        <v>9.3314634146341433</v>
      </c>
      <c r="N1932" t="s">
        <v>94</v>
      </c>
    </row>
    <row r="1933" spans="1:14">
      <c r="A1933">
        <v>1932</v>
      </c>
      <c r="B1933">
        <v>64</v>
      </c>
      <c r="C1933" t="s">
        <v>11</v>
      </c>
      <c r="D1933" t="s">
        <v>29</v>
      </c>
      <c r="E1933" t="s">
        <v>30</v>
      </c>
      <c r="F1933">
        <v>83.82</v>
      </c>
      <c r="G1933" t="s">
        <v>31</v>
      </c>
      <c r="H1933" t="s">
        <v>15</v>
      </c>
      <c r="I1933">
        <v>2.9</v>
      </c>
      <c r="J1933">
        <v>12</v>
      </c>
      <c r="K1933">
        <v>6</v>
      </c>
      <c r="L1933" s="4">
        <v>95.249999999999986</v>
      </c>
      <c r="M1933" s="4">
        <v>11.429999999999993</v>
      </c>
      <c r="N1933" t="s">
        <v>94</v>
      </c>
    </row>
    <row r="1934" spans="1:14">
      <c r="A1934">
        <v>1933</v>
      </c>
      <c r="B1934">
        <v>56</v>
      </c>
      <c r="C1934" t="s">
        <v>11</v>
      </c>
      <c r="D1934" t="s">
        <v>29</v>
      </c>
      <c r="E1934" t="s">
        <v>30</v>
      </c>
      <c r="F1934">
        <v>53.72</v>
      </c>
      <c r="G1934" t="s">
        <v>19</v>
      </c>
      <c r="H1934" t="s">
        <v>37</v>
      </c>
      <c r="I1934">
        <v>2.4</v>
      </c>
      <c r="J1934">
        <v>16</v>
      </c>
      <c r="K1934">
        <v>3</v>
      </c>
      <c r="L1934" s="4">
        <v>63.952380952380956</v>
      </c>
      <c r="M1934" s="4">
        <v>10.232380952380957</v>
      </c>
      <c r="N1934" t="s">
        <v>94</v>
      </c>
    </row>
    <row r="1935" spans="1:14">
      <c r="A1935">
        <v>1934</v>
      </c>
      <c r="B1935">
        <v>42</v>
      </c>
      <c r="C1935" t="s">
        <v>16</v>
      </c>
      <c r="D1935" t="s">
        <v>33</v>
      </c>
      <c r="E1935" t="s">
        <v>40</v>
      </c>
      <c r="F1935">
        <v>158.32</v>
      </c>
      <c r="G1935" t="s">
        <v>14</v>
      </c>
      <c r="H1935" t="s">
        <v>15</v>
      </c>
      <c r="I1935">
        <v>4.4000000000000004</v>
      </c>
      <c r="J1935">
        <v>10</v>
      </c>
      <c r="K1935">
        <v>5</v>
      </c>
      <c r="L1935" s="4">
        <v>175.9111111111111</v>
      </c>
      <c r="M1935" s="4">
        <v>17.591111111111104</v>
      </c>
      <c r="N1935" t="s">
        <v>92</v>
      </c>
    </row>
    <row r="1936" spans="1:14">
      <c r="A1936">
        <v>1935</v>
      </c>
      <c r="B1936">
        <v>61</v>
      </c>
      <c r="C1936" t="s">
        <v>11</v>
      </c>
      <c r="D1936" t="s">
        <v>33</v>
      </c>
      <c r="E1936" t="s">
        <v>40</v>
      </c>
      <c r="F1936">
        <v>232.32</v>
      </c>
      <c r="G1936" t="s">
        <v>19</v>
      </c>
      <c r="H1936" t="s">
        <v>15</v>
      </c>
      <c r="I1936">
        <v>2.7</v>
      </c>
      <c r="J1936">
        <v>4</v>
      </c>
      <c r="K1936">
        <v>2</v>
      </c>
      <c r="L1936" s="4">
        <v>242</v>
      </c>
      <c r="M1936" s="4">
        <v>9.6800000000000068</v>
      </c>
      <c r="N1936" t="s">
        <v>94</v>
      </c>
    </row>
    <row r="1937" spans="1:14">
      <c r="A1937">
        <v>1936</v>
      </c>
      <c r="B1937">
        <v>36</v>
      </c>
      <c r="C1937" t="s">
        <v>16</v>
      </c>
      <c r="D1937" t="s">
        <v>20</v>
      </c>
      <c r="E1937" t="s">
        <v>39</v>
      </c>
      <c r="F1937">
        <v>228.65</v>
      </c>
      <c r="G1937" t="s">
        <v>31</v>
      </c>
      <c r="H1937" t="s">
        <v>15</v>
      </c>
      <c r="I1937">
        <v>4.0999999999999996</v>
      </c>
      <c r="J1937">
        <v>13</v>
      </c>
      <c r="K1937">
        <v>4</v>
      </c>
      <c r="L1937" s="4">
        <v>262.81609195402302</v>
      </c>
      <c r="M1937" s="4">
        <v>34.166091954023017</v>
      </c>
      <c r="N1937" t="s">
        <v>92</v>
      </c>
    </row>
    <row r="1938" spans="1:14">
      <c r="A1938">
        <v>1937</v>
      </c>
      <c r="B1938">
        <v>69</v>
      </c>
      <c r="C1938" t="s">
        <v>16</v>
      </c>
      <c r="D1938" t="s">
        <v>20</v>
      </c>
      <c r="E1938" t="s">
        <v>21</v>
      </c>
      <c r="F1938">
        <v>56.11</v>
      </c>
      <c r="G1938" t="s">
        <v>31</v>
      </c>
      <c r="H1938" t="s">
        <v>37</v>
      </c>
      <c r="I1938">
        <v>2.7</v>
      </c>
      <c r="J1938">
        <v>22</v>
      </c>
      <c r="K1938">
        <v>6</v>
      </c>
      <c r="L1938" s="4">
        <v>71.935897435897431</v>
      </c>
      <c r="M1938" s="4">
        <v>15.825897435897431</v>
      </c>
      <c r="N1938" t="s">
        <v>95</v>
      </c>
    </row>
    <row r="1939" spans="1:14">
      <c r="A1939">
        <v>1938</v>
      </c>
      <c r="B1939">
        <v>32</v>
      </c>
      <c r="C1939" t="s">
        <v>11</v>
      </c>
      <c r="D1939" t="s">
        <v>22</v>
      </c>
      <c r="E1939" t="s">
        <v>23</v>
      </c>
      <c r="F1939">
        <v>175.14</v>
      </c>
      <c r="G1939" t="s">
        <v>19</v>
      </c>
      <c r="H1939" t="s">
        <v>15</v>
      </c>
      <c r="I1939">
        <v>3.6</v>
      </c>
      <c r="J1939">
        <v>20</v>
      </c>
      <c r="K1939">
        <v>10</v>
      </c>
      <c r="L1939" s="4">
        <v>218.92499999999998</v>
      </c>
      <c r="M1939" s="4">
        <v>43.784999999999997</v>
      </c>
      <c r="N1939" t="s">
        <v>91</v>
      </c>
    </row>
    <row r="1940" spans="1:14">
      <c r="A1940">
        <v>1939</v>
      </c>
      <c r="B1940">
        <v>58</v>
      </c>
      <c r="C1940" t="s">
        <v>11</v>
      </c>
      <c r="D1940" t="s">
        <v>20</v>
      </c>
      <c r="E1940" t="s">
        <v>36</v>
      </c>
      <c r="F1940">
        <v>195.03</v>
      </c>
      <c r="G1940" t="s">
        <v>24</v>
      </c>
      <c r="H1940" t="s">
        <v>15</v>
      </c>
      <c r="I1940">
        <v>3.1</v>
      </c>
      <c r="J1940">
        <v>13</v>
      </c>
      <c r="K1940">
        <v>4</v>
      </c>
      <c r="L1940" s="4">
        <v>224.17241379310346</v>
      </c>
      <c r="M1940" s="4">
        <v>29.142413793103458</v>
      </c>
      <c r="N1940" t="s">
        <v>94</v>
      </c>
    </row>
    <row r="1941" spans="1:14">
      <c r="A1941">
        <v>1940</v>
      </c>
      <c r="B1941">
        <v>52</v>
      </c>
      <c r="C1941" t="s">
        <v>11</v>
      </c>
      <c r="D1941" t="s">
        <v>22</v>
      </c>
      <c r="E1941" t="s">
        <v>23</v>
      </c>
      <c r="F1941">
        <v>181.83</v>
      </c>
      <c r="G1941" t="s">
        <v>19</v>
      </c>
      <c r="H1941" t="s">
        <v>15</v>
      </c>
      <c r="I1941">
        <v>3.8</v>
      </c>
      <c r="J1941">
        <v>12</v>
      </c>
      <c r="K1941">
        <v>6</v>
      </c>
      <c r="L1941" s="4">
        <v>206.625</v>
      </c>
      <c r="M1941" s="4">
        <v>24.794999999999987</v>
      </c>
      <c r="N1941" t="s">
        <v>93</v>
      </c>
    </row>
    <row r="1942" spans="1:14">
      <c r="A1942">
        <v>1941</v>
      </c>
      <c r="B1942">
        <v>64</v>
      </c>
      <c r="C1942" t="s">
        <v>11</v>
      </c>
      <c r="D1942" t="s">
        <v>33</v>
      </c>
      <c r="E1942" t="s">
        <v>40</v>
      </c>
      <c r="F1942">
        <v>107.22</v>
      </c>
      <c r="G1942" t="s">
        <v>24</v>
      </c>
      <c r="H1942" t="s">
        <v>15</v>
      </c>
      <c r="I1942">
        <v>4.4000000000000004</v>
      </c>
      <c r="J1942">
        <v>11</v>
      </c>
      <c r="K1942">
        <v>3</v>
      </c>
      <c r="L1942" s="4">
        <v>120.47191011235955</v>
      </c>
      <c r="M1942" s="4">
        <v>13.251910112359553</v>
      </c>
      <c r="N1942" t="s">
        <v>94</v>
      </c>
    </row>
    <row r="1943" spans="1:14">
      <c r="A1943">
        <v>1942</v>
      </c>
      <c r="B1943">
        <v>42</v>
      </c>
      <c r="C1943" t="s">
        <v>11</v>
      </c>
      <c r="D1943" t="s">
        <v>12</v>
      </c>
      <c r="E1943" t="s">
        <v>56</v>
      </c>
      <c r="F1943">
        <v>49.81</v>
      </c>
      <c r="G1943" t="s">
        <v>14</v>
      </c>
      <c r="H1943" t="s">
        <v>15</v>
      </c>
      <c r="I1943">
        <v>4.3</v>
      </c>
      <c r="J1943">
        <v>11</v>
      </c>
      <c r="K1943">
        <v>3</v>
      </c>
      <c r="L1943" s="4">
        <v>55.966292134831463</v>
      </c>
      <c r="M1943" s="4">
        <v>6.1562921348314603</v>
      </c>
      <c r="N1943" t="s">
        <v>92</v>
      </c>
    </row>
    <row r="1944" spans="1:14">
      <c r="A1944">
        <v>1943</v>
      </c>
      <c r="B1944">
        <v>65</v>
      </c>
      <c r="C1944" t="s">
        <v>16</v>
      </c>
      <c r="D1944" t="s">
        <v>20</v>
      </c>
      <c r="E1944" t="s">
        <v>21</v>
      </c>
      <c r="F1944">
        <v>54.39</v>
      </c>
      <c r="G1944" t="s">
        <v>24</v>
      </c>
      <c r="H1944" t="s">
        <v>37</v>
      </c>
      <c r="I1944">
        <v>3.8</v>
      </c>
      <c r="J1944">
        <v>9</v>
      </c>
      <c r="K1944">
        <v>2</v>
      </c>
      <c r="L1944" s="4">
        <v>59.769230769230766</v>
      </c>
      <c r="M1944" s="4">
        <v>5.3792307692307659</v>
      </c>
      <c r="N1944" t="s">
        <v>95</v>
      </c>
    </row>
    <row r="1945" spans="1:14">
      <c r="A1945">
        <v>1944</v>
      </c>
      <c r="B1945">
        <v>48</v>
      </c>
      <c r="C1945" t="s">
        <v>16</v>
      </c>
      <c r="D1945" t="s">
        <v>33</v>
      </c>
      <c r="E1945" t="s">
        <v>40</v>
      </c>
      <c r="F1945">
        <v>63.06</v>
      </c>
      <c r="G1945" t="s">
        <v>14</v>
      </c>
      <c r="H1945" t="s">
        <v>15</v>
      </c>
      <c r="I1945">
        <v>4.2</v>
      </c>
      <c r="J1945">
        <v>22</v>
      </c>
      <c r="K1945">
        <v>6</v>
      </c>
      <c r="L1945" s="4">
        <v>80.84615384615384</v>
      </c>
      <c r="M1945" s="4">
        <v>17.786153846153837</v>
      </c>
      <c r="N1945" t="s">
        <v>93</v>
      </c>
    </row>
    <row r="1946" spans="1:14">
      <c r="A1946">
        <v>1945</v>
      </c>
      <c r="B1946">
        <v>66</v>
      </c>
      <c r="C1946" t="s">
        <v>16</v>
      </c>
      <c r="D1946" t="s">
        <v>27</v>
      </c>
      <c r="E1946" t="s">
        <v>49</v>
      </c>
      <c r="F1946">
        <v>1918.19</v>
      </c>
      <c r="G1946" t="s">
        <v>14</v>
      </c>
      <c r="H1946" t="s">
        <v>15</v>
      </c>
      <c r="I1946">
        <v>3.3</v>
      </c>
      <c r="J1946">
        <v>8</v>
      </c>
      <c r="K1946">
        <v>4</v>
      </c>
      <c r="L1946" s="4">
        <v>2084.9891304347825</v>
      </c>
      <c r="M1946" s="4">
        <v>166.79913043478246</v>
      </c>
      <c r="N1946" t="s">
        <v>95</v>
      </c>
    </row>
    <row r="1947" spans="1:14">
      <c r="A1947">
        <v>1946</v>
      </c>
      <c r="B1947">
        <v>50</v>
      </c>
      <c r="C1947" t="s">
        <v>16</v>
      </c>
      <c r="D1947" t="s">
        <v>17</v>
      </c>
      <c r="E1947" t="s">
        <v>18</v>
      </c>
      <c r="F1947">
        <v>132.11000000000001</v>
      </c>
      <c r="G1947" t="s">
        <v>19</v>
      </c>
      <c r="H1947" t="s">
        <v>15</v>
      </c>
      <c r="I1947">
        <v>3.7</v>
      </c>
      <c r="J1947">
        <v>18</v>
      </c>
      <c r="K1947">
        <v>4</v>
      </c>
      <c r="L1947" s="4">
        <v>161.10975609756099</v>
      </c>
      <c r="M1947" s="4">
        <v>28.999756097560976</v>
      </c>
      <c r="N1947" t="s">
        <v>93</v>
      </c>
    </row>
    <row r="1948" spans="1:14">
      <c r="A1948">
        <v>1947</v>
      </c>
      <c r="B1948">
        <v>35</v>
      </c>
      <c r="C1948" t="s">
        <v>11</v>
      </c>
      <c r="D1948" t="s">
        <v>41</v>
      </c>
      <c r="E1948" t="s">
        <v>45</v>
      </c>
      <c r="F1948">
        <v>84.23</v>
      </c>
      <c r="G1948" t="s">
        <v>31</v>
      </c>
      <c r="H1948" t="s">
        <v>37</v>
      </c>
      <c r="I1948">
        <v>5</v>
      </c>
      <c r="J1948">
        <v>8</v>
      </c>
      <c r="K1948">
        <v>4</v>
      </c>
      <c r="L1948" s="4">
        <v>91.554347826086953</v>
      </c>
      <c r="M1948" s="4">
        <v>7.3243478260869495</v>
      </c>
      <c r="N1948" t="s">
        <v>92</v>
      </c>
    </row>
    <row r="1949" spans="1:14">
      <c r="A1949">
        <v>1948</v>
      </c>
      <c r="B1949">
        <v>42</v>
      </c>
      <c r="C1949" t="s">
        <v>11</v>
      </c>
      <c r="D1949" t="s">
        <v>29</v>
      </c>
      <c r="E1949" t="s">
        <v>55</v>
      </c>
      <c r="F1949">
        <v>114.27</v>
      </c>
      <c r="G1949" t="s">
        <v>19</v>
      </c>
      <c r="H1949" t="s">
        <v>15</v>
      </c>
      <c r="I1949">
        <v>5</v>
      </c>
      <c r="J1949">
        <v>12</v>
      </c>
      <c r="K1949">
        <v>6</v>
      </c>
      <c r="L1949" s="4">
        <v>129.85227272727272</v>
      </c>
      <c r="M1949" s="4">
        <v>15.582272727272724</v>
      </c>
      <c r="N1949" t="s">
        <v>92</v>
      </c>
    </row>
    <row r="1950" spans="1:14">
      <c r="A1950">
        <v>1949</v>
      </c>
      <c r="B1950">
        <v>30</v>
      </c>
      <c r="C1950" t="s">
        <v>11</v>
      </c>
      <c r="D1950" t="s">
        <v>22</v>
      </c>
      <c r="E1950" t="s">
        <v>52</v>
      </c>
      <c r="F1950">
        <v>39.24</v>
      </c>
      <c r="G1950" t="s">
        <v>19</v>
      </c>
      <c r="H1950" t="s">
        <v>37</v>
      </c>
      <c r="I1950">
        <v>3.3</v>
      </c>
      <c r="J1950">
        <v>22</v>
      </c>
      <c r="K1950">
        <v>6</v>
      </c>
      <c r="L1950" s="4">
        <v>50.307692307692307</v>
      </c>
      <c r="M1950" s="4">
        <v>11.067692307692305</v>
      </c>
      <c r="N1950" t="s">
        <v>91</v>
      </c>
    </row>
    <row r="1951" spans="1:14">
      <c r="A1951">
        <v>1950</v>
      </c>
      <c r="B1951">
        <v>42</v>
      </c>
      <c r="C1951" t="s">
        <v>11</v>
      </c>
      <c r="D1951" t="s">
        <v>33</v>
      </c>
      <c r="E1951" t="s">
        <v>38</v>
      </c>
      <c r="F1951">
        <v>121.16</v>
      </c>
      <c r="G1951" t="s">
        <v>19</v>
      </c>
      <c r="H1951" t="s">
        <v>15</v>
      </c>
      <c r="I1951">
        <v>2.8</v>
      </c>
      <c r="J1951">
        <v>16</v>
      </c>
      <c r="K1951">
        <v>8</v>
      </c>
      <c r="L1951" s="4">
        <v>144.23809523809524</v>
      </c>
      <c r="M1951" s="4">
        <v>23.078095238095244</v>
      </c>
      <c r="N1951" t="s">
        <v>92</v>
      </c>
    </row>
    <row r="1952" spans="1:14">
      <c r="A1952">
        <v>1951</v>
      </c>
      <c r="B1952">
        <v>51</v>
      </c>
      <c r="C1952" t="s">
        <v>11</v>
      </c>
      <c r="D1952" t="s">
        <v>25</v>
      </c>
      <c r="E1952" t="s">
        <v>26</v>
      </c>
      <c r="F1952">
        <v>45.86</v>
      </c>
      <c r="G1952" t="s">
        <v>14</v>
      </c>
      <c r="H1952" t="s">
        <v>15</v>
      </c>
      <c r="I1952">
        <v>3.6</v>
      </c>
      <c r="J1952">
        <v>8</v>
      </c>
      <c r="K1952">
        <v>4</v>
      </c>
      <c r="L1952" s="4">
        <v>49.847826086956516</v>
      </c>
      <c r="M1952" s="4">
        <v>3.9878260869565167</v>
      </c>
      <c r="N1952" t="s">
        <v>93</v>
      </c>
    </row>
    <row r="1953" spans="1:14">
      <c r="A1953">
        <v>1952</v>
      </c>
      <c r="B1953">
        <v>38</v>
      </c>
      <c r="C1953" t="s">
        <v>16</v>
      </c>
      <c r="D1953" t="s">
        <v>17</v>
      </c>
      <c r="E1953" t="s">
        <v>42</v>
      </c>
      <c r="F1953">
        <v>38.47</v>
      </c>
      <c r="G1953" t="s">
        <v>19</v>
      </c>
      <c r="H1953" t="s">
        <v>15</v>
      </c>
      <c r="I1953">
        <v>3.6</v>
      </c>
      <c r="J1953">
        <v>17</v>
      </c>
      <c r="K1953">
        <v>6</v>
      </c>
      <c r="L1953" s="4">
        <v>46.349397590361448</v>
      </c>
      <c r="M1953" s="4">
        <v>7.8793975903614495</v>
      </c>
      <c r="N1953" t="s">
        <v>92</v>
      </c>
    </row>
    <row r="1954" spans="1:14">
      <c r="A1954">
        <v>1953</v>
      </c>
      <c r="B1954">
        <v>46</v>
      </c>
      <c r="C1954" t="s">
        <v>16</v>
      </c>
      <c r="D1954" t="s">
        <v>20</v>
      </c>
      <c r="E1954" t="s">
        <v>36</v>
      </c>
      <c r="F1954">
        <v>98.54</v>
      </c>
      <c r="G1954" t="s">
        <v>24</v>
      </c>
      <c r="H1954" t="s">
        <v>15</v>
      </c>
      <c r="I1954">
        <v>4.7</v>
      </c>
      <c r="J1954">
        <v>8</v>
      </c>
      <c r="K1954">
        <v>4</v>
      </c>
      <c r="L1954" s="4">
        <v>107.10869565217392</v>
      </c>
      <c r="M1954" s="4">
        <v>8.5686956521739148</v>
      </c>
      <c r="N1954" t="s">
        <v>93</v>
      </c>
    </row>
    <row r="1955" spans="1:14">
      <c r="A1955">
        <v>1954</v>
      </c>
      <c r="B1955">
        <v>55</v>
      </c>
      <c r="C1955" t="s">
        <v>16</v>
      </c>
      <c r="D1955" t="s">
        <v>33</v>
      </c>
      <c r="E1955" t="s">
        <v>34</v>
      </c>
      <c r="F1955">
        <v>194.32</v>
      </c>
      <c r="G1955" t="s">
        <v>19</v>
      </c>
      <c r="H1955" t="s">
        <v>15</v>
      </c>
      <c r="I1955">
        <v>3.5</v>
      </c>
      <c r="J1955">
        <v>8</v>
      </c>
      <c r="K1955">
        <v>4</v>
      </c>
      <c r="L1955" s="4">
        <v>211.21739130434781</v>
      </c>
      <c r="M1955" s="4">
        <v>16.897391304347821</v>
      </c>
      <c r="N1955" t="s">
        <v>94</v>
      </c>
    </row>
    <row r="1956" spans="1:14">
      <c r="A1956">
        <v>1955</v>
      </c>
      <c r="B1956">
        <v>61</v>
      </c>
      <c r="C1956" t="s">
        <v>11</v>
      </c>
      <c r="D1956" t="s">
        <v>29</v>
      </c>
      <c r="E1956" t="s">
        <v>55</v>
      </c>
      <c r="F1956">
        <v>71.83</v>
      </c>
      <c r="G1956" t="s">
        <v>24</v>
      </c>
      <c r="H1956" t="s">
        <v>37</v>
      </c>
      <c r="I1956">
        <v>4</v>
      </c>
      <c r="J1956">
        <v>18</v>
      </c>
      <c r="K1956">
        <v>4</v>
      </c>
      <c r="L1956" s="4">
        <v>87.597560975609753</v>
      </c>
      <c r="M1956" s="4">
        <v>15.767560975609754</v>
      </c>
      <c r="N1956" t="s">
        <v>94</v>
      </c>
    </row>
    <row r="1957" spans="1:14">
      <c r="A1957">
        <v>1956</v>
      </c>
      <c r="B1957">
        <v>65</v>
      </c>
      <c r="C1957" t="s">
        <v>11</v>
      </c>
      <c r="D1957" t="s">
        <v>33</v>
      </c>
      <c r="E1957" t="s">
        <v>40</v>
      </c>
      <c r="F1957">
        <v>119.74</v>
      </c>
      <c r="G1957" t="s">
        <v>24</v>
      </c>
      <c r="H1957" t="s">
        <v>15</v>
      </c>
      <c r="I1957">
        <v>3.5</v>
      </c>
      <c r="J1957">
        <v>6</v>
      </c>
      <c r="K1957">
        <v>3</v>
      </c>
      <c r="L1957" s="4">
        <v>127.38297872340426</v>
      </c>
      <c r="M1957" s="4">
        <v>7.6429787234042692</v>
      </c>
      <c r="N1957" t="s">
        <v>95</v>
      </c>
    </row>
    <row r="1958" spans="1:14">
      <c r="A1958">
        <v>1957</v>
      </c>
      <c r="B1958">
        <v>66</v>
      </c>
      <c r="C1958" t="s">
        <v>11</v>
      </c>
      <c r="D1958" t="s">
        <v>33</v>
      </c>
      <c r="E1958" t="s">
        <v>40</v>
      </c>
      <c r="F1958">
        <v>242.56</v>
      </c>
      <c r="G1958" t="s">
        <v>31</v>
      </c>
      <c r="H1958" t="s">
        <v>15</v>
      </c>
      <c r="I1958">
        <v>5</v>
      </c>
      <c r="J1958">
        <v>14</v>
      </c>
      <c r="K1958">
        <v>7</v>
      </c>
      <c r="L1958" s="4">
        <v>282.04651162790697</v>
      </c>
      <c r="M1958" s="4">
        <v>39.486511627906964</v>
      </c>
      <c r="N1958" t="s">
        <v>95</v>
      </c>
    </row>
    <row r="1959" spans="1:14">
      <c r="A1959">
        <v>1958</v>
      </c>
      <c r="B1959">
        <v>51</v>
      </c>
      <c r="C1959" t="s">
        <v>11</v>
      </c>
      <c r="D1959" t="s">
        <v>41</v>
      </c>
      <c r="E1959" t="s">
        <v>46</v>
      </c>
      <c r="F1959">
        <v>78.03</v>
      </c>
      <c r="G1959" t="s">
        <v>14</v>
      </c>
      <c r="H1959" t="s">
        <v>37</v>
      </c>
      <c r="I1959">
        <v>4.0999999999999996</v>
      </c>
      <c r="J1959">
        <v>13</v>
      </c>
      <c r="K1959">
        <v>4</v>
      </c>
      <c r="L1959" s="4">
        <v>89.689655172413794</v>
      </c>
      <c r="M1959" s="4">
        <v>11.659655172413792</v>
      </c>
      <c r="N1959" t="s">
        <v>93</v>
      </c>
    </row>
    <row r="1960" spans="1:14">
      <c r="A1960">
        <v>1959</v>
      </c>
      <c r="B1960">
        <v>52</v>
      </c>
      <c r="C1960" t="s">
        <v>16</v>
      </c>
      <c r="D1960" t="s">
        <v>20</v>
      </c>
      <c r="E1960" t="s">
        <v>21</v>
      </c>
      <c r="F1960">
        <v>82.92</v>
      </c>
      <c r="G1960" t="s">
        <v>31</v>
      </c>
      <c r="H1960" t="s">
        <v>15</v>
      </c>
      <c r="I1960">
        <v>4.2</v>
      </c>
      <c r="J1960">
        <v>24</v>
      </c>
      <c r="K1960">
        <v>7</v>
      </c>
      <c r="L1960" s="4">
        <v>109.10526315789474</v>
      </c>
      <c r="M1960" s="4">
        <v>26.185263157894738</v>
      </c>
      <c r="N1960" t="s">
        <v>93</v>
      </c>
    </row>
    <row r="1961" spans="1:14">
      <c r="A1961">
        <v>1960</v>
      </c>
      <c r="B1961">
        <v>56</v>
      </c>
      <c r="C1961" t="s">
        <v>11</v>
      </c>
      <c r="D1961" t="s">
        <v>22</v>
      </c>
      <c r="E1961" t="s">
        <v>23</v>
      </c>
      <c r="F1961">
        <v>220.57</v>
      </c>
      <c r="G1961" t="s">
        <v>19</v>
      </c>
      <c r="H1961" t="s">
        <v>15</v>
      </c>
      <c r="I1961">
        <v>3.1</v>
      </c>
      <c r="J1961">
        <v>18</v>
      </c>
      <c r="K1961">
        <v>4</v>
      </c>
      <c r="L1961" s="4">
        <v>268.98780487804873</v>
      </c>
      <c r="M1961" s="4">
        <v>48.417804878048742</v>
      </c>
      <c r="N1961" t="s">
        <v>94</v>
      </c>
    </row>
    <row r="1962" spans="1:14">
      <c r="A1962">
        <v>1961</v>
      </c>
      <c r="B1962">
        <v>61</v>
      </c>
      <c r="C1962" t="s">
        <v>16</v>
      </c>
      <c r="D1962" t="s">
        <v>20</v>
      </c>
      <c r="E1962" t="s">
        <v>21</v>
      </c>
      <c r="F1962">
        <v>93.71</v>
      </c>
      <c r="G1962" t="s">
        <v>24</v>
      </c>
      <c r="H1962" t="s">
        <v>37</v>
      </c>
      <c r="I1962">
        <v>3.6</v>
      </c>
      <c r="J1962">
        <v>2</v>
      </c>
      <c r="K1962">
        <v>1</v>
      </c>
      <c r="L1962" s="4">
        <v>95.622448979591837</v>
      </c>
      <c r="M1962" s="4">
        <v>1.9124489795918436</v>
      </c>
      <c r="N1962" t="s">
        <v>94</v>
      </c>
    </row>
    <row r="1963" spans="1:14">
      <c r="A1963">
        <v>1962</v>
      </c>
      <c r="B1963">
        <v>55</v>
      </c>
      <c r="C1963" t="s">
        <v>16</v>
      </c>
      <c r="D1963" t="s">
        <v>33</v>
      </c>
      <c r="E1963" t="s">
        <v>40</v>
      </c>
      <c r="F1963">
        <v>237.85</v>
      </c>
      <c r="G1963" t="s">
        <v>19</v>
      </c>
      <c r="H1963" t="s">
        <v>15</v>
      </c>
      <c r="I1963">
        <v>3.4</v>
      </c>
      <c r="J1963">
        <v>24</v>
      </c>
      <c r="K1963">
        <v>7</v>
      </c>
      <c r="L1963" s="4">
        <v>312.96052631578948</v>
      </c>
      <c r="M1963" s="4">
        <v>75.110526315789485</v>
      </c>
      <c r="N1963" t="s">
        <v>94</v>
      </c>
    </row>
    <row r="1964" spans="1:14">
      <c r="A1964">
        <v>1963</v>
      </c>
      <c r="B1964">
        <v>43</v>
      </c>
      <c r="C1964" t="s">
        <v>11</v>
      </c>
      <c r="D1964" t="s">
        <v>22</v>
      </c>
      <c r="E1964" t="s">
        <v>43</v>
      </c>
      <c r="F1964">
        <v>209.95</v>
      </c>
      <c r="G1964" t="s">
        <v>19</v>
      </c>
      <c r="H1964" t="s">
        <v>15</v>
      </c>
      <c r="I1964">
        <v>2.5</v>
      </c>
      <c r="J1964">
        <v>16</v>
      </c>
      <c r="K1964">
        <v>3</v>
      </c>
      <c r="L1964" s="4">
        <v>249.94047619047618</v>
      </c>
      <c r="M1964" s="4">
        <v>39.990476190476187</v>
      </c>
      <c r="N1964" t="s">
        <v>92</v>
      </c>
    </row>
    <row r="1965" spans="1:14">
      <c r="A1965">
        <v>1964</v>
      </c>
      <c r="B1965">
        <v>67</v>
      </c>
      <c r="C1965" t="s">
        <v>16</v>
      </c>
      <c r="D1965" t="s">
        <v>33</v>
      </c>
      <c r="E1965" t="s">
        <v>38</v>
      </c>
      <c r="F1965">
        <v>208.53</v>
      </c>
      <c r="G1965" t="s">
        <v>24</v>
      </c>
      <c r="H1965" t="s">
        <v>15</v>
      </c>
      <c r="I1965">
        <v>4.4000000000000004</v>
      </c>
      <c r="J1965">
        <v>25</v>
      </c>
      <c r="K1965">
        <v>10</v>
      </c>
      <c r="L1965" s="4">
        <v>278.04000000000002</v>
      </c>
      <c r="M1965" s="4">
        <v>69.510000000000019</v>
      </c>
      <c r="N1965" t="s">
        <v>95</v>
      </c>
    </row>
    <row r="1966" spans="1:14">
      <c r="A1966">
        <v>1965</v>
      </c>
      <c r="B1966">
        <v>23</v>
      </c>
      <c r="C1966" t="s">
        <v>16</v>
      </c>
      <c r="D1966" t="s">
        <v>33</v>
      </c>
      <c r="E1966" t="s">
        <v>38</v>
      </c>
      <c r="F1966">
        <v>79.069999999999993</v>
      </c>
      <c r="G1966" t="s">
        <v>31</v>
      </c>
      <c r="H1966" t="s">
        <v>37</v>
      </c>
      <c r="I1966">
        <v>5</v>
      </c>
      <c r="J1966">
        <v>11</v>
      </c>
      <c r="K1966">
        <v>3</v>
      </c>
      <c r="L1966" s="4">
        <v>88.842696629213478</v>
      </c>
      <c r="M1966" s="4">
        <v>9.7726966292134847</v>
      </c>
      <c r="N1966" t="s">
        <v>100</v>
      </c>
    </row>
    <row r="1967" spans="1:14">
      <c r="A1967">
        <v>1966</v>
      </c>
      <c r="B1967">
        <v>54</v>
      </c>
      <c r="C1967" t="s">
        <v>11</v>
      </c>
      <c r="D1967" t="s">
        <v>41</v>
      </c>
      <c r="E1967" t="s">
        <v>44</v>
      </c>
      <c r="F1967">
        <v>86</v>
      </c>
      <c r="G1967" t="s">
        <v>19</v>
      </c>
      <c r="H1967" t="s">
        <v>37</v>
      </c>
      <c r="I1967">
        <v>3.2</v>
      </c>
      <c r="J1967">
        <v>18</v>
      </c>
      <c r="K1967">
        <v>9</v>
      </c>
      <c r="L1967" s="4">
        <v>104.8780487804878</v>
      </c>
      <c r="M1967" s="4">
        <v>18.878048780487802</v>
      </c>
      <c r="N1967" t="s">
        <v>93</v>
      </c>
    </row>
    <row r="1968" spans="1:14">
      <c r="A1968">
        <v>1967</v>
      </c>
      <c r="B1968">
        <v>37</v>
      </c>
      <c r="C1968" t="s">
        <v>11</v>
      </c>
      <c r="D1968" t="s">
        <v>41</v>
      </c>
      <c r="E1968" t="s">
        <v>46</v>
      </c>
      <c r="F1968">
        <v>118.51</v>
      </c>
      <c r="G1968" t="s">
        <v>31</v>
      </c>
      <c r="H1968" t="s">
        <v>15</v>
      </c>
      <c r="I1968">
        <v>4.5999999999999996</v>
      </c>
      <c r="J1968">
        <v>9</v>
      </c>
      <c r="K1968">
        <v>2</v>
      </c>
      <c r="L1968" s="4">
        <v>130.23076923076923</v>
      </c>
      <c r="M1968" s="4">
        <v>11.720769230769221</v>
      </c>
      <c r="N1968" t="s">
        <v>92</v>
      </c>
    </row>
    <row r="1969" spans="1:14">
      <c r="A1969">
        <v>1968</v>
      </c>
      <c r="B1969">
        <v>44</v>
      </c>
      <c r="C1969" t="s">
        <v>16</v>
      </c>
      <c r="D1969" t="s">
        <v>27</v>
      </c>
      <c r="E1969" t="s">
        <v>49</v>
      </c>
      <c r="F1969">
        <v>1102.43</v>
      </c>
      <c r="G1969" t="s">
        <v>19</v>
      </c>
      <c r="H1969" t="s">
        <v>15</v>
      </c>
      <c r="I1969">
        <v>3.9</v>
      </c>
      <c r="J1969">
        <v>30</v>
      </c>
      <c r="K1969">
        <v>10</v>
      </c>
      <c r="L1969" s="4">
        <v>1574.9</v>
      </c>
      <c r="M1969" s="4">
        <v>472.47</v>
      </c>
      <c r="N1969" t="s">
        <v>92</v>
      </c>
    </row>
    <row r="1970" spans="1:14">
      <c r="A1970">
        <v>1969</v>
      </c>
      <c r="B1970">
        <v>54</v>
      </c>
      <c r="C1970" t="s">
        <v>11</v>
      </c>
      <c r="D1970" t="s">
        <v>41</v>
      </c>
      <c r="E1970" t="s">
        <v>42</v>
      </c>
      <c r="F1970">
        <v>130.37</v>
      </c>
      <c r="G1970" t="s">
        <v>19</v>
      </c>
      <c r="H1970" t="s">
        <v>15</v>
      </c>
      <c r="I1970">
        <v>2.8</v>
      </c>
      <c r="J1970">
        <v>17</v>
      </c>
      <c r="K1970">
        <v>6</v>
      </c>
      <c r="L1970" s="4">
        <v>157.07228915662651</v>
      </c>
      <c r="M1970" s="4">
        <v>26.702289156626506</v>
      </c>
      <c r="N1970" t="s">
        <v>93</v>
      </c>
    </row>
    <row r="1971" spans="1:14">
      <c r="A1971">
        <v>1970</v>
      </c>
      <c r="B1971">
        <v>39</v>
      </c>
      <c r="C1971" t="s">
        <v>16</v>
      </c>
      <c r="D1971" t="s">
        <v>20</v>
      </c>
      <c r="E1971" t="s">
        <v>39</v>
      </c>
      <c r="F1971">
        <v>26.25</v>
      </c>
      <c r="G1971" t="s">
        <v>14</v>
      </c>
      <c r="H1971" t="s">
        <v>37</v>
      </c>
      <c r="I1971">
        <v>3</v>
      </c>
      <c r="J1971">
        <v>22</v>
      </c>
      <c r="K1971">
        <v>6</v>
      </c>
      <c r="L1971" s="4">
        <v>33.653846153846153</v>
      </c>
      <c r="M1971" s="4">
        <v>7.4038461538461533</v>
      </c>
      <c r="N1971" t="s">
        <v>92</v>
      </c>
    </row>
    <row r="1972" spans="1:14">
      <c r="A1972">
        <v>1971</v>
      </c>
      <c r="B1972">
        <v>41</v>
      </c>
      <c r="C1972" t="s">
        <v>16</v>
      </c>
      <c r="D1972" t="s">
        <v>20</v>
      </c>
      <c r="E1972" t="s">
        <v>21</v>
      </c>
      <c r="F1972">
        <v>229.64</v>
      </c>
      <c r="G1972" t="s">
        <v>31</v>
      </c>
      <c r="H1972" t="s">
        <v>15</v>
      </c>
      <c r="I1972">
        <v>4.2</v>
      </c>
      <c r="J1972">
        <v>10</v>
      </c>
      <c r="K1972">
        <v>5</v>
      </c>
      <c r="L1972" s="4">
        <v>255.15555555555554</v>
      </c>
      <c r="M1972" s="4">
        <v>25.515555555555551</v>
      </c>
      <c r="N1972" t="s">
        <v>92</v>
      </c>
    </row>
    <row r="1973" spans="1:14">
      <c r="A1973">
        <v>1972</v>
      </c>
      <c r="B1973">
        <v>48</v>
      </c>
      <c r="C1973" t="s">
        <v>11</v>
      </c>
      <c r="D1973" t="s">
        <v>41</v>
      </c>
      <c r="E1973" t="s">
        <v>42</v>
      </c>
      <c r="F1973">
        <v>144.76</v>
      </c>
      <c r="G1973" t="s">
        <v>31</v>
      </c>
      <c r="H1973" t="s">
        <v>15</v>
      </c>
      <c r="I1973">
        <v>4.2</v>
      </c>
      <c r="J1973">
        <v>10</v>
      </c>
      <c r="K1973">
        <v>5</v>
      </c>
      <c r="L1973" s="4">
        <v>160.84444444444443</v>
      </c>
      <c r="M1973" s="4">
        <v>16.084444444444443</v>
      </c>
      <c r="N1973" t="s">
        <v>93</v>
      </c>
    </row>
    <row r="1974" spans="1:14">
      <c r="A1974">
        <v>1973</v>
      </c>
      <c r="B1974">
        <v>39</v>
      </c>
      <c r="C1974" t="s">
        <v>11</v>
      </c>
      <c r="D1974" t="s">
        <v>41</v>
      </c>
      <c r="E1974" t="s">
        <v>46</v>
      </c>
      <c r="F1974">
        <v>188.91</v>
      </c>
      <c r="G1974" t="s">
        <v>24</v>
      </c>
      <c r="H1974" t="s">
        <v>15</v>
      </c>
      <c r="I1974">
        <v>3.4</v>
      </c>
      <c r="J1974">
        <v>20</v>
      </c>
      <c r="K1974">
        <v>5</v>
      </c>
      <c r="L1974" s="4">
        <v>236.13749999999999</v>
      </c>
      <c r="M1974" s="4">
        <v>47.227499999999992</v>
      </c>
      <c r="N1974" t="s">
        <v>92</v>
      </c>
    </row>
    <row r="1975" spans="1:14">
      <c r="A1975">
        <v>1974</v>
      </c>
      <c r="B1975">
        <v>44</v>
      </c>
      <c r="C1975" t="s">
        <v>16</v>
      </c>
      <c r="D1975" t="s">
        <v>33</v>
      </c>
      <c r="E1975" t="s">
        <v>38</v>
      </c>
      <c r="F1975">
        <v>108.13</v>
      </c>
      <c r="G1975" t="s">
        <v>24</v>
      </c>
      <c r="H1975" t="s">
        <v>15</v>
      </c>
      <c r="I1975">
        <v>3.5</v>
      </c>
      <c r="J1975">
        <v>4</v>
      </c>
      <c r="K1975">
        <v>2</v>
      </c>
      <c r="L1975" s="4">
        <v>112.63541666666667</v>
      </c>
      <c r="M1975" s="4">
        <v>4.505416666666676</v>
      </c>
      <c r="N1975" t="s">
        <v>92</v>
      </c>
    </row>
    <row r="1976" spans="1:14">
      <c r="A1976">
        <v>1975</v>
      </c>
      <c r="B1976">
        <v>60</v>
      </c>
      <c r="C1976" t="s">
        <v>11</v>
      </c>
      <c r="D1976" t="s">
        <v>33</v>
      </c>
      <c r="E1976" t="s">
        <v>38</v>
      </c>
      <c r="F1976">
        <v>49.64</v>
      </c>
      <c r="G1976" t="s">
        <v>19</v>
      </c>
      <c r="H1976" t="s">
        <v>37</v>
      </c>
      <c r="I1976">
        <v>3.2</v>
      </c>
      <c r="J1976">
        <v>12</v>
      </c>
      <c r="K1976">
        <v>6</v>
      </c>
      <c r="L1976" s="4">
        <v>56.409090909090907</v>
      </c>
      <c r="M1976" s="4">
        <v>6.7690909090909059</v>
      </c>
      <c r="N1976" t="s">
        <v>94</v>
      </c>
    </row>
    <row r="1977" spans="1:14">
      <c r="A1977">
        <v>1976</v>
      </c>
      <c r="B1977">
        <v>57</v>
      </c>
      <c r="C1977" t="s">
        <v>11</v>
      </c>
      <c r="D1977" t="s">
        <v>41</v>
      </c>
      <c r="E1977" t="s">
        <v>46</v>
      </c>
      <c r="F1977">
        <v>33.5</v>
      </c>
      <c r="G1977" t="s">
        <v>31</v>
      </c>
      <c r="H1977" t="s">
        <v>15</v>
      </c>
      <c r="I1977">
        <v>1.7</v>
      </c>
      <c r="J1977">
        <v>11</v>
      </c>
      <c r="K1977">
        <v>3</v>
      </c>
      <c r="L1977" s="4">
        <v>37.640449438202246</v>
      </c>
      <c r="M1977" s="4">
        <v>4.1404494382022463</v>
      </c>
      <c r="N1977" t="s">
        <v>94</v>
      </c>
    </row>
    <row r="1978" spans="1:14">
      <c r="A1978">
        <v>1977</v>
      </c>
      <c r="B1978">
        <v>48</v>
      </c>
      <c r="C1978" t="s">
        <v>16</v>
      </c>
      <c r="D1978" t="s">
        <v>17</v>
      </c>
      <c r="E1978" t="s">
        <v>48</v>
      </c>
      <c r="F1978">
        <v>176.4</v>
      </c>
      <c r="G1978" t="s">
        <v>14</v>
      </c>
      <c r="H1978" t="s">
        <v>15</v>
      </c>
      <c r="I1978">
        <v>4.3</v>
      </c>
      <c r="J1978">
        <v>2</v>
      </c>
      <c r="K1978">
        <v>1</v>
      </c>
      <c r="L1978" s="4">
        <v>180</v>
      </c>
      <c r="M1978" s="4">
        <v>3.5999999999999943</v>
      </c>
      <c r="N1978" t="s">
        <v>93</v>
      </c>
    </row>
    <row r="1979" spans="1:14">
      <c r="A1979">
        <v>1978</v>
      </c>
      <c r="B1979">
        <v>38</v>
      </c>
      <c r="C1979" t="s">
        <v>11</v>
      </c>
      <c r="D1979" t="s">
        <v>33</v>
      </c>
      <c r="E1979" t="s">
        <v>38</v>
      </c>
      <c r="F1979">
        <v>177.52</v>
      </c>
      <c r="G1979" t="s">
        <v>24</v>
      </c>
      <c r="H1979" t="s">
        <v>15</v>
      </c>
      <c r="I1979">
        <v>4.7</v>
      </c>
      <c r="J1979">
        <v>11</v>
      </c>
      <c r="K1979">
        <v>3</v>
      </c>
      <c r="L1979" s="4">
        <v>199.46067415730337</v>
      </c>
      <c r="M1979" s="4">
        <v>21.940674157303363</v>
      </c>
      <c r="N1979" t="s">
        <v>92</v>
      </c>
    </row>
    <row r="1980" spans="1:14">
      <c r="A1980">
        <v>1979</v>
      </c>
      <c r="B1980">
        <v>66</v>
      </c>
      <c r="C1980" t="s">
        <v>11</v>
      </c>
      <c r="D1980" t="s">
        <v>41</v>
      </c>
      <c r="E1980" t="s">
        <v>42</v>
      </c>
      <c r="F1980">
        <v>48.85</v>
      </c>
      <c r="G1980" t="s">
        <v>19</v>
      </c>
      <c r="H1980" t="s">
        <v>15</v>
      </c>
      <c r="I1980">
        <v>4.3</v>
      </c>
      <c r="J1980">
        <v>24</v>
      </c>
      <c r="K1980">
        <v>7</v>
      </c>
      <c r="L1980" s="4">
        <v>64.276315789473685</v>
      </c>
      <c r="M1980" s="4">
        <v>15.426315789473684</v>
      </c>
      <c r="N1980" t="s">
        <v>95</v>
      </c>
    </row>
    <row r="1981" spans="1:14">
      <c r="A1981">
        <v>1980</v>
      </c>
      <c r="B1981">
        <v>70</v>
      </c>
      <c r="C1981" t="s">
        <v>11</v>
      </c>
      <c r="D1981" t="s">
        <v>41</v>
      </c>
      <c r="E1981" t="s">
        <v>46</v>
      </c>
      <c r="F1981">
        <v>139.16999999999999</v>
      </c>
      <c r="G1981" t="s">
        <v>31</v>
      </c>
      <c r="H1981" t="s">
        <v>15</v>
      </c>
      <c r="I1981">
        <v>4.3</v>
      </c>
      <c r="J1981">
        <v>19</v>
      </c>
      <c r="K1981">
        <v>7</v>
      </c>
      <c r="L1981" s="4">
        <v>171.81481481481478</v>
      </c>
      <c r="M1981" s="4">
        <v>32.644814814814794</v>
      </c>
      <c r="N1981" t="s">
        <v>95</v>
      </c>
    </row>
    <row r="1982" spans="1:14">
      <c r="A1982">
        <v>1981</v>
      </c>
      <c r="B1982">
        <v>24</v>
      </c>
      <c r="C1982" t="s">
        <v>16</v>
      </c>
      <c r="D1982" t="s">
        <v>17</v>
      </c>
      <c r="E1982" t="s">
        <v>35</v>
      </c>
      <c r="F1982">
        <v>196.55</v>
      </c>
      <c r="G1982" t="s">
        <v>31</v>
      </c>
      <c r="H1982" t="s">
        <v>15</v>
      </c>
      <c r="I1982">
        <v>3.2</v>
      </c>
      <c r="J1982">
        <v>8</v>
      </c>
      <c r="K1982">
        <v>4</v>
      </c>
      <c r="L1982" s="4">
        <v>213.64130434782609</v>
      </c>
      <c r="M1982" s="4">
        <v>17.091304347826082</v>
      </c>
      <c r="N1982" t="s">
        <v>100</v>
      </c>
    </row>
    <row r="1983" spans="1:14">
      <c r="A1983">
        <v>1982</v>
      </c>
      <c r="B1983">
        <v>41</v>
      </c>
      <c r="C1983" t="s">
        <v>11</v>
      </c>
      <c r="D1983" t="s">
        <v>29</v>
      </c>
      <c r="E1983" t="s">
        <v>30</v>
      </c>
      <c r="F1983">
        <v>26.86</v>
      </c>
      <c r="G1983" t="s">
        <v>24</v>
      </c>
      <c r="H1983" t="s">
        <v>15</v>
      </c>
      <c r="I1983">
        <v>3.5</v>
      </c>
      <c r="J1983">
        <v>9</v>
      </c>
      <c r="K1983">
        <v>2</v>
      </c>
      <c r="L1983" s="4">
        <v>29.516483516483515</v>
      </c>
      <c r="M1983" s="4">
        <v>2.6564835164835152</v>
      </c>
      <c r="N1983" t="s">
        <v>92</v>
      </c>
    </row>
    <row r="1984" spans="1:14">
      <c r="A1984">
        <v>1983</v>
      </c>
      <c r="B1984">
        <v>63</v>
      </c>
      <c r="C1984" t="s">
        <v>16</v>
      </c>
      <c r="D1984" t="s">
        <v>20</v>
      </c>
      <c r="E1984" t="s">
        <v>36</v>
      </c>
      <c r="F1984">
        <v>161.59</v>
      </c>
      <c r="G1984" t="s">
        <v>19</v>
      </c>
      <c r="H1984" t="s">
        <v>15</v>
      </c>
      <c r="I1984">
        <v>5</v>
      </c>
      <c r="J1984">
        <v>21</v>
      </c>
      <c r="K1984">
        <v>8</v>
      </c>
      <c r="L1984" s="4">
        <v>204.54430379746836</v>
      </c>
      <c r="M1984" s="4">
        <v>42.954303797468356</v>
      </c>
      <c r="N1984" t="s">
        <v>94</v>
      </c>
    </row>
    <row r="1985" spans="1:14">
      <c r="A1985">
        <v>1984</v>
      </c>
      <c r="B1985">
        <v>40</v>
      </c>
      <c r="C1985" t="s">
        <v>11</v>
      </c>
      <c r="D1985" t="s">
        <v>41</v>
      </c>
      <c r="E1985" t="s">
        <v>45</v>
      </c>
      <c r="F1985">
        <v>171.74</v>
      </c>
      <c r="G1985" t="s">
        <v>14</v>
      </c>
      <c r="H1985" t="s">
        <v>15</v>
      </c>
      <c r="I1985">
        <v>2.9</v>
      </c>
      <c r="J1985">
        <v>18</v>
      </c>
      <c r="K1985">
        <v>4</v>
      </c>
      <c r="L1985" s="4">
        <v>209.4390243902439</v>
      </c>
      <c r="M1985" s="4">
        <v>37.699024390243892</v>
      </c>
      <c r="N1985" t="s">
        <v>92</v>
      </c>
    </row>
    <row r="1986" spans="1:14">
      <c r="A1986">
        <v>1985</v>
      </c>
      <c r="B1986">
        <v>52</v>
      </c>
      <c r="C1986" t="s">
        <v>16</v>
      </c>
      <c r="D1986" t="s">
        <v>20</v>
      </c>
      <c r="E1986" t="s">
        <v>39</v>
      </c>
      <c r="F1986">
        <v>46.83</v>
      </c>
      <c r="G1986" t="s">
        <v>24</v>
      </c>
      <c r="H1986" t="s">
        <v>15</v>
      </c>
      <c r="I1986">
        <v>3.7</v>
      </c>
      <c r="J1986">
        <v>22</v>
      </c>
      <c r="K1986">
        <v>6</v>
      </c>
      <c r="L1986" s="4">
        <v>60.038461538461533</v>
      </c>
      <c r="M1986" s="4">
        <v>13.208461538461535</v>
      </c>
      <c r="N1986" t="s">
        <v>93</v>
      </c>
    </row>
    <row r="1987" spans="1:14">
      <c r="A1987">
        <v>1986</v>
      </c>
      <c r="B1987">
        <v>38</v>
      </c>
      <c r="C1987" t="s">
        <v>16</v>
      </c>
      <c r="D1987" t="s">
        <v>20</v>
      </c>
      <c r="E1987" t="s">
        <v>21</v>
      </c>
      <c r="F1987">
        <v>61.79</v>
      </c>
      <c r="G1987" t="s">
        <v>14</v>
      </c>
      <c r="H1987" t="s">
        <v>15</v>
      </c>
      <c r="I1987">
        <v>2.9</v>
      </c>
      <c r="J1987">
        <v>28</v>
      </c>
      <c r="K1987">
        <v>9</v>
      </c>
      <c r="L1987" s="4">
        <v>85.819444444444443</v>
      </c>
      <c r="M1987" s="4">
        <v>24.029444444444444</v>
      </c>
      <c r="N1987" t="s">
        <v>92</v>
      </c>
    </row>
    <row r="1988" spans="1:14">
      <c r="A1988">
        <v>1987</v>
      </c>
      <c r="B1988">
        <v>25</v>
      </c>
      <c r="C1988" t="s">
        <v>16</v>
      </c>
      <c r="D1988" t="s">
        <v>17</v>
      </c>
      <c r="E1988" t="s">
        <v>48</v>
      </c>
      <c r="F1988">
        <v>111.92</v>
      </c>
      <c r="G1988" t="s">
        <v>14</v>
      </c>
      <c r="H1988" t="s">
        <v>15</v>
      </c>
      <c r="I1988">
        <v>4.3</v>
      </c>
      <c r="J1988">
        <v>21</v>
      </c>
      <c r="K1988">
        <v>8</v>
      </c>
      <c r="L1988" s="4">
        <v>141.67088607594937</v>
      </c>
      <c r="M1988" s="4">
        <v>29.750886075949367</v>
      </c>
      <c r="N1988" t="s">
        <v>91</v>
      </c>
    </row>
    <row r="1989" spans="1:14">
      <c r="A1989">
        <v>1988</v>
      </c>
      <c r="B1989">
        <v>56</v>
      </c>
      <c r="C1989" t="s">
        <v>16</v>
      </c>
      <c r="D1989" t="s">
        <v>27</v>
      </c>
      <c r="E1989" t="s">
        <v>49</v>
      </c>
      <c r="F1989">
        <v>1616.64</v>
      </c>
      <c r="G1989" t="s">
        <v>31</v>
      </c>
      <c r="H1989" t="s">
        <v>15</v>
      </c>
      <c r="I1989">
        <v>4.2</v>
      </c>
      <c r="J1989">
        <v>16</v>
      </c>
      <c r="K1989">
        <v>3</v>
      </c>
      <c r="L1989" s="4">
        <v>1924.5714285714287</v>
      </c>
      <c r="M1989" s="4">
        <v>307.93142857142857</v>
      </c>
      <c r="N1989" t="s">
        <v>94</v>
      </c>
    </row>
    <row r="1990" spans="1:14">
      <c r="A1990">
        <v>1989</v>
      </c>
      <c r="B1990">
        <v>48</v>
      </c>
      <c r="C1990" t="s">
        <v>16</v>
      </c>
      <c r="D1990" t="s">
        <v>20</v>
      </c>
      <c r="E1990" t="s">
        <v>36</v>
      </c>
      <c r="F1990">
        <v>217.52</v>
      </c>
      <c r="G1990" t="s">
        <v>31</v>
      </c>
      <c r="H1990" t="s">
        <v>15</v>
      </c>
      <c r="I1990">
        <v>4.5</v>
      </c>
      <c r="J1990">
        <v>22</v>
      </c>
      <c r="K1990">
        <v>6</v>
      </c>
      <c r="L1990" s="4">
        <v>278.87179487179486</v>
      </c>
      <c r="M1990" s="4">
        <v>61.351794871794851</v>
      </c>
      <c r="N1990" t="s">
        <v>93</v>
      </c>
    </row>
    <row r="1991" spans="1:14">
      <c r="A1991">
        <v>1990</v>
      </c>
      <c r="B1991">
        <v>64</v>
      </c>
      <c r="C1991" t="s">
        <v>16</v>
      </c>
      <c r="D1991" t="s">
        <v>20</v>
      </c>
      <c r="E1991" t="s">
        <v>36</v>
      </c>
      <c r="F1991">
        <v>162.80000000000001</v>
      </c>
      <c r="G1991" t="s">
        <v>19</v>
      </c>
      <c r="H1991" t="s">
        <v>15</v>
      </c>
      <c r="I1991">
        <v>4.9000000000000004</v>
      </c>
      <c r="J1991">
        <v>18</v>
      </c>
      <c r="K1991">
        <v>4</v>
      </c>
      <c r="L1991" s="4">
        <v>198.53658536585365</v>
      </c>
      <c r="M1991" s="4">
        <v>35.736585365853642</v>
      </c>
      <c r="N1991" t="s">
        <v>94</v>
      </c>
    </row>
    <row r="1992" spans="1:14">
      <c r="A1992">
        <v>1991</v>
      </c>
      <c r="B1992">
        <v>22</v>
      </c>
      <c r="C1992" t="s">
        <v>16</v>
      </c>
      <c r="D1992" t="s">
        <v>17</v>
      </c>
      <c r="E1992" t="s">
        <v>48</v>
      </c>
      <c r="F1992">
        <v>65.02</v>
      </c>
      <c r="G1992" t="s">
        <v>31</v>
      </c>
      <c r="H1992" t="s">
        <v>15</v>
      </c>
      <c r="I1992">
        <v>3.9</v>
      </c>
      <c r="J1992">
        <v>16</v>
      </c>
      <c r="K1992">
        <v>3</v>
      </c>
      <c r="L1992" s="4">
        <v>77.404761904761898</v>
      </c>
      <c r="M1992" s="4">
        <v>12.384761904761902</v>
      </c>
      <c r="N1992" t="s">
        <v>100</v>
      </c>
    </row>
    <row r="1993" spans="1:14">
      <c r="A1993">
        <v>1992</v>
      </c>
      <c r="B1993">
        <v>36</v>
      </c>
      <c r="C1993" t="s">
        <v>16</v>
      </c>
      <c r="D1993" t="s">
        <v>33</v>
      </c>
      <c r="E1993" t="s">
        <v>34</v>
      </c>
      <c r="F1993">
        <v>138.44999999999999</v>
      </c>
      <c r="G1993" t="s">
        <v>31</v>
      </c>
      <c r="H1993" t="s">
        <v>15</v>
      </c>
      <c r="I1993">
        <v>3.2</v>
      </c>
      <c r="J1993">
        <v>20</v>
      </c>
      <c r="K1993">
        <v>5</v>
      </c>
      <c r="L1993" s="4">
        <v>173.06249999999997</v>
      </c>
      <c r="M1993" s="4">
        <v>34.612499999999983</v>
      </c>
      <c r="N1993" t="s">
        <v>92</v>
      </c>
    </row>
    <row r="1994" spans="1:14">
      <c r="A1994">
        <v>1993</v>
      </c>
      <c r="B1994">
        <v>45</v>
      </c>
      <c r="C1994" t="s">
        <v>11</v>
      </c>
      <c r="D1994" t="s">
        <v>20</v>
      </c>
      <c r="E1994" t="s">
        <v>21</v>
      </c>
      <c r="F1994">
        <v>184.55</v>
      </c>
      <c r="G1994" t="s">
        <v>19</v>
      </c>
      <c r="H1994" t="s">
        <v>15</v>
      </c>
      <c r="I1994">
        <v>4.2</v>
      </c>
      <c r="J1994">
        <v>8</v>
      </c>
      <c r="K1994">
        <v>4</v>
      </c>
      <c r="L1994" s="4">
        <v>200.59782608695653</v>
      </c>
      <c r="M1994" s="4">
        <v>16.047826086956519</v>
      </c>
      <c r="N1994" t="s">
        <v>93</v>
      </c>
    </row>
    <row r="1995" spans="1:14">
      <c r="A1995">
        <v>1994</v>
      </c>
      <c r="B1995">
        <v>33</v>
      </c>
      <c r="C1995" t="s">
        <v>11</v>
      </c>
      <c r="D1995" t="s">
        <v>41</v>
      </c>
      <c r="E1995" t="s">
        <v>45</v>
      </c>
      <c r="F1995">
        <v>109.48</v>
      </c>
      <c r="G1995" t="s">
        <v>19</v>
      </c>
      <c r="H1995" t="s">
        <v>15</v>
      </c>
      <c r="I1995">
        <v>3.8</v>
      </c>
      <c r="J1995">
        <v>12</v>
      </c>
      <c r="K1995">
        <v>6</v>
      </c>
      <c r="L1995" s="4">
        <v>124.40909090909091</v>
      </c>
      <c r="M1995" s="4">
        <v>14.929090909090903</v>
      </c>
      <c r="N1995" t="s">
        <v>91</v>
      </c>
    </row>
    <row r="1996" spans="1:14">
      <c r="A1996">
        <v>1995</v>
      </c>
      <c r="B1996">
        <v>59</v>
      </c>
      <c r="C1996" t="s">
        <v>11</v>
      </c>
      <c r="D1996" t="s">
        <v>41</v>
      </c>
      <c r="E1996" t="s">
        <v>42</v>
      </c>
      <c r="F1996">
        <v>147.63</v>
      </c>
      <c r="G1996" t="s">
        <v>24</v>
      </c>
      <c r="H1996" t="s">
        <v>15</v>
      </c>
      <c r="I1996">
        <v>5</v>
      </c>
      <c r="J1996">
        <v>17</v>
      </c>
      <c r="K1996">
        <v>6</v>
      </c>
      <c r="L1996" s="4">
        <v>177.86746987951807</v>
      </c>
      <c r="M1996" s="4">
        <v>30.237469879518073</v>
      </c>
      <c r="N1996" t="s">
        <v>94</v>
      </c>
    </row>
    <row r="1997" spans="1:14">
      <c r="A1997">
        <v>1996</v>
      </c>
      <c r="B1997">
        <v>49</v>
      </c>
      <c r="C1997" t="s">
        <v>16</v>
      </c>
      <c r="D1997" t="s">
        <v>17</v>
      </c>
      <c r="E1997" t="s">
        <v>18</v>
      </c>
      <c r="F1997">
        <v>176.47</v>
      </c>
      <c r="G1997" t="s">
        <v>31</v>
      </c>
      <c r="H1997" t="s">
        <v>15</v>
      </c>
      <c r="I1997">
        <v>3.2</v>
      </c>
      <c r="J1997">
        <v>18</v>
      </c>
      <c r="K1997">
        <v>4</v>
      </c>
      <c r="L1997" s="4">
        <v>215.20731707317071</v>
      </c>
      <c r="M1997" s="4">
        <v>38.737317073170715</v>
      </c>
      <c r="N1997" t="s">
        <v>93</v>
      </c>
    </row>
    <row r="1998" spans="1:14">
      <c r="A1998">
        <v>1997</v>
      </c>
      <c r="B1998">
        <v>36</v>
      </c>
      <c r="C1998" t="s">
        <v>16</v>
      </c>
      <c r="D1998" t="s">
        <v>27</v>
      </c>
      <c r="E1998" t="s">
        <v>28</v>
      </c>
      <c r="F1998">
        <v>1270.98</v>
      </c>
      <c r="G1998" t="s">
        <v>19</v>
      </c>
      <c r="H1998" t="s">
        <v>15</v>
      </c>
      <c r="I1998">
        <v>5</v>
      </c>
      <c r="J1998">
        <v>12</v>
      </c>
      <c r="K1998">
        <v>6</v>
      </c>
      <c r="L1998" s="4">
        <v>1444.2954545454545</v>
      </c>
      <c r="M1998" s="4">
        <v>173.31545454545449</v>
      </c>
      <c r="N1998" t="s">
        <v>92</v>
      </c>
    </row>
    <row r="1999" spans="1:14">
      <c r="A1999">
        <v>1998</v>
      </c>
      <c r="B1999">
        <v>59</v>
      </c>
      <c r="C1999" t="s">
        <v>16</v>
      </c>
      <c r="D1999" t="s">
        <v>20</v>
      </c>
      <c r="E1999" t="s">
        <v>21</v>
      </c>
      <c r="F1999">
        <v>158.36000000000001</v>
      </c>
      <c r="G1999" t="s">
        <v>31</v>
      </c>
      <c r="H1999" t="s">
        <v>15</v>
      </c>
      <c r="I1999">
        <v>4.0999999999999996</v>
      </c>
      <c r="J1999">
        <v>21</v>
      </c>
      <c r="K1999">
        <v>8</v>
      </c>
      <c r="L1999" s="4">
        <v>200.45569620253164</v>
      </c>
      <c r="M1999" s="4">
        <v>42.095696202531627</v>
      </c>
      <c r="N1999" t="s">
        <v>94</v>
      </c>
    </row>
    <row r="2000" spans="1:14">
      <c r="A2000">
        <v>1999</v>
      </c>
      <c r="B2000">
        <v>47</v>
      </c>
      <c r="C2000" t="s">
        <v>16</v>
      </c>
      <c r="D2000" t="s">
        <v>20</v>
      </c>
      <c r="E2000" t="s">
        <v>21</v>
      </c>
      <c r="F2000">
        <v>25.96</v>
      </c>
      <c r="G2000" t="s">
        <v>24</v>
      </c>
      <c r="H2000" t="s">
        <v>37</v>
      </c>
      <c r="I2000">
        <v>3.5</v>
      </c>
      <c r="J2000">
        <v>24</v>
      </c>
      <c r="K2000">
        <v>7</v>
      </c>
      <c r="L2000" s="4">
        <v>34.157894736842103</v>
      </c>
      <c r="M2000" s="4">
        <v>8.1978947368421018</v>
      </c>
      <c r="N2000" t="s">
        <v>93</v>
      </c>
    </row>
    <row r="2001" spans="1:14">
      <c r="A2001">
        <v>2000</v>
      </c>
      <c r="B2001">
        <v>45</v>
      </c>
      <c r="C2001" t="s">
        <v>11</v>
      </c>
      <c r="D2001" t="s">
        <v>33</v>
      </c>
      <c r="E2001" t="s">
        <v>34</v>
      </c>
      <c r="F2001">
        <v>219.08</v>
      </c>
      <c r="G2001" t="s">
        <v>19</v>
      </c>
      <c r="H2001" t="s">
        <v>15</v>
      </c>
      <c r="I2001">
        <v>3.9</v>
      </c>
      <c r="J2001">
        <v>25</v>
      </c>
      <c r="K2001">
        <v>10</v>
      </c>
      <c r="L2001" s="4">
        <v>292.10666666666668</v>
      </c>
      <c r="M2001" s="4">
        <v>73.026666666666671</v>
      </c>
      <c r="N2001" t="s">
        <v>93</v>
      </c>
    </row>
    <row r="2002" spans="1:14">
      <c r="A2002">
        <v>2001</v>
      </c>
      <c r="B2002">
        <v>44</v>
      </c>
      <c r="C2002" t="s">
        <v>16</v>
      </c>
      <c r="D2002" t="s">
        <v>20</v>
      </c>
      <c r="E2002" t="s">
        <v>36</v>
      </c>
      <c r="F2002">
        <v>216.53</v>
      </c>
      <c r="G2002" t="s">
        <v>19</v>
      </c>
      <c r="H2002" t="s">
        <v>15</v>
      </c>
      <c r="I2002">
        <v>3.4</v>
      </c>
      <c r="J2002">
        <v>2</v>
      </c>
      <c r="K2002">
        <v>1</v>
      </c>
      <c r="L2002" s="4">
        <v>220.94897959183675</v>
      </c>
      <c r="M2002" s="4">
        <v>4.4189795918367452</v>
      </c>
      <c r="N2002" t="s">
        <v>92</v>
      </c>
    </row>
    <row r="2003" spans="1:14">
      <c r="A2003">
        <v>2002</v>
      </c>
      <c r="B2003">
        <v>58</v>
      </c>
      <c r="C2003" t="s">
        <v>16</v>
      </c>
      <c r="D2003" t="s">
        <v>20</v>
      </c>
      <c r="E2003" t="s">
        <v>36</v>
      </c>
      <c r="F2003">
        <v>155.38999999999999</v>
      </c>
      <c r="G2003" t="s">
        <v>24</v>
      </c>
      <c r="H2003" t="s">
        <v>15</v>
      </c>
      <c r="I2003">
        <v>3.5</v>
      </c>
      <c r="J2003">
        <v>21</v>
      </c>
      <c r="K2003">
        <v>8</v>
      </c>
      <c r="L2003" s="4">
        <v>196.69620253164555</v>
      </c>
      <c r="M2003" s="4">
        <v>41.306202531645567</v>
      </c>
      <c r="N2003" t="s">
        <v>94</v>
      </c>
    </row>
    <row r="2004" spans="1:14">
      <c r="A2004">
        <v>2003</v>
      </c>
      <c r="B2004">
        <v>65</v>
      </c>
      <c r="C2004" t="s">
        <v>16</v>
      </c>
      <c r="D2004" t="s">
        <v>33</v>
      </c>
      <c r="E2004" t="s">
        <v>38</v>
      </c>
      <c r="F2004">
        <v>178.96</v>
      </c>
      <c r="G2004" t="s">
        <v>24</v>
      </c>
      <c r="H2004" t="s">
        <v>15</v>
      </c>
      <c r="I2004">
        <v>3.1</v>
      </c>
      <c r="J2004">
        <v>16</v>
      </c>
      <c r="K2004">
        <v>3</v>
      </c>
      <c r="L2004" s="4">
        <v>213.04761904761907</v>
      </c>
      <c r="M2004" s="4">
        <v>34.087619047619057</v>
      </c>
      <c r="N2004" t="s">
        <v>95</v>
      </c>
    </row>
    <row r="2005" spans="1:14">
      <c r="A2005">
        <v>2004</v>
      </c>
      <c r="B2005">
        <v>50</v>
      </c>
      <c r="C2005" t="s">
        <v>16</v>
      </c>
      <c r="D2005" t="s">
        <v>17</v>
      </c>
      <c r="E2005" t="s">
        <v>35</v>
      </c>
      <c r="F2005">
        <v>156.35</v>
      </c>
      <c r="G2005" t="s">
        <v>24</v>
      </c>
      <c r="H2005" t="s">
        <v>15</v>
      </c>
      <c r="I2005">
        <v>3.1</v>
      </c>
      <c r="J2005">
        <v>9</v>
      </c>
      <c r="K2005">
        <v>2</v>
      </c>
      <c r="L2005" s="4">
        <v>171.8131868131868</v>
      </c>
      <c r="M2005" s="4">
        <v>15.463186813186809</v>
      </c>
      <c r="N2005" t="s">
        <v>93</v>
      </c>
    </row>
    <row r="2006" spans="1:14">
      <c r="A2006">
        <v>2005</v>
      </c>
      <c r="B2006">
        <v>32</v>
      </c>
      <c r="C2006" t="s">
        <v>11</v>
      </c>
      <c r="D2006" t="s">
        <v>25</v>
      </c>
      <c r="E2006" t="s">
        <v>54</v>
      </c>
      <c r="F2006">
        <v>30.91</v>
      </c>
      <c r="G2006" t="s">
        <v>19</v>
      </c>
      <c r="H2006" t="s">
        <v>15</v>
      </c>
      <c r="I2006">
        <v>3.4</v>
      </c>
      <c r="J2006">
        <v>14</v>
      </c>
      <c r="K2006">
        <v>2</v>
      </c>
      <c r="L2006" s="4">
        <v>35.941860465116278</v>
      </c>
      <c r="M2006" s="4">
        <v>5.0318604651162779</v>
      </c>
      <c r="N2006" t="s">
        <v>91</v>
      </c>
    </row>
    <row r="2007" spans="1:14">
      <c r="A2007">
        <v>2006</v>
      </c>
      <c r="B2007">
        <v>33</v>
      </c>
      <c r="C2007" t="s">
        <v>11</v>
      </c>
      <c r="D2007" t="s">
        <v>25</v>
      </c>
      <c r="E2007" t="s">
        <v>57</v>
      </c>
      <c r="F2007">
        <v>33.28</v>
      </c>
      <c r="G2007" t="s">
        <v>14</v>
      </c>
      <c r="H2007" t="s">
        <v>15</v>
      </c>
      <c r="I2007">
        <v>4.2</v>
      </c>
      <c r="J2007">
        <v>8</v>
      </c>
      <c r="K2007">
        <v>4</v>
      </c>
      <c r="L2007" s="4">
        <v>36.173913043478258</v>
      </c>
      <c r="M2007" s="4">
        <v>2.893913043478257</v>
      </c>
      <c r="N2007" t="s">
        <v>91</v>
      </c>
    </row>
    <row r="2008" spans="1:14">
      <c r="A2008">
        <v>2007</v>
      </c>
      <c r="B2008">
        <v>41</v>
      </c>
      <c r="C2008" t="s">
        <v>11</v>
      </c>
      <c r="D2008" t="s">
        <v>25</v>
      </c>
      <c r="E2008" t="s">
        <v>26</v>
      </c>
      <c r="F2008">
        <v>14.36</v>
      </c>
      <c r="G2008" t="s">
        <v>24</v>
      </c>
      <c r="H2008" t="s">
        <v>37</v>
      </c>
      <c r="I2008">
        <v>3.6</v>
      </c>
      <c r="J2008">
        <v>15</v>
      </c>
      <c r="K2008">
        <v>5</v>
      </c>
      <c r="L2008" s="4">
        <v>16.894117647058824</v>
      </c>
      <c r="M2008" s="4">
        <v>2.5341176470588245</v>
      </c>
      <c r="N2008" t="s">
        <v>92</v>
      </c>
    </row>
    <row r="2009" spans="1:14">
      <c r="A2009">
        <v>2008</v>
      </c>
      <c r="B2009">
        <v>60</v>
      </c>
      <c r="C2009" t="s">
        <v>16</v>
      </c>
      <c r="D2009" t="s">
        <v>20</v>
      </c>
      <c r="E2009" t="s">
        <v>21</v>
      </c>
      <c r="F2009">
        <v>164.7</v>
      </c>
      <c r="G2009" t="s">
        <v>31</v>
      </c>
      <c r="H2009" t="s">
        <v>15</v>
      </c>
      <c r="I2009">
        <v>4.8</v>
      </c>
      <c r="J2009">
        <v>26</v>
      </c>
      <c r="K2009">
        <v>8</v>
      </c>
      <c r="L2009" s="4">
        <v>222.56756756756755</v>
      </c>
      <c r="M2009" s="4">
        <v>57.867567567567562</v>
      </c>
      <c r="N2009" t="s">
        <v>94</v>
      </c>
    </row>
    <row r="2010" spans="1:14">
      <c r="A2010">
        <v>2009</v>
      </c>
      <c r="B2010">
        <v>54</v>
      </c>
      <c r="C2010" t="s">
        <v>16</v>
      </c>
      <c r="D2010" t="s">
        <v>20</v>
      </c>
      <c r="E2010" t="s">
        <v>39</v>
      </c>
      <c r="F2010">
        <v>156.24</v>
      </c>
      <c r="G2010" t="s">
        <v>31</v>
      </c>
      <c r="H2010" t="s">
        <v>15</v>
      </c>
      <c r="I2010">
        <v>4.5999999999999996</v>
      </c>
      <c r="J2010">
        <v>16</v>
      </c>
      <c r="K2010">
        <v>3</v>
      </c>
      <c r="L2010" s="4">
        <v>186.00000000000003</v>
      </c>
      <c r="M2010" s="4">
        <v>29.760000000000019</v>
      </c>
      <c r="N2010" t="s">
        <v>93</v>
      </c>
    </row>
    <row r="2011" spans="1:14">
      <c r="A2011">
        <v>2010</v>
      </c>
      <c r="B2011">
        <v>34</v>
      </c>
      <c r="C2011" t="s">
        <v>11</v>
      </c>
      <c r="D2011" t="s">
        <v>41</v>
      </c>
      <c r="E2011" t="s">
        <v>44</v>
      </c>
      <c r="F2011">
        <v>153.01</v>
      </c>
      <c r="G2011" t="s">
        <v>31</v>
      </c>
      <c r="H2011" t="s">
        <v>15</v>
      </c>
      <c r="I2011">
        <v>3.8</v>
      </c>
      <c r="J2011">
        <v>13</v>
      </c>
      <c r="K2011">
        <v>4</v>
      </c>
      <c r="L2011" s="4">
        <v>175.87356321839079</v>
      </c>
      <c r="M2011" s="4">
        <v>22.863563218390794</v>
      </c>
      <c r="N2011" t="s">
        <v>91</v>
      </c>
    </row>
    <row r="2012" spans="1:14">
      <c r="A2012">
        <v>2011</v>
      </c>
      <c r="B2012">
        <v>46</v>
      </c>
      <c r="C2012" t="s">
        <v>11</v>
      </c>
      <c r="D2012" t="s">
        <v>33</v>
      </c>
      <c r="E2012" t="s">
        <v>38</v>
      </c>
      <c r="F2012">
        <v>120.06</v>
      </c>
      <c r="G2012" t="s">
        <v>14</v>
      </c>
      <c r="H2012" t="s">
        <v>15</v>
      </c>
      <c r="I2012">
        <v>4.0999999999999996</v>
      </c>
      <c r="J2012">
        <v>6</v>
      </c>
      <c r="K2012">
        <v>3</v>
      </c>
      <c r="L2012" s="4">
        <v>127.72340425531915</v>
      </c>
      <c r="M2012" s="4">
        <v>7.6634042553191506</v>
      </c>
      <c r="N2012" t="s">
        <v>93</v>
      </c>
    </row>
    <row r="2013" spans="1:14">
      <c r="A2013">
        <v>2012</v>
      </c>
      <c r="B2013">
        <v>38</v>
      </c>
      <c r="C2013" t="s">
        <v>11</v>
      </c>
      <c r="D2013" t="s">
        <v>41</v>
      </c>
      <c r="E2013" t="s">
        <v>45</v>
      </c>
      <c r="F2013">
        <v>162.6</v>
      </c>
      <c r="G2013" t="s">
        <v>31</v>
      </c>
      <c r="H2013" t="s">
        <v>15</v>
      </c>
      <c r="I2013">
        <v>4.4000000000000004</v>
      </c>
      <c r="J2013">
        <v>26</v>
      </c>
      <c r="K2013">
        <v>8</v>
      </c>
      <c r="L2013" s="4">
        <v>219.72972972972971</v>
      </c>
      <c r="M2013" s="4">
        <v>57.129729729729718</v>
      </c>
      <c r="N2013" t="s">
        <v>92</v>
      </c>
    </row>
    <row r="2014" spans="1:14">
      <c r="A2014">
        <v>2013</v>
      </c>
      <c r="B2014">
        <v>51</v>
      </c>
      <c r="C2014" t="s">
        <v>11</v>
      </c>
      <c r="D2014" t="s">
        <v>29</v>
      </c>
      <c r="E2014" t="s">
        <v>30</v>
      </c>
      <c r="F2014">
        <v>89.47</v>
      </c>
      <c r="G2014" t="s">
        <v>19</v>
      </c>
      <c r="H2014" t="s">
        <v>15</v>
      </c>
      <c r="I2014">
        <v>3.6</v>
      </c>
      <c r="J2014">
        <v>10</v>
      </c>
      <c r="K2014">
        <v>5</v>
      </c>
      <c r="L2014" s="4">
        <v>99.411111111111111</v>
      </c>
      <c r="M2014" s="4">
        <v>9.9411111111111126</v>
      </c>
      <c r="N2014" t="s">
        <v>93</v>
      </c>
    </row>
    <row r="2015" spans="1:14">
      <c r="A2015">
        <v>2014</v>
      </c>
      <c r="B2015">
        <v>20</v>
      </c>
      <c r="C2015" t="s">
        <v>11</v>
      </c>
      <c r="D2015" t="s">
        <v>33</v>
      </c>
      <c r="E2015" t="s">
        <v>40</v>
      </c>
      <c r="F2015">
        <v>88.2</v>
      </c>
      <c r="G2015" t="s">
        <v>24</v>
      </c>
      <c r="H2015" t="s">
        <v>37</v>
      </c>
      <c r="I2015">
        <v>3.4</v>
      </c>
      <c r="J2015">
        <v>17</v>
      </c>
      <c r="K2015">
        <v>6</v>
      </c>
      <c r="L2015" s="4">
        <v>106.26506024096386</v>
      </c>
      <c r="M2015" s="4">
        <v>18.065060240963859</v>
      </c>
      <c r="N2015" t="s">
        <v>100</v>
      </c>
    </row>
    <row r="2016" spans="1:14">
      <c r="A2016">
        <v>2015</v>
      </c>
      <c r="B2016">
        <v>35</v>
      </c>
      <c r="C2016" t="s">
        <v>16</v>
      </c>
      <c r="D2016" t="s">
        <v>33</v>
      </c>
      <c r="E2016" t="s">
        <v>38</v>
      </c>
      <c r="F2016">
        <v>199.05</v>
      </c>
      <c r="G2016" t="s">
        <v>24</v>
      </c>
      <c r="H2016" t="s">
        <v>15</v>
      </c>
      <c r="I2016">
        <v>3.4</v>
      </c>
      <c r="J2016">
        <v>10</v>
      </c>
      <c r="K2016">
        <v>5</v>
      </c>
      <c r="L2016" s="4">
        <v>221.16666666666669</v>
      </c>
      <c r="M2016" s="4">
        <v>22.116666666666674</v>
      </c>
      <c r="N2016" t="s">
        <v>92</v>
      </c>
    </row>
    <row r="2017" spans="1:14">
      <c r="A2017">
        <v>2016</v>
      </c>
      <c r="B2017">
        <v>57</v>
      </c>
      <c r="C2017" t="s">
        <v>16</v>
      </c>
      <c r="D2017" t="s">
        <v>22</v>
      </c>
      <c r="E2017" t="s">
        <v>23</v>
      </c>
      <c r="F2017">
        <v>97.73</v>
      </c>
      <c r="G2017" t="s">
        <v>24</v>
      </c>
      <c r="H2017" t="s">
        <v>37</v>
      </c>
      <c r="I2017">
        <v>4.0999999999999996</v>
      </c>
      <c r="J2017">
        <v>12</v>
      </c>
      <c r="K2017">
        <v>6</v>
      </c>
      <c r="L2017" s="4">
        <v>111.05681818181819</v>
      </c>
      <c r="M2017" s="4">
        <v>13.326818181818183</v>
      </c>
      <c r="N2017" t="s">
        <v>94</v>
      </c>
    </row>
    <row r="2018" spans="1:14">
      <c r="A2018">
        <v>2017</v>
      </c>
      <c r="B2018">
        <v>35</v>
      </c>
      <c r="C2018" t="s">
        <v>16</v>
      </c>
      <c r="D2018" t="s">
        <v>25</v>
      </c>
      <c r="E2018" t="s">
        <v>54</v>
      </c>
      <c r="F2018">
        <v>21.46</v>
      </c>
      <c r="G2018" t="s">
        <v>31</v>
      </c>
      <c r="H2018" t="s">
        <v>37</v>
      </c>
      <c r="I2018">
        <v>3.7</v>
      </c>
      <c r="J2018">
        <v>8</v>
      </c>
      <c r="K2018">
        <v>4</v>
      </c>
      <c r="L2018" s="4">
        <v>23.326086956521738</v>
      </c>
      <c r="M2018" s="4">
        <v>1.8660869565217375</v>
      </c>
      <c r="N2018" t="s">
        <v>92</v>
      </c>
    </row>
    <row r="2019" spans="1:14">
      <c r="A2019">
        <v>2018</v>
      </c>
      <c r="B2019">
        <v>51</v>
      </c>
      <c r="C2019" t="s">
        <v>11</v>
      </c>
      <c r="D2019" t="s">
        <v>41</v>
      </c>
      <c r="E2019" t="s">
        <v>45</v>
      </c>
      <c r="F2019">
        <v>196.16</v>
      </c>
      <c r="G2019" t="s">
        <v>14</v>
      </c>
      <c r="H2019" t="s">
        <v>15</v>
      </c>
      <c r="I2019">
        <v>3.4</v>
      </c>
      <c r="J2019">
        <v>20</v>
      </c>
      <c r="K2019">
        <v>5</v>
      </c>
      <c r="L2019" s="4">
        <v>245.2</v>
      </c>
      <c r="M2019" s="4">
        <v>49.039999999999992</v>
      </c>
      <c r="N2019" t="s">
        <v>93</v>
      </c>
    </row>
    <row r="2020" spans="1:14">
      <c r="A2020">
        <v>2019</v>
      </c>
      <c r="B2020">
        <v>45</v>
      </c>
      <c r="C2020" t="s">
        <v>11</v>
      </c>
      <c r="D2020" t="s">
        <v>29</v>
      </c>
      <c r="E2020" t="s">
        <v>55</v>
      </c>
      <c r="F2020">
        <v>89.54</v>
      </c>
      <c r="G2020" t="s">
        <v>19</v>
      </c>
      <c r="H2020" t="s">
        <v>37</v>
      </c>
      <c r="I2020">
        <v>4.5999999999999996</v>
      </c>
      <c r="J2020">
        <v>20</v>
      </c>
      <c r="K2020">
        <v>5</v>
      </c>
      <c r="L2020" s="4">
        <v>111.925</v>
      </c>
      <c r="M2020" s="4">
        <v>22.384999999999991</v>
      </c>
      <c r="N2020" t="s">
        <v>93</v>
      </c>
    </row>
    <row r="2021" spans="1:14">
      <c r="A2021">
        <v>2020</v>
      </c>
      <c r="B2021">
        <v>48</v>
      </c>
      <c r="C2021" t="s">
        <v>16</v>
      </c>
      <c r="D2021" t="s">
        <v>33</v>
      </c>
      <c r="E2021" t="s">
        <v>40</v>
      </c>
      <c r="F2021">
        <v>65.63</v>
      </c>
      <c r="G2021" t="s">
        <v>14</v>
      </c>
      <c r="H2021" t="s">
        <v>15</v>
      </c>
      <c r="I2021">
        <v>3.4</v>
      </c>
      <c r="J2021">
        <v>20</v>
      </c>
      <c r="K2021">
        <v>5</v>
      </c>
      <c r="L2021" s="4">
        <v>82.037499999999994</v>
      </c>
      <c r="M2021" s="4">
        <v>16.407499999999999</v>
      </c>
      <c r="N2021" t="s">
        <v>93</v>
      </c>
    </row>
    <row r="2022" spans="1:14">
      <c r="A2022">
        <v>2021</v>
      </c>
      <c r="B2022">
        <v>29</v>
      </c>
      <c r="C2022" t="s">
        <v>16</v>
      </c>
      <c r="D2022" t="s">
        <v>25</v>
      </c>
      <c r="E2022" t="s">
        <v>54</v>
      </c>
      <c r="F2022">
        <v>50.38</v>
      </c>
      <c r="G2022" t="s">
        <v>14</v>
      </c>
      <c r="H2022" t="s">
        <v>37</v>
      </c>
      <c r="I2022">
        <v>4.5</v>
      </c>
      <c r="J2022">
        <v>12</v>
      </c>
      <c r="K2022">
        <v>6</v>
      </c>
      <c r="L2022" s="4">
        <v>57.25</v>
      </c>
      <c r="M2022" s="4">
        <v>6.8699999999999974</v>
      </c>
      <c r="N2022" t="s">
        <v>91</v>
      </c>
    </row>
    <row r="2023" spans="1:14">
      <c r="A2023">
        <v>2022</v>
      </c>
      <c r="B2023">
        <v>58</v>
      </c>
      <c r="C2023" t="s">
        <v>16</v>
      </c>
      <c r="D2023" t="s">
        <v>25</v>
      </c>
      <c r="E2023" t="s">
        <v>26</v>
      </c>
      <c r="F2023">
        <v>10.55</v>
      </c>
      <c r="G2023" t="s">
        <v>14</v>
      </c>
      <c r="H2023" t="s">
        <v>15</v>
      </c>
      <c r="I2023">
        <v>4.2</v>
      </c>
      <c r="J2023">
        <v>16</v>
      </c>
      <c r="K2023">
        <v>3</v>
      </c>
      <c r="L2023" s="4">
        <v>12.55952380952381</v>
      </c>
      <c r="M2023" s="4">
        <v>2.0095238095238095</v>
      </c>
      <c r="N2023" t="s">
        <v>94</v>
      </c>
    </row>
    <row r="2024" spans="1:14">
      <c r="A2024">
        <v>2023</v>
      </c>
      <c r="B2024">
        <v>22</v>
      </c>
      <c r="C2024" t="s">
        <v>11</v>
      </c>
      <c r="D2024" t="s">
        <v>25</v>
      </c>
      <c r="E2024" t="s">
        <v>47</v>
      </c>
      <c r="F2024">
        <v>9.68</v>
      </c>
      <c r="G2024" t="s">
        <v>31</v>
      </c>
      <c r="H2024" t="s">
        <v>37</v>
      </c>
      <c r="I2024">
        <v>4.4000000000000004</v>
      </c>
      <c r="J2024">
        <v>18</v>
      </c>
      <c r="K2024">
        <v>4</v>
      </c>
      <c r="L2024" s="4">
        <v>11.804878048780486</v>
      </c>
      <c r="M2024" s="4">
        <v>2.1248780487804861</v>
      </c>
      <c r="N2024" t="s">
        <v>100</v>
      </c>
    </row>
    <row r="2025" spans="1:14">
      <c r="A2025">
        <v>2024</v>
      </c>
      <c r="B2025">
        <v>69</v>
      </c>
      <c r="C2025" t="s">
        <v>11</v>
      </c>
      <c r="D2025" t="s">
        <v>22</v>
      </c>
      <c r="E2025" t="s">
        <v>52</v>
      </c>
      <c r="F2025">
        <v>58.08</v>
      </c>
      <c r="G2025" t="s">
        <v>14</v>
      </c>
      <c r="H2025" t="s">
        <v>37</v>
      </c>
      <c r="I2025">
        <v>3.3</v>
      </c>
      <c r="J2025">
        <v>20</v>
      </c>
      <c r="K2025">
        <v>5</v>
      </c>
      <c r="L2025" s="4">
        <v>72.599999999999994</v>
      </c>
      <c r="M2025" s="4">
        <v>14.519999999999996</v>
      </c>
      <c r="N2025" t="s">
        <v>95</v>
      </c>
    </row>
    <row r="2026" spans="1:14">
      <c r="A2026">
        <v>2025</v>
      </c>
      <c r="B2026">
        <v>50</v>
      </c>
      <c r="C2026" t="s">
        <v>16</v>
      </c>
      <c r="D2026" t="s">
        <v>33</v>
      </c>
      <c r="E2026" t="s">
        <v>40</v>
      </c>
      <c r="F2026">
        <v>87.66</v>
      </c>
      <c r="G2026" t="s">
        <v>24</v>
      </c>
      <c r="H2026" t="s">
        <v>15</v>
      </c>
      <c r="I2026">
        <v>3</v>
      </c>
      <c r="J2026">
        <v>16</v>
      </c>
      <c r="K2026">
        <v>3</v>
      </c>
      <c r="L2026" s="4">
        <v>104.35714285714286</v>
      </c>
      <c r="M2026" s="4">
        <v>16.697142857142865</v>
      </c>
      <c r="N2026" t="s">
        <v>93</v>
      </c>
    </row>
    <row r="2027" spans="1:14">
      <c r="A2027">
        <v>2026</v>
      </c>
      <c r="B2027">
        <v>58</v>
      </c>
      <c r="C2027" t="s">
        <v>16</v>
      </c>
      <c r="D2027" t="s">
        <v>27</v>
      </c>
      <c r="E2027" t="s">
        <v>49</v>
      </c>
      <c r="F2027">
        <v>715.45</v>
      </c>
      <c r="G2027" t="s">
        <v>14</v>
      </c>
      <c r="H2027" t="s">
        <v>15</v>
      </c>
      <c r="I2027">
        <v>3.3</v>
      </c>
      <c r="J2027">
        <v>20</v>
      </c>
      <c r="K2027">
        <v>5</v>
      </c>
      <c r="L2027" s="4">
        <v>894.3125</v>
      </c>
      <c r="M2027" s="4">
        <v>178.86249999999995</v>
      </c>
      <c r="N2027" t="s">
        <v>94</v>
      </c>
    </row>
    <row r="2028" spans="1:14">
      <c r="A2028">
        <v>2027</v>
      </c>
      <c r="B2028">
        <v>30</v>
      </c>
      <c r="C2028" t="s">
        <v>11</v>
      </c>
      <c r="D2028" t="s">
        <v>12</v>
      </c>
      <c r="E2028" t="s">
        <v>56</v>
      </c>
      <c r="F2028">
        <v>96.49</v>
      </c>
      <c r="G2028" t="s">
        <v>24</v>
      </c>
      <c r="H2028" t="s">
        <v>37</v>
      </c>
      <c r="I2028">
        <v>4.7</v>
      </c>
      <c r="J2028">
        <v>29</v>
      </c>
      <c r="K2028">
        <v>12</v>
      </c>
      <c r="L2028" s="4">
        <v>135.90140845070422</v>
      </c>
      <c r="M2028" s="4">
        <v>39.411408450704229</v>
      </c>
      <c r="N2028" t="s">
        <v>91</v>
      </c>
    </row>
    <row r="2029" spans="1:14">
      <c r="A2029">
        <v>2028</v>
      </c>
      <c r="B2029">
        <v>25</v>
      </c>
      <c r="C2029" t="s">
        <v>11</v>
      </c>
      <c r="D2029" t="s">
        <v>12</v>
      </c>
      <c r="E2029" t="s">
        <v>56</v>
      </c>
      <c r="F2029">
        <v>152.71</v>
      </c>
      <c r="G2029" t="s">
        <v>24</v>
      </c>
      <c r="H2029" t="s">
        <v>15</v>
      </c>
      <c r="I2029">
        <v>3.8</v>
      </c>
      <c r="J2029">
        <v>18</v>
      </c>
      <c r="K2029">
        <v>4</v>
      </c>
      <c r="L2029" s="4">
        <v>186.23170731707316</v>
      </c>
      <c r="M2029" s="4">
        <v>33.521707317073151</v>
      </c>
      <c r="N2029" t="s">
        <v>91</v>
      </c>
    </row>
    <row r="2030" spans="1:14">
      <c r="A2030">
        <v>2029</v>
      </c>
      <c r="B2030">
        <v>51</v>
      </c>
      <c r="C2030" t="s">
        <v>11</v>
      </c>
      <c r="D2030" t="s">
        <v>12</v>
      </c>
      <c r="E2030" t="s">
        <v>13</v>
      </c>
      <c r="F2030">
        <v>72.38</v>
      </c>
      <c r="G2030" t="s">
        <v>19</v>
      </c>
      <c r="H2030" t="s">
        <v>37</v>
      </c>
      <c r="I2030">
        <v>5</v>
      </c>
      <c r="J2030">
        <v>11</v>
      </c>
      <c r="K2030">
        <v>3</v>
      </c>
      <c r="L2030" s="4">
        <v>81.325842696629209</v>
      </c>
      <c r="M2030" s="4">
        <v>8.9458426966292137</v>
      </c>
      <c r="N2030" t="s">
        <v>93</v>
      </c>
    </row>
    <row r="2031" spans="1:14">
      <c r="A2031">
        <v>2030</v>
      </c>
      <c r="B2031">
        <v>46</v>
      </c>
      <c r="C2031" t="s">
        <v>11</v>
      </c>
      <c r="D2031" t="s">
        <v>12</v>
      </c>
      <c r="E2031" t="s">
        <v>56</v>
      </c>
      <c r="F2031">
        <v>67.510000000000005</v>
      </c>
      <c r="G2031" t="s">
        <v>24</v>
      </c>
      <c r="H2031" t="s">
        <v>37</v>
      </c>
      <c r="I2031">
        <v>3.8</v>
      </c>
      <c r="J2031">
        <v>13</v>
      </c>
      <c r="K2031">
        <v>4</v>
      </c>
      <c r="L2031" s="4">
        <v>77.597701149425291</v>
      </c>
      <c r="M2031" s="4">
        <v>10.087701149425286</v>
      </c>
      <c r="N2031" t="s">
        <v>93</v>
      </c>
    </row>
    <row r="2032" spans="1:14">
      <c r="A2032">
        <v>2031</v>
      </c>
      <c r="B2032">
        <v>54</v>
      </c>
      <c r="C2032" t="s">
        <v>11</v>
      </c>
      <c r="D2032" t="s">
        <v>22</v>
      </c>
      <c r="E2032" t="s">
        <v>43</v>
      </c>
      <c r="F2032">
        <v>174.89</v>
      </c>
      <c r="G2032" t="s">
        <v>31</v>
      </c>
      <c r="H2032" t="s">
        <v>15</v>
      </c>
      <c r="I2032">
        <v>4.2</v>
      </c>
      <c r="J2032">
        <v>11</v>
      </c>
      <c r="K2032">
        <v>3</v>
      </c>
      <c r="L2032" s="4">
        <v>196.50561797752806</v>
      </c>
      <c r="M2032" s="4">
        <v>21.615617977528075</v>
      </c>
      <c r="N2032" t="s">
        <v>93</v>
      </c>
    </row>
    <row r="2033" spans="1:14">
      <c r="A2033">
        <v>2032</v>
      </c>
      <c r="B2033">
        <v>27</v>
      </c>
      <c r="C2033" t="s">
        <v>16</v>
      </c>
      <c r="D2033" t="s">
        <v>20</v>
      </c>
      <c r="E2033" t="s">
        <v>36</v>
      </c>
      <c r="F2033">
        <v>96.73</v>
      </c>
      <c r="G2033" t="s">
        <v>24</v>
      </c>
      <c r="H2033" t="s">
        <v>15</v>
      </c>
      <c r="I2033">
        <v>2.6</v>
      </c>
      <c r="J2033">
        <v>9</v>
      </c>
      <c r="K2033">
        <v>2</v>
      </c>
      <c r="L2033" s="4">
        <v>106.2967032967033</v>
      </c>
      <c r="M2033" s="4">
        <v>9.5667032967032952</v>
      </c>
      <c r="N2033" t="s">
        <v>91</v>
      </c>
    </row>
    <row r="2034" spans="1:14">
      <c r="A2034">
        <v>2033</v>
      </c>
      <c r="B2034">
        <v>63</v>
      </c>
      <c r="C2034" t="s">
        <v>16</v>
      </c>
      <c r="D2034" t="s">
        <v>17</v>
      </c>
      <c r="E2034" t="s">
        <v>18</v>
      </c>
      <c r="F2034">
        <v>68.14</v>
      </c>
      <c r="G2034" t="s">
        <v>31</v>
      </c>
      <c r="H2034" t="s">
        <v>15</v>
      </c>
      <c r="I2034">
        <v>5</v>
      </c>
      <c r="J2034">
        <v>19</v>
      </c>
      <c r="K2034">
        <v>7</v>
      </c>
      <c r="L2034" s="4">
        <v>84.123456790123456</v>
      </c>
      <c r="M2034" s="4">
        <v>15.983456790123455</v>
      </c>
      <c r="N2034" t="s">
        <v>94</v>
      </c>
    </row>
    <row r="2035" spans="1:14">
      <c r="A2035">
        <v>2034</v>
      </c>
      <c r="B2035">
        <v>66</v>
      </c>
      <c r="C2035" t="s">
        <v>11</v>
      </c>
      <c r="D2035" t="s">
        <v>33</v>
      </c>
      <c r="E2035" t="s">
        <v>38</v>
      </c>
      <c r="F2035">
        <v>54.49</v>
      </c>
      <c r="G2035" t="s">
        <v>14</v>
      </c>
      <c r="H2035" t="s">
        <v>15</v>
      </c>
      <c r="I2035">
        <v>4.8</v>
      </c>
      <c r="J2035">
        <v>4</v>
      </c>
      <c r="K2035">
        <v>2</v>
      </c>
      <c r="L2035" s="4">
        <v>56.760416666666671</v>
      </c>
      <c r="M2035" s="4">
        <v>2.2704166666666694</v>
      </c>
      <c r="N2035" t="s">
        <v>95</v>
      </c>
    </row>
    <row r="2036" spans="1:14">
      <c r="A2036">
        <v>2035</v>
      </c>
      <c r="B2036">
        <v>70</v>
      </c>
      <c r="C2036" t="s">
        <v>16</v>
      </c>
      <c r="D2036" t="s">
        <v>27</v>
      </c>
      <c r="E2036" t="s">
        <v>49</v>
      </c>
      <c r="F2036">
        <v>896.45</v>
      </c>
      <c r="G2036" t="s">
        <v>31</v>
      </c>
      <c r="H2036" t="s">
        <v>15</v>
      </c>
      <c r="I2036">
        <v>4.4000000000000004</v>
      </c>
      <c r="J2036">
        <v>15</v>
      </c>
      <c r="K2036">
        <v>5</v>
      </c>
      <c r="L2036" s="4">
        <v>1054.6470588235295</v>
      </c>
      <c r="M2036" s="4">
        <v>158.19705882352946</v>
      </c>
      <c r="N2036" t="s">
        <v>95</v>
      </c>
    </row>
    <row r="2037" spans="1:14">
      <c r="A2037">
        <v>2036</v>
      </c>
      <c r="B2037">
        <v>60</v>
      </c>
      <c r="C2037" t="s">
        <v>11</v>
      </c>
      <c r="D2037" t="s">
        <v>12</v>
      </c>
      <c r="E2037" t="s">
        <v>56</v>
      </c>
      <c r="F2037">
        <v>129.05000000000001</v>
      </c>
      <c r="G2037" t="s">
        <v>31</v>
      </c>
      <c r="H2037" t="s">
        <v>15</v>
      </c>
      <c r="I2037">
        <v>2.5</v>
      </c>
      <c r="J2037">
        <v>12</v>
      </c>
      <c r="K2037">
        <v>6</v>
      </c>
      <c r="L2037" s="4">
        <v>146.64772727272728</v>
      </c>
      <c r="M2037" s="4">
        <v>17.597727272727269</v>
      </c>
      <c r="N2037" t="s">
        <v>94</v>
      </c>
    </row>
    <row r="2038" spans="1:14">
      <c r="A2038">
        <v>2037</v>
      </c>
      <c r="B2038">
        <v>57</v>
      </c>
      <c r="C2038" t="s">
        <v>16</v>
      </c>
      <c r="D2038" t="s">
        <v>25</v>
      </c>
      <c r="E2038" t="s">
        <v>54</v>
      </c>
      <c r="F2038">
        <v>74.010000000000005</v>
      </c>
      <c r="G2038" t="s">
        <v>19</v>
      </c>
      <c r="H2038" t="s">
        <v>15</v>
      </c>
      <c r="I2038">
        <v>2.7</v>
      </c>
      <c r="J2038">
        <v>20</v>
      </c>
      <c r="K2038">
        <v>5</v>
      </c>
      <c r="L2038" s="4">
        <v>92.512500000000003</v>
      </c>
      <c r="M2038" s="4">
        <v>18.502499999999998</v>
      </c>
      <c r="N2038" t="s">
        <v>94</v>
      </c>
    </row>
    <row r="2039" spans="1:14">
      <c r="A2039">
        <v>2038</v>
      </c>
      <c r="B2039">
        <v>47</v>
      </c>
      <c r="C2039" t="s">
        <v>11</v>
      </c>
      <c r="D2039" t="s">
        <v>25</v>
      </c>
      <c r="E2039" t="s">
        <v>54</v>
      </c>
      <c r="F2039">
        <v>28.94</v>
      </c>
      <c r="G2039" t="s">
        <v>24</v>
      </c>
      <c r="H2039" t="s">
        <v>15</v>
      </c>
      <c r="I2039">
        <v>4.2</v>
      </c>
      <c r="J2039">
        <v>10</v>
      </c>
      <c r="K2039">
        <v>5</v>
      </c>
      <c r="L2039" s="4">
        <v>32.155555555555559</v>
      </c>
      <c r="M2039" s="4">
        <v>3.2155555555555573</v>
      </c>
      <c r="N2039" t="s">
        <v>93</v>
      </c>
    </row>
    <row r="2040" spans="1:14">
      <c r="A2040">
        <v>2039</v>
      </c>
      <c r="B2040">
        <v>60</v>
      </c>
      <c r="C2040" t="s">
        <v>16</v>
      </c>
      <c r="D2040" t="s">
        <v>17</v>
      </c>
      <c r="E2040" t="s">
        <v>42</v>
      </c>
      <c r="F2040">
        <v>97.47</v>
      </c>
      <c r="G2040" t="s">
        <v>24</v>
      </c>
      <c r="H2040" t="s">
        <v>37</v>
      </c>
      <c r="I2040">
        <v>4.4000000000000004</v>
      </c>
      <c r="J2040">
        <v>9</v>
      </c>
      <c r="K2040">
        <v>2</v>
      </c>
      <c r="L2040" s="4">
        <v>107.1098901098901</v>
      </c>
      <c r="M2040" s="4">
        <v>9.6398901098901035</v>
      </c>
      <c r="N2040" t="s">
        <v>94</v>
      </c>
    </row>
    <row r="2041" spans="1:14">
      <c r="A2041">
        <v>2040</v>
      </c>
      <c r="B2041">
        <v>59</v>
      </c>
      <c r="C2041" t="s">
        <v>11</v>
      </c>
      <c r="D2041" t="s">
        <v>33</v>
      </c>
      <c r="E2041" t="s">
        <v>40</v>
      </c>
      <c r="F2041">
        <v>145.79</v>
      </c>
      <c r="G2041" t="s">
        <v>31</v>
      </c>
      <c r="H2041" t="s">
        <v>15</v>
      </c>
      <c r="I2041">
        <v>4</v>
      </c>
      <c r="J2041">
        <v>17</v>
      </c>
      <c r="K2041">
        <v>6</v>
      </c>
      <c r="L2041" s="4">
        <v>175.65060240963857</v>
      </c>
      <c r="M2041" s="4">
        <v>29.860602409638574</v>
      </c>
      <c r="N2041" t="s">
        <v>94</v>
      </c>
    </row>
    <row r="2042" spans="1:14">
      <c r="A2042">
        <v>2041</v>
      </c>
      <c r="B2042">
        <v>54</v>
      </c>
      <c r="C2042" t="s">
        <v>11</v>
      </c>
      <c r="D2042" t="s">
        <v>22</v>
      </c>
      <c r="E2042" t="s">
        <v>43</v>
      </c>
      <c r="F2042">
        <v>39.020000000000003</v>
      </c>
      <c r="G2042" t="s">
        <v>14</v>
      </c>
      <c r="H2042" t="s">
        <v>15</v>
      </c>
      <c r="I2042">
        <v>3.5</v>
      </c>
      <c r="J2042">
        <v>17</v>
      </c>
      <c r="K2042">
        <v>6</v>
      </c>
      <c r="L2042" s="4">
        <v>47.01204819277109</v>
      </c>
      <c r="M2042" s="4">
        <v>7.9920481927710867</v>
      </c>
      <c r="N2042" t="s">
        <v>93</v>
      </c>
    </row>
    <row r="2043" spans="1:14">
      <c r="A2043">
        <v>2042</v>
      </c>
      <c r="B2043">
        <v>49</v>
      </c>
      <c r="C2043" t="s">
        <v>16</v>
      </c>
      <c r="D2043" t="s">
        <v>20</v>
      </c>
      <c r="E2043" t="s">
        <v>36</v>
      </c>
      <c r="F2043">
        <v>186.01</v>
      </c>
      <c r="G2043" t="s">
        <v>24</v>
      </c>
      <c r="H2043" t="s">
        <v>15</v>
      </c>
      <c r="I2043">
        <v>4.3</v>
      </c>
      <c r="J2043">
        <v>18</v>
      </c>
      <c r="K2043">
        <v>4</v>
      </c>
      <c r="L2043" s="4">
        <v>226.84146341463412</v>
      </c>
      <c r="M2043" s="4">
        <v>40.831463414634129</v>
      </c>
      <c r="N2043" t="s">
        <v>93</v>
      </c>
    </row>
    <row r="2044" spans="1:14">
      <c r="A2044">
        <v>2043</v>
      </c>
      <c r="B2044">
        <v>67</v>
      </c>
      <c r="C2044" t="s">
        <v>16</v>
      </c>
      <c r="D2044" t="s">
        <v>33</v>
      </c>
      <c r="E2044" t="s">
        <v>40</v>
      </c>
      <c r="F2044">
        <v>58.17</v>
      </c>
      <c r="G2044" t="s">
        <v>31</v>
      </c>
      <c r="H2044" t="s">
        <v>15</v>
      </c>
      <c r="I2044">
        <v>4.9000000000000004</v>
      </c>
      <c r="J2044">
        <v>15</v>
      </c>
      <c r="K2044">
        <v>5</v>
      </c>
      <c r="L2044" s="4">
        <v>68.435294117647061</v>
      </c>
      <c r="M2044" s="4">
        <v>10.265294117647059</v>
      </c>
      <c r="N2044" t="s">
        <v>95</v>
      </c>
    </row>
    <row r="2045" spans="1:14">
      <c r="A2045">
        <v>2044</v>
      </c>
      <c r="B2045">
        <v>69</v>
      </c>
      <c r="C2045" t="s">
        <v>16</v>
      </c>
      <c r="D2045" t="s">
        <v>33</v>
      </c>
      <c r="E2045" t="s">
        <v>40</v>
      </c>
      <c r="F2045">
        <v>173.95</v>
      </c>
      <c r="G2045" t="s">
        <v>31</v>
      </c>
      <c r="H2045" t="s">
        <v>15</v>
      </c>
      <c r="I2045">
        <v>3.6</v>
      </c>
      <c r="J2045">
        <v>21</v>
      </c>
      <c r="K2045">
        <v>8</v>
      </c>
      <c r="L2045" s="4">
        <v>220.18987341772149</v>
      </c>
      <c r="M2045" s="4">
        <v>46.239873417721498</v>
      </c>
      <c r="N2045" t="s">
        <v>95</v>
      </c>
    </row>
    <row r="2046" spans="1:14">
      <c r="A2046">
        <v>2045</v>
      </c>
      <c r="B2046">
        <v>48</v>
      </c>
      <c r="C2046" t="s">
        <v>16</v>
      </c>
      <c r="D2046" t="s">
        <v>33</v>
      </c>
      <c r="E2046" t="s">
        <v>38</v>
      </c>
      <c r="F2046">
        <v>249.92</v>
      </c>
      <c r="G2046" t="s">
        <v>14</v>
      </c>
      <c r="H2046" t="s">
        <v>15</v>
      </c>
      <c r="I2046">
        <v>4.5</v>
      </c>
      <c r="J2046">
        <v>9</v>
      </c>
      <c r="K2046">
        <v>2</v>
      </c>
      <c r="L2046" s="4">
        <v>274.63736263736263</v>
      </c>
      <c r="M2046" s="4">
        <v>24.71736263736264</v>
      </c>
      <c r="N2046" t="s">
        <v>93</v>
      </c>
    </row>
    <row r="2047" spans="1:14">
      <c r="A2047">
        <v>2046</v>
      </c>
      <c r="B2047">
        <v>21</v>
      </c>
      <c r="C2047" t="s">
        <v>16</v>
      </c>
      <c r="D2047" t="s">
        <v>33</v>
      </c>
      <c r="E2047" t="s">
        <v>40</v>
      </c>
      <c r="F2047">
        <v>96.58</v>
      </c>
      <c r="G2047" t="s">
        <v>14</v>
      </c>
      <c r="H2047" t="s">
        <v>15</v>
      </c>
      <c r="I2047">
        <v>2.2000000000000002</v>
      </c>
      <c r="J2047">
        <v>6</v>
      </c>
      <c r="K2047">
        <v>3</v>
      </c>
      <c r="L2047" s="4">
        <v>102.74468085106383</v>
      </c>
      <c r="M2047" s="4">
        <v>6.1646808510638351</v>
      </c>
      <c r="N2047" t="s">
        <v>100</v>
      </c>
    </row>
    <row r="2048" spans="1:14">
      <c r="A2048">
        <v>2047</v>
      </c>
      <c r="B2048">
        <v>33</v>
      </c>
      <c r="C2048" t="s">
        <v>16</v>
      </c>
      <c r="D2048" t="s">
        <v>20</v>
      </c>
      <c r="E2048" t="s">
        <v>21</v>
      </c>
      <c r="F2048">
        <v>80.86</v>
      </c>
      <c r="G2048" t="s">
        <v>24</v>
      </c>
      <c r="H2048" t="s">
        <v>15</v>
      </c>
      <c r="I2048">
        <v>4.5</v>
      </c>
      <c r="J2048">
        <v>8</v>
      </c>
      <c r="K2048">
        <v>4</v>
      </c>
      <c r="L2048" s="4">
        <v>87.891304347826079</v>
      </c>
      <c r="M2048" s="4">
        <v>7.0313043478260795</v>
      </c>
      <c r="N2048" t="s">
        <v>91</v>
      </c>
    </row>
    <row r="2049" spans="1:14">
      <c r="A2049">
        <v>2048</v>
      </c>
      <c r="B2049">
        <v>37</v>
      </c>
      <c r="C2049" t="s">
        <v>16</v>
      </c>
      <c r="D2049" t="s">
        <v>17</v>
      </c>
      <c r="E2049" t="s">
        <v>18</v>
      </c>
      <c r="F2049">
        <v>50.27</v>
      </c>
      <c r="G2049" t="s">
        <v>31</v>
      </c>
      <c r="H2049" t="s">
        <v>15</v>
      </c>
      <c r="I2049">
        <v>3</v>
      </c>
      <c r="J2049">
        <v>10</v>
      </c>
      <c r="K2049">
        <v>5</v>
      </c>
      <c r="L2049" s="4">
        <v>55.855555555555554</v>
      </c>
      <c r="M2049" s="4">
        <v>5.5855555555555512</v>
      </c>
      <c r="N2049" t="s">
        <v>92</v>
      </c>
    </row>
    <row r="2050" spans="1:14">
      <c r="A2050">
        <v>2049</v>
      </c>
      <c r="B2050">
        <v>24</v>
      </c>
      <c r="C2050" t="s">
        <v>11</v>
      </c>
      <c r="D2050" t="s">
        <v>29</v>
      </c>
      <c r="E2050" t="s">
        <v>51</v>
      </c>
      <c r="F2050">
        <v>34.42</v>
      </c>
      <c r="G2050" t="s">
        <v>14</v>
      </c>
      <c r="H2050" t="s">
        <v>37</v>
      </c>
      <c r="I2050">
        <v>4.5</v>
      </c>
      <c r="J2050">
        <v>17</v>
      </c>
      <c r="K2050">
        <v>6</v>
      </c>
      <c r="L2050" s="4">
        <v>41.46987951807229</v>
      </c>
      <c r="M2050" s="4">
        <v>7.049879518072288</v>
      </c>
      <c r="N2050" t="s">
        <v>100</v>
      </c>
    </row>
    <row r="2051" spans="1:14">
      <c r="A2051">
        <v>2050</v>
      </c>
      <c r="B2051">
        <v>34</v>
      </c>
      <c r="C2051" t="s">
        <v>11</v>
      </c>
      <c r="D2051" t="s">
        <v>29</v>
      </c>
      <c r="E2051" t="s">
        <v>51</v>
      </c>
      <c r="F2051">
        <v>49.63</v>
      </c>
      <c r="G2051" t="s">
        <v>31</v>
      </c>
      <c r="H2051" t="s">
        <v>15</v>
      </c>
      <c r="I2051">
        <v>3.7</v>
      </c>
      <c r="J2051">
        <v>19</v>
      </c>
      <c r="K2051">
        <v>7</v>
      </c>
      <c r="L2051" s="4">
        <v>61.271604938271601</v>
      </c>
      <c r="M2051" s="4">
        <v>11.641604938271598</v>
      </c>
      <c r="N2051" t="s">
        <v>91</v>
      </c>
    </row>
    <row r="2052" spans="1:14">
      <c r="A2052">
        <v>2051</v>
      </c>
      <c r="B2052">
        <v>25</v>
      </c>
      <c r="C2052" t="s">
        <v>11</v>
      </c>
      <c r="D2052" t="s">
        <v>22</v>
      </c>
      <c r="E2052" t="s">
        <v>23</v>
      </c>
      <c r="F2052">
        <v>219.43</v>
      </c>
      <c r="G2052" t="s">
        <v>19</v>
      </c>
      <c r="H2052" t="s">
        <v>15</v>
      </c>
      <c r="I2052">
        <v>2.9</v>
      </c>
      <c r="J2052">
        <v>20</v>
      </c>
      <c r="K2052">
        <v>5</v>
      </c>
      <c r="L2052" s="4">
        <v>274.28749999999997</v>
      </c>
      <c r="M2052" s="4">
        <v>54.857499999999959</v>
      </c>
      <c r="N2052" t="s">
        <v>91</v>
      </c>
    </row>
    <row r="2053" spans="1:14">
      <c r="A2053">
        <v>2052</v>
      </c>
      <c r="B2053">
        <v>69</v>
      </c>
      <c r="C2053" t="s">
        <v>16</v>
      </c>
      <c r="D2053" t="s">
        <v>33</v>
      </c>
      <c r="E2053" t="s">
        <v>40</v>
      </c>
      <c r="F2053">
        <v>145.47999999999999</v>
      </c>
      <c r="G2053" t="s">
        <v>14</v>
      </c>
      <c r="H2053" t="s">
        <v>15</v>
      </c>
      <c r="I2053">
        <v>3.7</v>
      </c>
      <c r="J2053">
        <v>13</v>
      </c>
      <c r="K2053">
        <v>4</v>
      </c>
      <c r="L2053" s="4">
        <v>167.2183908045977</v>
      </c>
      <c r="M2053" s="4">
        <v>21.738390804597714</v>
      </c>
      <c r="N2053" t="s">
        <v>95</v>
      </c>
    </row>
    <row r="2054" spans="1:14">
      <c r="A2054">
        <v>2053</v>
      </c>
      <c r="B2054">
        <v>64</v>
      </c>
      <c r="C2054" t="s">
        <v>11</v>
      </c>
      <c r="D2054" t="s">
        <v>33</v>
      </c>
      <c r="E2054" t="s">
        <v>38</v>
      </c>
      <c r="F2054">
        <v>194.52</v>
      </c>
      <c r="G2054" t="s">
        <v>31</v>
      </c>
      <c r="H2054" t="s">
        <v>15</v>
      </c>
      <c r="I2054">
        <v>4.0999999999999996</v>
      </c>
      <c r="J2054">
        <v>8</v>
      </c>
      <c r="K2054">
        <v>4</v>
      </c>
      <c r="L2054" s="4">
        <v>211.43478260869566</v>
      </c>
      <c r="M2054" s="4">
        <v>16.914782608695646</v>
      </c>
      <c r="N2054" t="s">
        <v>94</v>
      </c>
    </row>
    <row r="2055" spans="1:14">
      <c r="A2055">
        <v>2054</v>
      </c>
      <c r="B2055">
        <v>65</v>
      </c>
      <c r="C2055" t="s">
        <v>16</v>
      </c>
      <c r="D2055" t="s">
        <v>33</v>
      </c>
      <c r="E2055" t="s">
        <v>40</v>
      </c>
      <c r="F2055">
        <v>230.37</v>
      </c>
      <c r="G2055" t="s">
        <v>19</v>
      </c>
      <c r="H2055" t="s">
        <v>15</v>
      </c>
      <c r="I2055">
        <v>2.6</v>
      </c>
      <c r="J2055">
        <v>9</v>
      </c>
      <c r="K2055">
        <v>2</v>
      </c>
      <c r="L2055" s="4">
        <v>253.15384615384616</v>
      </c>
      <c r="M2055" s="4">
        <v>22.783846153846156</v>
      </c>
      <c r="N2055" t="s">
        <v>95</v>
      </c>
    </row>
    <row r="2056" spans="1:14">
      <c r="A2056">
        <v>2055</v>
      </c>
      <c r="B2056">
        <v>45</v>
      </c>
      <c r="C2056" t="s">
        <v>16</v>
      </c>
      <c r="D2056" t="s">
        <v>33</v>
      </c>
      <c r="E2056" t="s">
        <v>38</v>
      </c>
      <c r="F2056">
        <v>60.13</v>
      </c>
      <c r="G2056" t="s">
        <v>19</v>
      </c>
      <c r="H2056" t="s">
        <v>15</v>
      </c>
      <c r="I2056">
        <v>2.8</v>
      </c>
      <c r="J2056">
        <v>19</v>
      </c>
      <c r="K2056">
        <v>7</v>
      </c>
      <c r="L2056" s="4">
        <v>74.23456790123457</v>
      </c>
      <c r="M2056" s="4">
        <v>14.104567901234567</v>
      </c>
      <c r="N2056" t="s">
        <v>93</v>
      </c>
    </row>
    <row r="2057" spans="1:14">
      <c r="A2057">
        <v>2056</v>
      </c>
      <c r="B2057">
        <v>64</v>
      </c>
      <c r="C2057" t="s">
        <v>16</v>
      </c>
      <c r="D2057" t="s">
        <v>20</v>
      </c>
      <c r="E2057" t="s">
        <v>39</v>
      </c>
      <c r="F2057">
        <v>34.24</v>
      </c>
      <c r="G2057" t="s">
        <v>24</v>
      </c>
      <c r="H2057" t="s">
        <v>15</v>
      </c>
      <c r="I2057">
        <v>4</v>
      </c>
      <c r="J2057">
        <v>16</v>
      </c>
      <c r="K2057">
        <v>8</v>
      </c>
      <c r="L2057" s="4">
        <v>40.761904761904766</v>
      </c>
      <c r="M2057" s="4">
        <v>6.5219047619047643</v>
      </c>
      <c r="N2057" t="s">
        <v>94</v>
      </c>
    </row>
    <row r="2058" spans="1:14">
      <c r="A2058">
        <v>2057</v>
      </c>
      <c r="B2058">
        <v>60</v>
      </c>
      <c r="C2058" t="s">
        <v>16</v>
      </c>
      <c r="D2058" t="s">
        <v>17</v>
      </c>
      <c r="E2058" t="s">
        <v>48</v>
      </c>
      <c r="F2058">
        <v>167.44</v>
      </c>
      <c r="G2058" t="s">
        <v>24</v>
      </c>
      <c r="H2058" t="s">
        <v>15</v>
      </c>
      <c r="I2058">
        <v>3.9</v>
      </c>
      <c r="J2058">
        <v>18</v>
      </c>
      <c r="K2058">
        <v>4</v>
      </c>
      <c r="L2058" s="4">
        <v>204.19512195121951</v>
      </c>
      <c r="M2058" s="4">
        <v>36.755121951219508</v>
      </c>
      <c r="N2058" t="s">
        <v>94</v>
      </c>
    </row>
    <row r="2059" spans="1:14">
      <c r="A2059">
        <v>2058</v>
      </c>
      <c r="B2059">
        <v>24</v>
      </c>
      <c r="C2059" t="s">
        <v>11</v>
      </c>
      <c r="D2059" t="s">
        <v>29</v>
      </c>
      <c r="E2059" t="s">
        <v>51</v>
      </c>
      <c r="F2059">
        <v>115.74</v>
      </c>
      <c r="G2059" t="s">
        <v>19</v>
      </c>
      <c r="H2059" t="s">
        <v>15</v>
      </c>
      <c r="I2059">
        <v>3.2</v>
      </c>
      <c r="J2059">
        <v>14</v>
      </c>
      <c r="K2059">
        <v>2</v>
      </c>
      <c r="L2059" s="4">
        <v>134.58139534883722</v>
      </c>
      <c r="M2059" s="4">
        <v>18.841395348837224</v>
      </c>
      <c r="N2059" t="s">
        <v>100</v>
      </c>
    </row>
    <row r="2060" spans="1:14">
      <c r="A2060">
        <v>2059</v>
      </c>
      <c r="B2060">
        <v>54</v>
      </c>
      <c r="C2060" t="s">
        <v>11</v>
      </c>
      <c r="D2060" t="s">
        <v>33</v>
      </c>
      <c r="E2060" t="s">
        <v>38</v>
      </c>
      <c r="F2060">
        <v>62.32</v>
      </c>
      <c r="G2060" t="s">
        <v>31</v>
      </c>
      <c r="H2060" t="s">
        <v>37</v>
      </c>
      <c r="I2060">
        <v>3.2</v>
      </c>
      <c r="J2060">
        <v>18</v>
      </c>
      <c r="K2060">
        <v>4</v>
      </c>
      <c r="L2060" s="4">
        <v>76</v>
      </c>
      <c r="M2060" s="4">
        <v>13.68</v>
      </c>
      <c r="N2060" t="s">
        <v>93</v>
      </c>
    </row>
    <row r="2061" spans="1:14">
      <c r="A2061">
        <v>2060</v>
      </c>
      <c r="B2061">
        <v>22</v>
      </c>
      <c r="C2061" t="s">
        <v>11</v>
      </c>
      <c r="D2061" t="s">
        <v>25</v>
      </c>
      <c r="E2061" t="s">
        <v>54</v>
      </c>
      <c r="F2061">
        <v>63.29</v>
      </c>
      <c r="G2061" t="s">
        <v>19</v>
      </c>
      <c r="H2061" t="s">
        <v>15</v>
      </c>
      <c r="I2061">
        <v>4.3</v>
      </c>
      <c r="J2061">
        <v>13</v>
      </c>
      <c r="K2061">
        <v>4</v>
      </c>
      <c r="L2061" s="4">
        <v>72.747126436781613</v>
      </c>
      <c r="M2061" s="4">
        <v>9.4571264367816141</v>
      </c>
      <c r="N2061" t="s">
        <v>100</v>
      </c>
    </row>
    <row r="2062" spans="1:14">
      <c r="A2062">
        <v>2061</v>
      </c>
      <c r="B2062">
        <v>34</v>
      </c>
      <c r="C2062" t="s">
        <v>11</v>
      </c>
      <c r="D2062" t="s">
        <v>12</v>
      </c>
      <c r="E2062" t="s">
        <v>56</v>
      </c>
      <c r="F2062">
        <v>32.61</v>
      </c>
      <c r="G2062" t="s">
        <v>31</v>
      </c>
      <c r="H2062" t="s">
        <v>37</v>
      </c>
      <c r="I2062">
        <v>3.4</v>
      </c>
      <c r="J2062">
        <v>22</v>
      </c>
      <c r="K2062">
        <v>6</v>
      </c>
      <c r="L2062" s="4">
        <v>41.807692307692307</v>
      </c>
      <c r="M2062" s="4">
        <v>9.1976923076923072</v>
      </c>
      <c r="N2062" t="s">
        <v>91</v>
      </c>
    </row>
    <row r="2063" spans="1:14">
      <c r="A2063">
        <v>2062</v>
      </c>
      <c r="B2063">
        <v>51</v>
      </c>
      <c r="C2063" t="s">
        <v>11</v>
      </c>
      <c r="D2063" t="s">
        <v>22</v>
      </c>
      <c r="E2063" t="s">
        <v>43</v>
      </c>
      <c r="F2063">
        <v>108.64</v>
      </c>
      <c r="G2063" t="s">
        <v>19</v>
      </c>
      <c r="H2063" t="s">
        <v>15</v>
      </c>
      <c r="I2063">
        <v>2.8</v>
      </c>
      <c r="J2063">
        <v>12</v>
      </c>
      <c r="K2063">
        <v>6</v>
      </c>
      <c r="L2063" s="4">
        <v>123.45454545454545</v>
      </c>
      <c r="M2063" s="4">
        <v>14.814545454545453</v>
      </c>
      <c r="N2063" t="s">
        <v>93</v>
      </c>
    </row>
    <row r="2064" spans="1:14">
      <c r="A2064">
        <v>2063</v>
      </c>
      <c r="B2064">
        <v>36</v>
      </c>
      <c r="C2064" t="s">
        <v>16</v>
      </c>
      <c r="D2064" t="s">
        <v>17</v>
      </c>
      <c r="E2064" t="s">
        <v>35</v>
      </c>
      <c r="F2064">
        <v>193.29</v>
      </c>
      <c r="G2064" t="s">
        <v>31</v>
      </c>
      <c r="H2064" t="s">
        <v>15</v>
      </c>
      <c r="I2064">
        <v>3.3</v>
      </c>
      <c r="J2064">
        <v>20</v>
      </c>
      <c r="K2064">
        <v>5</v>
      </c>
      <c r="L2064" s="4">
        <v>241.61249999999998</v>
      </c>
      <c r="M2064" s="4">
        <v>48.322499999999991</v>
      </c>
      <c r="N2064" t="s">
        <v>92</v>
      </c>
    </row>
    <row r="2065" spans="1:14">
      <c r="A2065">
        <v>2064</v>
      </c>
      <c r="B2065">
        <v>45</v>
      </c>
      <c r="C2065" t="s">
        <v>16</v>
      </c>
      <c r="D2065" t="s">
        <v>17</v>
      </c>
      <c r="E2065" t="s">
        <v>48</v>
      </c>
      <c r="F2065">
        <v>58.73</v>
      </c>
      <c r="G2065" t="s">
        <v>31</v>
      </c>
      <c r="H2065" t="s">
        <v>37</v>
      </c>
      <c r="I2065">
        <v>3.9</v>
      </c>
      <c r="J2065">
        <v>14</v>
      </c>
      <c r="K2065">
        <v>7</v>
      </c>
      <c r="L2065" s="4">
        <v>68.290697674418595</v>
      </c>
      <c r="M2065" s="4">
        <v>9.5606976744185985</v>
      </c>
      <c r="N2065" t="s">
        <v>93</v>
      </c>
    </row>
    <row r="2066" spans="1:14">
      <c r="A2066">
        <v>2065</v>
      </c>
      <c r="B2066">
        <v>55</v>
      </c>
      <c r="C2066" t="s">
        <v>11</v>
      </c>
      <c r="D2066" t="s">
        <v>33</v>
      </c>
      <c r="E2066" t="s">
        <v>34</v>
      </c>
      <c r="F2066">
        <v>178.52</v>
      </c>
      <c r="G2066" t="s">
        <v>14</v>
      </c>
      <c r="H2066" t="s">
        <v>15</v>
      </c>
      <c r="I2066">
        <v>3.8</v>
      </c>
      <c r="J2066">
        <v>11</v>
      </c>
      <c r="K2066">
        <v>3</v>
      </c>
      <c r="L2066" s="4">
        <v>200.58426966292134</v>
      </c>
      <c r="M2066" s="4">
        <v>22.064269662921333</v>
      </c>
      <c r="N2066" t="s">
        <v>94</v>
      </c>
    </row>
    <row r="2067" spans="1:14">
      <c r="A2067">
        <v>2066</v>
      </c>
      <c r="B2067">
        <v>29</v>
      </c>
      <c r="C2067" t="s">
        <v>16</v>
      </c>
      <c r="D2067" t="s">
        <v>27</v>
      </c>
      <c r="E2067" t="s">
        <v>32</v>
      </c>
      <c r="F2067">
        <v>636.49</v>
      </c>
      <c r="G2067" t="s">
        <v>31</v>
      </c>
      <c r="H2067" t="s">
        <v>15</v>
      </c>
      <c r="I2067">
        <v>3.7</v>
      </c>
      <c r="J2067">
        <v>12</v>
      </c>
      <c r="K2067">
        <v>6</v>
      </c>
      <c r="L2067" s="4">
        <v>723.28409090909088</v>
      </c>
      <c r="M2067" s="4">
        <v>86.794090909090869</v>
      </c>
      <c r="N2067" t="s">
        <v>91</v>
      </c>
    </row>
    <row r="2068" spans="1:14">
      <c r="A2068">
        <v>2067</v>
      </c>
      <c r="B2068">
        <v>46</v>
      </c>
      <c r="C2068" t="s">
        <v>11</v>
      </c>
      <c r="D2068" t="s">
        <v>29</v>
      </c>
      <c r="E2068" t="s">
        <v>55</v>
      </c>
      <c r="F2068">
        <v>86.93</v>
      </c>
      <c r="G2068" t="s">
        <v>19</v>
      </c>
      <c r="H2068" t="s">
        <v>37</v>
      </c>
      <c r="I2068">
        <v>2.6</v>
      </c>
      <c r="J2068">
        <v>13</v>
      </c>
      <c r="K2068">
        <v>4</v>
      </c>
      <c r="L2068" s="4">
        <v>99.919540229885072</v>
      </c>
      <c r="M2068" s="4">
        <v>12.989540229885066</v>
      </c>
      <c r="N2068" t="s">
        <v>93</v>
      </c>
    </row>
    <row r="2069" spans="1:14">
      <c r="A2069">
        <v>2068</v>
      </c>
      <c r="B2069">
        <v>63</v>
      </c>
      <c r="C2069" t="s">
        <v>16</v>
      </c>
      <c r="D2069" t="s">
        <v>17</v>
      </c>
      <c r="E2069" t="s">
        <v>42</v>
      </c>
      <c r="F2069">
        <v>101.13</v>
      </c>
      <c r="G2069" t="s">
        <v>24</v>
      </c>
      <c r="H2069" t="s">
        <v>15</v>
      </c>
      <c r="I2069">
        <v>3.7</v>
      </c>
      <c r="J2069">
        <v>24</v>
      </c>
      <c r="K2069">
        <v>7</v>
      </c>
      <c r="L2069" s="4">
        <v>133.06578947368419</v>
      </c>
      <c r="M2069" s="4">
        <v>31.935789473684196</v>
      </c>
      <c r="N2069" t="s">
        <v>94</v>
      </c>
    </row>
    <row r="2070" spans="1:14">
      <c r="A2070">
        <v>2069</v>
      </c>
      <c r="B2070">
        <v>42</v>
      </c>
      <c r="C2070" t="s">
        <v>16</v>
      </c>
      <c r="D2070" t="s">
        <v>22</v>
      </c>
      <c r="E2070" t="s">
        <v>52</v>
      </c>
      <c r="F2070">
        <v>143.76</v>
      </c>
      <c r="G2070" t="s">
        <v>31</v>
      </c>
      <c r="H2070" t="s">
        <v>15</v>
      </c>
      <c r="I2070">
        <v>3.8</v>
      </c>
      <c r="J2070">
        <v>14</v>
      </c>
      <c r="K2070">
        <v>7</v>
      </c>
      <c r="L2070" s="4">
        <v>167.16279069767441</v>
      </c>
      <c r="M2070" s="4">
        <v>23.402790697674419</v>
      </c>
      <c r="N2070" t="s">
        <v>92</v>
      </c>
    </row>
    <row r="2071" spans="1:14">
      <c r="A2071">
        <v>2070</v>
      </c>
      <c r="B2071">
        <v>42</v>
      </c>
      <c r="C2071" t="s">
        <v>16</v>
      </c>
      <c r="D2071" t="s">
        <v>22</v>
      </c>
      <c r="E2071" t="s">
        <v>52</v>
      </c>
      <c r="F2071">
        <v>204.7</v>
      </c>
      <c r="G2071" t="s">
        <v>19</v>
      </c>
      <c r="H2071" t="s">
        <v>15</v>
      </c>
      <c r="I2071">
        <v>4.2</v>
      </c>
      <c r="J2071">
        <v>20</v>
      </c>
      <c r="K2071">
        <v>5</v>
      </c>
      <c r="L2071" s="4">
        <v>255.87499999999997</v>
      </c>
      <c r="M2071" s="4">
        <v>51.174999999999983</v>
      </c>
      <c r="N2071" t="s">
        <v>92</v>
      </c>
    </row>
    <row r="2072" spans="1:14">
      <c r="A2072">
        <v>2071</v>
      </c>
      <c r="B2072">
        <v>54</v>
      </c>
      <c r="C2072" t="s">
        <v>11</v>
      </c>
      <c r="D2072" t="s">
        <v>29</v>
      </c>
      <c r="E2072" t="s">
        <v>55</v>
      </c>
      <c r="F2072">
        <v>78.61</v>
      </c>
      <c r="G2072" t="s">
        <v>19</v>
      </c>
      <c r="H2072" t="s">
        <v>15</v>
      </c>
      <c r="I2072">
        <v>4.5999999999999996</v>
      </c>
      <c r="J2072">
        <v>13</v>
      </c>
      <c r="K2072">
        <v>4</v>
      </c>
      <c r="L2072" s="4">
        <v>90.356321839080465</v>
      </c>
      <c r="M2072" s="4">
        <v>11.746321839080466</v>
      </c>
      <c r="N2072" t="s">
        <v>93</v>
      </c>
    </row>
    <row r="2073" spans="1:14">
      <c r="A2073">
        <v>2072</v>
      </c>
      <c r="B2073">
        <v>43</v>
      </c>
      <c r="C2073" t="s">
        <v>16</v>
      </c>
      <c r="D2073" t="s">
        <v>27</v>
      </c>
      <c r="E2073" t="s">
        <v>28</v>
      </c>
      <c r="F2073">
        <v>2249.9499999999998</v>
      </c>
      <c r="G2073" t="s">
        <v>19</v>
      </c>
      <c r="H2073" t="s">
        <v>15</v>
      </c>
      <c r="I2073">
        <v>3.8</v>
      </c>
      <c r="J2073">
        <v>14</v>
      </c>
      <c r="K2073">
        <v>2</v>
      </c>
      <c r="L2073" s="4">
        <v>2616.2209302325577</v>
      </c>
      <c r="M2073" s="4">
        <v>366.27093023255793</v>
      </c>
      <c r="N2073" t="s">
        <v>92</v>
      </c>
    </row>
    <row r="2074" spans="1:14">
      <c r="A2074">
        <v>2073</v>
      </c>
      <c r="B2074">
        <v>47</v>
      </c>
      <c r="C2074" t="s">
        <v>16</v>
      </c>
      <c r="D2074" t="s">
        <v>22</v>
      </c>
      <c r="E2074" t="s">
        <v>43</v>
      </c>
      <c r="F2074">
        <v>129.09</v>
      </c>
      <c r="G2074" t="s">
        <v>31</v>
      </c>
      <c r="H2074" t="s">
        <v>15</v>
      </c>
      <c r="I2074">
        <v>4</v>
      </c>
      <c r="J2074">
        <v>19</v>
      </c>
      <c r="K2074">
        <v>7</v>
      </c>
      <c r="L2074" s="4">
        <v>159.37037037037035</v>
      </c>
      <c r="M2074" s="4">
        <v>30.280370370370349</v>
      </c>
      <c r="N2074" t="s">
        <v>93</v>
      </c>
    </row>
    <row r="2075" spans="1:14">
      <c r="A2075">
        <v>2074</v>
      </c>
      <c r="B2075">
        <v>36</v>
      </c>
      <c r="C2075" t="s">
        <v>16</v>
      </c>
      <c r="D2075" t="s">
        <v>27</v>
      </c>
      <c r="E2075" t="s">
        <v>53</v>
      </c>
      <c r="F2075">
        <v>2297.54</v>
      </c>
      <c r="G2075" t="s">
        <v>14</v>
      </c>
      <c r="H2075" t="s">
        <v>15</v>
      </c>
      <c r="I2075">
        <v>3.2</v>
      </c>
      <c r="J2075">
        <v>4</v>
      </c>
      <c r="K2075">
        <v>2</v>
      </c>
      <c r="L2075" s="4">
        <v>2393.2708333333335</v>
      </c>
      <c r="M2075" s="4">
        <v>95.730833333333521</v>
      </c>
      <c r="N2075" t="s">
        <v>92</v>
      </c>
    </row>
    <row r="2076" spans="1:14">
      <c r="A2076">
        <v>2075</v>
      </c>
      <c r="B2076">
        <v>23</v>
      </c>
      <c r="C2076" t="s">
        <v>11</v>
      </c>
      <c r="D2076" t="s">
        <v>22</v>
      </c>
      <c r="E2076" t="s">
        <v>23</v>
      </c>
      <c r="F2076">
        <v>219.81</v>
      </c>
      <c r="G2076" t="s">
        <v>19</v>
      </c>
      <c r="H2076" t="s">
        <v>15</v>
      </c>
      <c r="I2076">
        <v>3.7</v>
      </c>
      <c r="J2076">
        <v>11</v>
      </c>
      <c r="K2076">
        <v>3</v>
      </c>
      <c r="L2076" s="4">
        <v>246.97752808988764</v>
      </c>
      <c r="M2076" s="4">
        <v>27.167528089887639</v>
      </c>
      <c r="N2076" t="s">
        <v>100</v>
      </c>
    </row>
    <row r="2077" spans="1:14">
      <c r="A2077">
        <v>2076</v>
      </c>
      <c r="B2077">
        <v>40</v>
      </c>
      <c r="C2077" t="s">
        <v>11</v>
      </c>
      <c r="D2077" t="s">
        <v>20</v>
      </c>
      <c r="E2077" t="s">
        <v>39</v>
      </c>
      <c r="F2077">
        <v>211.71</v>
      </c>
      <c r="G2077" t="s">
        <v>19</v>
      </c>
      <c r="H2077" t="s">
        <v>15</v>
      </c>
      <c r="I2077">
        <v>2.5</v>
      </c>
      <c r="J2077">
        <v>17</v>
      </c>
      <c r="K2077">
        <v>6</v>
      </c>
      <c r="L2077" s="4">
        <v>255.07228915662654</v>
      </c>
      <c r="M2077" s="4">
        <v>43.362289156626531</v>
      </c>
      <c r="N2077" t="s">
        <v>92</v>
      </c>
    </row>
    <row r="2078" spans="1:14">
      <c r="A2078">
        <v>2077</v>
      </c>
      <c r="B2078">
        <v>62</v>
      </c>
      <c r="C2078" t="s">
        <v>11</v>
      </c>
      <c r="D2078" t="s">
        <v>25</v>
      </c>
      <c r="E2078" t="s">
        <v>26</v>
      </c>
      <c r="F2078">
        <v>65.47</v>
      </c>
      <c r="G2078" t="s">
        <v>24</v>
      </c>
      <c r="H2078" t="s">
        <v>15</v>
      </c>
      <c r="I2078">
        <v>4.8</v>
      </c>
      <c r="J2078">
        <v>14</v>
      </c>
      <c r="K2078">
        <v>2</v>
      </c>
      <c r="L2078" s="4">
        <v>76.127906976744185</v>
      </c>
      <c r="M2078" s="4">
        <v>10.657906976744187</v>
      </c>
      <c r="N2078" t="s">
        <v>94</v>
      </c>
    </row>
    <row r="2079" spans="1:14">
      <c r="A2079">
        <v>2078</v>
      </c>
      <c r="B2079">
        <v>21</v>
      </c>
      <c r="C2079" t="s">
        <v>16</v>
      </c>
      <c r="D2079" t="s">
        <v>27</v>
      </c>
      <c r="E2079" t="s">
        <v>28</v>
      </c>
      <c r="F2079">
        <v>854.78</v>
      </c>
      <c r="G2079" t="s">
        <v>24</v>
      </c>
      <c r="H2079" t="s">
        <v>15</v>
      </c>
      <c r="I2079">
        <v>2.2999999999999998</v>
      </c>
      <c r="J2079">
        <v>13</v>
      </c>
      <c r="K2079">
        <v>4</v>
      </c>
      <c r="L2079" s="4">
        <v>982.50574712643675</v>
      </c>
      <c r="M2079" s="4">
        <v>127.72574712643677</v>
      </c>
      <c r="N2079" t="s">
        <v>100</v>
      </c>
    </row>
    <row r="2080" spans="1:14">
      <c r="A2080">
        <v>2079</v>
      </c>
      <c r="B2080">
        <v>60</v>
      </c>
      <c r="C2080" t="s">
        <v>11</v>
      </c>
      <c r="D2080" t="s">
        <v>12</v>
      </c>
      <c r="E2080" t="s">
        <v>13</v>
      </c>
      <c r="F2080">
        <v>177.57</v>
      </c>
      <c r="G2080" t="s">
        <v>19</v>
      </c>
      <c r="H2080" t="s">
        <v>15</v>
      </c>
      <c r="I2080">
        <v>5</v>
      </c>
      <c r="J2080">
        <v>32</v>
      </c>
      <c r="K2080">
        <v>11</v>
      </c>
      <c r="L2080" s="4">
        <v>261.13235294117646</v>
      </c>
      <c r="M2080" s="4">
        <v>83.562352941176471</v>
      </c>
      <c r="N2080" t="s">
        <v>94</v>
      </c>
    </row>
    <row r="2081" spans="1:14">
      <c r="A2081">
        <v>2080</v>
      </c>
      <c r="B2081">
        <v>45</v>
      </c>
      <c r="C2081" t="s">
        <v>11</v>
      </c>
      <c r="D2081" t="s">
        <v>12</v>
      </c>
      <c r="E2081" t="s">
        <v>56</v>
      </c>
      <c r="F2081">
        <v>145.21</v>
      </c>
      <c r="G2081" t="s">
        <v>14</v>
      </c>
      <c r="H2081" t="s">
        <v>15</v>
      </c>
      <c r="I2081">
        <v>3.1</v>
      </c>
      <c r="J2081">
        <v>17</v>
      </c>
      <c r="K2081">
        <v>6</v>
      </c>
      <c r="L2081" s="4">
        <v>174.95180722891567</v>
      </c>
      <c r="M2081" s="4">
        <v>29.741807228915661</v>
      </c>
      <c r="N2081" t="s">
        <v>93</v>
      </c>
    </row>
    <row r="2082" spans="1:14">
      <c r="A2082">
        <v>2081</v>
      </c>
      <c r="B2082">
        <v>30</v>
      </c>
      <c r="C2082" t="s">
        <v>16</v>
      </c>
      <c r="D2082" t="s">
        <v>33</v>
      </c>
      <c r="E2082" t="s">
        <v>34</v>
      </c>
      <c r="F2082">
        <v>162.9</v>
      </c>
      <c r="G2082" t="s">
        <v>19</v>
      </c>
      <c r="H2082" t="s">
        <v>15</v>
      </c>
      <c r="I2082">
        <v>3.7</v>
      </c>
      <c r="J2082">
        <v>10</v>
      </c>
      <c r="K2082">
        <v>5</v>
      </c>
      <c r="L2082" s="4">
        <v>181</v>
      </c>
      <c r="M2082" s="4">
        <v>18.099999999999994</v>
      </c>
      <c r="N2082" t="s">
        <v>91</v>
      </c>
    </row>
    <row r="2083" spans="1:14">
      <c r="A2083">
        <v>2082</v>
      </c>
      <c r="B2083">
        <v>31</v>
      </c>
      <c r="C2083" t="s">
        <v>16</v>
      </c>
      <c r="D2083" t="s">
        <v>33</v>
      </c>
      <c r="E2083" t="s">
        <v>38</v>
      </c>
      <c r="F2083">
        <v>89.34</v>
      </c>
      <c r="G2083" t="s">
        <v>19</v>
      </c>
      <c r="H2083" t="s">
        <v>37</v>
      </c>
      <c r="I2083">
        <v>3</v>
      </c>
      <c r="J2083">
        <v>6</v>
      </c>
      <c r="K2083">
        <v>3</v>
      </c>
      <c r="L2083" s="4">
        <v>95.042553191489375</v>
      </c>
      <c r="M2083" s="4">
        <v>5.7025531914893719</v>
      </c>
      <c r="N2083" t="s">
        <v>91</v>
      </c>
    </row>
    <row r="2084" spans="1:14">
      <c r="A2084">
        <v>2083</v>
      </c>
      <c r="B2084">
        <v>37</v>
      </c>
      <c r="C2084" t="s">
        <v>11</v>
      </c>
      <c r="D2084" t="s">
        <v>29</v>
      </c>
      <c r="E2084" t="s">
        <v>55</v>
      </c>
      <c r="F2084">
        <v>138.25</v>
      </c>
      <c r="G2084" t="s">
        <v>24</v>
      </c>
      <c r="H2084" t="s">
        <v>15</v>
      </c>
      <c r="I2084">
        <v>4.5999999999999996</v>
      </c>
      <c r="J2084">
        <v>6</v>
      </c>
      <c r="K2084">
        <v>3</v>
      </c>
      <c r="L2084" s="4">
        <v>147.07446808510639</v>
      </c>
      <c r="M2084" s="4">
        <v>8.824468085106389</v>
      </c>
      <c r="N2084" t="s">
        <v>92</v>
      </c>
    </row>
    <row r="2085" spans="1:14">
      <c r="A2085">
        <v>2084</v>
      </c>
      <c r="B2085">
        <v>62</v>
      </c>
      <c r="C2085" t="s">
        <v>16</v>
      </c>
      <c r="D2085" t="s">
        <v>20</v>
      </c>
      <c r="E2085" t="s">
        <v>36</v>
      </c>
      <c r="F2085">
        <v>99.57</v>
      </c>
      <c r="G2085" t="s">
        <v>19</v>
      </c>
      <c r="H2085" t="s">
        <v>15</v>
      </c>
      <c r="I2085">
        <v>4.8</v>
      </c>
      <c r="J2085">
        <v>27</v>
      </c>
      <c r="K2085">
        <v>11</v>
      </c>
      <c r="L2085" s="4">
        <v>136.39726027397259</v>
      </c>
      <c r="M2085" s="4">
        <v>36.827260273972598</v>
      </c>
      <c r="N2085" t="s">
        <v>94</v>
      </c>
    </row>
    <row r="2086" spans="1:14">
      <c r="A2086">
        <v>2085</v>
      </c>
      <c r="B2086">
        <v>56</v>
      </c>
      <c r="C2086" t="s">
        <v>11</v>
      </c>
      <c r="D2086" t="s">
        <v>12</v>
      </c>
      <c r="E2086" t="s">
        <v>50</v>
      </c>
      <c r="F2086">
        <v>63.46</v>
      </c>
      <c r="G2086" t="s">
        <v>31</v>
      </c>
      <c r="H2086" t="s">
        <v>37</v>
      </c>
      <c r="I2086">
        <v>3.5</v>
      </c>
      <c r="J2086">
        <v>13</v>
      </c>
      <c r="K2086">
        <v>4</v>
      </c>
      <c r="L2086" s="4">
        <v>72.94252873563218</v>
      </c>
      <c r="M2086" s="4">
        <v>9.4825287356321795</v>
      </c>
      <c r="N2086" t="s">
        <v>94</v>
      </c>
    </row>
    <row r="2087" spans="1:14">
      <c r="A2087">
        <v>2086</v>
      </c>
      <c r="B2087">
        <v>21</v>
      </c>
      <c r="C2087" t="s">
        <v>16</v>
      </c>
      <c r="D2087" t="s">
        <v>20</v>
      </c>
      <c r="E2087" t="s">
        <v>21</v>
      </c>
      <c r="F2087">
        <v>245.31</v>
      </c>
      <c r="G2087" t="s">
        <v>14</v>
      </c>
      <c r="H2087" t="s">
        <v>15</v>
      </c>
      <c r="I2087">
        <v>4.7</v>
      </c>
      <c r="J2087">
        <v>15</v>
      </c>
      <c r="K2087">
        <v>5</v>
      </c>
      <c r="L2087" s="4">
        <v>288.60000000000002</v>
      </c>
      <c r="M2087" s="4">
        <v>43.29000000000002</v>
      </c>
      <c r="N2087" t="s">
        <v>100</v>
      </c>
    </row>
    <row r="2088" spans="1:14">
      <c r="A2088">
        <v>2087</v>
      </c>
      <c r="B2088">
        <v>39</v>
      </c>
      <c r="C2088" t="s">
        <v>11</v>
      </c>
      <c r="D2088" t="s">
        <v>22</v>
      </c>
      <c r="E2088" t="s">
        <v>52</v>
      </c>
      <c r="F2088">
        <v>214</v>
      </c>
      <c r="G2088" t="s">
        <v>19</v>
      </c>
      <c r="H2088" t="s">
        <v>15</v>
      </c>
      <c r="I2088">
        <v>4</v>
      </c>
      <c r="J2088">
        <v>24</v>
      </c>
      <c r="K2088">
        <v>7</v>
      </c>
      <c r="L2088" s="4">
        <v>281.57894736842104</v>
      </c>
      <c r="M2088" s="4">
        <v>67.578947368421041</v>
      </c>
      <c r="N2088" t="s">
        <v>92</v>
      </c>
    </row>
    <row r="2089" spans="1:14">
      <c r="A2089">
        <v>2088</v>
      </c>
      <c r="B2089">
        <v>39</v>
      </c>
      <c r="C2089" t="s">
        <v>11</v>
      </c>
      <c r="D2089" t="s">
        <v>25</v>
      </c>
      <c r="E2089" t="s">
        <v>47</v>
      </c>
      <c r="F2089">
        <v>16.440000000000001</v>
      </c>
      <c r="G2089" t="s">
        <v>14</v>
      </c>
      <c r="H2089" t="s">
        <v>15</v>
      </c>
      <c r="I2089">
        <v>4.7</v>
      </c>
      <c r="J2089">
        <v>14</v>
      </c>
      <c r="K2089">
        <v>7</v>
      </c>
      <c r="L2089" s="4">
        <v>19.116279069767444</v>
      </c>
      <c r="M2089" s="4">
        <v>2.6762790697674426</v>
      </c>
      <c r="N2089" t="s">
        <v>92</v>
      </c>
    </row>
    <row r="2090" spans="1:14">
      <c r="A2090">
        <v>2089</v>
      </c>
      <c r="B2090">
        <v>37</v>
      </c>
      <c r="C2090" t="s">
        <v>11</v>
      </c>
      <c r="D2090" t="s">
        <v>41</v>
      </c>
      <c r="E2090" t="s">
        <v>45</v>
      </c>
      <c r="F2090">
        <v>141.18</v>
      </c>
      <c r="G2090" t="s">
        <v>19</v>
      </c>
      <c r="H2090" t="s">
        <v>15</v>
      </c>
      <c r="I2090">
        <v>3.9</v>
      </c>
      <c r="J2090">
        <v>20</v>
      </c>
      <c r="K2090">
        <v>5</v>
      </c>
      <c r="L2090" s="4">
        <v>176.47499999999999</v>
      </c>
      <c r="M2090" s="4">
        <v>35.294999999999987</v>
      </c>
      <c r="N2090" t="s">
        <v>92</v>
      </c>
    </row>
    <row r="2091" spans="1:14">
      <c r="A2091">
        <v>2090</v>
      </c>
      <c r="B2091">
        <v>45</v>
      </c>
      <c r="C2091" t="s">
        <v>16</v>
      </c>
      <c r="D2091" t="s">
        <v>33</v>
      </c>
      <c r="E2091" t="s">
        <v>40</v>
      </c>
      <c r="F2091">
        <v>178.77</v>
      </c>
      <c r="G2091" t="s">
        <v>31</v>
      </c>
      <c r="H2091" t="s">
        <v>15</v>
      </c>
      <c r="I2091">
        <v>4.2</v>
      </c>
      <c r="J2091">
        <v>12</v>
      </c>
      <c r="K2091">
        <v>1</v>
      </c>
      <c r="L2091" s="4">
        <v>203.14772727272728</v>
      </c>
      <c r="M2091" s="4">
        <v>24.37772727272727</v>
      </c>
      <c r="N2091" t="s">
        <v>93</v>
      </c>
    </row>
    <row r="2092" spans="1:14">
      <c r="A2092">
        <v>2091</v>
      </c>
      <c r="B2092">
        <v>30</v>
      </c>
      <c r="C2092" t="s">
        <v>16</v>
      </c>
      <c r="D2092" t="s">
        <v>33</v>
      </c>
      <c r="E2092" t="s">
        <v>38</v>
      </c>
      <c r="F2092">
        <v>109.01</v>
      </c>
      <c r="G2092" t="s">
        <v>31</v>
      </c>
      <c r="H2092" t="s">
        <v>15</v>
      </c>
      <c r="I2092">
        <v>2.5</v>
      </c>
      <c r="J2092">
        <v>20</v>
      </c>
      <c r="K2092">
        <v>5</v>
      </c>
      <c r="L2092" s="4">
        <v>136.26249999999999</v>
      </c>
      <c r="M2092" s="4">
        <v>27.252499999999984</v>
      </c>
      <c r="N2092" t="s">
        <v>91</v>
      </c>
    </row>
    <row r="2093" spans="1:14">
      <c r="A2093">
        <v>2092</v>
      </c>
      <c r="B2093">
        <v>28</v>
      </c>
      <c r="C2093" t="s">
        <v>11</v>
      </c>
      <c r="D2093" t="s">
        <v>12</v>
      </c>
      <c r="E2093" t="s">
        <v>56</v>
      </c>
      <c r="F2093">
        <v>167.86</v>
      </c>
      <c r="G2093" t="s">
        <v>19</v>
      </c>
      <c r="H2093" t="s">
        <v>15</v>
      </c>
      <c r="I2093">
        <v>4.0999999999999996</v>
      </c>
      <c r="J2093">
        <v>12</v>
      </c>
      <c r="K2093">
        <v>6</v>
      </c>
      <c r="L2093" s="4">
        <v>190.75000000000003</v>
      </c>
      <c r="M2093" s="4">
        <v>22.890000000000015</v>
      </c>
      <c r="N2093" t="s">
        <v>91</v>
      </c>
    </row>
    <row r="2094" spans="1:14">
      <c r="A2094">
        <v>2093</v>
      </c>
      <c r="B2094">
        <v>49</v>
      </c>
      <c r="C2094" t="s">
        <v>11</v>
      </c>
      <c r="D2094" t="s">
        <v>29</v>
      </c>
      <c r="E2094" t="s">
        <v>55</v>
      </c>
      <c r="F2094">
        <v>115.21</v>
      </c>
      <c r="G2094" t="s">
        <v>14</v>
      </c>
      <c r="H2094" t="s">
        <v>15</v>
      </c>
      <c r="I2094">
        <v>3.4</v>
      </c>
      <c r="J2094">
        <v>9</v>
      </c>
      <c r="K2094">
        <v>2</v>
      </c>
      <c r="L2094" s="4">
        <v>126.60439560439559</v>
      </c>
      <c r="M2094" s="4">
        <v>11.394395604395598</v>
      </c>
      <c r="N2094" t="s">
        <v>93</v>
      </c>
    </row>
    <row r="2095" spans="1:14">
      <c r="A2095">
        <v>2094</v>
      </c>
      <c r="B2095">
        <v>61</v>
      </c>
      <c r="C2095" t="s">
        <v>11</v>
      </c>
      <c r="D2095" t="s">
        <v>33</v>
      </c>
      <c r="E2095" t="s">
        <v>38</v>
      </c>
      <c r="F2095">
        <v>54</v>
      </c>
      <c r="G2095" t="s">
        <v>31</v>
      </c>
      <c r="H2095" t="s">
        <v>15</v>
      </c>
      <c r="I2095">
        <v>2</v>
      </c>
      <c r="J2095">
        <v>13</v>
      </c>
      <c r="K2095">
        <v>4</v>
      </c>
      <c r="L2095" s="4">
        <v>62.068965517241381</v>
      </c>
      <c r="M2095" s="4">
        <v>8.0689655172413808</v>
      </c>
      <c r="N2095" t="s">
        <v>94</v>
      </c>
    </row>
    <row r="2096" spans="1:14">
      <c r="A2096">
        <v>2095</v>
      </c>
      <c r="B2096">
        <v>46</v>
      </c>
      <c r="C2096" t="s">
        <v>16</v>
      </c>
      <c r="D2096" t="s">
        <v>27</v>
      </c>
      <c r="E2096" t="s">
        <v>49</v>
      </c>
      <c r="F2096">
        <v>2492.66</v>
      </c>
      <c r="G2096" t="s">
        <v>31</v>
      </c>
      <c r="H2096" t="s">
        <v>15</v>
      </c>
      <c r="I2096">
        <v>3.3</v>
      </c>
      <c r="J2096">
        <v>12</v>
      </c>
      <c r="K2096">
        <v>6</v>
      </c>
      <c r="L2096" s="4">
        <v>2832.5681818181815</v>
      </c>
      <c r="M2096" s="4">
        <v>339.90818181818167</v>
      </c>
      <c r="N2096" t="s">
        <v>93</v>
      </c>
    </row>
    <row r="2097" spans="1:14">
      <c r="A2097">
        <v>2096</v>
      </c>
      <c r="B2097">
        <v>64</v>
      </c>
      <c r="C2097" t="s">
        <v>11</v>
      </c>
      <c r="D2097" t="s">
        <v>29</v>
      </c>
      <c r="E2097" t="s">
        <v>55</v>
      </c>
      <c r="F2097">
        <v>124.33</v>
      </c>
      <c r="G2097" t="s">
        <v>19</v>
      </c>
      <c r="H2097" t="s">
        <v>15</v>
      </c>
      <c r="I2097">
        <v>4</v>
      </c>
      <c r="J2097">
        <v>18</v>
      </c>
      <c r="K2097">
        <v>4</v>
      </c>
      <c r="L2097" s="4">
        <v>151.62195121951217</v>
      </c>
      <c r="M2097" s="4">
        <v>27.291951219512171</v>
      </c>
      <c r="N2097" t="s">
        <v>94</v>
      </c>
    </row>
    <row r="2098" spans="1:14">
      <c r="A2098">
        <v>2097</v>
      </c>
      <c r="B2098">
        <v>69</v>
      </c>
      <c r="C2098" t="s">
        <v>11</v>
      </c>
      <c r="D2098" t="s">
        <v>20</v>
      </c>
      <c r="E2098" t="s">
        <v>39</v>
      </c>
      <c r="F2098">
        <v>238.61</v>
      </c>
      <c r="G2098" t="s">
        <v>31</v>
      </c>
      <c r="H2098" t="s">
        <v>15</v>
      </c>
      <c r="I2098">
        <v>5</v>
      </c>
      <c r="J2098">
        <v>18</v>
      </c>
      <c r="K2098">
        <v>4</v>
      </c>
      <c r="L2098" s="4">
        <v>290.98780487804879</v>
      </c>
      <c r="M2098" s="4">
        <v>52.377804878048778</v>
      </c>
      <c r="N2098" t="s">
        <v>95</v>
      </c>
    </row>
    <row r="2099" spans="1:14">
      <c r="A2099">
        <v>2098</v>
      </c>
      <c r="B2099">
        <v>64</v>
      </c>
      <c r="C2099" t="s">
        <v>16</v>
      </c>
      <c r="D2099" t="s">
        <v>33</v>
      </c>
      <c r="E2099" t="s">
        <v>38</v>
      </c>
      <c r="F2099">
        <v>93.33</v>
      </c>
      <c r="G2099" t="s">
        <v>14</v>
      </c>
      <c r="H2099" t="s">
        <v>37</v>
      </c>
      <c r="I2099">
        <v>3.7</v>
      </c>
      <c r="J2099">
        <v>14</v>
      </c>
      <c r="K2099">
        <v>2</v>
      </c>
      <c r="L2099" s="4">
        <v>108.52325581395348</v>
      </c>
      <c r="M2099" s="4">
        <v>15.193255813953485</v>
      </c>
      <c r="N2099" t="s">
        <v>94</v>
      </c>
    </row>
    <row r="2100" spans="1:14">
      <c r="A2100">
        <v>2099</v>
      </c>
      <c r="B2100">
        <v>54</v>
      </c>
      <c r="C2100" t="s">
        <v>16</v>
      </c>
      <c r="D2100" t="s">
        <v>25</v>
      </c>
      <c r="E2100" t="s">
        <v>47</v>
      </c>
      <c r="F2100">
        <v>63.11</v>
      </c>
      <c r="G2100" t="s">
        <v>14</v>
      </c>
      <c r="H2100" t="s">
        <v>37</v>
      </c>
      <c r="I2100">
        <v>5</v>
      </c>
      <c r="J2100">
        <v>24</v>
      </c>
      <c r="K2100">
        <v>7</v>
      </c>
      <c r="L2100" s="4">
        <v>83.03947368421052</v>
      </c>
      <c r="M2100" s="4">
        <v>19.929473684210521</v>
      </c>
      <c r="N2100" t="s">
        <v>93</v>
      </c>
    </row>
    <row r="2101" spans="1:14">
      <c r="A2101">
        <v>2100</v>
      </c>
      <c r="B2101">
        <v>35</v>
      </c>
      <c r="C2101" t="s">
        <v>16</v>
      </c>
      <c r="D2101" t="s">
        <v>17</v>
      </c>
      <c r="E2101" t="s">
        <v>18</v>
      </c>
      <c r="F2101">
        <v>187.27</v>
      </c>
      <c r="G2101" t="s">
        <v>31</v>
      </c>
      <c r="H2101" t="s">
        <v>15</v>
      </c>
      <c r="I2101">
        <v>4.4000000000000004</v>
      </c>
      <c r="J2101">
        <v>20</v>
      </c>
      <c r="K2101">
        <v>5</v>
      </c>
      <c r="L2101" s="4">
        <v>234.08750000000001</v>
      </c>
      <c r="M2101" s="4">
        <v>46.817499999999995</v>
      </c>
      <c r="N2101" t="s">
        <v>92</v>
      </c>
    </row>
    <row r="2102" spans="1:14">
      <c r="A2102">
        <v>2101</v>
      </c>
      <c r="B2102">
        <v>62</v>
      </c>
      <c r="C2102" t="s">
        <v>11</v>
      </c>
      <c r="D2102" t="s">
        <v>33</v>
      </c>
      <c r="E2102" t="s">
        <v>38</v>
      </c>
      <c r="F2102">
        <v>106.67</v>
      </c>
      <c r="G2102" t="s">
        <v>19</v>
      </c>
      <c r="H2102" t="s">
        <v>15</v>
      </c>
      <c r="I2102">
        <v>3.3</v>
      </c>
      <c r="J2102">
        <v>16</v>
      </c>
      <c r="K2102">
        <v>8</v>
      </c>
      <c r="L2102" s="4">
        <v>126.98809523809524</v>
      </c>
      <c r="M2102" s="4">
        <v>20.318095238095239</v>
      </c>
      <c r="N2102" t="s">
        <v>94</v>
      </c>
    </row>
    <row r="2103" spans="1:14">
      <c r="A2103">
        <v>2102</v>
      </c>
      <c r="B2103">
        <v>63</v>
      </c>
      <c r="C2103" t="s">
        <v>16</v>
      </c>
      <c r="D2103" t="s">
        <v>17</v>
      </c>
      <c r="E2103" t="s">
        <v>35</v>
      </c>
      <c r="F2103">
        <v>52.94</v>
      </c>
      <c r="G2103" t="s">
        <v>19</v>
      </c>
      <c r="H2103" t="s">
        <v>15</v>
      </c>
      <c r="I2103">
        <v>4.3</v>
      </c>
      <c r="J2103">
        <v>15</v>
      </c>
      <c r="K2103">
        <v>5</v>
      </c>
      <c r="L2103" s="4">
        <v>62.28235294117647</v>
      </c>
      <c r="M2103" s="4">
        <v>9.3423529411764719</v>
      </c>
      <c r="N2103" t="s">
        <v>94</v>
      </c>
    </row>
    <row r="2104" spans="1:14">
      <c r="A2104">
        <v>2103</v>
      </c>
      <c r="B2104">
        <v>56</v>
      </c>
      <c r="C2104" t="s">
        <v>16</v>
      </c>
      <c r="D2104" t="s">
        <v>17</v>
      </c>
      <c r="E2104" t="s">
        <v>35</v>
      </c>
      <c r="F2104">
        <v>124.47</v>
      </c>
      <c r="G2104" t="s">
        <v>14</v>
      </c>
      <c r="H2104" t="s">
        <v>15</v>
      </c>
      <c r="I2104">
        <v>3.6</v>
      </c>
      <c r="J2104">
        <v>12</v>
      </c>
      <c r="K2104">
        <v>6</v>
      </c>
      <c r="L2104" s="4">
        <v>141.44318181818181</v>
      </c>
      <c r="M2104" s="4">
        <v>16.973181818181814</v>
      </c>
      <c r="N2104" t="s">
        <v>94</v>
      </c>
    </row>
    <row r="2105" spans="1:14">
      <c r="A2105">
        <v>2104</v>
      </c>
      <c r="B2105">
        <v>36</v>
      </c>
      <c r="C2105" t="s">
        <v>11</v>
      </c>
      <c r="D2105" t="s">
        <v>41</v>
      </c>
      <c r="E2105" t="s">
        <v>46</v>
      </c>
      <c r="F2105">
        <v>165.8</v>
      </c>
      <c r="G2105" t="s">
        <v>19</v>
      </c>
      <c r="H2105" t="s">
        <v>15</v>
      </c>
      <c r="I2105">
        <v>3.5</v>
      </c>
      <c r="J2105">
        <v>22</v>
      </c>
      <c r="K2105">
        <v>6</v>
      </c>
      <c r="L2105" s="4">
        <v>212.56410256410257</v>
      </c>
      <c r="M2105" s="4">
        <v>46.764102564102558</v>
      </c>
      <c r="N2105" t="s">
        <v>92</v>
      </c>
    </row>
    <row r="2106" spans="1:14">
      <c r="A2106">
        <v>2105</v>
      </c>
      <c r="B2106">
        <v>30</v>
      </c>
      <c r="C2106" t="s">
        <v>11</v>
      </c>
      <c r="D2106" t="s">
        <v>12</v>
      </c>
      <c r="E2106" t="s">
        <v>13</v>
      </c>
      <c r="F2106">
        <v>103.79</v>
      </c>
      <c r="G2106" t="s">
        <v>14</v>
      </c>
      <c r="H2106" t="s">
        <v>15</v>
      </c>
      <c r="I2106">
        <v>3.3</v>
      </c>
      <c r="J2106">
        <v>14</v>
      </c>
      <c r="K2106">
        <v>7</v>
      </c>
      <c r="L2106" s="4">
        <v>120.68604651162792</v>
      </c>
      <c r="M2106" s="4">
        <v>16.896046511627915</v>
      </c>
      <c r="N2106" t="s">
        <v>91</v>
      </c>
    </row>
    <row r="2107" spans="1:14">
      <c r="A2107">
        <v>2106</v>
      </c>
      <c r="B2107">
        <v>20</v>
      </c>
      <c r="C2107" t="s">
        <v>16</v>
      </c>
      <c r="D2107" t="s">
        <v>27</v>
      </c>
      <c r="E2107" t="s">
        <v>49</v>
      </c>
      <c r="F2107">
        <v>647.02</v>
      </c>
      <c r="G2107" t="s">
        <v>19</v>
      </c>
      <c r="H2107" t="s">
        <v>15</v>
      </c>
      <c r="I2107">
        <v>3.5</v>
      </c>
      <c r="J2107">
        <v>10</v>
      </c>
      <c r="K2107">
        <v>5</v>
      </c>
      <c r="L2107" s="4">
        <v>718.91111111111104</v>
      </c>
      <c r="M2107" s="4">
        <v>71.891111111111059</v>
      </c>
      <c r="N2107" t="s">
        <v>100</v>
      </c>
    </row>
    <row r="2108" spans="1:14">
      <c r="A2108">
        <v>2107</v>
      </c>
      <c r="B2108">
        <v>57</v>
      </c>
      <c r="C2108" t="s">
        <v>16</v>
      </c>
      <c r="D2108" t="s">
        <v>20</v>
      </c>
      <c r="E2108" t="s">
        <v>39</v>
      </c>
      <c r="F2108">
        <v>70.3</v>
      </c>
      <c r="G2108" t="s">
        <v>19</v>
      </c>
      <c r="H2108" t="s">
        <v>37</v>
      </c>
      <c r="I2108">
        <v>3.9</v>
      </c>
      <c r="J2108">
        <v>17</v>
      </c>
      <c r="K2108">
        <v>6</v>
      </c>
      <c r="L2108" s="4">
        <v>84.698795180722897</v>
      </c>
      <c r="M2108" s="4">
        <v>14.3987951807229</v>
      </c>
      <c r="N2108" t="s">
        <v>94</v>
      </c>
    </row>
    <row r="2109" spans="1:14">
      <c r="A2109">
        <v>2108</v>
      </c>
      <c r="B2109">
        <v>38</v>
      </c>
      <c r="C2109" t="s">
        <v>16</v>
      </c>
      <c r="D2109" t="s">
        <v>27</v>
      </c>
      <c r="E2109" t="s">
        <v>49</v>
      </c>
      <c r="F2109">
        <v>1795.05</v>
      </c>
      <c r="G2109" t="s">
        <v>24</v>
      </c>
      <c r="H2109" t="s">
        <v>15</v>
      </c>
      <c r="I2109">
        <v>3.6</v>
      </c>
      <c r="J2109">
        <v>18</v>
      </c>
      <c r="K2109">
        <v>4</v>
      </c>
      <c r="L2109" s="4">
        <v>2189.0853658536585</v>
      </c>
      <c r="M2109" s="4">
        <v>394.0353658536585</v>
      </c>
      <c r="N2109" t="s">
        <v>92</v>
      </c>
    </row>
    <row r="2110" spans="1:14">
      <c r="A2110">
        <v>2109</v>
      </c>
      <c r="B2110">
        <v>64</v>
      </c>
      <c r="C2110" t="s">
        <v>11</v>
      </c>
      <c r="D2110" t="s">
        <v>33</v>
      </c>
      <c r="E2110" t="s">
        <v>34</v>
      </c>
      <c r="F2110">
        <v>247.74</v>
      </c>
      <c r="G2110" t="s">
        <v>19</v>
      </c>
      <c r="H2110" t="s">
        <v>15</v>
      </c>
      <c r="I2110">
        <v>3.6</v>
      </c>
      <c r="J2110">
        <v>19</v>
      </c>
      <c r="K2110">
        <v>7</v>
      </c>
      <c r="L2110" s="4">
        <v>305.85185185185185</v>
      </c>
      <c r="M2110" s="4">
        <v>58.111851851851839</v>
      </c>
      <c r="N2110" t="s">
        <v>94</v>
      </c>
    </row>
    <row r="2111" spans="1:14">
      <c r="A2111">
        <v>2110</v>
      </c>
      <c r="B2111">
        <v>54</v>
      </c>
      <c r="C2111" t="s">
        <v>11</v>
      </c>
      <c r="D2111" t="s">
        <v>12</v>
      </c>
      <c r="E2111" t="s">
        <v>56</v>
      </c>
      <c r="F2111">
        <v>161.25</v>
      </c>
      <c r="G2111" t="s">
        <v>31</v>
      </c>
      <c r="H2111" t="s">
        <v>15</v>
      </c>
      <c r="I2111">
        <v>3.8</v>
      </c>
      <c r="J2111">
        <v>15</v>
      </c>
      <c r="K2111">
        <v>5</v>
      </c>
      <c r="L2111" s="4">
        <v>189.70588235294119</v>
      </c>
      <c r="M2111" s="4">
        <v>28.455882352941188</v>
      </c>
      <c r="N2111" t="s">
        <v>93</v>
      </c>
    </row>
    <row r="2112" spans="1:14">
      <c r="A2112">
        <v>2111</v>
      </c>
      <c r="B2112">
        <v>70</v>
      </c>
      <c r="C2112" t="s">
        <v>11</v>
      </c>
      <c r="D2112" t="s">
        <v>29</v>
      </c>
      <c r="E2112" t="s">
        <v>55</v>
      </c>
      <c r="F2112">
        <v>75.11</v>
      </c>
      <c r="G2112" t="s">
        <v>31</v>
      </c>
      <c r="H2112" t="s">
        <v>37</v>
      </c>
      <c r="I2112">
        <v>4.2</v>
      </c>
      <c r="J2112">
        <v>16</v>
      </c>
      <c r="K2112">
        <v>3</v>
      </c>
      <c r="L2112" s="4">
        <v>89.416666666666671</v>
      </c>
      <c r="M2112" s="4">
        <v>14.306666666666672</v>
      </c>
      <c r="N2112" t="s">
        <v>95</v>
      </c>
    </row>
    <row r="2113" spans="1:14">
      <c r="A2113">
        <v>2112</v>
      </c>
      <c r="B2113">
        <v>28</v>
      </c>
      <c r="C2113" t="s">
        <v>16</v>
      </c>
      <c r="D2113" t="s">
        <v>17</v>
      </c>
      <c r="E2113" t="s">
        <v>18</v>
      </c>
      <c r="F2113">
        <v>47.83</v>
      </c>
      <c r="G2113" t="s">
        <v>24</v>
      </c>
      <c r="H2113" t="s">
        <v>15</v>
      </c>
      <c r="I2113">
        <v>2.2000000000000002</v>
      </c>
      <c r="J2113">
        <v>16</v>
      </c>
      <c r="K2113">
        <v>3</v>
      </c>
      <c r="L2113" s="4">
        <v>56.94047619047619</v>
      </c>
      <c r="M2113" s="4">
        <v>9.1104761904761915</v>
      </c>
      <c r="N2113" t="s">
        <v>91</v>
      </c>
    </row>
    <row r="2114" spans="1:14">
      <c r="A2114">
        <v>2113</v>
      </c>
      <c r="B2114">
        <v>65</v>
      </c>
      <c r="C2114" t="s">
        <v>16</v>
      </c>
      <c r="D2114" t="s">
        <v>22</v>
      </c>
      <c r="E2114" t="s">
        <v>52</v>
      </c>
      <c r="F2114">
        <v>214.25</v>
      </c>
      <c r="G2114" t="s">
        <v>14</v>
      </c>
      <c r="H2114" t="s">
        <v>15</v>
      </c>
      <c r="I2114">
        <v>3.1</v>
      </c>
      <c r="J2114">
        <v>9</v>
      </c>
      <c r="K2114">
        <v>2</v>
      </c>
      <c r="L2114" s="4">
        <v>235.43956043956044</v>
      </c>
      <c r="M2114" s="4">
        <v>21.189560439560438</v>
      </c>
      <c r="N2114" t="s">
        <v>95</v>
      </c>
    </row>
    <row r="2115" spans="1:14">
      <c r="A2115">
        <v>2114</v>
      </c>
      <c r="B2115">
        <v>42</v>
      </c>
      <c r="C2115" t="s">
        <v>16</v>
      </c>
      <c r="D2115" t="s">
        <v>33</v>
      </c>
      <c r="E2115" t="s">
        <v>34</v>
      </c>
      <c r="F2115">
        <v>246.94</v>
      </c>
      <c r="G2115" t="s">
        <v>14</v>
      </c>
      <c r="H2115" t="s">
        <v>15</v>
      </c>
      <c r="I2115">
        <v>2.5</v>
      </c>
      <c r="J2115">
        <v>9</v>
      </c>
      <c r="K2115">
        <v>2</v>
      </c>
      <c r="L2115" s="4">
        <v>271.36263736263737</v>
      </c>
      <c r="M2115" s="4">
        <v>24.422637362637374</v>
      </c>
      <c r="N2115" t="s">
        <v>92</v>
      </c>
    </row>
    <row r="2116" spans="1:14">
      <c r="A2116">
        <v>2115</v>
      </c>
      <c r="B2116">
        <v>65</v>
      </c>
      <c r="C2116" t="s">
        <v>11</v>
      </c>
      <c r="D2116" t="s">
        <v>41</v>
      </c>
      <c r="E2116" t="s">
        <v>46</v>
      </c>
      <c r="F2116">
        <v>32.9</v>
      </c>
      <c r="G2116" t="s">
        <v>24</v>
      </c>
      <c r="H2116" t="s">
        <v>15</v>
      </c>
      <c r="I2116">
        <v>4.5999999999999996</v>
      </c>
      <c r="J2116">
        <v>16</v>
      </c>
      <c r="K2116">
        <v>3</v>
      </c>
      <c r="L2116" s="4">
        <v>39.166666666666664</v>
      </c>
      <c r="M2116" s="4">
        <v>6.2666666666666657</v>
      </c>
      <c r="N2116" t="s">
        <v>95</v>
      </c>
    </row>
    <row r="2117" spans="1:14">
      <c r="A2117">
        <v>2116</v>
      </c>
      <c r="B2117">
        <v>20</v>
      </c>
      <c r="C2117" t="s">
        <v>16</v>
      </c>
      <c r="D2117" t="s">
        <v>25</v>
      </c>
      <c r="E2117" t="s">
        <v>26</v>
      </c>
      <c r="F2117">
        <v>53.05</v>
      </c>
      <c r="G2117" t="s">
        <v>19</v>
      </c>
      <c r="H2117" t="s">
        <v>15</v>
      </c>
      <c r="I2117">
        <v>4.8</v>
      </c>
      <c r="J2117">
        <v>28</v>
      </c>
      <c r="K2117">
        <v>9</v>
      </c>
      <c r="L2117" s="4">
        <v>73.680555555555557</v>
      </c>
      <c r="M2117" s="4">
        <v>20.63055555555556</v>
      </c>
      <c r="N2117" t="s">
        <v>100</v>
      </c>
    </row>
    <row r="2118" spans="1:14">
      <c r="A2118">
        <v>2117</v>
      </c>
      <c r="B2118">
        <v>68</v>
      </c>
      <c r="C2118" t="s">
        <v>16</v>
      </c>
      <c r="D2118" t="s">
        <v>17</v>
      </c>
      <c r="E2118" t="s">
        <v>48</v>
      </c>
      <c r="F2118">
        <v>68.39</v>
      </c>
      <c r="G2118" t="s">
        <v>14</v>
      </c>
      <c r="H2118" t="s">
        <v>37</v>
      </c>
      <c r="I2118">
        <v>4.0999999999999996</v>
      </c>
      <c r="J2118">
        <v>26</v>
      </c>
      <c r="K2118">
        <v>8</v>
      </c>
      <c r="L2118" s="4">
        <v>92.418918918918919</v>
      </c>
      <c r="M2118" s="4">
        <v>24.028918918918919</v>
      </c>
      <c r="N2118" t="s">
        <v>95</v>
      </c>
    </row>
    <row r="2119" spans="1:14">
      <c r="A2119">
        <v>2118</v>
      </c>
      <c r="B2119">
        <v>49</v>
      </c>
      <c r="C2119" t="s">
        <v>16</v>
      </c>
      <c r="D2119" t="s">
        <v>17</v>
      </c>
      <c r="E2119" t="s">
        <v>18</v>
      </c>
      <c r="F2119">
        <v>153.15</v>
      </c>
      <c r="G2119" t="s">
        <v>24</v>
      </c>
      <c r="H2119" t="s">
        <v>15</v>
      </c>
      <c r="I2119">
        <v>3.1</v>
      </c>
      <c r="J2119">
        <v>8</v>
      </c>
      <c r="K2119">
        <v>4</v>
      </c>
      <c r="L2119" s="4">
        <v>166.46739130434781</v>
      </c>
      <c r="M2119" s="4">
        <v>13.317391304347808</v>
      </c>
      <c r="N2119" t="s">
        <v>93</v>
      </c>
    </row>
    <row r="2120" spans="1:14">
      <c r="A2120">
        <v>2119</v>
      </c>
      <c r="B2120">
        <v>63</v>
      </c>
      <c r="C2120" t="s">
        <v>11</v>
      </c>
      <c r="D2120" t="s">
        <v>12</v>
      </c>
      <c r="E2120" t="s">
        <v>13</v>
      </c>
      <c r="F2120">
        <v>50.16</v>
      </c>
      <c r="G2120" t="s">
        <v>24</v>
      </c>
      <c r="H2120" t="s">
        <v>15</v>
      </c>
      <c r="I2120">
        <v>4.3</v>
      </c>
      <c r="J2120">
        <v>12</v>
      </c>
      <c r="K2120">
        <v>6</v>
      </c>
      <c r="L2120" s="4">
        <v>56.999999999999993</v>
      </c>
      <c r="M2120" s="4">
        <v>6.8399999999999963</v>
      </c>
      <c r="N2120" t="s">
        <v>94</v>
      </c>
    </row>
    <row r="2121" spans="1:14">
      <c r="A2121">
        <v>2120</v>
      </c>
      <c r="B2121">
        <v>30</v>
      </c>
      <c r="C2121" t="s">
        <v>16</v>
      </c>
      <c r="D2121" t="s">
        <v>33</v>
      </c>
      <c r="E2121" t="s">
        <v>38</v>
      </c>
      <c r="F2121">
        <v>103.58</v>
      </c>
      <c r="G2121" t="s">
        <v>19</v>
      </c>
      <c r="H2121" t="s">
        <v>15</v>
      </c>
      <c r="I2121">
        <v>4.5</v>
      </c>
      <c r="J2121">
        <v>15</v>
      </c>
      <c r="K2121">
        <v>5</v>
      </c>
      <c r="L2121" s="4">
        <v>121.85882352941177</v>
      </c>
      <c r="M2121" s="4">
        <v>18.278823529411767</v>
      </c>
      <c r="N2121" t="s">
        <v>91</v>
      </c>
    </row>
    <row r="2122" spans="1:14">
      <c r="A2122">
        <v>2121</v>
      </c>
      <c r="B2122">
        <v>65</v>
      </c>
      <c r="C2122" t="s">
        <v>11</v>
      </c>
      <c r="D2122" t="s">
        <v>41</v>
      </c>
      <c r="E2122" t="s">
        <v>45</v>
      </c>
      <c r="F2122">
        <v>159.66999999999999</v>
      </c>
      <c r="G2122" t="s">
        <v>14</v>
      </c>
      <c r="H2122" t="s">
        <v>15</v>
      </c>
      <c r="I2122">
        <v>3.8</v>
      </c>
      <c r="J2122">
        <v>10</v>
      </c>
      <c r="K2122">
        <v>5</v>
      </c>
      <c r="L2122" s="4">
        <v>177.4111111111111</v>
      </c>
      <c r="M2122" s="4">
        <v>17.74111111111111</v>
      </c>
      <c r="N2122" t="s">
        <v>95</v>
      </c>
    </row>
    <row r="2123" spans="1:14">
      <c r="A2123">
        <v>2122</v>
      </c>
      <c r="B2123">
        <v>22</v>
      </c>
      <c r="C2123" t="s">
        <v>11</v>
      </c>
      <c r="D2123" t="s">
        <v>29</v>
      </c>
      <c r="E2123" t="s">
        <v>55</v>
      </c>
      <c r="F2123">
        <v>100.76</v>
      </c>
      <c r="G2123" t="s">
        <v>14</v>
      </c>
      <c r="H2123" t="s">
        <v>15</v>
      </c>
      <c r="I2123">
        <v>5</v>
      </c>
      <c r="J2123">
        <v>19</v>
      </c>
      <c r="K2123">
        <v>7</v>
      </c>
      <c r="L2123" s="4">
        <v>124.39506172839506</v>
      </c>
      <c r="M2123" s="4">
        <v>23.635061728395058</v>
      </c>
      <c r="N2123" t="s">
        <v>100</v>
      </c>
    </row>
    <row r="2124" spans="1:14">
      <c r="A2124">
        <v>2123</v>
      </c>
      <c r="B2124">
        <v>64</v>
      </c>
      <c r="C2124" t="s">
        <v>16</v>
      </c>
      <c r="D2124" t="s">
        <v>20</v>
      </c>
      <c r="E2124" t="s">
        <v>21</v>
      </c>
      <c r="F2124">
        <v>229.26</v>
      </c>
      <c r="G2124" t="s">
        <v>14</v>
      </c>
      <c r="H2124" t="s">
        <v>15</v>
      </c>
      <c r="I2124">
        <v>4</v>
      </c>
      <c r="J2124">
        <v>22</v>
      </c>
      <c r="K2124">
        <v>6</v>
      </c>
      <c r="L2124" s="4">
        <v>293.92307692307691</v>
      </c>
      <c r="M2124" s="4">
        <v>64.663076923076915</v>
      </c>
      <c r="N2124" t="s">
        <v>94</v>
      </c>
    </row>
    <row r="2125" spans="1:14">
      <c r="A2125">
        <v>2124</v>
      </c>
      <c r="B2125">
        <v>20</v>
      </c>
      <c r="C2125" t="s">
        <v>16</v>
      </c>
      <c r="D2125" t="s">
        <v>17</v>
      </c>
      <c r="E2125" t="s">
        <v>35</v>
      </c>
      <c r="F2125">
        <v>121.19</v>
      </c>
      <c r="G2125" t="s">
        <v>19</v>
      </c>
      <c r="H2125" t="s">
        <v>15</v>
      </c>
      <c r="I2125">
        <v>3.6</v>
      </c>
      <c r="J2125">
        <v>20</v>
      </c>
      <c r="K2125">
        <v>5</v>
      </c>
      <c r="L2125" s="4">
        <v>151.48749999999998</v>
      </c>
      <c r="M2125" s="4">
        <v>30.297499999999985</v>
      </c>
      <c r="N2125" t="s">
        <v>100</v>
      </c>
    </row>
    <row r="2126" spans="1:14">
      <c r="A2126">
        <v>2125</v>
      </c>
      <c r="B2126">
        <v>36</v>
      </c>
      <c r="C2126" t="s">
        <v>16</v>
      </c>
      <c r="D2126" t="s">
        <v>17</v>
      </c>
      <c r="E2126" t="s">
        <v>42</v>
      </c>
      <c r="F2126">
        <v>172.85</v>
      </c>
      <c r="G2126" t="s">
        <v>24</v>
      </c>
      <c r="H2126" t="s">
        <v>15</v>
      </c>
      <c r="I2126">
        <v>3.6</v>
      </c>
      <c r="J2126">
        <v>13</v>
      </c>
      <c r="K2126">
        <v>4</v>
      </c>
      <c r="L2126" s="4">
        <v>198.67816091954023</v>
      </c>
      <c r="M2126" s="4">
        <v>25.828160919540238</v>
      </c>
      <c r="N2126" t="s">
        <v>92</v>
      </c>
    </row>
    <row r="2127" spans="1:14">
      <c r="A2127">
        <v>2126</v>
      </c>
      <c r="B2127">
        <v>37</v>
      </c>
      <c r="C2127" t="s">
        <v>16</v>
      </c>
      <c r="D2127" t="s">
        <v>27</v>
      </c>
      <c r="E2127" t="s">
        <v>32</v>
      </c>
      <c r="F2127">
        <v>2994.75</v>
      </c>
      <c r="G2127" t="s">
        <v>24</v>
      </c>
      <c r="H2127" t="s">
        <v>15</v>
      </c>
      <c r="I2127">
        <v>3.4</v>
      </c>
      <c r="J2127">
        <v>12</v>
      </c>
      <c r="K2127">
        <v>6</v>
      </c>
      <c r="L2127" s="4">
        <v>3403.125</v>
      </c>
      <c r="M2127" s="4">
        <v>408.375</v>
      </c>
      <c r="N2127" t="s">
        <v>92</v>
      </c>
    </row>
    <row r="2128" spans="1:14">
      <c r="A2128">
        <v>2127</v>
      </c>
      <c r="B2128">
        <v>24</v>
      </c>
      <c r="C2128" t="s">
        <v>11</v>
      </c>
      <c r="D2128" t="s">
        <v>33</v>
      </c>
      <c r="E2128" t="s">
        <v>38</v>
      </c>
      <c r="F2128">
        <v>169.29</v>
      </c>
      <c r="G2128" t="s">
        <v>19</v>
      </c>
      <c r="H2128" t="s">
        <v>15</v>
      </c>
      <c r="I2128">
        <v>3.5</v>
      </c>
      <c r="J2128">
        <v>22</v>
      </c>
      <c r="K2128">
        <v>6</v>
      </c>
      <c r="L2128" s="4">
        <v>217.03846153846152</v>
      </c>
      <c r="M2128" s="4">
        <v>47.748461538461527</v>
      </c>
      <c r="N2128" t="s">
        <v>100</v>
      </c>
    </row>
    <row r="2129" spans="1:14">
      <c r="A2129">
        <v>2128</v>
      </c>
      <c r="B2129">
        <v>45</v>
      </c>
      <c r="C2129" t="s">
        <v>11</v>
      </c>
      <c r="D2129" t="s">
        <v>12</v>
      </c>
      <c r="E2129" t="s">
        <v>50</v>
      </c>
      <c r="F2129">
        <v>48</v>
      </c>
      <c r="G2129" t="s">
        <v>19</v>
      </c>
      <c r="H2129" t="s">
        <v>15</v>
      </c>
      <c r="I2129">
        <v>3.6</v>
      </c>
      <c r="J2129">
        <v>16</v>
      </c>
      <c r="K2129">
        <v>8</v>
      </c>
      <c r="L2129" s="4">
        <v>57.142857142857146</v>
      </c>
      <c r="M2129" s="4">
        <v>9.1428571428571459</v>
      </c>
      <c r="N2129" t="s">
        <v>93</v>
      </c>
    </row>
    <row r="2130" spans="1:14">
      <c r="A2130">
        <v>2129</v>
      </c>
      <c r="B2130">
        <v>28</v>
      </c>
      <c r="C2130" t="s">
        <v>16</v>
      </c>
      <c r="D2130" t="s">
        <v>20</v>
      </c>
      <c r="E2130" t="s">
        <v>21</v>
      </c>
      <c r="F2130">
        <v>73.95</v>
      </c>
      <c r="G2130" t="s">
        <v>31</v>
      </c>
      <c r="H2130" t="s">
        <v>15</v>
      </c>
      <c r="I2130">
        <v>3.8</v>
      </c>
      <c r="J2130">
        <v>7</v>
      </c>
      <c r="K2130">
        <v>1</v>
      </c>
      <c r="L2130" s="4">
        <v>79.516129032258078</v>
      </c>
      <c r="M2130" s="4">
        <v>5.5661290322580754</v>
      </c>
      <c r="N2130" t="s">
        <v>91</v>
      </c>
    </row>
    <row r="2131" spans="1:14">
      <c r="A2131">
        <v>2130</v>
      </c>
      <c r="B2131">
        <v>38</v>
      </c>
      <c r="C2131" t="s">
        <v>16</v>
      </c>
      <c r="D2131" t="s">
        <v>25</v>
      </c>
      <c r="E2131" t="s">
        <v>57</v>
      </c>
      <c r="F2131">
        <v>44.44</v>
      </c>
      <c r="G2131" t="s">
        <v>19</v>
      </c>
      <c r="H2131" t="s">
        <v>37</v>
      </c>
      <c r="I2131">
        <v>4.9000000000000004</v>
      </c>
      <c r="J2131">
        <v>20</v>
      </c>
      <c r="K2131">
        <v>5</v>
      </c>
      <c r="L2131" s="4">
        <v>55.55</v>
      </c>
      <c r="M2131" s="4">
        <v>11.11</v>
      </c>
      <c r="N2131" t="s">
        <v>92</v>
      </c>
    </row>
    <row r="2132" spans="1:14">
      <c r="A2132">
        <v>2131</v>
      </c>
      <c r="B2132">
        <v>42</v>
      </c>
      <c r="C2132" t="s">
        <v>11</v>
      </c>
      <c r="D2132" t="s">
        <v>12</v>
      </c>
      <c r="E2132" t="s">
        <v>56</v>
      </c>
      <c r="F2132">
        <v>162.6</v>
      </c>
      <c r="G2132" t="s">
        <v>19</v>
      </c>
      <c r="H2132" t="s">
        <v>15</v>
      </c>
      <c r="I2132">
        <v>4.7</v>
      </c>
      <c r="J2132">
        <v>12</v>
      </c>
      <c r="K2132">
        <v>1</v>
      </c>
      <c r="L2132" s="4">
        <v>184.77272727272725</v>
      </c>
      <c r="M2132" s="4">
        <v>22.172727272727258</v>
      </c>
      <c r="N2132" t="s">
        <v>92</v>
      </c>
    </row>
    <row r="2133" spans="1:14">
      <c r="A2133">
        <v>2132</v>
      </c>
      <c r="B2133">
        <v>36</v>
      </c>
      <c r="C2133" t="s">
        <v>16</v>
      </c>
      <c r="D2133" t="s">
        <v>27</v>
      </c>
      <c r="E2133" t="s">
        <v>53</v>
      </c>
      <c r="F2133">
        <v>1381.61</v>
      </c>
      <c r="G2133" t="s">
        <v>19</v>
      </c>
      <c r="H2133" t="s">
        <v>15</v>
      </c>
      <c r="I2133">
        <v>4.8</v>
      </c>
      <c r="J2133">
        <v>13</v>
      </c>
      <c r="K2133">
        <v>4</v>
      </c>
      <c r="L2133" s="4">
        <v>1588.0574712643677</v>
      </c>
      <c r="M2133" s="4">
        <v>206.44747126436778</v>
      </c>
      <c r="N2133" t="s">
        <v>92</v>
      </c>
    </row>
    <row r="2134" spans="1:14">
      <c r="A2134">
        <v>2133</v>
      </c>
      <c r="B2134">
        <v>37</v>
      </c>
      <c r="C2134" t="s">
        <v>16</v>
      </c>
      <c r="D2134" t="s">
        <v>27</v>
      </c>
      <c r="E2134" t="s">
        <v>53</v>
      </c>
      <c r="F2134">
        <v>2720.99</v>
      </c>
      <c r="G2134" t="s">
        <v>19</v>
      </c>
      <c r="H2134" t="s">
        <v>15</v>
      </c>
      <c r="I2134">
        <v>3.1</v>
      </c>
      <c r="J2134">
        <v>20</v>
      </c>
      <c r="K2134">
        <v>5</v>
      </c>
      <c r="L2134" s="4">
        <v>3401.2374999999997</v>
      </c>
      <c r="M2134" s="4">
        <v>680.24749999999995</v>
      </c>
      <c r="N2134" t="s">
        <v>92</v>
      </c>
    </row>
    <row r="2135" spans="1:14">
      <c r="A2135">
        <v>2134</v>
      </c>
      <c r="B2135">
        <v>24</v>
      </c>
      <c r="C2135" t="s">
        <v>16</v>
      </c>
      <c r="D2135" t="s">
        <v>33</v>
      </c>
      <c r="E2135" t="s">
        <v>38</v>
      </c>
      <c r="F2135">
        <v>53.39</v>
      </c>
      <c r="G2135" t="s">
        <v>19</v>
      </c>
      <c r="H2135" t="s">
        <v>37</v>
      </c>
      <c r="I2135">
        <v>3.3</v>
      </c>
      <c r="J2135">
        <v>10</v>
      </c>
      <c r="K2135">
        <v>5</v>
      </c>
      <c r="L2135" s="4">
        <v>59.322222222222223</v>
      </c>
      <c r="M2135" s="4">
        <v>5.9322222222222223</v>
      </c>
      <c r="N2135" t="s">
        <v>100</v>
      </c>
    </row>
    <row r="2136" spans="1:14">
      <c r="A2136">
        <v>2135</v>
      </c>
      <c r="B2136">
        <v>42</v>
      </c>
      <c r="C2136" t="s">
        <v>16</v>
      </c>
      <c r="D2136" t="s">
        <v>33</v>
      </c>
      <c r="E2136" t="s">
        <v>40</v>
      </c>
      <c r="F2136">
        <v>156.01</v>
      </c>
      <c r="G2136" t="s">
        <v>31</v>
      </c>
      <c r="H2136" t="s">
        <v>15</v>
      </c>
      <c r="I2136">
        <v>3.9</v>
      </c>
      <c r="J2136">
        <v>8</v>
      </c>
      <c r="K2136">
        <v>4</v>
      </c>
      <c r="L2136" s="4">
        <v>169.57608695652172</v>
      </c>
      <c r="M2136" s="4">
        <v>13.56608695652173</v>
      </c>
      <c r="N2136" t="s">
        <v>92</v>
      </c>
    </row>
    <row r="2137" spans="1:14">
      <c r="A2137">
        <v>2136</v>
      </c>
      <c r="B2137">
        <v>23</v>
      </c>
      <c r="C2137" t="s">
        <v>11</v>
      </c>
      <c r="D2137" t="s">
        <v>29</v>
      </c>
      <c r="E2137" t="s">
        <v>30</v>
      </c>
      <c r="F2137">
        <v>107.23</v>
      </c>
      <c r="G2137" t="s">
        <v>24</v>
      </c>
      <c r="H2137" t="s">
        <v>15</v>
      </c>
      <c r="I2137">
        <v>3.3</v>
      </c>
      <c r="J2137">
        <v>9</v>
      </c>
      <c r="K2137">
        <v>2</v>
      </c>
      <c r="L2137" s="4">
        <v>117.83516483516483</v>
      </c>
      <c r="M2137" s="4">
        <v>10.605164835164828</v>
      </c>
      <c r="N2137" t="s">
        <v>100</v>
      </c>
    </row>
    <row r="2138" spans="1:14">
      <c r="A2138">
        <v>2137</v>
      </c>
      <c r="B2138">
        <v>31</v>
      </c>
      <c r="C2138" t="s">
        <v>11</v>
      </c>
      <c r="D2138" t="s">
        <v>29</v>
      </c>
      <c r="E2138" t="s">
        <v>30</v>
      </c>
      <c r="F2138">
        <v>72.150000000000006</v>
      </c>
      <c r="G2138" t="s">
        <v>14</v>
      </c>
      <c r="H2138" t="s">
        <v>37</v>
      </c>
      <c r="I2138">
        <v>4.0999999999999996</v>
      </c>
      <c r="J2138">
        <v>16</v>
      </c>
      <c r="K2138">
        <v>3</v>
      </c>
      <c r="L2138" s="4">
        <v>85.892857142857153</v>
      </c>
      <c r="M2138" s="4">
        <v>13.742857142857147</v>
      </c>
      <c r="N2138" t="s">
        <v>91</v>
      </c>
    </row>
    <row r="2139" spans="1:14">
      <c r="A2139">
        <v>2138</v>
      </c>
      <c r="B2139">
        <v>28</v>
      </c>
      <c r="C2139" t="s">
        <v>11</v>
      </c>
      <c r="D2139" t="s">
        <v>33</v>
      </c>
      <c r="E2139" t="s">
        <v>40</v>
      </c>
      <c r="F2139">
        <v>235.98</v>
      </c>
      <c r="G2139" t="s">
        <v>24</v>
      </c>
      <c r="H2139" t="s">
        <v>15</v>
      </c>
      <c r="I2139">
        <v>2.6</v>
      </c>
      <c r="J2139">
        <v>26</v>
      </c>
      <c r="K2139">
        <v>8</v>
      </c>
      <c r="L2139" s="4">
        <v>318.89189189189187</v>
      </c>
      <c r="M2139" s="4">
        <v>82.911891891891884</v>
      </c>
      <c r="N2139" t="s">
        <v>91</v>
      </c>
    </row>
    <row r="2140" spans="1:14">
      <c r="A2140">
        <v>2139</v>
      </c>
      <c r="B2140">
        <v>65</v>
      </c>
      <c r="C2140" t="s">
        <v>11</v>
      </c>
      <c r="D2140" t="s">
        <v>33</v>
      </c>
      <c r="E2140" t="s">
        <v>40</v>
      </c>
      <c r="F2140">
        <v>216.73</v>
      </c>
      <c r="G2140" t="s">
        <v>31</v>
      </c>
      <c r="H2140" t="s">
        <v>15</v>
      </c>
      <c r="I2140">
        <v>5</v>
      </c>
      <c r="J2140">
        <v>16</v>
      </c>
      <c r="K2140">
        <v>3</v>
      </c>
      <c r="L2140" s="4">
        <v>258.01190476190476</v>
      </c>
      <c r="M2140" s="4">
        <v>41.281904761904769</v>
      </c>
      <c r="N2140" t="s">
        <v>95</v>
      </c>
    </row>
    <row r="2141" spans="1:14">
      <c r="A2141">
        <v>2140</v>
      </c>
      <c r="B2141">
        <v>57</v>
      </c>
      <c r="C2141" t="s">
        <v>16</v>
      </c>
      <c r="D2141" t="s">
        <v>17</v>
      </c>
      <c r="E2141" t="s">
        <v>48</v>
      </c>
      <c r="F2141">
        <v>76.98</v>
      </c>
      <c r="G2141" t="s">
        <v>31</v>
      </c>
      <c r="H2141" t="s">
        <v>15</v>
      </c>
      <c r="I2141">
        <v>3.9</v>
      </c>
      <c r="J2141">
        <v>24</v>
      </c>
      <c r="K2141">
        <v>7</v>
      </c>
      <c r="L2141" s="4">
        <v>101.28947368421053</v>
      </c>
      <c r="M2141" s="4">
        <v>24.309473684210531</v>
      </c>
      <c r="N2141" t="s">
        <v>94</v>
      </c>
    </row>
    <row r="2142" spans="1:14">
      <c r="A2142">
        <v>2141</v>
      </c>
      <c r="B2142">
        <v>66</v>
      </c>
      <c r="C2142" t="s">
        <v>11</v>
      </c>
      <c r="D2142" t="s">
        <v>41</v>
      </c>
      <c r="E2142" t="s">
        <v>46</v>
      </c>
      <c r="F2142">
        <v>104.42</v>
      </c>
      <c r="G2142" t="s">
        <v>19</v>
      </c>
      <c r="H2142" t="s">
        <v>15</v>
      </c>
      <c r="I2142">
        <v>3.6</v>
      </c>
      <c r="J2142">
        <v>10</v>
      </c>
      <c r="K2142">
        <v>5</v>
      </c>
      <c r="L2142" s="4">
        <v>116.02222222222223</v>
      </c>
      <c r="M2142" s="4">
        <v>11.602222222222224</v>
      </c>
      <c r="N2142" t="s">
        <v>95</v>
      </c>
    </row>
    <row r="2143" spans="1:14">
      <c r="A2143">
        <v>2142</v>
      </c>
      <c r="B2143">
        <v>30</v>
      </c>
      <c r="C2143" t="s">
        <v>11</v>
      </c>
      <c r="D2143" t="s">
        <v>41</v>
      </c>
      <c r="E2143" t="s">
        <v>42</v>
      </c>
      <c r="F2143">
        <v>190.44</v>
      </c>
      <c r="G2143" t="s">
        <v>24</v>
      </c>
      <c r="H2143" t="s">
        <v>15</v>
      </c>
      <c r="I2143">
        <v>4</v>
      </c>
      <c r="J2143">
        <v>8</v>
      </c>
      <c r="K2143">
        <v>4</v>
      </c>
      <c r="L2143" s="4">
        <v>207</v>
      </c>
      <c r="M2143" s="4">
        <v>16.560000000000002</v>
      </c>
      <c r="N2143" t="s">
        <v>91</v>
      </c>
    </row>
    <row r="2144" spans="1:14">
      <c r="A2144">
        <v>2143</v>
      </c>
      <c r="B2144">
        <v>52</v>
      </c>
      <c r="C2144" t="s">
        <v>16</v>
      </c>
      <c r="D2144" t="s">
        <v>33</v>
      </c>
      <c r="E2144" t="s">
        <v>38</v>
      </c>
      <c r="F2144">
        <v>140.52000000000001</v>
      </c>
      <c r="G2144" t="s">
        <v>19</v>
      </c>
      <c r="H2144" t="s">
        <v>15</v>
      </c>
      <c r="I2144">
        <v>3.5</v>
      </c>
      <c r="J2144">
        <v>15</v>
      </c>
      <c r="K2144">
        <v>5</v>
      </c>
      <c r="L2144" s="4">
        <v>165.31764705882355</v>
      </c>
      <c r="M2144" s="4">
        <v>24.797647058823543</v>
      </c>
      <c r="N2144" t="s">
        <v>93</v>
      </c>
    </row>
    <row r="2145" spans="1:14">
      <c r="A2145">
        <v>2144</v>
      </c>
      <c r="B2145">
        <v>59</v>
      </c>
      <c r="C2145" t="s">
        <v>16</v>
      </c>
      <c r="D2145" t="s">
        <v>33</v>
      </c>
      <c r="E2145" t="s">
        <v>38</v>
      </c>
      <c r="F2145">
        <v>109.11</v>
      </c>
      <c r="G2145" t="s">
        <v>24</v>
      </c>
      <c r="H2145" t="s">
        <v>15</v>
      </c>
      <c r="I2145">
        <v>4.3</v>
      </c>
      <c r="J2145">
        <v>8</v>
      </c>
      <c r="K2145">
        <v>4</v>
      </c>
      <c r="L2145" s="4">
        <v>118.59782608695652</v>
      </c>
      <c r="M2145" s="4">
        <v>9.4878260869565167</v>
      </c>
      <c r="N2145" t="s">
        <v>94</v>
      </c>
    </row>
    <row r="2146" spans="1:14">
      <c r="A2146">
        <v>2145</v>
      </c>
      <c r="B2146">
        <v>46</v>
      </c>
      <c r="C2146" t="s">
        <v>16</v>
      </c>
      <c r="D2146" t="s">
        <v>20</v>
      </c>
      <c r="E2146" t="s">
        <v>21</v>
      </c>
      <c r="F2146">
        <v>179.23</v>
      </c>
      <c r="G2146" t="s">
        <v>19</v>
      </c>
      <c r="H2146" t="s">
        <v>15</v>
      </c>
      <c r="I2146">
        <v>3.8</v>
      </c>
      <c r="J2146">
        <v>12</v>
      </c>
      <c r="K2146">
        <v>6</v>
      </c>
      <c r="L2146" s="4">
        <v>203.67045454545453</v>
      </c>
      <c r="M2146" s="4">
        <v>24.440454545454543</v>
      </c>
      <c r="N2146" t="s">
        <v>93</v>
      </c>
    </row>
    <row r="2147" spans="1:14">
      <c r="A2147">
        <v>2146</v>
      </c>
      <c r="B2147">
        <v>40</v>
      </c>
      <c r="C2147" t="s">
        <v>16</v>
      </c>
      <c r="D2147" t="s">
        <v>25</v>
      </c>
      <c r="E2147" t="s">
        <v>54</v>
      </c>
      <c r="F2147">
        <v>23.38</v>
      </c>
      <c r="G2147" t="s">
        <v>14</v>
      </c>
      <c r="H2147" t="s">
        <v>37</v>
      </c>
      <c r="I2147">
        <v>2.9</v>
      </c>
      <c r="J2147">
        <v>12</v>
      </c>
      <c r="K2147">
        <v>6</v>
      </c>
      <c r="L2147" s="4">
        <v>26.568181818181817</v>
      </c>
      <c r="M2147" s="4">
        <v>3.1881818181818176</v>
      </c>
      <c r="N2147" t="s">
        <v>92</v>
      </c>
    </row>
    <row r="2148" spans="1:14">
      <c r="A2148">
        <v>2147</v>
      </c>
      <c r="B2148">
        <v>60</v>
      </c>
      <c r="C2148" t="s">
        <v>11</v>
      </c>
      <c r="D2148" t="s">
        <v>20</v>
      </c>
      <c r="E2148" t="s">
        <v>36</v>
      </c>
      <c r="F2148">
        <v>243.83</v>
      </c>
      <c r="G2148" t="s">
        <v>14</v>
      </c>
      <c r="H2148" t="s">
        <v>15</v>
      </c>
      <c r="I2148">
        <v>4</v>
      </c>
      <c r="J2148">
        <v>20</v>
      </c>
      <c r="K2148">
        <v>5</v>
      </c>
      <c r="L2148" s="4">
        <v>304.78750000000002</v>
      </c>
      <c r="M2148" s="4">
        <v>60.95750000000001</v>
      </c>
      <c r="N2148" t="s">
        <v>94</v>
      </c>
    </row>
    <row r="2149" spans="1:14">
      <c r="A2149">
        <v>2148</v>
      </c>
      <c r="B2149">
        <v>57</v>
      </c>
      <c r="C2149" t="s">
        <v>16</v>
      </c>
      <c r="D2149" t="s">
        <v>20</v>
      </c>
      <c r="E2149" t="s">
        <v>36</v>
      </c>
      <c r="F2149">
        <v>111.73</v>
      </c>
      <c r="G2149" t="s">
        <v>19</v>
      </c>
      <c r="H2149" t="s">
        <v>15</v>
      </c>
      <c r="I2149">
        <v>5</v>
      </c>
      <c r="J2149">
        <v>26</v>
      </c>
      <c r="K2149">
        <v>8</v>
      </c>
      <c r="L2149" s="4">
        <v>150.98648648648648</v>
      </c>
      <c r="M2149" s="4">
        <v>39.25648648648648</v>
      </c>
      <c r="N2149" t="s">
        <v>94</v>
      </c>
    </row>
    <row r="2150" spans="1:14">
      <c r="A2150">
        <v>2149</v>
      </c>
      <c r="B2150">
        <v>46</v>
      </c>
      <c r="C2150" t="s">
        <v>16</v>
      </c>
      <c r="D2150" t="s">
        <v>17</v>
      </c>
      <c r="E2150" t="s">
        <v>35</v>
      </c>
      <c r="F2150">
        <v>86.78</v>
      </c>
      <c r="G2150" t="s">
        <v>24</v>
      </c>
      <c r="H2150" t="s">
        <v>15</v>
      </c>
      <c r="I2150">
        <v>4.4000000000000004</v>
      </c>
      <c r="J2150">
        <v>12</v>
      </c>
      <c r="K2150">
        <v>6</v>
      </c>
      <c r="L2150" s="4">
        <v>98.61363636363636</v>
      </c>
      <c r="M2150" s="4">
        <v>11.833636363636359</v>
      </c>
      <c r="N2150" t="s">
        <v>93</v>
      </c>
    </row>
    <row r="2151" spans="1:14">
      <c r="A2151">
        <v>2150</v>
      </c>
      <c r="B2151">
        <v>66</v>
      </c>
      <c r="C2151" t="s">
        <v>16</v>
      </c>
      <c r="D2151" t="s">
        <v>33</v>
      </c>
      <c r="E2151" t="s">
        <v>34</v>
      </c>
      <c r="F2151">
        <v>115.51</v>
      </c>
      <c r="G2151" t="s">
        <v>14</v>
      </c>
      <c r="H2151" t="s">
        <v>15</v>
      </c>
      <c r="I2151">
        <v>3.8</v>
      </c>
      <c r="J2151">
        <v>8</v>
      </c>
      <c r="K2151">
        <v>4</v>
      </c>
      <c r="L2151" s="4">
        <v>125.55434782608695</v>
      </c>
      <c r="M2151" s="4">
        <v>10.044347826086948</v>
      </c>
      <c r="N2151" t="s">
        <v>95</v>
      </c>
    </row>
    <row r="2152" spans="1:14">
      <c r="A2152">
        <v>2151</v>
      </c>
      <c r="B2152">
        <v>25</v>
      </c>
      <c r="C2152" t="s">
        <v>16</v>
      </c>
      <c r="D2152" t="s">
        <v>27</v>
      </c>
      <c r="E2152" t="s">
        <v>32</v>
      </c>
      <c r="F2152">
        <v>2459.81</v>
      </c>
      <c r="G2152" t="s">
        <v>24</v>
      </c>
      <c r="H2152" t="s">
        <v>15</v>
      </c>
      <c r="I2152">
        <v>4.0999999999999996</v>
      </c>
      <c r="J2152">
        <v>6</v>
      </c>
      <c r="K2152">
        <v>3</v>
      </c>
      <c r="L2152" s="4">
        <v>2616.8191489361702</v>
      </c>
      <c r="M2152" s="4">
        <v>157.00914893617028</v>
      </c>
      <c r="N2152" t="s">
        <v>91</v>
      </c>
    </row>
    <row r="2153" spans="1:14">
      <c r="A2153">
        <v>2152</v>
      </c>
      <c r="B2153">
        <v>43</v>
      </c>
      <c r="C2153" t="s">
        <v>11</v>
      </c>
      <c r="D2153" t="s">
        <v>41</v>
      </c>
      <c r="E2153" t="s">
        <v>44</v>
      </c>
      <c r="F2153">
        <v>89.23</v>
      </c>
      <c r="G2153" t="s">
        <v>31</v>
      </c>
      <c r="H2153" t="s">
        <v>15</v>
      </c>
      <c r="I2153">
        <v>3.2</v>
      </c>
      <c r="J2153">
        <v>10</v>
      </c>
      <c r="K2153">
        <v>5</v>
      </c>
      <c r="L2153" s="4">
        <v>99.144444444444446</v>
      </c>
      <c r="M2153" s="4">
        <v>9.9144444444444417</v>
      </c>
      <c r="N2153" t="s">
        <v>92</v>
      </c>
    </row>
    <row r="2154" spans="1:14">
      <c r="A2154">
        <v>2153</v>
      </c>
      <c r="B2154">
        <v>48</v>
      </c>
      <c r="C2154" t="s">
        <v>11</v>
      </c>
      <c r="D2154" t="s">
        <v>29</v>
      </c>
      <c r="E2154" t="s">
        <v>51</v>
      </c>
      <c r="F2154">
        <v>108.66</v>
      </c>
      <c r="G2154" t="s">
        <v>19</v>
      </c>
      <c r="H2154" t="s">
        <v>15</v>
      </c>
      <c r="I2154">
        <v>3.7</v>
      </c>
      <c r="J2154">
        <v>12</v>
      </c>
      <c r="K2154">
        <v>6</v>
      </c>
      <c r="L2154" s="4">
        <v>123.47727272727272</v>
      </c>
      <c r="M2154" s="4">
        <v>14.817272727272723</v>
      </c>
      <c r="N2154" t="s">
        <v>93</v>
      </c>
    </row>
    <row r="2155" spans="1:14">
      <c r="A2155">
        <v>2154</v>
      </c>
      <c r="B2155">
        <v>32</v>
      </c>
      <c r="C2155" t="s">
        <v>11</v>
      </c>
      <c r="D2155" t="s">
        <v>20</v>
      </c>
      <c r="E2155" t="s">
        <v>39</v>
      </c>
      <c r="F2155">
        <v>156.96</v>
      </c>
      <c r="G2155" t="s">
        <v>14</v>
      </c>
      <c r="H2155" t="s">
        <v>15</v>
      </c>
      <c r="I2155">
        <v>3.4</v>
      </c>
      <c r="J2155">
        <v>22</v>
      </c>
      <c r="K2155">
        <v>6</v>
      </c>
      <c r="L2155" s="4">
        <v>201.23076923076923</v>
      </c>
      <c r="M2155" s="4">
        <v>44.270769230769218</v>
      </c>
      <c r="N2155" t="s">
        <v>91</v>
      </c>
    </row>
    <row r="2156" spans="1:14">
      <c r="A2156">
        <v>2155</v>
      </c>
      <c r="B2156">
        <v>51</v>
      </c>
      <c r="C2156" t="s">
        <v>11</v>
      </c>
      <c r="D2156" t="s">
        <v>41</v>
      </c>
      <c r="E2156" t="s">
        <v>45</v>
      </c>
      <c r="F2156">
        <v>162.77000000000001</v>
      </c>
      <c r="G2156" t="s">
        <v>24</v>
      </c>
      <c r="H2156" t="s">
        <v>15</v>
      </c>
      <c r="I2156">
        <v>3.3</v>
      </c>
      <c r="J2156">
        <v>20</v>
      </c>
      <c r="K2156">
        <v>5</v>
      </c>
      <c r="L2156" s="4">
        <v>203.46250000000001</v>
      </c>
      <c r="M2156" s="4">
        <v>40.692499999999995</v>
      </c>
      <c r="N2156" t="s">
        <v>93</v>
      </c>
    </row>
    <row r="2157" spans="1:14">
      <c r="A2157">
        <v>2156</v>
      </c>
      <c r="B2157">
        <v>24</v>
      </c>
      <c r="C2157" t="s">
        <v>11</v>
      </c>
      <c r="D2157" t="s">
        <v>41</v>
      </c>
      <c r="E2157" t="s">
        <v>46</v>
      </c>
      <c r="F2157">
        <v>134.74</v>
      </c>
      <c r="G2157" t="s">
        <v>31</v>
      </c>
      <c r="H2157" t="s">
        <v>15</v>
      </c>
      <c r="I2157">
        <v>4.4000000000000004</v>
      </c>
      <c r="J2157">
        <v>12</v>
      </c>
      <c r="K2157">
        <v>6</v>
      </c>
      <c r="L2157" s="4">
        <v>153.11363636363637</v>
      </c>
      <c r="M2157" s="4">
        <v>18.373636363636365</v>
      </c>
      <c r="N2157" t="s">
        <v>100</v>
      </c>
    </row>
    <row r="2158" spans="1:14">
      <c r="A2158">
        <v>2157</v>
      </c>
      <c r="B2158">
        <v>25</v>
      </c>
      <c r="C2158" t="s">
        <v>11</v>
      </c>
      <c r="D2158" t="s">
        <v>41</v>
      </c>
      <c r="E2158" t="s">
        <v>44</v>
      </c>
      <c r="F2158">
        <v>62.82</v>
      </c>
      <c r="G2158" t="s">
        <v>31</v>
      </c>
      <c r="H2158" t="s">
        <v>15</v>
      </c>
      <c r="I2158">
        <v>3.4</v>
      </c>
      <c r="J2158">
        <v>15</v>
      </c>
      <c r="K2158">
        <v>5</v>
      </c>
      <c r="L2158" s="4">
        <v>73.905882352941177</v>
      </c>
      <c r="M2158" s="4">
        <v>11.085882352941177</v>
      </c>
      <c r="N2158" t="s">
        <v>91</v>
      </c>
    </row>
    <row r="2159" spans="1:14">
      <c r="A2159">
        <v>2158</v>
      </c>
      <c r="B2159">
        <v>21</v>
      </c>
      <c r="C2159" t="s">
        <v>16</v>
      </c>
      <c r="D2159" t="s">
        <v>17</v>
      </c>
      <c r="E2159" t="s">
        <v>48</v>
      </c>
      <c r="F2159">
        <v>185.24</v>
      </c>
      <c r="G2159" t="s">
        <v>31</v>
      </c>
      <c r="H2159" t="s">
        <v>15</v>
      </c>
      <c r="I2159">
        <v>3.7</v>
      </c>
      <c r="J2159">
        <v>20</v>
      </c>
      <c r="K2159">
        <v>5</v>
      </c>
      <c r="L2159" s="4">
        <v>231.55</v>
      </c>
      <c r="M2159" s="4">
        <v>46.31</v>
      </c>
      <c r="N2159" t="s">
        <v>100</v>
      </c>
    </row>
    <row r="2160" spans="1:14">
      <c r="A2160">
        <v>2159</v>
      </c>
      <c r="B2160">
        <v>21</v>
      </c>
      <c r="C2160" t="s">
        <v>11</v>
      </c>
      <c r="D2160" t="s">
        <v>29</v>
      </c>
      <c r="E2160" t="s">
        <v>30</v>
      </c>
      <c r="F2160">
        <v>52.12</v>
      </c>
      <c r="G2160" t="s">
        <v>31</v>
      </c>
      <c r="H2160" t="s">
        <v>15</v>
      </c>
      <c r="I2160">
        <v>2.2000000000000002</v>
      </c>
      <c r="J2160">
        <v>14</v>
      </c>
      <c r="K2160">
        <v>7</v>
      </c>
      <c r="L2160" s="4">
        <v>60.604651162790695</v>
      </c>
      <c r="M2160" s="4">
        <v>8.4846511627906978</v>
      </c>
      <c r="N2160" t="s">
        <v>100</v>
      </c>
    </row>
    <row r="2161" spans="1:14">
      <c r="A2161">
        <v>2160</v>
      </c>
      <c r="B2161">
        <v>26</v>
      </c>
      <c r="C2161" t="s">
        <v>16</v>
      </c>
      <c r="D2161" t="s">
        <v>17</v>
      </c>
      <c r="E2161" t="s">
        <v>42</v>
      </c>
      <c r="F2161">
        <v>117.39</v>
      </c>
      <c r="G2161" t="s">
        <v>24</v>
      </c>
      <c r="H2161" t="s">
        <v>15</v>
      </c>
      <c r="I2161">
        <v>4.0999999999999996</v>
      </c>
      <c r="J2161">
        <v>17</v>
      </c>
      <c r="K2161">
        <v>6</v>
      </c>
      <c r="L2161" s="4">
        <v>141.43373493975903</v>
      </c>
      <c r="M2161" s="4">
        <v>24.043734939759034</v>
      </c>
      <c r="N2161" t="s">
        <v>91</v>
      </c>
    </row>
    <row r="2162" spans="1:14">
      <c r="A2162">
        <v>2161</v>
      </c>
      <c r="B2162">
        <v>64</v>
      </c>
      <c r="C2162" t="s">
        <v>16</v>
      </c>
      <c r="D2162" t="s">
        <v>27</v>
      </c>
      <c r="E2162" t="s">
        <v>53</v>
      </c>
      <c r="F2162">
        <v>1748.62</v>
      </c>
      <c r="G2162" t="s">
        <v>19</v>
      </c>
      <c r="H2162" t="s">
        <v>15</v>
      </c>
      <c r="I2162">
        <v>4.5999999999999996</v>
      </c>
      <c r="J2162">
        <v>13</v>
      </c>
      <c r="K2162">
        <v>4</v>
      </c>
      <c r="L2162" s="4">
        <v>2009.9080459770114</v>
      </c>
      <c r="M2162" s="4">
        <v>261.28804597701151</v>
      </c>
      <c r="N2162" t="s">
        <v>94</v>
      </c>
    </row>
    <row r="2163" spans="1:14">
      <c r="A2163">
        <v>2162</v>
      </c>
      <c r="B2163">
        <v>47</v>
      </c>
      <c r="C2163" t="s">
        <v>11</v>
      </c>
      <c r="D2163" t="s">
        <v>41</v>
      </c>
      <c r="E2163" t="s">
        <v>45</v>
      </c>
      <c r="F2163">
        <v>156.93</v>
      </c>
      <c r="G2163" t="s">
        <v>14</v>
      </c>
      <c r="H2163" t="s">
        <v>15</v>
      </c>
      <c r="I2163">
        <v>3.4</v>
      </c>
      <c r="J2163">
        <v>11</v>
      </c>
      <c r="K2163">
        <v>3</v>
      </c>
      <c r="L2163" s="4">
        <v>176.32584269662922</v>
      </c>
      <c r="M2163" s="4">
        <v>19.395842696629217</v>
      </c>
      <c r="N2163" t="s">
        <v>93</v>
      </c>
    </row>
    <row r="2164" spans="1:14">
      <c r="A2164">
        <v>2163</v>
      </c>
      <c r="B2164">
        <v>58</v>
      </c>
      <c r="C2164" t="s">
        <v>11</v>
      </c>
      <c r="D2164" t="s">
        <v>25</v>
      </c>
      <c r="E2164" t="s">
        <v>54</v>
      </c>
      <c r="F2164">
        <v>10.97</v>
      </c>
      <c r="G2164" t="s">
        <v>14</v>
      </c>
      <c r="H2164" t="s">
        <v>15</v>
      </c>
      <c r="I2164">
        <v>3.3</v>
      </c>
      <c r="J2164">
        <v>10</v>
      </c>
      <c r="K2164">
        <v>5</v>
      </c>
      <c r="L2164" s="4">
        <v>12.18888888888889</v>
      </c>
      <c r="M2164" s="4">
        <v>1.2188888888888894</v>
      </c>
      <c r="N2164" t="s">
        <v>94</v>
      </c>
    </row>
    <row r="2165" spans="1:14">
      <c r="A2165">
        <v>2164</v>
      </c>
      <c r="B2165">
        <v>38</v>
      </c>
      <c r="C2165" t="s">
        <v>16</v>
      </c>
      <c r="D2165" t="s">
        <v>17</v>
      </c>
      <c r="E2165" t="s">
        <v>48</v>
      </c>
      <c r="F2165">
        <v>196.58</v>
      </c>
      <c r="G2165" t="s">
        <v>31</v>
      </c>
      <c r="H2165" t="s">
        <v>15</v>
      </c>
      <c r="I2165">
        <v>4.0999999999999996</v>
      </c>
      <c r="J2165">
        <v>15</v>
      </c>
      <c r="K2165">
        <v>5</v>
      </c>
      <c r="L2165" s="4">
        <v>231.27058823529413</v>
      </c>
      <c r="M2165" s="4">
        <v>34.690588235294115</v>
      </c>
      <c r="N2165" t="s">
        <v>92</v>
      </c>
    </row>
    <row r="2166" spans="1:14">
      <c r="A2166">
        <v>2165</v>
      </c>
      <c r="B2166">
        <v>33</v>
      </c>
      <c r="C2166" t="s">
        <v>11</v>
      </c>
      <c r="D2166" t="s">
        <v>29</v>
      </c>
      <c r="E2166" t="s">
        <v>55</v>
      </c>
      <c r="F2166">
        <v>124.79</v>
      </c>
      <c r="G2166" t="s">
        <v>19</v>
      </c>
      <c r="H2166" t="s">
        <v>15</v>
      </c>
      <c r="I2166">
        <v>3.2</v>
      </c>
      <c r="J2166">
        <v>13</v>
      </c>
      <c r="K2166">
        <v>4</v>
      </c>
      <c r="L2166" s="4">
        <v>143.43678160919541</v>
      </c>
      <c r="M2166" s="4">
        <v>18.646781609195401</v>
      </c>
      <c r="N2166" t="s">
        <v>91</v>
      </c>
    </row>
    <row r="2167" spans="1:14">
      <c r="A2167">
        <v>2166</v>
      </c>
      <c r="B2167">
        <v>58</v>
      </c>
      <c r="C2167" t="s">
        <v>16</v>
      </c>
      <c r="D2167" t="s">
        <v>17</v>
      </c>
      <c r="E2167" t="s">
        <v>18</v>
      </c>
      <c r="F2167">
        <v>126.22</v>
      </c>
      <c r="G2167" t="s">
        <v>14</v>
      </c>
      <c r="H2167" t="s">
        <v>15</v>
      </c>
      <c r="I2167">
        <v>4.9000000000000004</v>
      </c>
      <c r="J2167">
        <v>16</v>
      </c>
      <c r="K2167">
        <v>3</v>
      </c>
      <c r="L2167" s="4">
        <v>150.26190476190476</v>
      </c>
      <c r="M2167" s="4">
        <v>24.04190476190476</v>
      </c>
      <c r="N2167" t="s">
        <v>94</v>
      </c>
    </row>
    <row r="2168" spans="1:14">
      <c r="A2168">
        <v>2167</v>
      </c>
      <c r="B2168">
        <v>43</v>
      </c>
      <c r="C2168" t="s">
        <v>11</v>
      </c>
      <c r="D2168" t="s">
        <v>29</v>
      </c>
      <c r="E2168" t="s">
        <v>55</v>
      </c>
      <c r="F2168">
        <v>55.3</v>
      </c>
      <c r="G2168" t="s">
        <v>24</v>
      </c>
      <c r="H2168" t="s">
        <v>37</v>
      </c>
      <c r="I2168">
        <v>2.7</v>
      </c>
      <c r="J2168">
        <v>8</v>
      </c>
      <c r="K2168">
        <v>4</v>
      </c>
      <c r="L2168" s="4">
        <v>60.108695652173907</v>
      </c>
      <c r="M2168" s="4">
        <v>4.8086956521739097</v>
      </c>
      <c r="N2168" t="s">
        <v>92</v>
      </c>
    </row>
    <row r="2169" spans="1:14">
      <c r="A2169">
        <v>2168</v>
      </c>
      <c r="B2169">
        <v>49</v>
      </c>
      <c r="C2169" t="s">
        <v>11</v>
      </c>
      <c r="D2169" t="s">
        <v>41</v>
      </c>
      <c r="E2169" t="s">
        <v>42</v>
      </c>
      <c r="F2169">
        <v>153.03</v>
      </c>
      <c r="G2169" t="s">
        <v>19</v>
      </c>
      <c r="H2169" t="s">
        <v>15</v>
      </c>
      <c r="I2169">
        <v>3.9</v>
      </c>
      <c r="J2169">
        <v>23</v>
      </c>
      <c r="K2169">
        <v>9</v>
      </c>
      <c r="L2169" s="4">
        <v>198.74025974025975</v>
      </c>
      <c r="M2169" s="4">
        <v>45.710259740259744</v>
      </c>
      <c r="N2169" t="s">
        <v>93</v>
      </c>
    </row>
    <row r="2170" spans="1:14">
      <c r="A2170">
        <v>2169</v>
      </c>
      <c r="B2170">
        <v>36</v>
      </c>
      <c r="C2170" t="s">
        <v>16</v>
      </c>
      <c r="D2170" t="s">
        <v>27</v>
      </c>
      <c r="E2170" t="s">
        <v>28</v>
      </c>
      <c r="F2170">
        <v>2044.39</v>
      </c>
      <c r="G2170" t="s">
        <v>24</v>
      </c>
      <c r="H2170" t="s">
        <v>15</v>
      </c>
      <c r="I2170">
        <v>3.5</v>
      </c>
      <c r="J2170">
        <v>28</v>
      </c>
      <c r="K2170">
        <v>9</v>
      </c>
      <c r="L2170" s="4">
        <v>2839.4305555555557</v>
      </c>
      <c r="M2170" s="4">
        <v>795.04055555555556</v>
      </c>
      <c r="N2170" t="s">
        <v>92</v>
      </c>
    </row>
    <row r="2171" spans="1:14">
      <c r="A2171">
        <v>2170</v>
      </c>
      <c r="B2171">
        <v>69</v>
      </c>
      <c r="C2171" t="s">
        <v>11</v>
      </c>
      <c r="D2171" t="s">
        <v>20</v>
      </c>
      <c r="E2171" t="s">
        <v>21</v>
      </c>
      <c r="F2171">
        <v>125.7</v>
      </c>
      <c r="G2171" t="s">
        <v>24</v>
      </c>
      <c r="H2171" t="s">
        <v>15</v>
      </c>
      <c r="I2171">
        <v>4.4000000000000004</v>
      </c>
      <c r="J2171">
        <v>15</v>
      </c>
      <c r="K2171">
        <v>5</v>
      </c>
      <c r="L2171" s="4">
        <v>147.88235294117646</v>
      </c>
      <c r="M2171" s="4">
        <v>22.182352941176461</v>
      </c>
      <c r="N2171" t="s">
        <v>95</v>
      </c>
    </row>
    <row r="2172" spans="1:14">
      <c r="A2172">
        <v>2171</v>
      </c>
      <c r="B2172">
        <v>50</v>
      </c>
      <c r="C2172" t="s">
        <v>16</v>
      </c>
      <c r="D2172" t="s">
        <v>20</v>
      </c>
      <c r="E2172" t="s">
        <v>21</v>
      </c>
      <c r="F2172">
        <v>57.74</v>
      </c>
      <c r="G2172" t="s">
        <v>31</v>
      </c>
      <c r="H2172" t="s">
        <v>37</v>
      </c>
      <c r="I2172">
        <v>3</v>
      </c>
      <c r="J2172">
        <v>16</v>
      </c>
      <c r="K2172">
        <v>8</v>
      </c>
      <c r="L2172" s="4">
        <v>68.738095238095241</v>
      </c>
      <c r="M2172" s="4">
        <v>10.998095238095239</v>
      </c>
      <c r="N2172" t="s">
        <v>93</v>
      </c>
    </row>
    <row r="2173" spans="1:14">
      <c r="A2173">
        <v>2172</v>
      </c>
      <c r="B2173">
        <v>35</v>
      </c>
      <c r="C2173" t="s">
        <v>11</v>
      </c>
      <c r="D2173" t="s">
        <v>33</v>
      </c>
      <c r="E2173" t="s">
        <v>34</v>
      </c>
      <c r="F2173">
        <v>42.14</v>
      </c>
      <c r="G2173" t="s">
        <v>31</v>
      </c>
      <c r="H2173" t="s">
        <v>15</v>
      </c>
      <c r="I2173">
        <v>2.9</v>
      </c>
      <c r="J2173">
        <v>17</v>
      </c>
      <c r="K2173">
        <v>6</v>
      </c>
      <c r="L2173" s="4">
        <v>50.7710843373494</v>
      </c>
      <c r="M2173" s="4">
        <v>8.6310843373493995</v>
      </c>
      <c r="N2173" t="s">
        <v>92</v>
      </c>
    </row>
    <row r="2174" spans="1:14">
      <c r="A2174">
        <v>2173</v>
      </c>
      <c r="B2174">
        <v>29</v>
      </c>
      <c r="C2174" t="s">
        <v>11</v>
      </c>
      <c r="D2174" t="s">
        <v>12</v>
      </c>
      <c r="E2174" t="s">
        <v>56</v>
      </c>
      <c r="F2174">
        <v>65.650000000000006</v>
      </c>
      <c r="G2174" t="s">
        <v>31</v>
      </c>
      <c r="H2174" t="s">
        <v>37</v>
      </c>
      <c r="I2174">
        <v>3.6</v>
      </c>
      <c r="J2174">
        <v>11</v>
      </c>
      <c r="K2174">
        <v>3</v>
      </c>
      <c r="L2174" s="4">
        <v>73.764044943820224</v>
      </c>
      <c r="M2174" s="4">
        <v>8.1140449438202182</v>
      </c>
      <c r="N2174" t="s">
        <v>91</v>
      </c>
    </row>
    <row r="2175" spans="1:14">
      <c r="A2175">
        <v>2174</v>
      </c>
      <c r="B2175">
        <v>23</v>
      </c>
      <c r="C2175" t="s">
        <v>16</v>
      </c>
      <c r="D2175" t="s">
        <v>27</v>
      </c>
      <c r="E2175" t="s">
        <v>32</v>
      </c>
      <c r="F2175">
        <v>899.3</v>
      </c>
      <c r="G2175" t="s">
        <v>19</v>
      </c>
      <c r="H2175" t="s">
        <v>15</v>
      </c>
      <c r="I2175">
        <v>3.8</v>
      </c>
      <c r="J2175">
        <v>14</v>
      </c>
      <c r="K2175">
        <v>2</v>
      </c>
      <c r="L2175" s="4">
        <v>1045.6976744186047</v>
      </c>
      <c r="M2175" s="4">
        <v>146.39767441860477</v>
      </c>
      <c r="N2175" t="s">
        <v>100</v>
      </c>
    </row>
    <row r="2176" spans="1:14">
      <c r="A2176">
        <v>2175</v>
      </c>
      <c r="B2176">
        <v>70</v>
      </c>
      <c r="C2176" t="s">
        <v>16</v>
      </c>
      <c r="D2176" t="s">
        <v>22</v>
      </c>
      <c r="E2176" t="s">
        <v>43</v>
      </c>
      <c r="F2176">
        <v>189.01</v>
      </c>
      <c r="G2176" t="s">
        <v>19</v>
      </c>
      <c r="H2176" t="s">
        <v>15</v>
      </c>
      <c r="I2176">
        <v>4.8</v>
      </c>
      <c r="J2176">
        <v>24</v>
      </c>
      <c r="K2176">
        <v>7</v>
      </c>
      <c r="L2176" s="4">
        <v>248.69736842105263</v>
      </c>
      <c r="M2176" s="4">
        <v>59.687368421052639</v>
      </c>
      <c r="N2176" t="s">
        <v>95</v>
      </c>
    </row>
    <row r="2177" spans="1:14">
      <c r="A2177">
        <v>2176</v>
      </c>
      <c r="B2177">
        <v>55</v>
      </c>
      <c r="C2177" t="s">
        <v>11</v>
      </c>
      <c r="D2177" t="s">
        <v>12</v>
      </c>
      <c r="E2177" t="s">
        <v>50</v>
      </c>
      <c r="F2177">
        <v>155.94999999999999</v>
      </c>
      <c r="G2177" t="s">
        <v>19</v>
      </c>
      <c r="H2177" t="s">
        <v>15</v>
      </c>
      <c r="I2177">
        <v>3.1</v>
      </c>
      <c r="J2177">
        <v>15</v>
      </c>
      <c r="K2177">
        <v>5</v>
      </c>
      <c r="L2177" s="4">
        <v>183.47058823529412</v>
      </c>
      <c r="M2177" s="4">
        <v>27.520588235294127</v>
      </c>
      <c r="N2177" t="s">
        <v>94</v>
      </c>
    </row>
    <row r="2178" spans="1:14">
      <c r="A2178">
        <v>2177</v>
      </c>
      <c r="B2178">
        <v>28</v>
      </c>
      <c r="C2178" t="s">
        <v>11</v>
      </c>
      <c r="D2178" t="s">
        <v>29</v>
      </c>
      <c r="E2178" t="s">
        <v>51</v>
      </c>
      <c r="F2178">
        <v>90.72</v>
      </c>
      <c r="G2178" t="s">
        <v>24</v>
      </c>
      <c r="H2178" t="s">
        <v>37</v>
      </c>
      <c r="I2178">
        <v>1.4</v>
      </c>
      <c r="J2178">
        <v>8</v>
      </c>
      <c r="K2178">
        <v>4</v>
      </c>
      <c r="L2178" s="4">
        <v>98.608695652173907</v>
      </c>
      <c r="M2178" s="4">
        <v>7.888695652173908</v>
      </c>
      <c r="N2178" t="s">
        <v>91</v>
      </c>
    </row>
    <row r="2179" spans="1:14">
      <c r="A2179">
        <v>2178</v>
      </c>
      <c r="B2179">
        <v>24</v>
      </c>
      <c r="C2179" t="s">
        <v>11</v>
      </c>
      <c r="D2179" t="s">
        <v>29</v>
      </c>
      <c r="E2179" t="s">
        <v>51</v>
      </c>
      <c r="F2179">
        <v>58.6</v>
      </c>
      <c r="G2179" t="s">
        <v>24</v>
      </c>
      <c r="H2179" t="s">
        <v>15</v>
      </c>
      <c r="I2179">
        <v>3.1</v>
      </c>
      <c r="J2179">
        <v>17</v>
      </c>
      <c r="K2179">
        <v>6</v>
      </c>
      <c r="L2179" s="4">
        <v>70.602409638554221</v>
      </c>
      <c r="M2179" s="4">
        <v>12.002409638554219</v>
      </c>
      <c r="N2179" t="s">
        <v>100</v>
      </c>
    </row>
    <row r="2180" spans="1:14">
      <c r="A2180">
        <v>2179</v>
      </c>
      <c r="B2180">
        <v>69</v>
      </c>
      <c r="C2180" t="s">
        <v>11</v>
      </c>
      <c r="D2180" t="s">
        <v>41</v>
      </c>
      <c r="E2180" t="s">
        <v>45</v>
      </c>
      <c r="F2180">
        <v>58.78</v>
      </c>
      <c r="G2180" t="s">
        <v>31</v>
      </c>
      <c r="H2180" t="s">
        <v>15</v>
      </c>
      <c r="I2180">
        <v>3.7</v>
      </c>
      <c r="J2180">
        <v>18</v>
      </c>
      <c r="K2180">
        <v>4</v>
      </c>
      <c r="L2180" s="4">
        <v>71.682926829268283</v>
      </c>
      <c r="M2180" s="4">
        <v>12.902926829268281</v>
      </c>
      <c r="N2180" t="s">
        <v>95</v>
      </c>
    </row>
    <row r="2181" spans="1:14">
      <c r="A2181">
        <v>2180</v>
      </c>
      <c r="B2181">
        <v>54</v>
      </c>
      <c r="C2181" t="s">
        <v>11</v>
      </c>
      <c r="D2181" t="s">
        <v>33</v>
      </c>
      <c r="E2181" t="s">
        <v>40</v>
      </c>
      <c r="F2181">
        <v>249.37</v>
      </c>
      <c r="G2181" t="s">
        <v>31</v>
      </c>
      <c r="H2181" t="s">
        <v>15</v>
      </c>
      <c r="I2181">
        <v>3.8</v>
      </c>
      <c r="J2181">
        <v>8</v>
      </c>
      <c r="K2181">
        <v>4</v>
      </c>
      <c r="L2181" s="4">
        <v>271.05434782608694</v>
      </c>
      <c r="M2181" s="4">
        <v>21.684347826086935</v>
      </c>
      <c r="N2181" t="s">
        <v>93</v>
      </c>
    </row>
    <row r="2182" spans="1:14">
      <c r="A2182">
        <v>2181</v>
      </c>
      <c r="B2182">
        <v>39</v>
      </c>
      <c r="C2182" t="s">
        <v>16</v>
      </c>
      <c r="D2182" t="s">
        <v>20</v>
      </c>
      <c r="E2182" t="s">
        <v>39</v>
      </c>
      <c r="F2182">
        <v>66.75</v>
      </c>
      <c r="G2182" t="s">
        <v>31</v>
      </c>
      <c r="H2182" t="s">
        <v>15</v>
      </c>
      <c r="I2182">
        <v>3.3</v>
      </c>
      <c r="J2182">
        <v>8</v>
      </c>
      <c r="K2182">
        <v>4</v>
      </c>
      <c r="L2182" s="4">
        <v>72.554347826086953</v>
      </c>
      <c r="M2182" s="4">
        <v>5.8043478260869534</v>
      </c>
      <c r="N2182" t="s">
        <v>92</v>
      </c>
    </row>
    <row r="2183" spans="1:14">
      <c r="A2183">
        <v>2182</v>
      </c>
      <c r="B2183">
        <v>21</v>
      </c>
      <c r="C2183" t="s">
        <v>16</v>
      </c>
      <c r="D2183" t="s">
        <v>20</v>
      </c>
      <c r="E2183" t="s">
        <v>39</v>
      </c>
      <c r="F2183">
        <v>232.78</v>
      </c>
      <c r="G2183" t="s">
        <v>19</v>
      </c>
      <c r="H2183" t="s">
        <v>15</v>
      </c>
      <c r="I2183">
        <v>4.0999999999999996</v>
      </c>
      <c r="J2183">
        <v>16</v>
      </c>
      <c r="K2183">
        <v>3</v>
      </c>
      <c r="L2183" s="4">
        <v>277.11904761904765</v>
      </c>
      <c r="M2183" s="4">
        <v>44.339047619047648</v>
      </c>
      <c r="N2183" t="s">
        <v>100</v>
      </c>
    </row>
    <row r="2184" spans="1:14">
      <c r="A2184">
        <v>2183</v>
      </c>
      <c r="B2184">
        <v>55</v>
      </c>
      <c r="C2184" t="s">
        <v>16</v>
      </c>
      <c r="D2184" t="s">
        <v>22</v>
      </c>
      <c r="E2184" t="s">
        <v>43</v>
      </c>
      <c r="F2184">
        <v>271.73</v>
      </c>
      <c r="G2184" t="s">
        <v>14</v>
      </c>
      <c r="H2184" t="s">
        <v>15</v>
      </c>
      <c r="I2184">
        <v>2.8</v>
      </c>
      <c r="J2184">
        <v>4</v>
      </c>
      <c r="K2184">
        <v>2</v>
      </c>
      <c r="L2184" s="4">
        <v>283.05208333333337</v>
      </c>
      <c r="M2184" s="4">
        <v>11.322083333333353</v>
      </c>
      <c r="N2184" t="s">
        <v>94</v>
      </c>
    </row>
    <row r="2185" spans="1:14">
      <c r="A2185">
        <v>2184</v>
      </c>
      <c r="B2185">
        <v>32</v>
      </c>
      <c r="C2185" t="s">
        <v>11</v>
      </c>
      <c r="D2185" t="s">
        <v>20</v>
      </c>
      <c r="E2185" t="s">
        <v>36</v>
      </c>
      <c r="F2185">
        <v>117.69</v>
      </c>
      <c r="G2185" t="s">
        <v>14</v>
      </c>
      <c r="H2185" t="s">
        <v>15</v>
      </c>
      <c r="I2185">
        <v>3.4</v>
      </c>
      <c r="J2185">
        <v>22</v>
      </c>
      <c r="K2185">
        <v>6</v>
      </c>
      <c r="L2185" s="4">
        <v>150.88461538461539</v>
      </c>
      <c r="M2185" s="4">
        <v>33.194615384615389</v>
      </c>
      <c r="N2185" t="s">
        <v>91</v>
      </c>
    </row>
    <row r="2186" spans="1:14">
      <c r="A2186">
        <v>2185</v>
      </c>
      <c r="B2186">
        <v>21</v>
      </c>
      <c r="C2186" t="s">
        <v>11</v>
      </c>
      <c r="D2186" t="s">
        <v>20</v>
      </c>
      <c r="E2186" t="s">
        <v>36</v>
      </c>
      <c r="F2186">
        <v>248.21</v>
      </c>
      <c r="G2186" t="s">
        <v>19</v>
      </c>
      <c r="H2186" t="s">
        <v>15</v>
      </c>
      <c r="I2186">
        <v>4</v>
      </c>
      <c r="J2186">
        <v>8</v>
      </c>
      <c r="K2186">
        <v>4</v>
      </c>
      <c r="L2186" s="4">
        <v>269.79347826086956</v>
      </c>
      <c r="M2186" s="4">
        <v>21.583478260869555</v>
      </c>
      <c r="N2186" t="s">
        <v>100</v>
      </c>
    </row>
    <row r="2187" spans="1:14">
      <c r="A2187">
        <v>2186</v>
      </c>
      <c r="B2187">
        <v>20</v>
      </c>
      <c r="C2187" t="s">
        <v>11</v>
      </c>
      <c r="D2187" t="s">
        <v>20</v>
      </c>
      <c r="E2187" t="s">
        <v>21</v>
      </c>
      <c r="F2187">
        <v>83.38</v>
      </c>
      <c r="G2187" t="s">
        <v>24</v>
      </c>
      <c r="H2187" t="s">
        <v>37</v>
      </c>
      <c r="I2187">
        <v>3.5</v>
      </c>
      <c r="J2187">
        <v>4</v>
      </c>
      <c r="K2187">
        <v>2</v>
      </c>
      <c r="L2187" s="4">
        <v>86.854166666666671</v>
      </c>
      <c r="M2187" s="4">
        <v>3.474166666666676</v>
      </c>
      <c r="N2187" t="s">
        <v>100</v>
      </c>
    </row>
    <row r="2188" spans="1:14">
      <c r="A2188">
        <v>2187</v>
      </c>
      <c r="B2188">
        <v>39</v>
      </c>
      <c r="C2188" t="s">
        <v>11</v>
      </c>
      <c r="D2188" t="s">
        <v>22</v>
      </c>
      <c r="E2188" t="s">
        <v>23</v>
      </c>
      <c r="F2188">
        <v>113.79</v>
      </c>
      <c r="G2188" t="s">
        <v>14</v>
      </c>
      <c r="H2188" t="s">
        <v>15</v>
      </c>
      <c r="I2188">
        <v>5</v>
      </c>
      <c r="J2188">
        <v>14</v>
      </c>
      <c r="K2188">
        <v>2</v>
      </c>
      <c r="L2188" s="4">
        <v>132.31395348837211</v>
      </c>
      <c r="M2188" s="4">
        <v>18.523953488372101</v>
      </c>
      <c r="N2188" t="s">
        <v>92</v>
      </c>
    </row>
    <row r="2189" spans="1:14">
      <c r="A2189">
        <v>2188</v>
      </c>
      <c r="B2189">
        <v>44</v>
      </c>
      <c r="C2189" t="s">
        <v>11</v>
      </c>
      <c r="D2189" t="s">
        <v>22</v>
      </c>
      <c r="E2189" t="s">
        <v>52</v>
      </c>
      <c r="F2189">
        <v>278.16000000000003</v>
      </c>
      <c r="G2189" t="s">
        <v>19</v>
      </c>
      <c r="H2189" t="s">
        <v>15</v>
      </c>
      <c r="I2189">
        <v>2.7</v>
      </c>
      <c r="J2189">
        <v>7</v>
      </c>
      <c r="K2189">
        <v>1</v>
      </c>
      <c r="L2189" s="4">
        <v>299.09677419354841</v>
      </c>
      <c r="M2189" s="4">
        <v>20.936774193548388</v>
      </c>
      <c r="N2189" t="s">
        <v>92</v>
      </c>
    </row>
    <row r="2190" spans="1:14">
      <c r="A2190">
        <v>2189</v>
      </c>
      <c r="B2190">
        <v>45</v>
      </c>
      <c r="C2190" t="s">
        <v>11</v>
      </c>
      <c r="D2190" t="s">
        <v>33</v>
      </c>
      <c r="E2190" t="s">
        <v>40</v>
      </c>
      <c r="F2190">
        <v>136.82</v>
      </c>
      <c r="G2190" t="s">
        <v>14</v>
      </c>
      <c r="H2190" t="s">
        <v>15</v>
      </c>
      <c r="I2190">
        <v>3.7</v>
      </c>
      <c r="J2190">
        <v>13</v>
      </c>
      <c r="K2190">
        <v>4</v>
      </c>
      <c r="L2190" s="4">
        <v>157.26436781609195</v>
      </c>
      <c r="M2190" s="4">
        <v>20.444367816091955</v>
      </c>
      <c r="N2190" t="s">
        <v>93</v>
      </c>
    </row>
    <row r="2191" spans="1:14">
      <c r="A2191">
        <v>2190</v>
      </c>
      <c r="B2191">
        <v>22</v>
      </c>
      <c r="C2191" t="s">
        <v>11</v>
      </c>
      <c r="D2191" t="s">
        <v>41</v>
      </c>
      <c r="E2191" t="s">
        <v>45</v>
      </c>
      <c r="F2191">
        <v>198.84</v>
      </c>
      <c r="G2191" t="s">
        <v>24</v>
      </c>
      <c r="H2191" t="s">
        <v>15</v>
      </c>
      <c r="I2191">
        <v>3.5</v>
      </c>
      <c r="J2191">
        <v>15</v>
      </c>
      <c r="K2191">
        <v>5</v>
      </c>
      <c r="L2191" s="4">
        <v>233.92941176470589</v>
      </c>
      <c r="M2191" s="4">
        <v>35.089411764705886</v>
      </c>
      <c r="N2191" t="s">
        <v>100</v>
      </c>
    </row>
    <row r="2192" spans="1:14">
      <c r="A2192">
        <v>2191</v>
      </c>
      <c r="B2192">
        <v>55</v>
      </c>
      <c r="C2192" t="s">
        <v>11</v>
      </c>
      <c r="D2192" t="s">
        <v>33</v>
      </c>
      <c r="E2192" t="s">
        <v>40</v>
      </c>
      <c r="F2192">
        <v>228.85</v>
      </c>
      <c r="G2192" t="s">
        <v>31</v>
      </c>
      <c r="H2192" t="s">
        <v>15</v>
      </c>
      <c r="I2192">
        <v>4.3</v>
      </c>
      <c r="J2192">
        <v>18</v>
      </c>
      <c r="K2192">
        <v>4</v>
      </c>
      <c r="L2192" s="4">
        <v>279.08536585365852</v>
      </c>
      <c r="M2192" s="4">
        <v>50.235365853658521</v>
      </c>
      <c r="N2192" t="s">
        <v>94</v>
      </c>
    </row>
    <row r="2193" spans="1:14">
      <c r="A2193">
        <v>2192</v>
      </c>
      <c r="B2193">
        <v>59</v>
      </c>
      <c r="C2193" t="s">
        <v>16</v>
      </c>
      <c r="D2193" t="s">
        <v>20</v>
      </c>
      <c r="E2193" t="s">
        <v>21</v>
      </c>
      <c r="F2193">
        <v>46.03</v>
      </c>
      <c r="G2193" t="s">
        <v>31</v>
      </c>
      <c r="H2193" t="s">
        <v>37</v>
      </c>
      <c r="I2193">
        <v>3.2</v>
      </c>
      <c r="J2193">
        <v>12</v>
      </c>
      <c r="K2193">
        <v>6</v>
      </c>
      <c r="L2193" s="4">
        <v>52.30681818181818</v>
      </c>
      <c r="M2193" s="4">
        <v>6.2768181818181787</v>
      </c>
      <c r="N2193" t="s">
        <v>94</v>
      </c>
    </row>
    <row r="2194" spans="1:14">
      <c r="A2194">
        <v>2193</v>
      </c>
      <c r="B2194">
        <v>42</v>
      </c>
      <c r="C2194" t="s">
        <v>11</v>
      </c>
      <c r="D2194" t="s">
        <v>41</v>
      </c>
      <c r="E2194" t="s">
        <v>46</v>
      </c>
      <c r="F2194">
        <v>66.91</v>
      </c>
      <c r="G2194" t="s">
        <v>19</v>
      </c>
      <c r="H2194" t="s">
        <v>37</v>
      </c>
      <c r="I2194">
        <v>4.5</v>
      </c>
      <c r="J2194">
        <v>20</v>
      </c>
      <c r="K2194">
        <v>5</v>
      </c>
      <c r="L2194" s="4">
        <v>83.637499999999989</v>
      </c>
      <c r="M2194" s="4">
        <v>16.727499999999992</v>
      </c>
      <c r="N2194" t="s">
        <v>92</v>
      </c>
    </row>
    <row r="2195" spans="1:14">
      <c r="A2195">
        <v>2194</v>
      </c>
      <c r="B2195">
        <v>63</v>
      </c>
      <c r="C2195" t="s">
        <v>11</v>
      </c>
      <c r="D2195" t="s">
        <v>41</v>
      </c>
      <c r="E2195" t="s">
        <v>42</v>
      </c>
      <c r="F2195">
        <v>70.959999999999994</v>
      </c>
      <c r="G2195" t="s">
        <v>24</v>
      </c>
      <c r="H2195" t="s">
        <v>37</v>
      </c>
      <c r="I2195">
        <v>2.5</v>
      </c>
      <c r="J2195">
        <v>6</v>
      </c>
      <c r="K2195">
        <v>3</v>
      </c>
      <c r="L2195" s="4">
        <v>75.489361702127653</v>
      </c>
      <c r="M2195" s="4">
        <v>4.5293617021276589</v>
      </c>
      <c r="N2195" t="s">
        <v>94</v>
      </c>
    </row>
    <row r="2196" spans="1:14">
      <c r="A2196">
        <v>2195</v>
      </c>
      <c r="B2196">
        <v>24</v>
      </c>
      <c r="C2196" t="s">
        <v>11</v>
      </c>
      <c r="D2196" t="s">
        <v>29</v>
      </c>
      <c r="E2196" t="s">
        <v>55</v>
      </c>
      <c r="F2196">
        <v>33.03</v>
      </c>
      <c r="G2196" t="s">
        <v>19</v>
      </c>
      <c r="H2196" t="s">
        <v>37</v>
      </c>
      <c r="I2196">
        <v>4.7</v>
      </c>
      <c r="J2196">
        <v>12</v>
      </c>
      <c r="K2196">
        <v>6</v>
      </c>
      <c r="L2196" s="4">
        <v>37.534090909090914</v>
      </c>
      <c r="M2196" s="4">
        <v>4.5040909090909125</v>
      </c>
      <c r="N2196" t="s">
        <v>100</v>
      </c>
    </row>
    <row r="2197" spans="1:14">
      <c r="A2197">
        <v>2196</v>
      </c>
      <c r="B2197">
        <v>27</v>
      </c>
      <c r="C2197" t="s">
        <v>11</v>
      </c>
      <c r="D2197" t="s">
        <v>33</v>
      </c>
      <c r="E2197" t="s">
        <v>34</v>
      </c>
      <c r="F2197">
        <v>167.37</v>
      </c>
      <c r="G2197" t="s">
        <v>24</v>
      </c>
      <c r="H2197" t="s">
        <v>15</v>
      </c>
      <c r="I2197">
        <v>3.4</v>
      </c>
      <c r="J2197">
        <v>19</v>
      </c>
      <c r="K2197">
        <v>7</v>
      </c>
      <c r="L2197" s="4">
        <v>206.62962962962962</v>
      </c>
      <c r="M2197" s="4">
        <v>39.259629629629615</v>
      </c>
      <c r="N2197" t="s">
        <v>91</v>
      </c>
    </row>
    <row r="2198" spans="1:14">
      <c r="A2198">
        <v>2197</v>
      </c>
      <c r="B2198">
        <v>46</v>
      </c>
      <c r="C2198" t="s">
        <v>16</v>
      </c>
      <c r="D2198" t="s">
        <v>27</v>
      </c>
      <c r="E2198" t="s">
        <v>28</v>
      </c>
      <c r="F2198">
        <v>1442.61</v>
      </c>
      <c r="G2198" t="s">
        <v>14</v>
      </c>
      <c r="H2198" t="s">
        <v>15</v>
      </c>
      <c r="I2198">
        <v>2.9</v>
      </c>
      <c r="J2198">
        <v>17</v>
      </c>
      <c r="K2198">
        <v>6</v>
      </c>
      <c r="L2198" s="4">
        <v>1738.0843373493976</v>
      </c>
      <c r="M2198" s="4">
        <v>295.47433734939773</v>
      </c>
      <c r="N2198" t="s">
        <v>93</v>
      </c>
    </row>
    <row r="2199" spans="1:14">
      <c r="A2199">
        <v>2198</v>
      </c>
      <c r="B2199">
        <v>67</v>
      </c>
      <c r="C2199" t="s">
        <v>16</v>
      </c>
      <c r="D2199" t="s">
        <v>20</v>
      </c>
      <c r="E2199" t="s">
        <v>21</v>
      </c>
      <c r="F2199">
        <v>246</v>
      </c>
      <c r="G2199" t="s">
        <v>14</v>
      </c>
      <c r="H2199" t="s">
        <v>15</v>
      </c>
      <c r="I2199">
        <v>5</v>
      </c>
      <c r="J2199">
        <v>18</v>
      </c>
      <c r="K2199">
        <v>4</v>
      </c>
      <c r="L2199" s="4">
        <v>300</v>
      </c>
      <c r="M2199" s="4">
        <v>54</v>
      </c>
      <c r="N2199" t="s">
        <v>95</v>
      </c>
    </row>
    <row r="2200" spans="1:14">
      <c r="A2200">
        <v>2199</v>
      </c>
      <c r="B2200">
        <v>46</v>
      </c>
      <c r="C2200" t="s">
        <v>16</v>
      </c>
      <c r="D2200" t="s">
        <v>20</v>
      </c>
      <c r="E2200" t="s">
        <v>39</v>
      </c>
      <c r="F2200">
        <v>68.17</v>
      </c>
      <c r="G2200" t="s">
        <v>24</v>
      </c>
      <c r="H2200" t="s">
        <v>37</v>
      </c>
      <c r="I2200">
        <v>3.4</v>
      </c>
      <c r="J2200">
        <v>17</v>
      </c>
      <c r="K2200">
        <v>6</v>
      </c>
      <c r="L2200" s="4">
        <v>82.132530120481931</v>
      </c>
      <c r="M2200" s="4">
        <v>13.962530120481929</v>
      </c>
      <c r="N2200" t="s">
        <v>93</v>
      </c>
    </row>
    <row r="2201" spans="1:14">
      <c r="A2201">
        <v>2200</v>
      </c>
      <c r="B2201">
        <v>41</v>
      </c>
      <c r="C2201" t="s">
        <v>16</v>
      </c>
      <c r="D2201" t="s">
        <v>33</v>
      </c>
      <c r="E2201" t="s">
        <v>40</v>
      </c>
      <c r="F2201">
        <v>74.88</v>
      </c>
      <c r="G2201" t="s">
        <v>31</v>
      </c>
      <c r="H2201" t="s">
        <v>15</v>
      </c>
      <c r="I2201">
        <v>4.7</v>
      </c>
      <c r="J2201">
        <v>16</v>
      </c>
      <c r="K2201">
        <v>3</v>
      </c>
      <c r="L2201" s="4">
        <v>89.142857142857139</v>
      </c>
      <c r="M2201" s="4">
        <v>14.262857142857143</v>
      </c>
      <c r="N2201" t="s">
        <v>92</v>
      </c>
    </row>
    <row r="2202" spans="1:14">
      <c r="A2202">
        <v>2201</v>
      </c>
      <c r="B2202">
        <v>36</v>
      </c>
      <c r="C2202" t="s">
        <v>16</v>
      </c>
      <c r="D2202" t="s">
        <v>20</v>
      </c>
      <c r="E2202" t="s">
        <v>36</v>
      </c>
      <c r="F2202">
        <v>105.09</v>
      </c>
      <c r="G2202" t="s">
        <v>19</v>
      </c>
      <c r="H2202" t="s">
        <v>15</v>
      </c>
      <c r="I2202">
        <v>3.6</v>
      </c>
      <c r="J2202">
        <v>22</v>
      </c>
      <c r="K2202">
        <v>6</v>
      </c>
      <c r="L2202" s="4">
        <v>134.73076923076923</v>
      </c>
      <c r="M2202" s="4">
        <v>29.640769230769223</v>
      </c>
      <c r="N2202" t="s">
        <v>92</v>
      </c>
    </row>
    <row r="2203" spans="1:14">
      <c r="A2203">
        <v>2202</v>
      </c>
      <c r="B2203">
        <v>23</v>
      </c>
      <c r="C2203" t="s">
        <v>16</v>
      </c>
      <c r="D2203" t="s">
        <v>20</v>
      </c>
      <c r="E2203" t="s">
        <v>21</v>
      </c>
      <c r="F2203">
        <v>109.86</v>
      </c>
      <c r="G2203" t="s">
        <v>14</v>
      </c>
      <c r="H2203" t="s">
        <v>15</v>
      </c>
      <c r="I2203">
        <v>5</v>
      </c>
      <c r="J2203">
        <v>7</v>
      </c>
      <c r="K2203">
        <v>1</v>
      </c>
      <c r="L2203" s="4">
        <v>118.12903225806453</v>
      </c>
      <c r="M2203" s="4">
        <v>8.2690322580645272</v>
      </c>
      <c r="N2203" t="s">
        <v>100</v>
      </c>
    </row>
    <row r="2204" spans="1:14">
      <c r="A2204">
        <v>2203</v>
      </c>
      <c r="B2204">
        <v>32</v>
      </c>
      <c r="C2204" t="s">
        <v>11</v>
      </c>
      <c r="D2204" t="s">
        <v>33</v>
      </c>
      <c r="E2204" t="s">
        <v>34</v>
      </c>
      <c r="F2204">
        <v>232.22</v>
      </c>
      <c r="G2204" t="s">
        <v>19</v>
      </c>
      <c r="H2204" t="s">
        <v>15</v>
      </c>
      <c r="I2204">
        <v>3.5</v>
      </c>
      <c r="J2204">
        <v>11</v>
      </c>
      <c r="K2204">
        <v>3</v>
      </c>
      <c r="L2204" s="4">
        <v>260.92134831460675</v>
      </c>
      <c r="M2204" s="4">
        <v>28.701348314606747</v>
      </c>
      <c r="N2204" t="s">
        <v>91</v>
      </c>
    </row>
    <row r="2205" spans="1:14">
      <c r="A2205">
        <v>2204</v>
      </c>
      <c r="B2205">
        <v>60</v>
      </c>
      <c r="C2205" t="s">
        <v>16</v>
      </c>
      <c r="D2205" t="s">
        <v>17</v>
      </c>
      <c r="E2205" t="s">
        <v>35</v>
      </c>
      <c r="F2205">
        <v>170.41</v>
      </c>
      <c r="G2205" t="s">
        <v>31</v>
      </c>
      <c r="H2205" t="s">
        <v>15</v>
      </c>
      <c r="I2205">
        <v>2.6</v>
      </c>
      <c r="J2205">
        <v>17</v>
      </c>
      <c r="K2205">
        <v>6</v>
      </c>
      <c r="L2205" s="4">
        <v>205.31325301204819</v>
      </c>
      <c r="M2205" s="4">
        <v>34.903253012048197</v>
      </c>
      <c r="N2205" t="s">
        <v>94</v>
      </c>
    </row>
    <row r="2206" spans="1:14">
      <c r="A2206">
        <v>2205</v>
      </c>
      <c r="B2206">
        <v>43</v>
      </c>
      <c r="C2206" t="s">
        <v>16</v>
      </c>
      <c r="D2206" t="s">
        <v>17</v>
      </c>
      <c r="E2206" t="s">
        <v>42</v>
      </c>
      <c r="F2206">
        <v>122.14</v>
      </c>
      <c r="G2206" t="s">
        <v>19</v>
      </c>
      <c r="H2206" t="s">
        <v>15</v>
      </c>
      <c r="I2206">
        <v>4</v>
      </c>
      <c r="J2206">
        <v>10</v>
      </c>
      <c r="K2206">
        <v>5</v>
      </c>
      <c r="L2206" s="4">
        <v>135.71111111111111</v>
      </c>
      <c r="M2206" s="4">
        <v>13.571111111111108</v>
      </c>
      <c r="N2206" t="s">
        <v>92</v>
      </c>
    </row>
    <row r="2207" spans="1:14">
      <c r="A2207">
        <v>2206</v>
      </c>
      <c r="B2207">
        <v>58</v>
      </c>
      <c r="C2207" t="s">
        <v>11</v>
      </c>
      <c r="D2207" t="s">
        <v>12</v>
      </c>
      <c r="E2207" t="s">
        <v>13</v>
      </c>
      <c r="F2207">
        <v>98.65</v>
      </c>
      <c r="G2207" t="s">
        <v>19</v>
      </c>
      <c r="H2207" t="s">
        <v>37</v>
      </c>
      <c r="I2207">
        <v>3.9</v>
      </c>
      <c r="J2207">
        <v>8</v>
      </c>
      <c r="K2207">
        <v>4</v>
      </c>
      <c r="L2207" s="4">
        <v>107.22826086956522</v>
      </c>
      <c r="M2207" s="4">
        <v>8.5782608695652129</v>
      </c>
      <c r="N2207" t="s">
        <v>94</v>
      </c>
    </row>
    <row r="2208" spans="1:14">
      <c r="A2208">
        <v>2207</v>
      </c>
      <c r="B2208">
        <v>70</v>
      </c>
      <c r="C2208" t="s">
        <v>16</v>
      </c>
      <c r="D2208" t="s">
        <v>20</v>
      </c>
      <c r="E2208" t="s">
        <v>21</v>
      </c>
      <c r="F2208">
        <v>43.95</v>
      </c>
      <c r="G2208" t="s">
        <v>14</v>
      </c>
      <c r="H2208" t="s">
        <v>37</v>
      </c>
      <c r="I2208">
        <v>3.4</v>
      </c>
      <c r="J2208">
        <v>15</v>
      </c>
      <c r="K2208">
        <v>5</v>
      </c>
      <c r="L2208" s="4">
        <v>51.705882352941181</v>
      </c>
      <c r="M2208" s="4">
        <v>7.7558823529411782</v>
      </c>
      <c r="N2208" t="s">
        <v>95</v>
      </c>
    </row>
    <row r="2209" spans="1:14">
      <c r="A2209">
        <v>2208</v>
      </c>
      <c r="B2209">
        <v>43</v>
      </c>
      <c r="C2209" t="s">
        <v>16</v>
      </c>
      <c r="D2209" t="s">
        <v>20</v>
      </c>
      <c r="E2209" t="s">
        <v>21</v>
      </c>
      <c r="F2209">
        <v>127.93</v>
      </c>
      <c r="G2209" t="s">
        <v>24</v>
      </c>
      <c r="H2209" t="s">
        <v>15</v>
      </c>
      <c r="I2209">
        <v>2.9</v>
      </c>
      <c r="J2209">
        <v>13</v>
      </c>
      <c r="K2209">
        <v>4</v>
      </c>
      <c r="L2209" s="4">
        <v>147.04597701149427</v>
      </c>
      <c r="M2209" s="4">
        <v>19.115977011494266</v>
      </c>
      <c r="N2209" t="s">
        <v>92</v>
      </c>
    </row>
    <row r="2210" spans="1:14">
      <c r="A2210">
        <v>2209</v>
      </c>
      <c r="B2210">
        <v>55</v>
      </c>
      <c r="C2210" t="s">
        <v>16</v>
      </c>
      <c r="D2210" t="s">
        <v>25</v>
      </c>
      <c r="E2210" t="s">
        <v>26</v>
      </c>
      <c r="F2210">
        <v>62.57</v>
      </c>
      <c r="G2210" t="s">
        <v>14</v>
      </c>
      <c r="H2210" t="s">
        <v>37</v>
      </c>
      <c r="I2210">
        <v>3.6</v>
      </c>
      <c r="J2210">
        <v>12</v>
      </c>
      <c r="K2210">
        <v>6</v>
      </c>
      <c r="L2210" s="4">
        <v>71.102272727272734</v>
      </c>
      <c r="M2210" s="4">
        <v>8.5322727272727334</v>
      </c>
      <c r="N2210" t="s">
        <v>94</v>
      </c>
    </row>
    <row r="2211" spans="1:14">
      <c r="A2211">
        <v>2210</v>
      </c>
      <c r="B2211">
        <v>24</v>
      </c>
      <c r="C2211" t="s">
        <v>11</v>
      </c>
      <c r="D2211" t="s">
        <v>41</v>
      </c>
      <c r="E2211" t="s">
        <v>42</v>
      </c>
      <c r="F2211">
        <v>106.76</v>
      </c>
      <c r="G2211" t="s">
        <v>14</v>
      </c>
      <c r="H2211" t="s">
        <v>15</v>
      </c>
      <c r="I2211">
        <v>3.2</v>
      </c>
      <c r="J2211">
        <v>8</v>
      </c>
      <c r="K2211">
        <v>4</v>
      </c>
      <c r="L2211" s="4">
        <v>116.04347826086956</v>
      </c>
      <c r="M2211" s="4">
        <v>9.2834782608695576</v>
      </c>
      <c r="N2211" t="s">
        <v>100</v>
      </c>
    </row>
    <row r="2212" spans="1:14">
      <c r="A2212">
        <v>2211</v>
      </c>
      <c r="B2212">
        <v>41</v>
      </c>
      <c r="C2212" t="s">
        <v>11</v>
      </c>
      <c r="D2212" t="s">
        <v>22</v>
      </c>
      <c r="E2212" t="s">
        <v>52</v>
      </c>
      <c r="F2212">
        <v>245.42</v>
      </c>
      <c r="G2212" t="s">
        <v>31</v>
      </c>
      <c r="H2212" t="s">
        <v>15</v>
      </c>
      <c r="I2212">
        <v>3.6</v>
      </c>
      <c r="J2212">
        <v>20</v>
      </c>
      <c r="K2212">
        <v>5</v>
      </c>
      <c r="L2212" s="4">
        <v>306.77499999999998</v>
      </c>
      <c r="M2212" s="4">
        <v>61.35499999999999</v>
      </c>
      <c r="N2212" t="s">
        <v>92</v>
      </c>
    </row>
    <row r="2213" spans="1:14">
      <c r="A2213">
        <v>2212</v>
      </c>
      <c r="B2213">
        <v>33</v>
      </c>
      <c r="C2213" t="s">
        <v>16</v>
      </c>
      <c r="D2213" t="s">
        <v>20</v>
      </c>
      <c r="E2213" t="s">
        <v>36</v>
      </c>
      <c r="F2213">
        <v>184.79</v>
      </c>
      <c r="G2213" t="s">
        <v>24</v>
      </c>
      <c r="H2213" t="s">
        <v>15</v>
      </c>
      <c r="I2213">
        <v>2.8</v>
      </c>
      <c r="J2213">
        <v>11</v>
      </c>
      <c r="K2213">
        <v>3</v>
      </c>
      <c r="L2213" s="4">
        <v>207.62921348314606</v>
      </c>
      <c r="M2213" s="4">
        <v>22.839213483146068</v>
      </c>
      <c r="N2213" t="s">
        <v>91</v>
      </c>
    </row>
    <row r="2214" spans="1:14">
      <c r="A2214">
        <v>2213</v>
      </c>
      <c r="B2214">
        <v>64</v>
      </c>
      <c r="C2214" t="s">
        <v>11</v>
      </c>
      <c r="D2214" t="s">
        <v>12</v>
      </c>
      <c r="E2214" t="s">
        <v>56</v>
      </c>
      <c r="F2214">
        <v>176.59</v>
      </c>
      <c r="G2214" t="s">
        <v>14</v>
      </c>
      <c r="H2214" t="s">
        <v>15</v>
      </c>
      <c r="I2214">
        <v>3.9</v>
      </c>
      <c r="J2214">
        <v>20</v>
      </c>
      <c r="K2214">
        <v>5</v>
      </c>
      <c r="L2214" s="4">
        <v>220.73749999999998</v>
      </c>
      <c r="M2214" s="4">
        <v>44.14749999999998</v>
      </c>
      <c r="N2214" t="s">
        <v>94</v>
      </c>
    </row>
    <row r="2215" spans="1:14">
      <c r="A2215">
        <v>2214</v>
      </c>
      <c r="B2215">
        <v>26</v>
      </c>
      <c r="C2215" t="s">
        <v>11</v>
      </c>
      <c r="D2215" t="s">
        <v>41</v>
      </c>
      <c r="E2215" t="s">
        <v>45</v>
      </c>
      <c r="F2215">
        <v>58.44</v>
      </c>
      <c r="G2215" t="s">
        <v>24</v>
      </c>
      <c r="H2215" t="s">
        <v>37</v>
      </c>
      <c r="I2215">
        <v>2.1</v>
      </c>
      <c r="J2215">
        <v>19</v>
      </c>
      <c r="K2215">
        <v>7</v>
      </c>
      <c r="L2215" s="4">
        <v>72.148148148148138</v>
      </c>
      <c r="M2215" s="4">
        <v>13.70814814814814</v>
      </c>
      <c r="N2215" t="s">
        <v>91</v>
      </c>
    </row>
    <row r="2216" spans="1:14">
      <c r="A2216">
        <v>2215</v>
      </c>
      <c r="B2216">
        <v>53</v>
      </c>
      <c r="C2216" t="s">
        <v>11</v>
      </c>
      <c r="D2216" t="s">
        <v>25</v>
      </c>
      <c r="E2216" t="s">
        <v>57</v>
      </c>
      <c r="F2216">
        <v>9.7200000000000006</v>
      </c>
      <c r="G2216" t="s">
        <v>24</v>
      </c>
      <c r="H2216" t="s">
        <v>15</v>
      </c>
      <c r="I2216">
        <v>3.9</v>
      </c>
      <c r="J2216">
        <v>24</v>
      </c>
      <c r="K2216">
        <v>7</v>
      </c>
      <c r="L2216" s="4">
        <v>12.789473684210527</v>
      </c>
      <c r="M2216" s="4">
        <v>3.0694736842105268</v>
      </c>
      <c r="N2216" t="s">
        <v>93</v>
      </c>
    </row>
    <row r="2217" spans="1:14">
      <c r="A2217">
        <v>2216</v>
      </c>
      <c r="B2217">
        <v>34</v>
      </c>
      <c r="C2217" t="s">
        <v>11</v>
      </c>
      <c r="D2217" t="s">
        <v>33</v>
      </c>
      <c r="E2217" t="s">
        <v>40</v>
      </c>
      <c r="F2217">
        <v>97.08</v>
      </c>
      <c r="G2217" t="s">
        <v>31</v>
      </c>
      <c r="H2217" t="s">
        <v>15</v>
      </c>
      <c r="I2217">
        <v>2.7</v>
      </c>
      <c r="J2217">
        <v>12</v>
      </c>
      <c r="K2217">
        <v>1</v>
      </c>
      <c r="L2217" s="4">
        <v>110.31818181818181</v>
      </c>
      <c r="M2217" s="4">
        <v>13.238181818181815</v>
      </c>
      <c r="N2217" t="s">
        <v>91</v>
      </c>
    </row>
    <row r="2218" spans="1:14">
      <c r="A2218">
        <v>2217</v>
      </c>
      <c r="B2218">
        <v>35</v>
      </c>
      <c r="C2218" t="s">
        <v>11</v>
      </c>
      <c r="D2218" t="s">
        <v>12</v>
      </c>
      <c r="E2218" t="s">
        <v>13</v>
      </c>
      <c r="F2218">
        <v>150.88</v>
      </c>
      <c r="G2218" t="s">
        <v>24</v>
      </c>
      <c r="H2218" t="s">
        <v>15</v>
      </c>
      <c r="I2218">
        <v>4.3</v>
      </c>
      <c r="J2218">
        <v>16</v>
      </c>
      <c r="K2218">
        <v>8</v>
      </c>
      <c r="L2218" s="4">
        <v>179.61904761904762</v>
      </c>
      <c r="M2218" s="4">
        <v>28.739047619047625</v>
      </c>
      <c r="N2218" t="s">
        <v>92</v>
      </c>
    </row>
    <row r="2219" spans="1:14">
      <c r="A2219">
        <v>2218</v>
      </c>
      <c r="B2219">
        <v>24</v>
      </c>
      <c r="C2219" t="s">
        <v>11</v>
      </c>
      <c r="D2219" t="s">
        <v>33</v>
      </c>
      <c r="E2219" t="s">
        <v>38</v>
      </c>
      <c r="F2219">
        <v>173.83</v>
      </c>
      <c r="G2219" t="s">
        <v>14</v>
      </c>
      <c r="H2219" t="s">
        <v>15</v>
      </c>
      <c r="I2219">
        <v>2.7</v>
      </c>
      <c r="J2219">
        <v>6</v>
      </c>
      <c r="K2219">
        <v>3</v>
      </c>
      <c r="L2219" s="4">
        <v>184.92553191489364</v>
      </c>
      <c r="M2219" s="4">
        <v>11.095531914893627</v>
      </c>
      <c r="N2219" t="s">
        <v>100</v>
      </c>
    </row>
    <row r="2220" spans="1:14">
      <c r="A2220">
        <v>2219</v>
      </c>
      <c r="B2220">
        <v>57</v>
      </c>
      <c r="C2220" t="s">
        <v>16</v>
      </c>
      <c r="D2220" t="s">
        <v>27</v>
      </c>
      <c r="E2220" t="s">
        <v>28</v>
      </c>
      <c r="F2220">
        <v>1857.16</v>
      </c>
      <c r="G2220" t="s">
        <v>14</v>
      </c>
      <c r="H2220" t="s">
        <v>15</v>
      </c>
      <c r="I2220">
        <v>4</v>
      </c>
      <c r="J2220">
        <v>13</v>
      </c>
      <c r="K2220">
        <v>4</v>
      </c>
      <c r="L2220" s="4">
        <v>2134.666666666667</v>
      </c>
      <c r="M2220" s="4">
        <v>277.50666666666689</v>
      </c>
      <c r="N2220" t="s">
        <v>94</v>
      </c>
    </row>
    <row r="2221" spans="1:14">
      <c r="A2221">
        <v>2220</v>
      </c>
      <c r="B2221">
        <v>31</v>
      </c>
      <c r="C2221" t="s">
        <v>16</v>
      </c>
      <c r="D2221" t="s">
        <v>20</v>
      </c>
      <c r="E2221" t="s">
        <v>36</v>
      </c>
      <c r="F2221">
        <v>227.4</v>
      </c>
      <c r="G2221" t="s">
        <v>24</v>
      </c>
      <c r="H2221" t="s">
        <v>15</v>
      </c>
      <c r="I2221">
        <v>3.5</v>
      </c>
      <c r="J2221">
        <v>11</v>
      </c>
      <c r="K2221">
        <v>3</v>
      </c>
      <c r="L2221" s="4">
        <v>255.50561797752809</v>
      </c>
      <c r="M2221" s="4">
        <v>28.105617977528084</v>
      </c>
      <c r="N2221" t="s">
        <v>91</v>
      </c>
    </row>
    <row r="2222" spans="1:14">
      <c r="A2222">
        <v>2221</v>
      </c>
      <c r="B2222">
        <v>52</v>
      </c>
      <c r="C2222" t="s">
        <v>11</v>
      </c>
      <c r="D2222" t="s">
        <v>12</v>
      </c>
      <c r="E2222" t="s">
        <v>13</v>
      </c>
      <c r="F2222">
        <v>119.11</v>
      </c>
      <c r="G2222" t="s">
        <v>31</v>
      </c>
      <c r="H2222" t="s">
        <v>15</v>
      </c>
      <c r="I2222">
        <v>4.8</v>
      </c>
      <c r="J2222">
        <v>25</v>
      </c>
      <c r="K2222">
        <v>10</v>
      </c>
      <c r="L2222" s="4">
        <v>158.81333333333333</v>
      </c>
      <c r="M2222" s="4">
        <v>39.703333333333333</v>
      </c>
      <c r="N2222" t="s">
        <v>93</v>
      </c>
    </row>
    <row r="2223" spans="1:14">
      <c r="A2223">
        <v>2222</v>
      </c>
      <c r="B2223">
        <v>30</v>
      </c>
      <c r="C2223" t="s">
        <v>16</v>
      </c>
      <c r="D2223" t="s">
        <v>27</v>
      </c>
      <c r="E2223" t="s">
        <v>53</v>
      </c>
      <c r="F2223">
        <v>1425.84</v>
      </c>
      <c r="G2223" t="s">
        <v>19</v>
      </c>
      <c r="H2223" t="s">
        <v>15</v>
      </c>
      <c r="I2223">
        <v>3.6</v>
      </c>
      <c r="J2223">
        <v>14</v>
      </c>
      <c r="K2223">
        <v>2</v>
      </c>
      <c r="L2223" s="4">
        <v>1657.953488372093</v>
      </c>
      <c r="M2223" s="4">
        <v>232.11348837209312</v>
      </c>
      <c r="N2223" t="s">
        <v>91</v>
      </c>
    </row>
    <row r="2224" spans="1:14">
      <c r="A2224">
        <v>2223</v>
      </c>
      <c r="B2224">
        <v>32</v>
      </c>
      <c r="C2224" t="s">
        <v>16</v>
      </c>
      <c r="D2224" t="s">
        <v>33</v>
      </c>
      <c r="E2224" t="s">
        <v>34</v>
      </c>
      <c r="F2224">
        <v>170.66</v>
      </c>
      <c r="G2224" t="s">
        <v>19</v>
      </c>
      <c r="H2224" t="s">
        <v>15</v>
      </c>
      <c r="I2224">
        <v>4.2</v>
      </c>
      <c r="J2224">
        <v>17</v>
      </c>
      <c r="K2224">
        <v>6</v>
      </c>
      <c r="L2224" s="4">
        <v>205.6144578313253</v>
      </c>
      <c r="M2224" s="4">
        <v>34.9544578313253</v>
      </c>
      <c r="N2224" t="s">
        <v>91</v>
      </c>
    </row>
    <row r="2225" spans="1:14">
      <c r="A2225">
        <v>2224</v>
      </c>
      <c r="B2225">
        <v>21</v>
      </c>
      <c r="C2225" t="s">
        <v>16</v>
      </c>
      <c r="D2225" t="s">
        <v>20</v>
      </c>
      <c r="E2225" t="s">
        <v>39</v>
      </c>
      <c r="F2225">
        <v>246.8</v>
      </c>
      <c r="G2225" t="s">
        <v>14</v>
      </c>
      <c r="H2225" t="s">
        <v>15</v>
      </c>
      <c r="I2225">
        <v>3.2</v>
      </c>
      <c r="J2225">
        <v>13</v>
      </c>
      <c r="K2225">
        <v>4</v>
      </c>
      <c r="L2225" s="4">
        <v>283.67816091954023</v>
      </c>
      <c r="M2225" s="4">
        <v>36.878160919540221</v>
      </c>
      <c r="N2225" t="s">
        <v>100</v>
      </c>
    </row>
    <row r="2226" spans="1:14">
      <c r="A2226">
        <v>2225</v>
      </c>
      <c r="B2226">
        <v>63</v>
      </c>
      <c r="C2226" t="s">
        <v>11</v>
      </c>
      <c r="D2226" t="s">
        <v>29</v>
      </c>
      <c r="E2226" t="s">
        <v>55</v>
      </c>
      <c r="F2226">
        <v>40.06</v>
      </c>
      <c r="G2226" t="s">
        <v>31</v>
      </c>
      <c r="H2226" t="s">
        <v>37</v>
      </c>
      <c r="I2226">
        <v>4</v>
      </c>
      <c r="J2226">
        <v>20</v>
      </c>
      <c r="K2226">
        <v>5</v>
      </c>
      <c r="L2226" s="4">
        <v>50.075000000000003</v>
      </c>
      <c r="M2226" s="4">
        <v>10.015000000000001</v>
      </c>
      <c r="N2226" t="s">
        <v>94</v>
      </c>
    </row>
    <row r="2227" spans="1:14">
      <c r="A2227">
        <v>2226</v>
      </c>
      <c r="B2227">
        <v>38</v>
      </c>
      <c r="C2227" t="s">
        <v>11</v>
      </c>
      <c r="D2227" t="s">
        <v>33</v>
      </c>
      <c r="E2227" t="s">
        <v>34</v>
      </c>
      <c r="F2227">
        <v>47</v>
      </c>
      <c r="G2227" t="s">
        <v>31</v>
      </c>
      <c r="H2227" t="s">
        <v>15</v>
      </c>
      <c r="I2227">
        <v>3.4</v>
      </c>
      <c r="J2227">
        <v>18</v>
      </c>
      <c r="K2227">
        <v>9</v>
      </c>
      <c r="L2227" s="4">
        <v>57.317073170731703</v>
      </c>
      <c r="M2227" s="4">
        <v>10.317073170731703</v>
      </c>
      <c r="N2227" t="s">
        <v>92</v>
      </c>
    </row>
    <row r="2228" spans="1:14">
      <c r="A2228">
        <v>2227</v>
      </c>
      <c r="B2228">
        <v>46</v>
      </c>
      <c r="C2228" t="s">
        <v>11</v>
      </c>
      <c r="D2228" t="s">
        <v>41</v>
      </c>
      <c r="E2228" t="s">
        <v>45</v>
      </c>
      <c r="F2228">
        <v>149.94999999999999</v>
      </c>
      <c r="G2228" t="s">
        <v>31</v>
      </c>
      <c r="H2228" t="s">
        <v>15</v>
      </c>
      <c r="I2228">
        <v>4.2</v>
      </c>
      <c r="J2228">
        <v>9</v>
      </c>
      <c r="K2228">
        <v>2</v>
      </c>
      <c r="L2228" s="4">
        <v>164.78021978021977</v>
      </c>
      <c r="M2228" s="4">
        <v>14.830219780219778</v>
      </c>
      <c r="N2228" t="s">
        <v>93</v>
      </c>
    </row>
    <row r="2229" spans="1:14">
      <c r="A2229">
        <v>2228</v>
      </c>
      <c r="B2229">
        <v>68</v>
      </c>
      <c r="C2229" t="s">
        <v>16</v>
      </c>
      <c r="D2229" t="s">
        <v>27</v>
      </c>
      <c r="E2229" t="s">
        <v>32</v>
      </c>
      <c r="F2229">
        <v>1383.02</v>
      </c>
      <c r="G2229" t="s">
        <v>19</v>
      </c>
      <c r="H2229" t="s">
        <v>15</v>
      </c>
      <c r="I2229">
        <v>4.5999999999999996</v>
      </c>
      <c r="J2229">
        <v>16</v>
      </c>
      <c r="K2229">
        <v>3</v>
      </c>
      <c r="L2229" s="4">
        <v>1646.452380952381</v>
      </c>
      <c r="M2229" s="4">
        <v>263.43238095238098</v>
      </c>
      <c r="N2229" t="s">
        <v>95</v>
      </c>
    </row>
    <row r="2230" spans="1:14">
      <c r="A2230">
        <v>2229</v>
      </c>
      <c r="B2230">
        <v>30</v>
      </c>
      <c r="C2230" t="s">
        <v>11</v>
      </c>
      <c r="D2230" t="s">
        <v>41</v>
      </c>
      <c r="E2230" t="s">
        <v>45</v>
      </c>
      <c r="F2230">
        <v>170.78</v>
      </c>
      <c r="G2230" t="s">
        <v>24</v>
      </c>
      <c r="H2230" t="s">
        <v>15</v>
      </c>
      <c r="I2230">
        <v>5</v>
      </c>
      <c r="J2230">
        <v>22</v>
      </c>
      <c r="K2230">
        <v>6</v>
      </c>
      <c r="L2230" s="4">
        <v>218.94871794871796</v>
      </c>
      <c r="M2230" s="4">
        <v>48.168717948717955</v>
      </c>
      <c r="N2230" t="s">
        <v>91</v>
      </c>
    </row>
    <row r="2231" spans="1:14">
      <c r="A2231">
        <v>2230</v>
      </c>
      <c r="B2231">
        <v>26</v>
      </c>
      <c r="C2231" t="s">
        <v>16</v>
      </c>
      <c r="D2231" t="s">
        <v>17</v>
      </c>
      <c r="E2231" t="s">
        <v>35</v>
      </c>
      <c r="F2231">
        <v>119.83</v>
      </c>
      <c r="G2231" t="s">
        <v>14</v>
      </c>
      <c r="H2231" t="s">
        <v>15</v>
      </c>
      <c r="I2231">
        <v>3.4</v>
      </c>
      <c r="J2231">
        <v>8</v>
      </c>
      <c r="K2231">
        <v>4</v>
      </c>
      <c r="L2231" s="4">
        <v>130.25</v>
      </c>
      <c r="M2231" s="4">
        <v>10.420000000000002</v>
      </c>
      <c r="N2231" t="s">
        <v>91</v>
      </c>
    </row>
    <row r="2232" spans="1:14">
      <c r="A2232">
        <v>2231</v>
      </c>
      <c r="B2232">
        <v>49</v>
      </c>
      <c r="C2232" t="s">
        <v>16</v>
      </c>
      <c r="D2232" t="s">
        <v>27</v>
      </c>
      <c r="E2232" t="s">
        <v>28</v>
      </c>
      <c r="F2232">
        <v>2780.13</v>
      </c>
      <c r="G2232" t="s">
        <v>24</v>
      </c>
      <c r="H2232" t="s">
        <v>15</v>
      </c>
      <c r="I2232">
        <v>3.6</v>
      </c>
      <c r="J2232">
        <v>15</v>
      </c>
      <c r="K2232">
        <v>5</v>
      </c>
      <c r="L2232" s="4">
        <v>3270.7411764705885</v>
      </c>
      <c r="M2232" s="4">
        <v>490.61117647058836</v>
      </c>
      <c r="N2232" t="s">
        <v>93</v>
      </c>
    </row>
    <row r="2233" spans="1:14">
      <c r="A2233">
        <v>2232</v>
      </c>
      <c r="B2233">
        <v>68</v>
      </c>
      <c r="C2233" t="s">
        <v>16</v>
      </c>
      <c r="D2233" t="s">
        <v>33</v>
      </c>
      <c r="E2233" t="s">
        <v>38</v>
      </c>
      <c r="F2233">
        <v>206.56</v>
      </c>
      <c r="G2233" t="s">
        <v>19</v>
      </c>
      <c r="H2233" t="s">
        <v>15</v>
      </c>
      <c r="I2233">
        <v>3.3</v>
      </c>
      <c r="J2233">
        <v>10</v>
      </c>
      <c r="K2233">
        <v>5</v>
      </c>
      <c r="L2233" s="4">
        <v>229.51111111111112</v>
      </c>
      <c r="M2233" s="4">
        <v>22.951111111111118</v>
      </c>
      <c r="N2233" t="s">
        <v>95</v>
      </c>
    </row>
    <row r="2234" spans="1:14">
      <c r="A2234">
        <v>2233</v>
      </c>
      <c r="B2234">
        <v>30</v>
      </c>
      <c r="C2234" t="s">
        <v>11</v>
      </c>
      <c r="D2234" t="s">
        <v>41</v>
      </c>
      <c r="E2234" t="s">
        <v>42</v>
      </c>
      <c r="F2234">
        <v>186.33</v>
      </c>
      <c r="G2234" t="s">
        <v>19</v>
      </c>
      <c r="H2234" t="s">
        <v>15</v>
      </c>
      <c r="I2234">
        <v>3.5</v>
      </c>
      <c r="J2234">
        <v>12</v>
      </c>
      <c r="K2234">
        <v>6</v>
      </c>
      <c r="L2234" s="4">
        <v>211.73863636363637</v>
      </c>
      <c r="M2234" s="4">
        <v>25.408636363636361</v>
      </c>
      <c r="N2234" t="s">
        <v>91</v>
      </c>
    </row>
    <row r="2235" spans="1:14">
      <c r="A2235">
        <v>2234</v>
      </c>
      <c r="B2235">
        <v>38</v>
      </c>
      <c r="C2235" t="s">
        <v>16</v>
      </c>
      <c r="D2235" t="s">
        <v>17</v>
      </c>
      <c r="E2235" t="s">
        <v>18</v>
      </c>
      <c r="F2235">
        <v>156.71</v>
      </c>
      <c r="G2235" t="s">
        <v>24</v>
      </c>
      <c r="H2235" t="s">
        <v>15</v>
      </c>
      <c r="I2235">
        <v>3.4</v>
      </c>
      <c r="J2235">
        <v>16</v>
      </c>
      <c r="K2235">
        <v>8</v>
      </c>
      <c r="L2235" s="4">
        <v>186.55952380952382</v>
      </c>
      <c r="M2235" s="4">
        <v>29.849523809523816</v>
      </c>
      <c r="N2235" t="s">
        <v>92</v>
      </c>
    </row>
    <row r="2236" spans="1:14">
      <c r="A2236">
        <v>2235</v>
      </c>
      <c r="B2236">
        <v>42</v>
      </c>
      <c r="C2236" t="s">
        <v>11</v>
      </c>
      <c r="D2236" t="s">
        <v>29</v>
      </c>
      <c r="E2236" t="s">
        <v>51</v>
      </c>
      <c r="F2236">
        <v>78.39</v>
      </c>
      <c r="G2236" t="s">
        <v>31</v>
      </c>
      <c r="H2236" t="s">
        <v>15</v>
      </c>
      <c r="I2236">
        <v>3.7</v>
      </c>
      <c r="J2236">
        <v>22</v>
      </c>
      <c r="K2236">
        <v>6</v>
      </c>
      <c r="L2236" s="4">
        <v>100.5</v>
      </c>
      <c r="M2236" s="4">
        <v>22.11</v>
      </c>
      <c r="N2236" t="s">
        <v>92</v>
      </c>
    </row>
    <row r="2237" spans="1:14">
      <c r="A2237">
        <v>2236</v>
      </c>
      <c r="B2237">
        <v>63</v>
      </c>
      <c r="C2237" t="s">
        <v>16</v>
      </c>
      <c r="D2237" t="s">
        <v>20</v>
      </c>
      <c r="E2237" t="s">
        <v>39</v>
      </c>
      <c r="F2237">
        <v>214.61</v>
      </c>
      <c r="G2237" t="s">
        <v>24</v>
      </c>
      <c r="H2237" t="s">
        <v>15</v>
      </c>
      <c r="I2237">
        <v>3.4</v>
      </c>
      <c r="J2237">
        <v>9</v>
      </c>
      <c r="K2237">
        <v>2</v>
      </c>
      <c r="L2237" s="4">
        <v>235.83516483516485</v>
      </c>
      <c r="M2237" s="4">
        <v>21.225164835164833</v>
      </c>
      <c r="N2237" t="s">
        <v>94</v>
      </c>
    </row>
    <row r="2238" spans="1:14">
      <c r="A2238">
        <v>2237</v>
      </c>
      <c r="B2238">
        <v>34</v>
      </c>
      <c r="C2238" t="s">
        <v>16</v>
      </c>
      <c r="D2238" t="s">
        <v>25</v>
      </c>
      <c r="E2238" t="s">
        <v>57</v>
      </c>
      <c r="F2238">
        <v>10.119999999999999</v>
      </c>
      <c r="G2238" t="s">
        <v>19</v>
      </c>
      <c r="H2238" t="s">
        <v>37</v>
      </c>
      <c r="I2238">
        <v>4.3</v>
      </c>
      <c r="J2238">
        <v>10</v>
      </c>
      <c r="K2238">
        <v>5</v>
      </c>
      <c r="L2238" s="4">
        <v>11.244444444444444</v>
      </c>
      <c r="M2238" s="4">
        <v>1.1244444444444444</v>
      </c>
      <c r="N2238" t="s">
        <v>91</v>
      </c>
    </row>
    <row r="2239" spans="1:14">
      <c r="A2239">
        <v>2238</v>
      </c>
      <c r="B2239">
        <v>28</v>
      </c>
      <c r="C2239" t="s">
        <v>11</v>
      </c>
      <c r="D2239" t="s">
        <v>12</v>
      </c>
      <c r="E2239" t="s">
        <v>56</v>
      </c>
      <c r="F2239">
        <v>125.16</v>
      </c>
      <c r="G2239" t="s">
        <v>24</v>
      </c>
      <c r="H2239" t="s">
        <v>15</v>
      </c>
      <c r="I2239">
        <v>3.8</v>
      </c>
      <c r="J2239">
        <v>8</v>
      </c>
      <c r="K2239">
        <v>4</v>
      </c>
      <c r="L2239" s="4">
        <v>136.04347826086956</v>
      </c>
      <c r="M2239" s="4">
        <v>10.883478260869566</v>
      </c>
      <c r="N2239" t="s">
        <v>91</v>
      </c>
    </row>
    <row r="2240" spans="1:14">
      <c r="A2240">
        <v>2239</v>
      </c>
      <c r="B2240">
        <v>34</v>
      </c>
      <c r="C2240" t="s">
        <v>11</v>
      </c>
      <c r="D2240" t="s">
        <v>41</v>
      </c>
      <c r="E2240" t="s">
        <v>45</v>
      </c>
      <c r="F2240">
        <v>90.17</v>
      </c>
      <c r="G2240" t="s">
        <v>19</v>
      </c>
      <c r="H2240" t="s">
        <v>37</v>
      </c>
      <c r="I2240">
        <v>3.1</v>
      </c>
      <c r="J2240">
        <v>19</v>
      </c>
      <c r="K2240">
        <v>7</v>
      </c>
      <c r="L2240" s="4">
        <v>111.32098765432099</v>
      </c>
      <c r="M2240" s="4">
        <v>21.150987654320986</v>
      </c>
      <c r="N2240" t="s">
        <v>91</v>
      </c>
    </row>
    <row r="2241" spans="1:14">
      <c r="A2241">
        <v>2240</v>
      </c>
      <c r="B2241">
        <v>60</v>
      </c>
      <c r="C2241" t="s">
        <v>16</v>
      </c>
      <c r="D2241" t="s">
        <v>27</v>
      </c>
      <c r="E2241" t="s">
        <v>32</v>
      </c>
      <c r="F2241">
        <v>1445.76</v>
      </c>
      <c r="G2241" t="s">
        <v>19</v>
      </c>
      <c r="H2241" t="s">
        <v>15</v>
      </c>
      <c r="I2241">
        <v>4.5</v>
      </c>
      <c r="J2241">
        <v>16</v>
      </c>
      <c r="K2241">
        <v>3</v>
      </c>
      <c r="L2241" s="4">
        <v>1721.1428571428571</v>
      </c>
      <c r="M2241" s="4">
        <v>275.38285714285712</v>
      </c>
      <c r="N2241" t="s">
        <v>94</v>
      </c>
    </row>
    <row r="2242" spans="1:14">
      <c r="A2242">
        <v>2241</v>
      </c>
      <c r="B2242">
        <v>64</v>
      </c>
      <c r="C2242" t="s">
        <v>16</v>
      </c>
      <c r="D2242" t="s">
        <v>33</v>
      </c>
      <c r="E2242" t="s">
        <v>34</v>
      </c>
      <c r="F2242">
        <v>45.29</v>
      </c>
      <c r="G2242" t="s">
        <v>31</v>
      </c>
      <c r="H2242" t="s">
        <v>37</v>
      </c>
      <c r="I2242">
        <v>4</v>
      </c>
      <c r="J2242">
        <v>30</v>
      </c>
      <c r="K2242">
        <v>10</v>
      </c>
      <c r="L2242" s="4">
        <v>64.7</v>
      </c>
      <c r="M2242" s="4">
        <v>19.410000000000004</v>
      </c>
      <c r="N2242" t="s">
        <v>94</v>
      </c>
    </row>
    <row r="2243" spans="1:14">
      <c r="A2243">
        <v>2242</v>
      </c>
      <c r="B2243">
        <v>36</v>
      </c>
      <c r="C2243" t="s">
        <v>11</v>
      </c>
      <c r="D2243" t="s">
        <v>33</v>
      </c>
      <c r="E2243" t="s">
        <v>38</v>
      </c>
      <c r="F2243">
        <v>120.65</v>
      </c>
      <c r="G2243" t="s">
        <v>19</v>
      </c>
      <c r="H2243" t="s">
        <v>15</v>
      </c>
      <c r="I2243">
        <v>4.9000000000000004</v>
      </c>
      <c r="J2243">
        <v>6</v>
      </c>
      <c r="K2243">
        <v>3</v>
      </c>
      <c r="L2243" s="4">
        <v>128.35106382978725</v>
      </c>
      <c r="M2243" s="4">
        <v>7.7010638297872447</v>
      </c>
      <c r="N2243" t="s">
        <v>92</v>
      </c>
    </row>
    <row r="2244" spans="1:14">
      <c r="A2244">
        <v>2243</v>
      </c>
      <c r="B2244">
        <v>69</v>
      </c>
      <c r="C2244" t="s">
        <v>16</v>
      </c>
      <c r="D2244" t="s">
        <v>20</v>
      </c>
      <c r="E2244" t="s">
        <v>36</v>
      </c>
      <c r="F2244">
        <v>204.74</v>
      </c>
      <c r="G2244" t="s">
        <v>31</v>
      </c>
      <c r="H2244" t="s">
        <v>15</v>
      </c>
      <c r="I2244">
        <v>4.0999999999999996</v>
      </c>
      <c r="J2244">
        <v>15</v>
      </c>
      <c r="K2244">
        <v>5</v>
      </c>
      <c r="L2244" s="4">
        <v>240.87058823529412</v>
      </c>
      <c r="M2244" s="4">
        <v>36.130588235294113</v>
      </c>
      <c r="N2244" t="s">
        <v>95</v>
      </c>
    </row>
    <row r="2245" spans="1:14">
      <c r="A2245">
        <v>2244</v>
      </c>
      <c r="B2245">
        <v>37</v>
      </c>
      <c r="C2245" t="s">
        <v>11</v>
      </c>
      <c r="D2245" t="s">
        <v>29</v>
      </c>
      <c r="E2245" t="s">
        <v>51</v>
      </c>
      <c r="F2245">
        <v>23.24</v>
      </c>
      <c r="G2245" t="s">
        <v>31</v>
      </c>
      <c r="H2245" t="s">
        <v>15</v>
      </c>
      <c r="I2245">
        <v>3.6</v>
      </c>
      <c r="J2245">
        <v>20</v>
      </c>
      <c r="K2245">
        <v>5</v>
      </c>
      <c r="L2245" s="4">
        <v>29.049999999999997</v>
      </c>
      <c r="M2245" s="4">
        <v>5.8099999999999987</v>
      </c>
      <c r="N2245" t="s">
        <v>92</v>
      </c>
    </row>
    <row r="2246" spans="1:14">
      <c r="A2246">
        <v>2245</v>
      </c>
      <c r="B2246">
        <v>52</v>
      </c>
      <c r="C2246" t="s">
        <v>11</v>
      </c>
      <c r="D2246" t="s">
        <v>29</v>
      </c>
      <c r="E2246" t="s">
        <v>30</v>
      </c>
      <c r="F2246">
        <v>32.67</v>
      </c>
      <c r="G2246" t="s">
        <v>24</v>
      </c>
      <c r="H2246" t="s">
        <v>37</v>
      </c>
      <c r="I2246">
        <v>3.6</v>
      </c>
      <c r="J2246">
        <v>17</v>
      </c>
      <c r="K2246">
        <v>6</v>
      </c>
      <c r="L2246" s="4">
        <v>39.361445783132531</v>
      </c>
      <c r="M2246" s="4">
        <v>6.6914457831325294</v>
      </c>
      <c r="N2246" t="s">
        <v>93</v>
      </c>
    </row>
    <row r="2247" spans="1:14">
      <c r="A2247">
        <v>2246</v>
      </c>
      <c r="B2247">
        <v>31</v>
      </c>
      <c r="C2247" t="s">
        <v>16</v>
      </c>
      <c r="D2247" t="s">
        <v>27</v>
      </c>
      <c r="E2247" t="s">
        <v>28</v>
      </c>
      <c r="F2247">
        <v>2789.38</v>
      </c>
      <c r="G2247" t="s">
        <v>19</v>
      </c>
      <c r="H2247" t="s">
        <v>15</v>
      </c>
      <c r="I2247">
        <v>4.7</v>
      </c>
      <c r="J2247">
        <v>12</v>
      </c>
      <c r="K2247">
        <v>6</v>
      </c>
      <c r="L2247" s="4">
        <v>3169.75</v>
      </c>
      <c r="M2247" s="4">
        <v>380.36999999999989</v>
      </c>
      <c r="N2247" t="s">
        <v>91</v>
      </c>
    </row>
    <row r="2248" spans="1:14">
      <c r="A2248">
        <v>2247</v>
      </c>
      <c r="B2248">
        <v>67</v>
      </c>
      <c r="C2248" t="s">
        <v>16</v>
      </c>
      <c r="D2248" t="s">
        <v>33</v>
      </c>
      <c r="E2248" t="s">
        <v>34</v>
      </c>
      <c r="F2248">
        <v>54.61</v>
      </c>
      <c r="G2248" t="s">
        <v>14</v>
      </c>
      <c r="H2248" t="s">
        <v>15</v>
      </c>
      <c r="I2248">
        <v>4.0999999999999996</v>
      </c>
      <c r="J2248">
        <v>8</v>
      </c>
      <c r="K2248">
        <v>4</v>
      </c>
      <c r="L2248" s="4">
        <v>59.358695652173907</v>
      </c>
      <c r="M2248" s="4">
        <v>4.7486956521739074</v>
      </c>
      <c r="N2248" t="s">
        <v>95</v>
      </c>
    </row>
    <row r="2249" spans="1:14">
      <c r="A2249">
        <v>2248</v>
      </c>
      <c r="B2249">
        <v>28</v>
      </c>
      <c r="C2249" t="s">
        <v>16</v>
      </c>
      <c r="D2249" t="s">
        <v>20</v>
      </c>
      <c r="E2249" t="s">
        <v>36</v>
      </c>
      <c r="F2249">
        <v>157.25</v>
      </c>
      <c r="G2249" t="s">
        <v>19</v>
      </c>
      <c r="H2249" t="s">
        <v>15</v>
      </c>
      <c r="I2249">
        <v>4.2</v>
      </c>
      <c r="J2249">
        <v>18</v>
      </c>
      <c r="K2249">
        <v>4</v>
      </c>
      <c r="L2249" s="4">
        <v>191.76829268292681</v>
      </c>
      <c r="M2249" s="4">
        <v>34.518292682926813</v>
      </c>
      <c r="N2249" t="s">
        <v>91</v>
      </c>
    </row>
    <row r="2250" spans="1:14">
      <c r="A2250">
        <v>2249</v>
      </c>
      <c r="B2250">
        <v>43</v>
      </c>
      <c r="C2250" t="s">
        <v>16</v>
      </c>
      <c r="D2250" t="s">
        <v>25</v>
      </c>
      <c r="E2250" t="s">
        <v>26</v>
      </c>
      <c r="F2250">
        <v>20.079999999999998</v>
      </c>
      <c r="G2250" t="s">
        <v>31</v>
      </c>
      <c r="H2250" t="s">
        <v>15</v>
      </c>
      <c r="I2250">
        <v>4.2</v>
      </c>
      <c r="J2250">
        <v>9</v>
      </c>
      <c r="K2250">
        <v>2</v>
      </c>
      <c r="L2250" s="4">
        <v>22.065934065934062</v>
      </c>
      <c r="M2250" s="4">
        <v>1.9859340659340639</v>
      </c>
      <c r="N2250" t="s">
        <v>92</v>
      </c>
    </row>
    <row r="2251" spans="1:14">
      <c r="A2251">
        <v>2250</v>
      </c>
      <c r="B2251">
        <v>45</v>
      </c>
      <c r="C2251" t="s">
        <v>11</v>
      </c>
      <c r="D2251" t="s">
        <v>12</v>
      </c>
      <c r="E2251" t="s">
        <v>50</v>
      </c>
      <c r="F2251">
        <v>50.5</v>
      </c>
      <c r="G2251" t="s">
        <v>14</v>
      </c>
      <c r="H2251" t="s">
        <v>37</v>
      </c>
      <c r="I2251">
        <v>2.5</v>
      </c>
      <c r="J2251">
        <v>20</v>
      </c>
      <c r="K2251">
        <v>5</v>
      </c>
      <c r="L2251" s="4">
        <v>63.125</v>
      </c>
      <c r="M2251" s="4">
        <v>12.625</v>
      </c>
      <c r="N2251" t="s">
        <v>93</v>
      </c>
    </row>
    <row r="2252" spans="1:14">
      <c r="A2252">
        <v>2251</v>
      </c>
      <c r="B2252">
        <v>57</v>
      </c>
      <c r="C2252" t="s">
        <v>11</v>
      </c>
      <c r="D2252" t="s">
        <v>41</v>
      </c>
      <c r="E2252" t="s">
        <v>42</v>
      </c>
      <c r="F2252">
        <v>106.78</v>
      </c>
      <c r="G2252" t="s">
        <v>19</v>
      </c>
      <c r="H2252" t="s">
        <v>15</v>
      </c>
      <c r="I2252">
        <v>5</v>
      </c>
      <c r="J2252">
        <v>28</v>
      </c>
      <c r="K2252">
        <v>9</v>
      </c>
      <c r="L2252" s="4">
        <v>148.30555555555557</v>
      </c>
      <c r="M2252" s="4">
        <v>41.52555555555557</v>
      </c>
      <c r="N2252" t="s">
        <v>94</v>
      </c>
    </row>
    <row r="2253" spans="1:14">
      <c r="A2253">
        <v>2252</v>
      </c>
      <c r="B2253">
        <v>33</v>
      </c>
      <c r="C2253" t="s">
        <v>11</v>
      </c>
      <c r="D2253" t="s">
        <v>12</v>
      </c>
      <c r="E2253" t="s">
        <v>56</v>
      </c>
      <c r="F2253">
        <v>21.35</v>
      </c>
      <c r="G2253" t="s">
        <v>24</v>
      </c>
      <c r="H2253" t="s">
        <v>37</v>
      </c>
      <c r="I2253">
        <v>3.9</v>
      </c>
      <c r="J2253">
        <v>13</v>
      </c>
      <c r="K2253">
        <v>4</v>
      </c>
      <c r="L2253" s="4">
        <v>24.540229885057474</v>
      </c>
      <c r="M2253" s="4">
        <v>3.1902298850574731</v>
      </c>
      <c r="N2253" t="s">
        <v>91</v>
      </c>
    </row>
    <row r="2254" spans="1:14">
      <c r="A2254">
        <v>2253</v>
      </c>
      <c r="B2254">
        <v>69</v>
      </c>
      <c r="C2254" t="s">
        <v>11</v>
      </c>
      <c r="D2254" t="s">
        <v>41</v>
      </c>
      <c r="E2254" t="s">
        <v>45</v>
      </c>
      <c r="F2254">
        <v>59.4</v>
      </c>
      <c r="G2254" t="s">
        <v>19</v>
      </c>
      <c r="H2254" t="s">
        <v>15</v>
      </c>
      <c r="I2254">
        <v>3.6</v>
      </c>
      <c r="J2254">
        <v>17</v>
      </c>
      <c r="K2254">
        <v>6</v>
      </c>
      <c r="L2254" s="4">
        <v>71.566265060240966</v>
      </c>
      <c r="M2254" s="4">
        <v>12.166265060240967</v>
      </c>
      <c r="N2254" t="s">
        <v>95</v>
      </c>
    </row>
    <row r="2255" spans="1:14">
      <c r="A2255">
        <v>2254</v>
      </c>
      <c r="B2255">
        <v>60</v>
      </c>
      <c r="C2255" t="s">
        <v>16</v>
      </c>
      <c r="D2255" t="s">
        <v>20</v>
      </c>
      <c r="E2255" t="s">
        <v>39</v>
      </c>
      <c r="F2255">
        <v>196.16</v>
      </c>
      <c r="G2255" t="s">
        <v>14</v>
      </c>
      <c r="H2255" t="s">
        <v>15</v>
      </c>
      <c r="I2255">
        <v>1.9</v>
      </c>
      <c r="J2255">
        <v>4</v>
      </c>
      <c r="K2255">
        <v>2</v>
      </c>
      <c r="L2255" s="4">
        <v>204.33333333333334</v>
      </c>
      <c r="M2255" s="4">
        <v>8.1733333333333462</v>
      </c>
      <c r="N2255" t="s">
        <v>94</v>
      </c>
    </row>
    <row r="2256" spans="1:14">
      <c r="A2256">
        <v>2255</v>
      </c>
      <c r="B2256">
        <v>34</v>
      </c>
      <c r="C2256" t="s">
        <v>11</v>
      </c>
      <c r="D2256" t="s">
        <v>22</v>
      </c>
      <c r="E2256" t="s">
        <v>52</v>
      </c>
      <c r="F2256">
        <v>228.6</v>
      </c>
      <c r="G2256" t="s">
        <v>31</v>
      </c>
      <c r="H2256" t="s">
        <v>15</v>
      </c>
      <c r="I2256">
        <v>3.6</v>
      </c>
      <c r="J2256">
        <v>22</v>
      </c>
      <c r="K2256">
        <v>6</v>
      </c>
      <c r="L2256" s="4">
        <v>293.07692307692304</v>
      </c>
      <c r="M2256" s="4">
        <v>64.476923076923043</v>
      </c>
      <c r="N2256" t="s">
        <v>91</v>
      </c>
    </row>
    <row r="2257" spans="1:14">
      <c r="A2257">
        <v>2256</v>
      </c>
      <c r="B2257">
        <v>62</v>
      </c>
      <c r="C2257" t="s">
        <v>11</v>
      </c>
      <c r="D2257" t="s">
        <v>29</v>
      </c>
      <c r="E2257" t="s">
        <v>51</v>
      </c>
      <c r="F2257">
        <v>146.15</v>
      </c>
      <c r="G2257" t="s">
        <v>14</v>
      </c>
      <c r="H2257" t="s">
        <v>15</v>
      </c>
      <c r="I2257">
        <v>2.4</v>
      </c>
      <c r="J2257">
        <v>14</v>
      </c>
      <c r="K2257">
        <v>7</v>
      </c>
      <c r="L2257" s="4">
        <v>169.94186046511629</v>
      </c>
      <c r="M2257" s="4">
        <v>23.791860465116287</v>
      </c>
      <c r="N2257" t="s">
        <v>94</v>
      </c>
    </row>
    <row r="2258" spans="1:14">
      <c r="A2258">
        <v>2257</v>
      </c>
      <c r="B2258">
        <v>44</v>
      </c>
      <c r="C2258" t="s">
        <v>11</v>
      </c>
      <c r="D2258" t="s">
        <v>29</v>
      </c>
      <c r="E2258" t="s">
        <v>30</v>
      </c>
      <c r="F2258">
        <v>118.63</v>
      </c>
      <c r="G2258" t="s">
        <v>19</v>
      </c>
      <c r="H2258" t="s">
        <v>15</v>
      </c>
      <c r="I2258">
        <v>3.1</v>
      </c>
      <c r="J2258">
        <v>8</v>
      </c>
      <c r="K2258">
        <v>4</v>
      </c>
      <c r="L2258" s="4">
        <v>128.94565217391303</v>
      </c>
      <c r="M2258" s="4">
        <v>10.315652173913037</v>
      </c>
      <c r="N2258" t="s">
        <v>92</v>
      </c>
    </row>
    <row r="2259" spans="1:14">
      <c r="A2259">
        <v>2258</v>
      </c>
      <c r="B2259">
        <v>21</v>
      </c>
      <c r="C2259" t="s">
        <v>16</v>
      </c>
      <c r="D2259" t="s">
        <v>27</v>
      </c>
      <c r="E2259" t="s">
        <v>28</v>
      </c>
      <c r="F2259">
        <v>1725.52</v>
      </c>
      <c r="G2259" t="s">
        <v>19</v>
      </c>
      <c r="H2259" t="s">
        <v>15</v>
      </c>
      <c r="I2259">
        <v>4.3</v>
      </c>
      <c r="J2259">
        <v>10</v>
      </c>
      <c r="K2259">
        <v>5</v>
      </c>
      <c r="L2259" s="4">
        <v>1917.2444444444443</v>
      </c>
      <c r="M2259" s="4">
        <v>191.72444444444432</v>
      </c>
      <c r="N2259" t="s">
        <v>100</v>
      </c>
    </row>
    <row r="2260" spans="1:14">
      <c r="A2260">
        <v>2259</v>
      </c>
      <c r="B2260">
        <v>42</v>
      </c>
      <c r="C2260" t="s">
        <v>16</v>
      </c>
      <c r="D2260" t="s">
        <v>33</v>
      </c>
      <c r="E2260" t="s">
        <v>38</v>
      </c>
      <c r="F2260">
        <v>217.85</v>
      </c>
      <c r="G2260" t="s">
        <v>14</v>
      </c>
      <c r="H2260" t="s">
        <v>15</v>
      </c>
      <c r="I2260">
        <v>4</v>
      </c>
      <c r="J2260">
        <v>26</v>
      </c>
      <c r="K2260">
        <v>8</v>
      </c>
      <c r="L2260" s="4">
        <v>294.39189189189187</v>
      </c>
      <c r="M2260" s="4">
        <v>76.541891891891879</v>
      </c>
      <c r="N2260" t="s">
        <v>92</v>
      </c>
    </row>
    <row r="2261" spans="1:14">
      <c r="A2261">
        <v>2260</v>
      </c>
      <c r="B2261">
        <v>39</v>
      </c>
      <c r="C2261" t="s">
        <v>16</v>
      </c>
      <c r="D2261" t="s">
        <v>33</v>
      </c>
      <c r="E2261" t="s">
        <v>34</v>
      </c>
      <c r="F2261">
        <v>106.65</v>
      </c>
      <c r="G2261" t="s">
        <v>24</v>
      </c>
      <c r="H2261" t="s">
        <v>15</v>
      </c>
      <c r="I2261">
        <v>4.4000000000000004</v>
      </c>
      <c r="J2261">
        <v>16</v>
      </c>
      <c r="K2261">
        <v>3</v>
      </c>
      <c r="L2261" s="4">
        <v>126.96428571428572</v>
      </c>
      <c r="M2261" s="4">
        <v>20.314285714285717</v>
      </c>
      <c r="N2261" t="s">
        <v>92</v>
      </c>
    </row>
    <row r="2262" spans="1:14">
      <c r="A2262">
        <v>2261</v>
      </c>
      <c r="B2262">
        <v>44</v>
      </c>
      <c r="C2262" t="s">
        <v>11</v>
      </c>
      <c r="D2262" t="s">
        <v>20</v>
      </c>
      <c r="E2262" t="s">
        <v>39</v>
      </c>
      <c r="F2262">
        <v>108.39</v>
      </c>
      <c r="G2262" t="s">
        <v>24</v>
      </c>
      <c r="H2262" t="s">
        <v>15</v>
      </c>
      <c r="I2262">
        <v>3.3</v>
      </c>
      <c r="J2262">
        <v>23</v>
      </c>
      <c r="K2262">
        <v>9</v>
      </c>
      <c r="L2262" s="4">
        <v>140.76623376623377</v>
      </c>
      <c r="M2262" s="4">
        <v>32.376233766233767</v>
      </c>
      <c r="N2262" t="s">
        <v>92</v>
      </c>
    </row>
    <row r="2263" spans="1:14">
      <c r="A2263">
        <v>2262</v>
      </c>
      <c r="B2263">
        <v>20</v>
      </c>
      <c r="C2263" t="s">
        <v>16</v>
      </c>
      <c r="D2263" t="s">
        <v>17</v>
      </c>
      <c r="E2263" t="s">
        <v>35</v>
      </c>
      <c r="F2263">
        <v>167.57</v>
      </c>
      <c r="G2263" t="s">
        <v>24</v>
      </c>
      <c r="H2263" t="s">
        <v>15</v>
      </c>
      <c r="I2263">
        <v>3.5</v>
      </c>
      <c r="J2263">
        <v>11</v>
      </c>
      <c r="K2263">
        <v>3</v>
      </c>
      <c r="L2263" s="4">
        <v>188.28089887640448</v>
      </c>
      <c r="M2263" s="4">
        <v>20.710898876404485</v>
      </c>
      <c r="N2263" t="s">
        <v>100</v>
      </c>
    </row>
    <row r="2264" spans="1:14">
      <c r="A2264">
        <v>2263</v>
      </c>
      <c r="B2264">
        <v>57</v>
      </c>
      <c r="C2264" t="s">
        <v>11</v>
      </c>
      <c r="D2264" t="s">
        <v>29</v>
      </c>
      <c r="E2264" t="s">
        <v>55</v>
      </c>
      <c r="F2264">
        <v>102.35</v>
      </c>
      <c r="G2264" t="s">
        <v>14</v>
      </c>
      <c r="H2264" t="s">
        <v>15</v>
      </c>
      <c r="I2264">
        <v>4</v>
      </c>
      <c r="J2264">
        <v>10</v>
      </c>
      <c r="K2264">
        <v>5</v>
      </c>
      <c r="L2264" s="4">
        <v>113.72222222222221</v>
      </c>
      <c r="M2264" s="4">
        <v>11.37222222222222</v>
      </c>
      <c r="N2264" t="s">
        <v>94</v>
      </c>
    </row>
    <row r="2265" spans="1:14">
      <c r="A2265">
        <v>2264</v>
      </c>
      <c r="B2265">
        <v>44</v>
      </c>
      <c r="C2265" t="s">
        <v>16</v>
      </c>
      <c r="D2265" t="s">
        <v>17</v>
      </c>
      <c r="E2265" t="s">
        <v>48</v>
      </c>
      <c r="F2265">
        <v>121.98</v>
      </c>
      <c r="G2265" t="s">
        <v>24</v>
      </c>
      <c r="H2265" t="s">
        <v>15</v>
      </c>
      <c r="I2265">
        <v>2.2000000000000002</v>
      </c>
      <c r="J2265">
        <v>9</v>
      </c>
      <c r="K2265">
        <v>2</v>
      </c>
      <c r="L2265" s="4">
        <v>134.04395604395603</v>
      </c>
      <c r="M2265" s="4">
        <v>12.063956043956026</v>
      </c>
      <c r="N2265" t="s">
        <v>92</v>
      </c>
    </row>
    <row r="2266" spans="1:14">
      <c r="A2266">
        <v>2265</v>
      </c>
      <c r="B2266">
        <v>35</v>
      </c>
      <c r="C2266" t="s">
        <v>16</v>
      </c>
      <c r="D2266" t="s">
        <v>33</v>
      </c>
      <c r="E2266" t="s">
        <v>34</v>
      </c>
      <c r="F2266">
        <v>248.74</v>
      </c>
      <c r="G2266" t="s">
        <v>19</v>
      </c>
      <c r="H2266" t="s">
        <v>15</v>
      </c>
      <c r="I2266">
        <v>2.5</v>
      </c>
      <c r="J2266">
        <v>14</v>
      </c>
      <c r="K2266">
        <v>2</v>
      </c>
      <c r="L2266" s="4">
        <v>289.23255813953489</v>
      </c>
      <c r="M2266" s="4">
        <v>40.492558139534879</v>
      </c>
      <c r="N2266" t="s">
        <v>92</v>
      </c>
    </row>
    <row r="2267" spans="1:14">
      <c r="A2267">
        <v>2266</v>
      </c>
      <c r="B2267">
        <v>43</v>
      </c>
      <c r="C2267" t="s">
        <v>11</v>
      </c>
      <c r="D2267" t="s">
        <v>29</v>
      </c>
      <c r="E2267" t="s">
        <v>30</v>
      </c>
      <c r="F2267">
        <v>73.459999999999994</v>
      </c>
      <c r="G2267" t="s">
        <v>24</v>
      </c>
      <c r="H2267" t="s">
        <v>37</v>
      </c>
      <c r="I2267">
        <v>3.6</v>
      </c>
      <c r="J2267">
        <v>20</v>
      </c>
      <c r="K2267">
        <v>5</v>
      </c>
      <c r="L2267" s="4">
        <v>91.824999999999989</v>
      </c>
      <c r="M2267" s="4">
        <v>18.364999999999995</v>
      </c>
      <c r="N2267" t="s">
        <v>92</v>
      </c>
    </row>
    <row r="2268" spans="1:14">
      <c r="A2268">
        <v>2267</v>
      </c>
      <c r="B2268">
        <v>29</v>
      </c>
      <c r="C2268" t="s">
        <v>16</v>
      </c>
      <c r="D2268" t="s">
        <v>27</v>
      </c>
      <c r="E2268" t="s">
        <v>49</v>
      </c>
      <c r="F2268">
        <v>1145.69</v>
      </c>
      <c r="G2268" t="s">
        <v>24</v>
      </c>
      <c r="H2268" t="s">
        <v>15</v>
      </c>
      <c r="I2268">
        <v>3.3</v>
      </c>
      <c r="J2268">
        <v>18</v>
      </c>
      <c r="K2268">
        <v>4</v>
      </c>
      <c r="L2268" s="4">
        <v>1397.1829268292684</v>
      </c>
      <c r="M2268" s="4">
        <v>251.4929268292683</v>
      </c>
      <c r="N2268" t="s">
        <v>91</v>
      </c>
    </row>
    <row r="2269" spans="1:14">
      <c r="A2269">
        <v>2268</v>
      </c>
      <c r="B2269">
        <v>21</v>
      </c>
      <c r="C2269" t="s">
        <v>11</v>
      </c>
      <c r="D2269" t="s">
        <v>25</v>
      </c>
      <c r="E2269" t="s">
        <v>54</v>
      </c>
      <c r="F2269">
        <v>52.42</v>
      </c>
      <c r="G2269" t="s">
        <v>31</v>
      </c>
      <c r="H2269" t="s">
        <v>15</v>
      </c>
      <c r="I2269">
        <v>3.7</v>
      </c>
      <c r="J2269">
        <v>6</v>
      </c>
      <c r="K2269">
        <v>3</v>
      </c>
      <c r="L2269" s="4">
        <v>55.765957446808514</v>
      </c>
      <c r="M2269" s="4">
        <v>3.3459574468085123</v>
      </c>
      <c r="N2269" t="s">
        <v>100</v>
      </c>
    </row>
    <row r="2270" spans="1:14">
      <c r="A2270">
        <v>2269</v>
      </c>
      <c r="B2270">
        <v>50</v>
      </c>
      <c r="C2270" t="s">
        <v>16</v>
      </c>
      <c r="D2270" t="s">
        <v>17</v>
      </c>
      <c r="E2270" t="s">
        <v>18</v>
      </c>
      <c r="F2270">
        <v>173.36</v>
      </c>
      <c r="G2270" t="s">
        <v>24</v>
      </c>
      <c r="H2270" t="s">
        <v>15</v>
      </c>
      <c r="I2270">
        <v>3.5</v>
      </c>
      <c r="J2270">
        <v>4</v>
      </c>
      <c r="K2270">
        <v>2</v>
      </c>
      <c r="L2270" s="4">
        <v>180.58333333333334</v>
      </c>
      <c r="M2270" s="4">
        <v>7.2233333333333292</v>
      </c>
      <c r="N2270" t="s">
        <v>93</v>
      </c>
    </row>
    <row r="2271" spans="1:14">
      <c r="A2271">
        <v>2270</v>
      </c>
      <c r="B2271">
        <v>51</v>
      </c>
      <c r="C2271" t="s">
        <v>16</v>
      </c>
      <c r="D2271" t="s">
        <v>27</v>
      </c>
      <c r="E2271" t="s">
        <v>32</v>
      </c>
      <c r="F2271">
        <v>1611.83</v>
      </c>
      <c r="G2271" t="s">
        <v>19</v>
      </c>
      <c r="H2271" t="s">
        <v>15</v>
      </c>
      <c r="I2271">
        <v>2.6</v>
      </c>
      <c r="J2271">
        <v>24</v>
      </c>
      <c r="K2271">
        <v>7</v>
      </c>
      <c r="L2271" s="4">
        <v>2120.8289473684208</v>
      </c>
      <c r="M2271" s="4">
        <v>508.99894736842089</v>
      </c>
      <c r="N2271" t="s">
        <v>93</v>
      </c>
    </row>
    <row r="2272" spans="1:14">
      <c r="A2272">
        <v>2271</v>
      </c>
      <c r="B2272">
        <v>49</v>
      </c>
      <c r="C2272" t="s">
        <v>11</v>
      </c>
      <c r="D2272" t="s">
        <v>41</v>
      </c>
      <c r="E2272" t="s">
        <v>46</v>
      </c>
      <c r="F2272">
        <v>189.27</v>
      </c>
      <c r="G2272" t="s">
        <v>31</v>
      </c>
      <c r="H2272" t="s">
        <v>15</v>
      </c>
      <c r="I2272">
        <v>4.0999999999999996</v>
      </c>
      <c r="J2272">
        <v>12</v>
      </c>
      <c r="K2272">
        <v>1</v>
      </c>
      <c r="L2272" s="4">
        <v>215.07954545454547</v>
      </c>
      <c r="M2272" s="4">
        <v>25.809545454545457</v>
      </c>
      <c r="N2272" t="s">
        <v>93</v>
      </c>
    </row>
    <row r="2273" spans="1:14">
      <c r="A2273">
        <v>2272</v>
      </c>
      <c r="B2273">
        <v>38</v>
      </c>
      <c r="C2273" t="s">
        <v>11</v>
      </c>
      <c r="D2273" t="s">
        <v>25</v>
      </c>
      <c r="E2273" t="s">
        <v>54</v>
      </c>
      <c r="F2273">
        <v>36.090000000000003</v>
      </c>
      <c r="G2273" t="s">
        <v>19</v>
      </c>
      <c r="H2273" t="s">
        <v>37</v>
      </c>
      <c r="I2273">
        <v>3.3</v>
      </c>
      <c r="J2273">
        <v>7</v>
      </c>
      <c r="K2273">
        <v>1</v>
      </c>
      <c r="L2273" s="4">
        <v>38.806451612903231</v>
      </c>
      <c r="M2273" s="4">
        <v>2.7164516129032279</v>
      </c>
      <c r="N2273" t="s">
        <v>92</v>
      </c>
    </row>
    <row r="2274" spans="1:14">
      <c r="A2274">
        <v>2273</v>
      </c>
      <c r="B2274">
        <v>33</v>
      </c>
      <c r="C2274" t="s">
        <v>11</v>
      </c>
      <c r="D2274" t="s">
        <v>12</v>
      </c>
      <c r="E2274" t="s">
        <v>56</v>
      </c>
      <c r="F2274">
        <v>107.15</v>
      </c>
      <c r="G2274" t="s">
        <v>19</v>
      </c>
      <c r="H2274" t="s">
        <v>15</v>
      </c>
      <c r="I2274">
        <v>4.5</v>
      </c>
      <c r="J2274">
        <v>17</v>
      </c>
      <c r="K2274">
        <v>6</v>
      </c>
      <c r="L2274" s="4">
        <v>129.09638554216869</v>
      </c>
      <c r="M2274" s="4">
        <v>21.946385542168684</v>
      </c>
      <c r="N2274" t="s">
        <v>91</v>
      </c>
    </row>
    <row r="2275" spans="1:14">
      <c r="A2275">
        <v>2274</v>
      </c>
      <c r="B2275">
        <v>59</v>
      </c>
      <c r="C2275" t="s">
        <v>11</v>
      </c>
      <c r="D2275" t="s">
        <v>12</v>
      </c>
      <c r="E2275" t="s">
        <v>50</v>
      </c>
      <c r="F2275">
        <v>23.3</v>
      </c>
      <c r="G2275" t="s">
        <v>19</v>
      </c>
      <c r="H2275" t="s">
        <v>15</v>
      </c>
      <c r="I2275">
        <v>3.7</v>
      </c>
      <c r="J2275">
        <v>12</v>
      </c>
      <c r="K2275">
        <v>6</v>
      </c>
      <c r="L2275" s="4">
        <v>26.477272727272727</v>
      </c>
      <c r="M2275" s="4">
        <v>3.1772727272727259</v>
      </c>
      <c r="N2275" t="s">
        <v>94</v>
      </c>
    </row>
    <row r="2276" spans="1:14">
      <c r="A2276">
        <v>2275</v>
      </c>
      <c r="B2276">
        <v>51</v>
      </c>
      <c r="C2276" t="s">
        <v>11</v>
      </c>
      <c r="D2276" t="s">
        <v>25</v>
      </c>
      <c r="E2276" t="s">
        <v>57</v>
      </c>
      <c r="F2276">
        <v>37.909999999999997</v>
      </c>
      <c r="G2276" t="s">
        <v>14</v>
      </c>
      <c r="H2276" t="s">
        <v>37</v>
      </c>
      <c r="I2276">
        <v>4.2</v>
      </c>
      <c r="J2276">
        <v>20</v>
      </c>
      <c r="K2276">
        <v>5</v>
      </c>
      <c r="L2276" s="4">
        <v>47.387499999999996</v>
      </c>
      <c r="M2276" s="4">
        <v>9.4774999999999991</v>
      </c>
      <c r="N2276" t="s">
        <v>93</v>
      </c>
    </row>
    <row r="2277" spans="1:14">
      <c r="A2277">
        <v>2276</v>
      </c>
      <c r="B2277">
        <v>21</v>
      </c>
      <c r="C2277" t="s">
        <v>11</v>
      </c>
      <c r="D2277" t="s">
        <v>25</v>
      </c>
      <c r="E2277" t="s">
        <v>57</v>
      </c>
      <c r="F2277">
        <v>14.56</v>
      </c>
      <c r="G2277" t="s">
        <v>14</v>
      </c>
      <c r="H2277" t="s">
        <v>37</v>
      </c>
      <c r="I2277">
        <v>4.2</v>
      </c>
      <c r="J2277">
        <v>11</v>
      </c>
      <c r="K2277">
        <v>3</v>
      </c>
      <c r="L2277" s="4">
        <v>16.359550561797754</v>
      </c>
      <c r="M2277" s="4">
        <v>1.7995505617977532</v>
      </c>
      <c r="N2277" t="s">
        <v>100</v>
      </c>
    </row>
    <row r="2278" spans="1:14">
      <c r="A2278">
        <v>2277</v>
      </c>
      <c r="B2278">
        <v>25</v>
      </c>
      <c r="C2278" t="s">
        <v>11</v>
      </c>
      <c r="D2278" t="s">
        <v>29</v>
      </c>
      <c r="E2278" t="s">
        <v>51</v>
      </c>
      <c r="F2278">
        <v>95.41</v>
      </c>
      <c r="G2278" t="s">
        <v>14</v>
      </c>
      <c r="H2278" t="s">
        <v>37</v>
      </c>
      <c r="I2278">
        <v>2.7</v>
      </c>
      <c r="J2278">
        <v>18</v>
      </c>
      <c r="K2278">
        <v>4</v>
      </c>
      <c r="L2278" s="4">
        <v>116.35365853658536</v>
      </c>
      <c r="M2278" s="4">
        <v>20.94365853658536</v>
      </c>
      <c r="N2278" t="s">
        <v>91</v>
      </c>
    </row>
    <row r="2279" spans="1:14">
      <c r="A2279">
        <v>2278</v>
      </c>
      <c r="B2279">
        <v>35</v>
      </c>
      <c r="C2279" t="s">
        <v>16</v>
      </c>
      <c r="D2279" t="s">
        <v>27</v>
      </c>
      <c r="E2279" t="s">
        <v>32</v>
      </c>
      <c r="F2279">
        <v>549.72</v>
      </c>
      <c r="G2279" t="s">
        <v>14</v>
      </c>
      <c r="H2279" t="s">
        <v>15</v>
      </c>
      <c r="I2279">
        <v>2.4</v>
      </c>
      <c r="J2279">
        <v>18</v>
      </c>
      <c r="K2279">
        <v>4</v>
      </c>
      <c r="L2279" s="4">
        <v>670.39024390243901</v>
      </c>
      <c r="M2279" s="4">
        <v>120.67024390243898</v>
      </c>
      <c r="N2279" t="s">
        <v>92</v>
      </c>
    </row>
    <row r="2280" spans="1:14">
      <c r="A2280">
        <v>2279</v>
      </c>
      <c r="B2280">
        <v>21</v>
      </c>
      <c r="C2280" t="s">
        <v>16</v>
      </c>
      <c r="D2280" t="s">
        <v>27</v>
      </c>
      <c r="E2280" t="s">
        <v>28</v>
      </c>
      <c r="F2280">
        <v>2756.53</v>
      </c>
      <c r="G2280" t="s">
        <v>24</v>
      </c>
      <c r="H2280" t="s">
        <v>15</v>
      </c>
      <c r="I2280">
        <v>3.4</v>
      </c>
      <c r="J2280">
        <v>4</v>
      </c>
      <c r="K2280">
        <v>2</v>
      </c>
      <c r="L2280" s="4">
        <v>2871.385416666667</v>
      </c>
      <c r="M2280" s="4">
        <v>114.85541666666677</v>
      </c>
      <c r="N2280" t="s">
        <v>100</v>
      </c>
    </row>
    <row r="2281" spans="1:14">
      <c r="A2281">
        <v>2280</v>
      </c>
      <c r="B2281">
        <v>44</v>
      </c>
      <c r="C2281" t="s">
        <v>11</v>
      </c>
      <c r="D2281" t="s">
        <v>33</v>
      </c>
      <c r="E2281" t="s">
        <v>38</v>
      </c>
      <c r="F2281">
        <v>189.21</v>
      </c>
      <c r="G2281" t="s">
        <v>31</v>
      </c>
      <c r="H2281" t="s">
        <v>15</v>
      </c>
      <c r="I2281">
        <v>5</v>
      </c>
      <c r="J2281">
        <v>12</v>
      </c>
      <c r="K2281">
        <v>6</v>
      </c>
      <c r="L2281" s="4">
        <v>215.01136363636365</v>
      </c>
      <c r="M2281" s="4">
        <v>25.801363636363646</v>
      </c>
      <c r="N2281" t="s">
        <v>92</v>
      </c>
    </row>
    <row r="2282" spans="1:14">
      <c r="A2282">
        <v>2281</v>
      </c>
      <c r="B2282">
        <v>47</v>
      </c>
      <c r="C2282" t="s">
        <v>11</v>
      </c>
      <c r="D2282" t="s">
        <v>41</v>
      </c>
      <c r="E2282" t="s">
        <v>45</v>
      </c>
      <c r="F2282">
        <v>110.42</v>
      </c>
      <c r="G2282" t="s">
        <v>14</v>
      </c>
      <c r="H2282" t="s">
        <v>15</v>
      </c>
      <c r="I2282">
        <v>3.7</v>
      </c>
      <c r="J2282">
        <v>15</v>
      </c>
      <c r="K2282">
        <v>5</v>
      </c>
      <c r="L2282" s="4">
        <v>129.90588235294118</v>
      </c>
      <c r="M2282" s="4">
        <v>19.485882352941175</v>
      </c>
      <c r="N2282" t="s">
        <v>93</v>
      </c>
    </row>
    <row r="2283" spans="1:14">
      <c r="A2283">
        <v>2282</v>
      </c>
      <c r="B2283">
        <v>24</v>
      </c>
      <c r="C2283" t="s">
        <v>16</v>
      </c>
      <c r="D2283" t="s">
        <v>27</v>
      </c>
      <c r="E2283" t="s">
        <v>28</v>
      </c>
      <c r="F2283">
        <v>1152.0999999999999</v>
      </c>
      <c r="G2283" t="s">
        <v>31</v>
      </c>
      <c r="H2283" t="s">
        <v>15</v>
      </c>
      <c r="I2283">
        <v>3.8</v>
      </c>
      <c r="J2283">
        <v>17</v>
      </c>
      <c r="K2283">
        <v>6</v>
      </c>
      <c r="L2283" s="4">
        <v>1388.0722891566265</v>
      </c>
      <c r="M2283" s="4">
        <v>235.97228915662663</v>
      </c>
      <c r="N2283" t="s">
        <v>100</v>
      </c>
    </row>
    <row r="2284" spans="1:14">
      <c r="A2284">
        <v>2283</v>
      </c>
      <c r="B2284">
        <v>56</v>
      </c>
      <c r="C2284" t="s">
        <v>16</v>
      </c>
      <c r="D2284" t="s">
        <v>20</v>
      </c>
      <c r="E2284" t="s">
        <v>39</v>
      </c>
      <c r="F2284">
        <v>114.65</v>
      </c>
      <c r="G2284" t="s">
        <v>19</v>
      </c>
      <c r="H2284" t="s">
        <v>15</v>
      </c>
      <c r="I2284">
        <v>4</v>
      </c>
      <c r="J2284">
        <v>20</v>
      </c>
      <c r="K2284">
        <v>5</v>
      </c>
      <c r="L2284" s="4">
        <v>143.3125</v>
      </c>
      <c r="M2284" s="4">
        <v>28.662499999999994</v>
      </c>
      <c r="N2284" t="s">
        <v>94</v>
      </c>
    </row>
    <row r="2285" spans="1:14">
      <c r="A2285">
        <v>2284</v>
      </c>
      <c r="B2285">
        <v>42</v>
      </c>
      <c r="C2285" t="s">
        <v>11</v>
      </c>
      <c r="D2285" t="s">
        <v>20</v>
      </c>
      <c r="E2285" t="s">
        <v>36</v>
      </c>
      <c r="F2285">
        <v>41.07</v>
      </c>
      <c r="G2285" t="s">
        <v>19</v>
      </c>
      <c r="H2285" t="s">
        <v>37</v>
      </c>
      <c r="I2285">
        <v>4.0999999999999996</v>
      </c>
      <c r="J2285">
        <v>12</v>
      </c>
      <c r="K2285">
        <v>6</v>
      </c>
      <c r="L2285" s="4">
        <v>46.670454545454547</v>
      </c>
      <c r="M2285" s="4">
        <v>5.6004545454545465</v>
      </c>
      <c r="N2285" t="s">
        <v>92</v>
      </c>
    </row>
    <row r="2286" spans="1:14">
      <c r="A2286">
        <v>2285</v>
      </c>
      <c r="B2286">
        <v>61</v>
      </c>
      <c r="C2286" t="s">
        <v>16</v>
      </c>
      <c r="D2286" t="s">
        <v>17</v>
      </c>
      <c r="E2286" t="s">
        <v>18</v>
      </c>
      <c r="F2286">
        <v>74.099999999999994</v>
      </c>
      <c r="G2286" t="s">
        <v>14</v>
      </c>
      <c r="H2286" t="s">
        <v>15</v>
      </c>
      <c r="I2286">
        <v>3.9</v>
      </c>
      <c r="J2286">
        <v>19</v>
      </c>
      <c r="K2286">
        <v>7</v>
      </c>
      <c r="L2286" s="4">
        <v>91.481481481481467</v>
      </c>
      <c r="M2286" s="4">
        <v>17.381481481481472</v>
      </c>
      <c r="N2286" t="s">
        <v>94</v>
      </c>
    </row>
    <row r="2287" spans="1:14">
      <c r="A2287">
        <v>2286</v>
      </c>
      <c r="B2287">
        <v>53</v>
      </c>
      <c r="C2287" t="s">
        <v>11</v>
      </c>
      <c r="D2287" t="s">
        <v>22</v>
      </c>
      <c r="E2287" t="s">
        <v>52</v>
      </c>
      <c r="F2287">
        <v>168.46</v>
      </c>
      <c r="G2287" t="s">
        <v>14</v>
      </c>
      <c r="H2287" t="s">
        <v>15</v>
      </c>
      <c r="I2287">
        <v>3</v>
      </c>
      <c r="J2287">
        <v>21</v>
      </c>
      <c r="K2287">
        <v>8</v>
      </c>
      <c r="L2287" s="4">
        <v>213.24050632911391</v>
      </c>
      <c r="M2287" s="4">
        <v>44.780506329113905</v>
      </c>
      <c r="N2287" t="s">
        <v>93</v>
      </c>
    </row>
    <row r="2288" spans="1:14">
      <c r="A2288">
        <v>2287</v>
      </c>
      <c r="B2288">
        <v>39</v>
      </c>
      <c r="C2288" t="s">
        <v>16</v>
      </c>
      <c r="D2288" t="s">
        <v>27</v>
      </c>
      <c r="E2288" t="s">
        <v>53</v>
      </c>
      <c r="F2288">
        <v>1717.63</v>
      </c>
      <c r="G2288" t="s">
        <v>14</v>
      </c>
      <c r="H2288" t="s">
        <v>15</v>
      </c>
      <c r="I2288">
        <v>4.3</v>
      </c>
      <c r="J2288">
        <v>18</v>
      </c>
      <c r="K2288">
        <v>4</v>
      </c>
      <c r="L2288" s="4">
        <v>2094.6707317073169</v>
      </c>
      <c r="M2288" s="4">
        <v>377.04073170731681</v>
      </c>
      <c r="N2288" t="s">
        <v>92</v>
      </c>
    </row>
    <row r="2289" spans="1:14">
      <c r="A2289">
        <v>2288</v>
      </c>
      <c r="B2289">
        <v>58</v>
      </c>
      <c r="C2289" t="s">
        <v>11</v>
      </c>
      <c r="D2289" t="s">
        <v>12</v>
      </c>
      <c r="E2289" t="s">
        <v>56</v>
      </c>
      <c r="F2289">
        <v>74.28</v>
      </c>
      <c r="G2289" t="s">
        <v>24</v>
      </c>
      <c r="H2289" t="s">
        <v>37</v>
      </c>
      <c r="I2289">
        <v>5</v>
      </c>
      <c r="J2289">
        <v>18</v>
      </c>
      <c r="K2289">
        <v>4</v>
      </c>
      <c r="L2289" s="4">
        <v>90.58536585365853</v>
      </c>
      <c r="M2289" s="4">
        <v>16.305365853658529</v>
      </c>
      <c r="N2289" t="s">
        <v>94</v>
      </c>
    </row>
    <row r="2290" spans="1:14">
      <c r="A2290">
        <v>2289</v>
      </c>
      <c r="B2290">
        <v>70</v>
      </c>
      <c r="C2290" t="s">
        <v>11</v>
      </c>
      <c r="D2290" t="s">
        <v>25</v>
      </c>
      <c r="E2290" t="s">
        <v>57</v>
      </c>
      <c r="F2290">
        <v>52.34</v>
      </c>
      <c r="G2290" t="s">
        <v>24</v>
      </c>
      <c r="H2290" t="s">
        <v>15</v>
      </c>
      <c r="I2290">
        <v>3.8</v>
      </c>
      <c r="J2290">
        <v>18</v>
      </c>
      <c r="K2290">
        <v>4</v>
      </c>
      <c r="L2290" s="4">
        <v>63.829268292682926</v>
      </c>
      <c r="M2290" s="4">
        <v>11.489268292682922</v>
      </c>
      <c r="N2290" t="s">
        <v>95</v>
      </c>
    </row>
    <row r="2291" spans="1:14">
      <c r="A2291">
        <v>2290</v>
      </c>
      <c r="B2291">
        <v>62</v>
      </c>
      <c r="C2291" t="s">
        <v>16</v>
      </c>
      <c r="D2291" t="s">
        <v>17</v>
      </c>
      <c r="E2291" t="s">
        <v>18</v>
      </c>
      <c r="F2291">
        <v>174.7</v>
      </c>
      <c r="G2291" t="s">
        <v>24</v>
      </c>
      <c r="H2291" t="s">
        <v>15</v>
      </c>
      <c r="I2291">
        <v>4.2</v>
      </c>
      <c r="J2291">
        <v>10</v>
      </c>
      <c r="K2291">
        <v>5</v>
      </c>
      <c r="L2291" s="4">
        <v>194.11111111111109</v>
      </c>
      <c r="M2291" s="4">
        <v>19.411111111111097</v>
      </c>
      <c r="N2291" t="s">
        <v>94</v>
      </c>
    </row>
    <row r="2292" spans="1:14">
      <c r="A2292">
        <v>2291</v>
      </c>
      <c r="B2292">
        <v>45</v>
      </c>
      <c r="C2292" t="s">
        <v>16</v>
      </c>
      <c r="D2292" t="s">
        <v>20</v>
      </c>
      <c r="E2292" t="s">
        <v>21</v>
      </c>
      <c r="F2292">
        <v>169.77</v>
      </c>
      <c r="G2292" t="s">
        <v>14</v>
      </c>
      <c r="H2292" t="s">
        <v>15</v>
      </c>
      <c r="I2292">
        <v>4.5999999999999996</v>
      </c>
      <c r="J2292">
        <v>14</v>
      </c>
      <c r="K2292">
        <v>7</v>
      </c>
      <c r="L2292" s="4">
        <v>197.40697674418607</v>
      </c>
      <c r="M2292" s="4">
        <v>27.636976744186057</v>
      </c>
      <c r="N2292" t="s">
        <v>93</v>
      </c>
    </row>
    <row r="2293" spans="1:14">
      <c r="A2293">
        <v>2292</v>
      </c>
      <c r="B2293">
        <v>60</v>
      </c>
      <c r="C2293" t="s">
        <v>16</v>
      </c>
      <c r="D2293" t="s">
        <v>33</v>
      </c>
      <c r="E2293" t="s">
        <v>38</v>
      </c>
      <c r="F2293">
        <v>70.959999999999994</v>
      </c>
      <c r="G2293" t="s">
        <v>19</v>
      </c>
      <c r="H2293" t="s">
        <v>15</v>
      </c>
      <c r="I2293">
        <v>3.6</v>
      </c>
      <c r="J2293">
        <v>20</v>
      </c>
      <c r="K2293">
        <v>5</v>
      </c>
      <c r="L2293" s="4">
        <v>88.699999999999989</v>
      </c>
      <c r="M2293" s="4">
        <v>17.739999999999995</v>
      </c>
      <c r="N2293" t="s">
        <v>94</v>
      </c>
    </row>
    <row r="2294" spans="1:14">
      <c r="A2294">
        <v>2293</v>
      </c>
      <c r="B2294">
        <v>68</v>
      </c>
      <c r="C2294" t="s">
        <v>16</v>
      </c>
      <c r="D2294" t="s">
        <v>20</v>
      </c>
      <c r="E2294" t="s">
        <v>21</v>
      </c>
      <c r="F2294">
        <v>177.66</v>
      </c>
      <c r="G2294" t="s">
        <v>31</v>
      </c>
      <c r="H2294" t="s">
        <v>15</v>
      </c>
      <c r="I2294">
        <v>4.7</v>
      </c>
      <c r="J2294">
        <v>22</v>
      </c>
      <c r="K2294">
        <v>6</v>
      </c>
      <c r="L2294" s="4">
        <v>227.76923076923075</v>
      </c>
      <c r="M2294" s="4">
        <v>50.109230769230749</v>
      </c>
      <c r="N2294" t="s">
        <v>95</v>
      </c>
    </row>
    <row r="2295" spans="1:14">
      <c r="A2295">
        <v>2294</v>
      </c>
      <c r="B2295">
        <v>58</v>
      </c>
      <c r="C2295" t="s">
        <v>11</v>
      </c>
      <c r="D2295" t="s">
        <v>12</v>
      </c>
      <c r="E2295" t="s">
        <v>13</v>
      </c>
      <c r="F2295">
        <v>114.19</v>
      </c>
      <c r="G2295" t="s">
        <v>19</v>
      </c>
      <c r="H2295" t="s">
        <v>15</v>
      </c>
      <c r="I2295">
        <v>1.8</v>
      </c>
      <c r="J2295">
        <v>10</v>
      </c>
      <c r="K2295">
        <v>5</v>
      </c>
      <c r="L2295" s="4">
        <v>126.87777777777777</v>
      </c>
      <c r="M2295" s="4">
        <v>12.687777777777768</v>
      </c>
      <c r="N2295" t="s">
        <v>94</v>
      </c>
    </row>
    <row r="2296" spans="1:14">
      <c r="A2296">
        <v>2295</v>
      </c>
      <c r="B2296">
        <v>66</v>
      </c>
      <c r="C2296" t="s">
        <v>16</v>
      </c>
      <c r="D2296" t="s">
        <v>20</v>
      </c>
      <c r="E2296" t="s">
        <v>36</v>
      </c>
      <c r="F2296">
        <v>242.46</v>
      </c>
      <c r="G2296" t="s">
        <v>19</v>
      </c>
      <c r="H2296" t="s">
        <v>15</v>
      </c>
      <c r="I2296">
        <v>3.9</v>
      </c>
      <c r="J2296">
        <v>12</v>
      </c>
      <c r="K2296">
        <v>6</v>
      </c>
      <c r="L2296" s="4">
        <v>275.52272727272725</v>
      </c>
      <c r="M2296" s="4">
        <v>33.062727272727244</v>
      </c>
      <c r="N2296" t="s">
        <v>95</v>
      </c>
    </row>
    <row r="2297" spans="1:14">
      <c r="A2297">
        <v>2296</v>
      </c>
      <c r="B2297">
        <v>51</v>
      </c>
      <c r="C2297" t="s">
        <v>11</v>
      </c>
      <c r="D2297" t="s">
        <v>12</v>
      </c>
      <c r="E2297" t="s">
        <v>56</v>
      </c>
      <c r="F2297">
        <v>140.91999999999999</v>
      </c>
      <c r="G2297" t="s">
        <v>19</v>
      </c>
      <c r="H2297" t="s">
        <v>15</v>
      </c>
      <c r="I2297">
        <v>2.7</v>
      </c>
      <c r="J2297">
        <v>28</v>
      </c>
      <c r="K2297">
        <v>9</v>
      </c>
      <c r="L2297" s="4">
        <v>195.7222222222222</v>
      </c>
      <c r="M2297" s="4">
        <v>54.802222222222213</v>
      </c>
      <c r="N2297" t="s">
        <v>93</v>
      </c>
    </row>
    <row r="2298" spans="1:14">
      <c r="A2298">
        <v>2297</v>
      </c>
      <c r="B2298">
        <v>55</v>
      </c>
      <c r="C2298" t="s">
        <v>11</v>
      </c>
      <c r="D2298" t="s">
        <v>33</v>
      </c>
      <c r="E2298" t="s">
        <v>40</v>
      </c>
      <c r="F2298">
        <v>81.99</v>
      </c>
      <c r="G2298" t="s">
        <v>31</v>
      </c>
      <c r="H2298" t="s">
        <v>37</v>
      </c>
      <c r="I2298">
        <v>4.7</v>
      </c>
      <c r="J2298">
        <v>18</v>
      </c>
      <c r="K2298">
        <v>9</v>
      </c>
      <c r="L2298" s="4">
        <v>99.987804878048763</v>
      </c>
      <c r="M2298" s="4">
        <v>17.997804878048768</v>
      </c>
      <c r="N2298" t="s">
        <v>94</v>
      </c>
    </row>
    <row r="2299" spans="1:14">
      <c r="A2299">
        <v>2298</v>
      </c>
      <c r="B2299">
        <v>50</v>
      </c>
      <c r="C2299" t="s">
        <v>16</v>
      </c>
      <c r="D2299" t="s">
        <v>33</v>
      </c>
      <c r="E2299" t="s">
        <v>38</v>
      </c>
      <c r="F2299">
        <v>72.37</v>
      </c>
      <c r="G2299" t="s">
        <v>14</v>
      </c>
      <c r="H2299" t="s">
        <v>15</v>
      </c>
      <c r="I2299">
        <v>4.2</v>
      </c>
      <c r="J2299">
        <v>12</v>
      </c>
      <c r="K2299">
        <v>6</v>
      </c>
      <c r="L2299" s="4">
        <v>82.238636363636374</v>
      </c>
      <c r="M2299" s="4">
        <v>9.8686363636363694</v>
      </c>
      <c r="N2299" t="s">
        <v>93</v>
      </c>
    </row>
    <row r="2300" spans="1:14">
      <c r="A2300">
        <v>2299</v>
      </c>
      <c r="B2300">
        <v>36</v>
      </c>
      <c r="C2300" t="s">
        <v>11</v>
      </c>
      <c r="D2300" t="s">
        <v>33</v>
      </c>
      <c r="E2300" t="s">
        <v>38</v>
      </c>
      <c r="F2300">
        <v>174.35</v>
      </c>
      <c r="G2300" t="s">
        <v>14</v>
      </c>
      <c r="H2300" t="s">
        <v>15</v>
      </c>
      <c r="I2300">
        <v>4.2</v>
      </c>
      <c r="J2300">
        <v>16</v>
      </c>
      <c r="K2300">
        <v>3</v>
      </c>
      <c r="L2300" s="4">
        <v>207.55952380952382</v>
      </c>
      <c r="M2300" s="4">
        <v>33.20952380952383</v>
      </c>
      <c r="N2300" t="s">
        <v>92</v>
      </c>
    </row>
    <row r="2301" spans="1:14">
      <c r="A2301">
        <v>2300</v>
      </c>
      <c r="B2301">
        <v>31</v>
      </c>
      <c r="C2301" t="s">
        <v>16</v>
      </c>
      <c r="D2301" t="s">
        <v>17</v>
      </c>
      <c r="E2301" t="s">
        <v>42</v>
      </c>
      <c r="F2301">
        <v>78.33</v>
      </c>
      <c r="G2301" t="s">
        <v>31</v>
      </c>
      <c r="H2301" t="s">
        <v>37</v>
      </c>
      <c r="I2301">
        <v>3.5</v>
      </c>
      <c r="J2301">
        <v>18</v>
      </c>
      <c r="K2301">
        <v>9</v>
      </c>
      <c r="L2301" s="4">
        <v>95.524390243902431</v>
      </c>
      <c r="M2301" s="4">
        <v>17.194390243902433</v>
      </c>
      <c r="N2301" t="s">
        <v>91</v>
      </c>
    </row>
    <row r="2302" spans="1:14">
      <c r="A2302">
        <v>2301</v>
      </c>
      <c r="B2302">
        <v>44</v>
      </c>
      <c r="C2302" t="s">
        <v>11</v>
      </c>
      <c r="D2302" t="s">
        <v>29</v>
      </c>
      <c r="E2302" t="s">
        <v>30</v>
      </c>
      <c r="F2302">
        <v>39.78</v>
      </c>
      <c r="G2302" t="s">
        <v>31</v>
      </c>
      <c r="H2302" t="s">
        <v>37</v>
      </c>
      <c r="I2302">
        <v>3.2</v>
      </c>
      <c r="J2302">
        <v>14</v>
      </c>
      <c r="K2302">
        <v>2</v>
      </c>
      <c r="L2302" s="4">
        <v>46.255813953488371</v>
      </c>
      <c r="M2302" s="4">
        <v>6.4758139534883696</v>
      </c>
      <c r="N2302" t="s">
        <v>92</v>
      </c>
    </row>
    <row r="2303" spans="1:14">
      <c r="A2303">
        <v>2302</v>
      </c>
      <c r="B2303">
        <v>48</v>
      </c>
      <c r="C2303" t="s">
        <v>16</v>
      </c>
      <c r="D2303" t="s">
        <v>17</v>
      </c>
      <c r="E2303" t="s">
        <v>18</v>
      </c>
      <c r="F2303">
        <v>185.38</v>
      </c>
      <c r="G2303" t="s">
        <v>24</v>
      </c>
      <c r="H2303" t="s">
        <v>15</v>
      </c>
      <c r="I2303">
        <v>4</v>
      </c>
      <c r="J2303">
        <v>21</v>
      </c>
      <c r="K2303">
        <v>8</v>
      </c>
      <c r="L2303" s="4">
        <v>234.65822784810126</v>
      </c>
      <c r="M2303" s="4">
        <v>49.278227848101267</v>
      </c>
      <c r="N2303" t="s">
        <v>93</v>
      </c>
    </row>
    <row r="2304" spans="1:14">
      <c r="A2304">
        <v>2303</v>
      </c>
      <c r="B2304">
        <v>56</v>
      </c>
      <c r="C2304" t="s">
        <v>16</v>
      </c>
      <c r="D2304" t="s">
        <v>27</v>
      </c>
      <c r="E2304" t="s">
        <v>49</v>
      </c>
      <c r="F2304">
        <v>1705.8</v>
      </c>
      <c r="G2304" t="s">
        <v>24</v>
      </c>
      <c r="H2304" t="s">
        <v>15</v>
      </c>
      <c r="I2304">
        <v>4.4000000000000004</v>
      </c>
      <c r="J2304">
        <v>12</v>
      </c>
      <c r="K2304">
        <v>6</v>
      </c>
      <c r="L2304" s="4">
        <v>1938.4090909090908</v>
      </c>
      <c r="M2304" s="4">
        <v>232.60909090909081</v>
      </c>
      <c r="N2304" t="s">
        <v>94</v>
      </c>
    </row>
    <row r="2305" spans="1:14">
      <c r="A2305">
        <v>2304</v>
      </c>
      <c r="B2305">
        <v>64</v>
      </c>
      <c r="C2305" t="s">
        <v>11</v>
      </c>
      <c r="D2305" t="s">
        <v>22</v>
      </c>
      <c r="E2305" t="s">
        <v>23</v>
      </c>
      <c r="F2305">
        <v>169.94</v>
      </c>
      <c r="G2305" t="s">
        <v>24</v>
      </c>
      <c r="H2305" t="s">
        <v>15</v>
      </c>
      <c r="I2305">
        <v>4.5</v>
      </c>
      <c r="J2305">
        <v>11</v>
      </c>
      <c r="K2305">
        <v>3</v>
      </c>
      <c r="L2305" s="4">
        <v>190.9438202247191</v>
      </c>
      <c r="M2305" s="4">
        <v>21.003820224719107</v>
      </c>
      <c r="N2305" t="s">
        <v>94</v>
      </c>
    </row>
    <row r="2306" spans="1:14">
      <c r="A2306">
        <v>2305</v>
      </c>
      <c r="B2306">
        <v>61</v>
      </c>
      <c r="C2306" t="s">
        <v>11</v>
      </c>
      <c r="D2306" t="s">
        <v>33</v>
      </c>
      <c r="E2306" t="s">
        <v>34</v>
      </c>
      <c r="F2306">
        <v>50</v>
      </c>
      <c r="G2306" t="s">
        <v>31</v>
      </c>
      <c r="H2306" t="s">
        <v>37</v>
      </c>
      <c r="I2306">
        <v>3.8</v>
      </c>
      <c r="J2306">
        <v>15</v>
      </c>
      <c r="K2306">
        <v>5</v>
      </c>
      <c r="L2306" s="4">
        <v>58.82352941176471</v>
      </c>
      <c r="M2306" s="4">
        <v>8.8235294117647101</v>
      </c>
      <c r="N2306" t="s">
        <v>94</v>
      </c>
    </row>
    <row r="2307" spans="1:14">
      <c r="A2307">
        <v>2306</v>
      </c>
      <c r="B2307">
        <v>27</v>
      </c>
      <c r="C2307" t="s">
        <v>11</v>
      </c>
      <c r="D2307" t="s">
        <v>41</v>
      </c>
      <c r="E2307" t="s">
        <v>42</v>
      </c>
      <c r="F2307">
        <v>60.07</v>
      </c>
      <c r="G2307" t="s">
        <v>14</v>
      </c>
      <c r="H2307" t="s">
        <v>37</v>
      </c>
      <c r="I2307">
        <v>4.2</v>
      </c>
      <c r="J2307">
        <v>13</v>
      </c>
      <c r="K2307">
        <v>4</v>
      </c>
      <c r="L2307" s="4">
        <v>69.045977011494259</v>
      </c>
      <c r="M2307" s="4">
        <v>8.9759770114942583</v>
      </c>
      <c r="N2307" t="s">
        <v>91</v>
      </c>
    </row>
    <row r="2308" spans="1:14">
      <c r="A2308">
        <v>2307</v>
      </c>
      <c r="B2308">
        <v>27</v>
      </c>
      <c r="C2308" t="s">
        <v>11</v>
      </c>
      <c r="D2308" t="s">
        <v>12</v>
      </c>
      <c r="E2308" t="s">
        <v>50</v>
      </c>
      <c r="F2308">
        <v>20.49</v>
      </c>
      <c r="G2308" t="s">
        <v>19</v>
      </c>
      <c r="H2308" t="s">
        <v>15</v>
      </c>
      <c r="I2308">
        <v>4.7</v>
      </c>
      <c r="J2308">
        <v>19</v>
      </c>
      <c r="K2308">
        <v>7</v>
      </c>
      <c r="L2308" s="4">
        <v>25.296296296296294</v>
      </c>
      <c r="M2308" s="4">
        <v>4.8062962962962956</v>
      </c>
      <c r="N2308" t="s">
        <v>91</v>
      </c>
    </row>
    <row r="2309" spans="1:14">
      <c r="A2309">
        <v>2308</v>
      </c>
      <c r="B2309">
        <v>50</v>
      </c>
      <c r="C2309" t="s">
        <v>11</v>
      </c>
      <c r="D2309" t="s">
        <v>12</v>
      </c>
      <c r="E2309" t="s">
        <v>56</v>
      </c>
      <c r="F2309">
        <v>140.16</v>
      </c>
      <c r="G2309" t="s">
        <v>31</v>
      </c>
      <c r="H2309" t="s">
        <v>15</v>
      </c>
      <c r="I2309">
        <v>4.5</v>
      </c>
      <c r="J2309">
        <v>9</v>
      </c>
      <c r="K2309">
        <v>2</v>
      </c>
      <c r="L2309" s="4">
        <v>154.02197802197801</v>
      </c>
      <c r="M2309" s="4">
        <v>13.861978021978018</v>
      </c>
      <c r="N2309" t="s">
        <v>93</v>
      </c>
    </row>
    <row r="2310" spans="1:14">
      <c r="A2310">
        <v>2309</v>
      </c>
      <c r="B2310">
        <v>21</v>
      </c>
      <c r="C2310" t="s">
        <v>11</v>
      </c>
      <c r="D2310" t="s">
        <v>29</v>
      </c>
      <c r="E2310" t="s">
        <v>51</v>
      </c>
      <c r="F2310">
        <v>108.17</v>
      </c>
      <c r="G2310" t="s">
        <v>14</v>
      </c>
      <c r="H2310" t="s">
        <v>15</v>
      </c>
      <c r="I2310">
        <v>4.5</v>
      </c>
      <c r="J2310">
        <v>12</v>
      </c>
      <c r="K2310">
        <v>6</v>
      </c>
      <c r="L2310" s="4">
        <v>122.92045454545455</v>
      </c>
      <c r="M2310" s="4">
        <v>14.750454545454545</v>
      </c>
      <c r="N2310" t="s">
        <v>100</v>
      </c>
    </row>
    <row r="2311" spans="1:14">
      <c r="A2311">
        <v>2310</v>
      </c>
      <c r="B2311">
        <v>65</v>
      </c>
      <c r="C2311" t="s">
        <v>16</v>
      </c>
      <c r="D2311" t="s">
        <v>20</v>
      </c>
      <c r="E2311" t="s">
        <v>21</v>
      </c>
      <c r="F2311">
        <v>153.65</v>
      </c>
      <c r="G2311" t="s">
        <v>14</v>
      </c>
      <c r="H2311" t="s">
        <v>15</v>
      </c>
      <c r="I2311">
        <v>2.9</v>
      </c>
      <c r="J2311">
        <v>23</v>
      </c>
      <c r="K2311">
        <v>9</v>
      </c>
      <c r="L2311" s="4">
        <v>199.54545454545456</v>
      </c>
      <c r="M2311" s="4">
        <v>45.895454545454555</v>
      </c>
      <c r="N2311" t="s">
        <v>95</v>
      </c>
    </row>
    <row r="2312" spans="1:14">
      <c r="A2312">
        <v>2311</v>
      </c>
      <c r="B2312">
        <v>68</v>
      </c>
      <c r="C2312" t="s">
        <v>16</v>
      </c>
      <c r="D2312" t="s">
        <v>33</v>
      </c>
      <c r="E2312" t="s">
        <v>40</v>
      </c>
      <c r="F2312">
        <v>224.62</v>
      </c>
      <c r="G2312" t="s">
        <v>31</v>
      </c>
      <c r="H2312" t="s">
        <v>15</v>
      </c>
      <c r="I2312">
        <v>3.9</v>
      </c>
      <c r="J2312">
        <v>4</v>
      </c>
      <c r="K2312">
        <v>2</v>
      </c>
      <c r="L2312" s="4">
        <v>233.97916666666669</v>
      </c>
      <c r="M2312" s="4">
        <v>9.3591666666666811</v>
      </c>
      <c r="N2312" t="s">
        <v>95</v>
      </c>
    </row>
    <row r="2313" spans="1:14">
      <c r="A2313">
        <v>2312</v>
      </c>
      <c r="B2313">
        <v>45</v>
      </c>
      <c r="C2313" t="s">
        <v>16</v>
      </c>
      <c r="D2313" t="s">
        <v>20</v>
      </c>
      <c r="E2313" t="s">
        <v>21</v>
      </c>
      <c r="F2313">
        <v>111.02</v>
      </c>
      <c r="G2313" t="s">
        <v>24</v>
      </c>
      <c r="H2313" t="s">
        <v>15</v>
      </c>
      <c r="I2313">
        <v>3.4</v>
      </c>
      <c r="J2313">
        <v>10</v>
      </c>
      <c r="K2313">
        <v>5</v>
      </c>
      <c r="L2313" s="4">
        <v>123.35555555555555</v>
      </c>
      <c r="M2313" s="4">
        <v>12.335555555555558</v>
      </c>
      <c r="N2313" t="s">
        <v>93</v>
      </c>
    </row>
    <row r="2314" spans="1:14">
      <c r="A2314">
        <v>2313</v>
      </c>
      <c r="B2314">
        <v>34</v>
      </c>
      <c r="C2314" t="s">
        <v>16</v>
      </c>
      <c r="D2314" t="s">
        <v>17</v>
      </c>
      <c r="E2314" t="s">
        <v>35</v>
      </c>
      <c r="F2314">
        <v>149.08000000000001</v>
      </c>
      <c r="G2314" t="s">
        <v>31</v>
      </c>
      <c r="H2314" t="s">
        <v>15</v>
      </c>
      <c r="I2314">
        <v>3.8</v>
      </c>
      <c r="J2314">
        <v>20</v>
      </c>
      <c r="K2314">
        <v>5</v>
      </c>
      <c r="L2314" s="4">
        <v>186.35</v>
      </c>
      <c r="M2314" s="4">
        <v>37.269999999999982</v>
      </c>
      <c r="N2314" t="s">
        <v>91</v>
      </c>
    </row>
    <row r="2315" spans="1:14">
      <c r="A2315">
        <v>2314</v>
      </c>
      <c r="B2315">
        <v>25</v>
      </c>
      <c r="C2315" t="s">
        <v>16</v>
      </c>
      <c r="D2315" t="s">
        <v>25</v>
      </c>
      <c r="E2315" t="s">
        <v>26</v>
      </c>
      <c r="F2315">
        <v>13.2</v>
      </c>
      <c r="G2315" t="s">
        <v>14</v>
      </c>
      <c r="H2315" t="s">
        <v>15</v>
      </c>
      <c r="I2315">
        <v>3.9</v>
      </c>
      <c r="J2315">
        <v>26</v>
      </c>
      <c r="K2315">
        <v>8</v>
      </c>
      <c r="L2315" s="4">
        <v>17.837837837837839</v>
      </c>
      <c r="M2315" s="4">
        <v>4.6378378378378393</v>
      </c>
      <c r="N2315" t="s">
        <v>91</v>
      </c>
    </row>
    <row r="2316" spans="1:14">
      <c r="A2316">
        <v>2315</v>
      </c>
      <c r="B2316">
        <v>37</v>
      </c>
      <c r="C2316" t="s">
        <v>16</v>
      </c>
      <c r="D2316" t="s">
        <v>22</v>
      </c>
      <c r="E2316" t="s">
        <v>43</v>
      </c>
      <c r="F2316">
        <v>64.239999999999995</v>
      </c>
      <c r="G2316" t="s">
        <v>31</v>
      </c>
      <c r="H2316" t="s">
        <v>15</v>
      </c>
      <c r="I2316">
        <v>3.6</v>
      </c>
      <c r="J2316">
        <v>4</v>
      </c>
      <c r="K2316">
        <v>2</v>
      </c>
      <c r="L2316" s="4">
        <v>66.916666666666657</v>
      </c>
      <c r="M2316" s="4">
        <v>2.6766666666666623</v>
      </c>
      <c r="N2316" t="s">
        <v>92</v>
      </c>
    </row>
    <row r="2317" spans="1:14">
      <c r="A2317">
        <v>2316</v>
      </c>
      <c r="B2317">
        <v>41</v>
      </c>
      <c r="C2317" t="s">
        <v>16</v>
      </c>
      <c r="D2317" t="s">
        <v>20</v>
      </c>
      <c r="E2317" t="s">
        <v>36</v>
      </c>
      <c r="F2317">
        <v>124.84</v>
      </c>
      <c r="G2317" t="s">
        <v>14</v>
      </c>
      <c r="H2317" t="s">
        <v>15</v>
      </c>
      <c r="I2317">
        <v>3.9</v>
      </c>
      <c r="J2317">
        <v>22</v>
      </c>
      <c r="K2317">
        <v>6</v>
      </c>
      <c r="L2317" s="4">
        <v>160.05128205128204</v>
      </c>
      <c r="M2317" s="4">
        <v>35.211282051282041</v>
      </c>
      <c r="N2317" t="s">
        <v>92</v>
      </c>
    </row>
    <row r="2318" spans="1:14">
      <c r="A2318">
        <v>2317</v>
      </c>
      <c r="B2318">
        <v>68</v>
      </c>
      <c r="C2318" t="s">
        <v>16</v>
      </c>
      <c r="D2318" t="s">
        <v>33</v>
      </c>
      <c r="E2318" t="s">
        <v>38</v>
      </c>
      <c r="F2318">
        <v>102.27</v>
      </c>
      <c r="G2318" t="s">
        <v>31</v>
      </c>
      <c r="H2318" t="s">
        <v>15</v>
      </c>
      <c r="I2318">
        <v>3.9</v>
      </c>
      <c r="J2318">
        <v>12</v>
      </c>
      <c r="K2318">
        <v>6</v>
      </c>
      <c r="L2318" s="4">
        <v>116.21590909090908</v>
      </c>
      <c r="M2318" s="4">
        <v>13.945909090909083</v>
      </c>
      <c r="N2318" t="s">
        <v>95</v>
      </c>
    </row>
    <row r="2319" spans="1:14">
      <c r="A2319">
        <v>2318</v>
      </c>
      <c r="B2319">
        <v>46</v>
      </c>
      <c r="C2319" t="s">
        <v>11</v>
      </c>
      <c r="D2319" t="s">
        <v>22</v>
      </c>
      <c r="E2319" t="s">
        <v>23</v>
      </c>
      <c r="F2319">
        <v>186.17</v>
      </c>
      <c r="G2319" t="s">
        <v>19</v>
      </c>
      <c r="H2319" t="s">
        <v>15</v>
      </c>
      <c r="I2319">
        <v>3.7</v>
      </c>
      <c r="J2319">
        <v>22</v>
      </c>
      <c r="K2319">
        <v>6</v>
      </c>
      <c r="L2319" s="4">
        <v>238.67948717948715</v>
      </c>
      <c r="M2319" s="4">
        <v>52.509487179487166</v>
      </c>
      <c r="N2319" t="s">
        <v>93</v>
      </c>
    </row>
    <row r="2320" spans="1:14">
      <c r="A2320">
        <v>2319</v>
      </c>
      <c r="B2320">
        <v>39</v>
      </c>
      <c r="C2320" t="s">
        <v>11</v>
      </c>
      <c r="D2320" t="s">
        <v>41</v>
      </c>
      <c r="E2320" t="s">
        <v>45</v>
      </c>
      <c r="F2320">
        <v>143.51</v>
      </c>
      <c r="G2320" t="s">
        <v>31</v>
      </c>
      <c r="H2320" t="s">
        <v>15</v>
      </c>
      <c r="I2320">
        <v>3.7</v>
      </c>
      <c r="J2320">
        <v>22</v>
      </c>
      <c r="K2320">
        <v>6</v>
      </c>
      <c r="L2320" s="4">
        <v>183.98717948717947</v>
      </c>
      <c r="M2320" s="4">
        <v>40.477179487179484</v>
      </c>
      <c r="N2320" t="s">
        <v>92</v>
      </c>
    </row>
    <row r="2321" spans="1:14">
      <c r="A2321">
        <v>2320</v>
      </c>
      <c r="B2321">
        <v>53</v>
      </c>
      <c r="C2321" t="s">
        <v>16</v>
      </c>
      <c r="D2321" t="s">
        <v>33</v>
      </c>
      <c r="E2321" t="s">
        <v>40</v>
      </c>
      <c r="F2321">
        <v>97.72</v>
      </c>
      <c r="G2321" t="s">
        <v>14</v>
      </c>
      <c r="H2321" t="s">
        <v>15</v>
      </c>
      <c r="I2321">
        <v>3.3</v>
      </c>
      <c r="J2321">
        <v>24</v>
      </c>
      <c r="K2321">
        <v>7</v>
      </c>
      <c r="L2321" s="4">
        <v>128.57894736842104</v>
      </c>
      <c r="M2321" s="4">
        <v>30.858947368421042</v>
      </c>
      <c r="N2321" t="s">
        <v>93</v>
      </c>
    </row>
    <row r="2322" spans="1:14">
      <c r="A2322">
        <v>2321</v>
      </c>
      <c r="B2322">
        <v>47</v>
      </c>
      <c r="C2322" t="s">
        <v>11</v>
      </c>
      <c r="D2322" t="s">
        <v>20</v>
      </c>
      <c r="E2322" t="s">
        <v>21</v>
      </c>
      <c r="F2322">
        <v>212.99</v>
      </c>
      <c r="G2322" t="s">
        <v>14</v>
      </c>
      <c r="H2322" t="s">
        <v>15</v>
      </c>
      <c r="I2322">
        <v>4.0999999999999996</v>
      </c>
      <c r="J2322">
        <v>15</v>
      </c>
      <c r="K2322">
        <v>5</v>
      </c>
      <c r="L2322" s="4">
        <v>250.57647058823531</v>
      </c>
      <c r="M2322" s="4">
        <v>37.586470588235301</v>
      </c>
      <c r="N2322" t="s">
        <v>93</v>
      </c>
    </row>
    <row r="2323" spans="1:14">
      <c r="A2323">
        <v>2322</v>
      </c>
      <c r="B2323">
        <v>70</v>
      </c>
      <c r="C2323" t="s">
        <v>11</v>
      </c>
      <c r="D2323" t="s">
        <v>12</v>
      </c>
      <c r="E2323" t="s">
        <v>50</v>
      </c>
      <c r="F2323">
        <v>149.53</v>
      </c>
      <c r="G2323" t="s">
        <v>31</v>
      </c>
      <c r="H2323" t="s">
        <v>15</v>
      </c>
      <c r="I2323">
        <v>3.8</v>
      </c>
      <c r="J2323">
        <v>8</v>
      </c>
      <c r="K2323">
        <v>4</v>
      </c>
      <c r="L2323" s="4">
        <v>162.53260869565216</v>
      </c>
      <c r="M2323" s="4">
        <v>13.002608695652157</v>
      </c>
      <c r="N2323" t="s">
        <v>95</v>
      </c>
    </row>
    <row r="2324" spans="1:14">
      <c r="A2324">
        <v>2323</v>
      </c>
      <c r="B2324">
        <v>27</v>
      </c>
      <c r="C2324" t="s">
        <v>16</v>
      </c>
      <c r="D2324" t="s">
        <v>33</v>
      </c>
      <c r="E2324" t="s">
        <v>40</v>
      </c>
      <c r="F2324">
        <v>104.13</v>
      </c>
      <c r="G2324" t="s">
        <v>24</v>
      </c>
      <c r="H2324" t="s">
        <v>15</v>
      </c>
      <c r="I2324">
        <v>3</v>
      </c>
      <c r="J2324">
        <v>19</v>
      </c>
      <c r="K2324">
        <v>7</v>
      </c>
      <c r="L2324" s="4">
        <v>128.55555555555554</v>
      </c>
      <c r="M2324" s="4">
        <v>24.425555555555547</v>
      </c>
      <c r="N2324" t="s">
        <v>91</v>
      </c>
    </row>
    <row r="2325" spans="1:14">
      <c r="A2325">
        <v>2324</v>
      </c>
      <c r="B2325">
        <v>66</v>
      </c>
      <c r="C2325" t="s">
        <v>16</v>
      </c>
      <c r="D2325" t="s">
        <v>33</v>
      </c>
      <c r="E2325" t="s">
        <v>40</v>
      </c>
      <c r="F2325">
        <v>86.86</v>
      </c>
      <c r="G2325" t="s">
        <v>19</v>
      </c>
      <c r="H2325" t="s">
        <v>37</v>
      </c>
      <c r="I2325">
        <v>2.6</v>
      </c>
      <c r="J2325">
        <v>12</v>
      </c>
      <c r="K2325">
        <v>6</v>
      </c>
      <c r="L2325" s="4">
        <v>98.704545454545453</v>
      </c>
      <c r="M2325" s="4">
        <v>11.844545454545454</v>
      </c>
      <c r="N2325" t="s">
        <v>95</v>
      </c>
    </row>
    <row r="2326" spans="1:14">
      <c r="A2326">
        <v>2325</v>
      </c>
      <c r="B2326">
        <v>50</v>
      </c>
      <c r="C2326" t="s">
        <v>16</v>
      </c>
      <c r="D2326" t="s">
        <v>33</v>
      </c>
      <c r="E2326" t="s">
        <v>40</v>
      </c>
      <c r="F2326">
        <v>155.91999999999999</v>
      </c>
      <c r="G2326" t="s">
        <v>24</v>
      </c>
      <c r="H2326" t="s">
        <v>15</v>
      </c>
      <c r="I2326">
        <v>2.6</v>
      </c>
      <c r="J2326">
        <v>6</v>
      </c>
      <c r="K2326">
        <v>3</v>
      </c>
      <c r="L2326" s="4">
        <v>165.87234042553192</v>
      </c>
      <c r="M2326" s="4">
        <v>9.9523404255319292</v>
      </c>
      <c r="N2326" t="s">
        <v>93</v>
      </c>
    </row>
    <row r="2327" spans="1:14">
      <c r="A2327">
        <v>2326</v>
      </c>
      <c r="B2327">
        <v>46</v>
      </c>
      <c r="C2327" t="s">
        <v>11</v>
      </c>
      <c r="D2327" t="s">
        <v>29</v>
      </c>
      <c r="E2327" t="s">
        <v>55</v>
      </c>
      <c r="F2327">
        <v>42.37</v>
      </c>
      <c r="G2327" t="s">
        <v>31</v>
      </c>
      <c r="H2327" t="s">
        <v>15</v>
      </c>
      <c r="I2327">
        <v>3.3</v>
      </c>
      <c r="J2327">
        <v>11</v>
      </c>
      <c r="K2327">
        <v>3</v>
      </c>
      <c r="L2327" s="4">
        <v>47.606741573033702</v>
      </c>
      <c r="M2327" s="4">
        <v>5.2367415730337044</v>
      </c>
      <c r="N2327" t="s">
        <v>93</v>
      </c>
    </row>
    <row r="2328" spans="1:14">
      <c r="A2328">
        <v>2327</v>
      </c>
      <c r="B2328">
        <v>34</v>
      </c>
      <c r="C2328" t="s">
        <v>16</v>
      </c>
      <c r="D2328" t="s">
        <v>17</v>
      </c>
      <c r="E2328" t="s">
        <v>35</v>
      </c>
      <c r="F2328">
        <v>55.77</v>
      </c>
      <c r="G2328" t="s">
        <v>14</v>
      </c>
      <c r="H2328" t="s">
        <v>15</v>
      </c>
      <c r="I2328">
        <v>2.4</v>
      </c>
      <c r="J2328">
        <v>10</v>
      </c>
      <c r="K2328">
        <v>5</v>
      </c>
      <c r="L2328" s="4">
        <v>61.966666666666669</v>
      </c>
      <c r="M2328" s="4">
        <v>6.1966666666666654</v>
      </c>
      <c r="N2328" t="s">
        <v>91</v>
      </c>
    </row>
    <row r="2329" spans="1:14">
      <c r="A2329">
        <v>2328</v>
      </c>
      <c r="B2329">
        <v>35</v>
      </c>
      <c r="C2329" t="s">
        <v>11</v>
      </c>
      <c r="D2329" t="s">
        <v>33</v>
      </c>
      <c r="E2329" t="s">
        <v>38</v>
      </c>
      <c r="F2329">
        <v>202.39</v>
      </c>
      <c r="G2329" t="s">
        <v>24</v>
      </c>
      <c r="H2329" t="s">
        <v>15</v>
      </c>
      <c r="I2329">
        <v>2.5</v>
      </c>
      <c r="J2329">
        <v>11</v>
      </c>
      <c r="K2329">
        <v>3</v>
      </c>
      <c r="L2329" s="4">
        <v>227.40449438202245</v>
      </c>
      <c r="M2329" s="4">
        <v>25.014494382022463</v>
      </c>
      <c r="N2329" t="s">
        <v>92</v>
      </c>
    </row>
    <row r="2330" spans="1:14">
      <c r="A2330">
        <v>2329</v>
      </c>
      <c r="B2330">
        <v>30</v>
      </c>
      <c r="C2330" t="s">
        <v>11</v>
      </c>
      <c r="D2330" t="s">
        <v>29</v>
      </c>
      <c r="E2330" t="s">
        <v>51</v>
      </c>
      <c r="F2330">
        <v>146.26</v>
      </c>
      <c r="G2330" t="s">
        <v>24</v>
      </c>
      <c r="H2330" t="s">
        <v>15</v>
      </c>
      <c r="I2330">
        <v>3.9</v>
      </c>
      <c r="J2330">
        <v>7</v>
      </c>
      <c r="K2330">
        <v>1</v>
      </c>
      <c r="L2330" s="4">
        <v>157.26881720430109</v>
      </c>
      <c r="M2330" s="4">
        <v>11.008817204301096</v>
      </c>
      <c r="N2330" t="s">
        <v>91</v>
      </c>
    </row>
    <row r="2331" spans="1:14">
      <c r="A2331">
        <v>2330</v>
      </c>
      <c r="B2331">
        <v>64</v>
      </c>
      <c r="C2331" t="s">
        <v>16</v>
      </c>
      <c r="D2331" t="s">
        <v>27</v>
      </c>
      <c r="E2331" t="s">
        <v>53</v>
      </c>
      <c r="F2331">
        <v>1531.63</v>
      </c>
      <c r="G2331" t="s">
        <v>19</v>
      </c>
      <c r="H2331" t="s">
        <v>15</v>
      </c>
      <c r="I2331">
        <v>4.0999999999999996</v>
      </c>
      <c r="J2331">
        <v>28</v>
      </c>
      <c r="K2331">
        <v>9</v>
      </c>
      <c r="L2331" s="4">
        <v>2127.2638888888891</v>
      </c>
      <c r="M2331" s="4">
        <v>595.63388888888903</v>
      </c>
      <c r="N2331" t="s">
        <v>94</v>
      </c>
    </row>
    <row r="2332" spans="1:14">
      <c r="A2332">
        <v>2331</v>
      </c>
      <c r="B2332">
        <v>42</v>
      </c>
      <c r="C2332" t="s">
        <v>16</v>
      </c>
      <c r="D2332" t="s">
        <v>33</v>
      </c>
      <c r="E2332" t="s">
        <v>38</v>
      </c>
      <c r="F2332">
        <v>53.4</v>
      </c>
      <c r="G2332" t="s">
        <v>31</v>
      </c>
      <c r="H2332" t="s">
        <v>37</v>
      </c>
      <c r="I2332">
        <v>4.4000000000000004</v>
      </c>
      <c r="J2332">
        <v>16</v>
      </c>
      <c r="K2332">
        <v>3</v>
      </c>
      <c r="L2332" s="4">
        <v>63.571428571428569</v>
      </c>
      <c r="M2332" s="4">
        <v>10.171428571428571</v>
      </c>
      <c r="N2332" t="s">
        <v>92</v>
      </c>
    </row>
    <row r="2333" spans="1:14">
      <c r="A2333">
        <v>2332</v>
      </c>
      <c r="B2333">
        <v>70</v>
      </c>
      <c r="C2333" t="s">
        <v>16</v>
      </c>
      <c r="D2333" t="s">
        <v>22</v>
      </c>
      <c r="E2333" t="s">
        <v>23</v>
      </c>
      <c r="F2333">
        <v>255.78</v>
      </c>
      <c r="G2333" t="s">
        <v>14</v>
      </c>
      <c r="H2333" t="s">
        <v>15</v>
      </c>
      <c r="I2333">
        <v>2.9</v>
      </c>
      <c r="J2333">
        <v>20</v>
      </c>
      <c r="K2333">
        <v>5</v>
      </c>
      <c r="L2333" s="4">
        <v>319.72499999999997</v>
      </c>
      <c r="M2333" s="4">
        <v>63.944999999999965</v>
      </c>
      <c r="N2333" t="s">
        <v>95</v>
      </c>
    </row>
    <row r="2334" spans="1:14">
      <c r="A2334">
        <v>2333</v>
      </c>
      <c r="B2334">
        <v>48</v>
      </c>
      <c r="C2334" t="s">
        <v>11</v>
      </c>
      <c r="D2334" t="s">
        <v>41</v>
      </c>
      <c r="E2334" t="s">
        <v>44</v>
      </c>
      <c r="F2334">
        <v>171.19</v>
      </c>
      <c r="G2334" t="s">
        <v>24</v>
      </c>
      <c r="H2334" t="s">
        <v>15</v>
      </c>
      <c r="I2334">
        <v>3.8</v>
      </c>
      <c r="J2334">
        <v>14</v>
      </c>
      <c r="K2334">
        <v>7</v>
      </c>
      <c r="L2334" s="4">
        <v>199.05813953488371</v>
      </c>
      <c r="M2334" s="4">
        <v>27.86813953488371</v>
      </c>
      <c r="N2334" t="s">
        <v>93</v>
      </c>
    </row>
    <row r="2335" spans="1:14">
      <c r="A2335">
        <v>2334</v>
      </c>
      <c r="B2335">
        <v>43</v>
      </c>
      <c r="C2335" t="s">
        <v>11</v>
      </c>
      <c r="D2335" t="s">
        <v>12</v>
      </c>
      <c r="E2335" t="s">
        <v>13</v>
      </c>
      <c r="F2335">
        <v>38.450000000000003</v>
      </c>
      <c r="G2335" t="s">
        <v>24</v>
      </c>
      <c r="H2335" t="s">
        <v>15</v>
      </c>
      <c r="I2335">
        <v>4.2</v>
      </c>
      <c r="J2335">
        <v>19</v>
      </c>
      <c r="K2335">
        <v>7</v>
      </c>
      <c r="L2335" s="4">
        <v>47.46913580246914</v>
      </c>
      <c r="M2335" s="4">
        <v>9.0191358024691368</v>
      </c>
      <c r="N2335" t="s">
        <v>92</v>
      </c>
    </row>
    <row r="2336" spans="1:14">
      <c r="A2336">
        <v>2335</v>
      </c>
      <c r="B2336">
        <v>68</v>
      </c>
      <c r="C2336" t="s">
        <v>16</v>
      </c>
      <c r="D2336" t="s">
        <v>33</v>
      </c>
      <c r="E2336" t="s">
        <v>34</v>
      </c>
      <c r="F2336">
        <v>117.49</v>
      </c>
      <c r="G2336" t="s">
        <v>14</v>
      </c>
      <c r="H2336" t="s">
        <v>15</v>
      </c>
      <c r="I2336">
        <v>4.3</v>
      </c>
      <c r="J2336">
        <v>19</v>
      </c>
      <c r="K2336">
        <v>7</v>
      </c>
      <c r="L2336" s="4">
        <v>145.04938271604937</v>
      </c>
      <c r="M2336" s="4">
        <v>27.55938271604937</v>
      </c>
      <c r="N2336" t="s">
        <v>95</v>
      </c>
    </row>
    <row r="2337" spans="1:14">
      <c r="A2337">
        <v>2336</v>
      </c>
      <c r="B2337">
        <v>64</v>
      </c>
      <c r="C2337" t="s">
        <v>16</v>
      </c>
      <c r="D2337" t="s">
        <v>25</v>
      </c>
      <c r="E2337" t="s">
        <v>54</v>
      </c>
      <c r="F2337">
        <v>8.3699999999999992</v>
      </c>
      <c r="G2337" t="s">
        <v>31</v>
      </c>
      <c r="H2337" t="s">
        <v>37</v>
      </c>
      <c r="I2337">
        <v>4.4000000000000004</v>
      </c>
      <c r="J2337">
        <v>22</v>
      </c>
      <c r="K2337">
        <v>11</v>
      </c>
      <c r="L2337" s="4">
        <v>10.73076923076923</v>
      </c>
      <c r="M2337" s="4">
        <v>2.3607692307692307</v>
      </c>
      <c r="N2337" t="s">
        <v>94</v>
      </c>
    </row>
    <row r="2338" spans="1:14">
      <c r="A2338">
        <v>2337</v>
      </c>
      <c r="B2338">
        <v>45</v>
      </c>
      <c r="C2338" t="s">
        <v>16</v>
      </c>
      <c r="D2338" t="s">
        <v>17</v>
      </c>
      <c r="E2338" t="s">
        <v>18</v>
      </c>
      <c r="F2338">
        <v>157.65</v>
      </c>
      <c r="G2338" t="s">
        <v>24</v>
      </c>
      <c r="H2338" t="s">
        <v>15</v>
      </c>
      <c r="I2338">
        <v>2.7</v>
      </c>
      <c r="J2338">
        <v>15</v>
      </c>
      <c r="K2338">
        <v>5</v>
      </c>
      <c r="L2338" s="4">
        <v>185.47058823529412</v>
      </c>
      <c r="M2338" s="4">
        <v>27.82058823529411</v>
      </c>
      <c r="N2338" t="s">
        <v>93</v>
      </c>
    </row>
    <row r="2339" spans="1:14">
      <c r="A2339">
        <v>2338</v>
      </c>
      <c r="B2339">
        <v>37</v>
      </c>
      <c r="C2339" t="s">
        <v>11</v>
      </c>
      <c r="D2339" t="s">
        <v>12</v>
      </c>
      <c r="E2339" t="s">
        <v>50</v>
      </c>
      <c r="F2339">
        <v>172.44</v>
      </c>
      <c r="G2339" t="s">
        <v>31</v>
      </c>
      <c r="H2339" t="s">
        <v>15</v>
      </c>
      <c r="I2339">
        <v>3.9</v>
      </c>
      <c r="J2339">
        <v>18</v>
      </c>
      <c r="K2339">
        <v>9</v>
      </c>
      <c r="L2339" s="4">
        <v>210.29268292682926</v>
      </c>
      <c r="M2339" s="4">
        <v>37.85268292682926</v>
      </c>
      <c r="N2339" t="s">
        <v>92</v>
      </c>
    </row>
    <row r="2340" spans="1:14">
      <c r="A2340">
        <v>2339</v>
      </c>
      <c r="B2340">
        <v>55</v>
      </c>
      <c r="C2340" t="s">
        <v>11</v>
      </c>
      <c r="D2340" t="s">
        <v>12</v>
      </c>
      <c r="E2340" t="s">
        <v>56</v>
      </c>
      <c r="F2340">
        <v>109.99</v>
      </c>
      <c r="G2340" t="s">
        <v>31</v>
      </c>
      <c r="H2340" t="s">
        <v>15</v>
      </c>
      <c r="I2340">
        <v>3.8</v>
      </c>
      <c r="J2340">
        <v>6</v>
      </c>
      <c r="K2340">
        <v>3</v>
      </c>
      <c r="L2340" s="4">
        <v>117.01063829787235</v>
      </c>
      <c r="M2340" s="4">
        <v>7.0206382978723525</v>
      </c>
      <c r="N2340" t="s">
        <v>94</v>
      </c>
    </row>
    <row r="2341" spans="1:14">
      <c r="A2341">
        <v>2340</v>
      </c>
      <c r="B2341">
        <v>26</v>
      </c>
      <c r="C2341" t="s">
        <v>16</v>
      </c>
      <c r="D2341" t="s">
        <v>33</v>
      </c>
      <c r="E2341" t="s">
        <v>38</v>
      </c>
      <c r="F2341">
        <v>123.73</v>
      </c>
      <c r="G2341" t="s">
        <v>19</v>
      </c>
      <c r="H2341" t="s">
        <v>15</v>
      </c>
      <c r="I2341">
        <v>3.3</v>
      </c>
      <c r="J2341">
        <v>23</v>
      </c>
      <c r="K2341">
        <v>9</v>
      </c>
      <c r="L2341" s="4">
        <v>160.6883116883117</v>
      </c>
      <c r="M2341" s="4">
        <v>36.958311688311696</v>
      </c>
      <c r="N2341" t="s">
        <v>91</v>
      </c>
    </row>
    <row r="2342" spans="1:14">
      <c r="A2342">
        <v>2341</v>
      </c>
      <c r="B2342">
        <v>66</v>
      </c>
      <c r="C2342" t="s">
        <v>11</v>
      </c>
      <c r="D2342" t="s">
        <v>29</v>
      </c>
      <c r="E2342" t="s">
        <v>55</v>
      </c>
      <c r="F2342">
        <v>102.25</v>
      </c>
      <c r="G2342" t="s">
        <v>19</v>
      </c>
      <c r="H2342" t="s">
        <v>15</v>
      </c>
      <c r="I2342">
        <v>3.4</v>
      </c>
      <c r="J2342">
        <v>16</v>
      </c>
      <c r="K2342">
        <v>3</v>
      </c>
      <c r="L2342" s="4">
        <v>121.72619047619048</v>
      </c>
      <c r="M2342" s="4">
        <v>19.476190476190482</v>
      </c>
      <c r="N2342" t="s">
        <v>95</v>
      </c>
    </row>
    <row r="2343" spans="1:14">
      <c r="A2343">
        <v>2342</v>
      </c>
      <c r="B2343">
        <v>49</v>
      </c>
      <c r="C2343" t="s">
        <v>11</v>
      </c>
      <c r="D2343" t="s">
        <v>41</v>
      </c>
      <c r="E2343" t="s">
        <v>46</v>
      </c>
      <c r="F2343">
        <v>46.77</v>
      </c>
      <c r="G2343" t="s">
        <v>31</v>
      </c>
      <c r="H2343" t="s">
        <v>37</v>
      </c>
      <c r="I2343">
        <v>4.4000000000000004</v>
      </c>
      <c r="J2343">
        <v>14</v>
      </c>
      <c r="K2343">
        <v>2</v>
      </c>
      <c r="L2343" s="4">
        <v>54.383720930232563</v>
      </c>
      <c r="M2343" s="4">
        <v>7.6137209302325601</v>
      </c>
      <c r="N2343" t="s">
        <v>93</v>
      </c>
    </row>
    <row r="2344" spans="1:14">
      <c r="A2344">
        <v>2343</v>
      </c>
      <c r="B2344">
        <v>52</v>
      </c>
      <c r="C2344" t="s">
        <v>16</v>
      </c>
      <c r="D2344" t="s">
        <v>33</v>
      </c>
      <c r="E2344" t="s">
        <v>38</v>
      </c>
      <c r="F2344">
        <v>107.99</v>
      </c>
      <c r="G2344" t="s">
        <v>24</v>
      </c>
      <c r="H2344" t="s">
        <v>15</v>
      </c>
      <c r="I2344">
        <v>3.7</v>
      </c>
      <c r="J2344">
        <v>14</v>
      </c>
      <c r="K2344">
        <v>7</v>
      </c>
      <c r="L2344" s="4">
        <v>125.56976744186046</v>
      </c>
      <c r="M2344" s="4">
        <v>17.579767441860469</v>
      </c>
      <c r="N2344" t="s">
        <v>93</v>
      </c>
    </row>
    <row r="2345" spans="1:14">
      <c r="A2345">
        <v>2344</v>
      </c>
      <c r="B2345">
        <v>57</v>
      </c>
      <c r="C2345" t="s">
        <v>11</v>
      </c>
      <c r="D2345" t="s">
        <v>20</v>
      </c>
      <c r="E2345" t="s">
        <v>36</v>
      </c>
      <c r="F2345">
        <v>133.57</v>
      </c>
      <c r="G2345" t="s">
        <v>14</v>
      </c>
      <c r="H2345" t="s">
        <v>15</v>
      </c>
      <c r="I2345">
        <v>3.8</v>
      </c>
      <c r="J2345">
        <v>24</v>
      </c>
      <c r="K2345">
        <v>7</v>
      </c>
      <c r="L2345" s="4">
        <v>175.75</v>
      </c>
      <c r="M2345" s="4">
        <v>42.180000000000007</v>
      </c>
      <c r="N2345" t="s">
        <v>94</v>
      </c>
    </row>
    <row r="2346" spans="1:14">
      <c r="A2346">
        <v>2345</v>
      </c>
      <c r="B2346">
        <v>66</v>
      </c>
      <c r="C2346" t="s">
        <v>16</v>
      </c>
      <c r="D2346" t="s">
        <v>17</v>
      </c>
      <c r="E2346" t="s">
        <v>35</v>
      </c>
      <c r="F2346">
        <v>95.73</v>
      </c>
      <c r="G2346" t="s">
        <v>24</v>
      </c>
      <c r="H2346" t="s">
        <v>37</v>
      </c>
      <c r="I2346">
        <v>2.7</v>
      </c>
      <c r="J2346">
        <v>19</v>
      </c>
      <c r="K2346">
        <v>7</v>
      </c>
      <c r="L2346" s="4">
        <v>118.18518518518518</v>
      </c>
      <c r="M2346" s="4">
        <v>22.455185185185172</v>
      </c>
      <c r="N2346" t="s">
        <v>95</v>
      </c>
    </row>
    <row r="2347" spans="1:14">
      <c r="A2347">
        <v>2346</v>
      </c>
      <c r="B2347">
        <v>55</v>
      </c>
      <c r="C2347" t="s">
        <v>16</v>
      </c>
      <c r="D2347" t="s">
        <v>33</v>
      </c>
      <c r="E2347" t="s">
        <v>38</v>
      </c>
      <c r="F2347">
        <v>97.58</v>
      </c>
      <c r="G2347" t="s">
        <v>19</v>
      </c>
      <c r="H2347" t="s">
        <v>15</v>
      </c>
      <c r="I2347">
        <v>3.5</v>
      </c>
      <c r="J2347">
        <v>16</v>
      </c>
      <c r="K2347">
        <v>3</v>
      </c>
      <c r="L2347" s="4">
        <v>116.16666666666667</v>
      </c>
      <c r="M2347" s="4">
        <v>18.586666666666673</v>
      </c>
      <c r="N2347" t="s">
        <v>94</v>
      </c>
    </row>
    <row r="2348" spans="1:14">
      <c r="A2348">
        <v>2347</v>
      </c>
      <c r="B2348">
        <v>34</v>
      </c>
      <c r="C2348" t="s">
        <v>11</v>
      </c>
      <c r="D2348" t="s">
        <v>33</v>
      </c>
      <c r="E2348" t="s">
        <v>38</v>
      </c>
      <c r="F2348">
        <v>46.66</v>
      </c>
      <c r="G2348" t="s">
        <v>14</v>
      </c>
      <c r="H2348" t="s">
        <v>15</v>
      </c>
      <c r="I2348">
        <v>4.0999999999999996</v>
      </c>
      <c r="J2348">
        <v>15</v>
      </c>
      <c r="K2348">
        <v>5</v>
      </c>
      <c r="L2348" s="4">
        <v>54.89411764705882</v>
      </c>
      <c r="M2348" s="4">
        <v>8.2341176470588238</v>
      </c>
      <c r="N2348" t="s">
        <v>91</v>
      </c>
    </row>
    <row r="2349" spans="1:14">
      <c r="A2349">
        <v>2348</v>
      </c>
      <c r="B2349">
        <v>57</v>
      </c>
      <c r="C2349" t="s">
        <v>11</v>
      </c>
      <c r="D2349" t="s">
        <v>41</v>
      </c>
      <c r="E2349" t="s">
        <v>44</v>
      </c>
      <c r="F2349">
        <v>120.4</v>
      </c>
      <c r="G2349" t="s">
        <v>19</v>
      </c>
      <c r="H2349" t="s">
        <v>15</v>
      </c>
      <c r="I2349">
        <v>3.5</v>
      </c>
      <c r="J2349">
        <v>18</v>
      </c>
      <c r="K2349">
        <v>4</v>
      </c>
      <c r="L2349" s="4">
        <v>146.82926829268291</v>
      </c>
      <c r="M2349" s="4">
        <v>26.429268292682906</v>
      </c>
      <c r="N2349" t="s">
        <v>94</v>
      </c>
    </row>
    <row r="2350" spans="1:14">
      <c r="A2350">
        <v>2349</v>
      </c>
      <c r="B2350">
        <v>25</v>
      </c>
      <c r="C2350" t="s">
        <v>11</v>
      </c>
      <c r="D2350" t="s">
        <v>25</v>
      </c>
      <c r="E2350" t="s">
        <v>57</v>
      </c>
      <c r="F2350">
        <v>32.25</v>
      </c>
      <c r="G2350" t="s">
        <v>24</v>
      </c>
      <c r="H2350" t="s">
        <v>37</v>
      </c>
      <c r="I2350">
        <v>3.5</v>
      </c>
      <c r="J2350">
        <v>15</v>
      </c>
      <c r="K2350">
        <v>5</v>
      </c>
      <c r="L2350" s="4">
        <v>37.941176470588239</v>
      </c>
      <c r="M2350" s="4">
        <v>5.6911764705882391</v>
      </c>
      <c r="N2350" t="s">
        <v>91</v>
      </c>
    </row>
    <row r="2351" spans="1:14">
      <c r="A2351">
        <v>2350</v>
      </c>
      <c r="B2351">
        <v>56</v>
      </c>
      <c r="C2351" t="s">
        <v>11</v>
      </c>
      <c r="D2351" t="s">
        <v>29</v>
      </c>
      <c r="E2351" t="s">
        <v>51</v>
      </c>
      <c r="F2351">
        <v>140.52000000000001</v>
      </c>
      <c r="G2351" t="s">
        <v>14</v>
      </c>
      <c r="H2351" t="s">
        <v>15</v>
      </c>
      <c r="I2351">
        <v>3.7</v>
      </c>
      <c r="J2351">
        <v>6</v>
      </c>
      <c r="K2351">
        <v>3</v>
      </c>
      <c r="L2351" s="4">
        <v>149.48936170212767</v>
      </c>
      <c r="M2351" s="4">
        <v>8.9693617021276566</v>
      </c>
      <c r="N2351" t="s">
        <v>94</v>
      </c>
    </row>
    <row r="2352" spans="1:14">
      <c r="A2352">
        <v>2351</v>
      </c>
      <c r="B2352">
        <v>63</v>
      </c>
      <c r="C2352" t="s">
        <v>16</v>
      </c>
      <c r="D2352" t="s">
        <v>17</v>
      </c>
      <c r="E2352" t="s">
        <v>35</v>
      </c>
      <c r="F2352">
        <v>56.51</v>
      </c>
      <c r="G2352" t="s">
        <v>19</v>
      </c>
      <c r="H2352" t="s">
        <v>15</v>
      </c>
      <c r="I2352">
        <v>3.4</v>
      </c>
      <c r="J2352">
        <v>13</v>
      </c>
      <c r="K2352">
        <v>4</v>
      </c>
      <c r="L2352" s="4">
        <v>64.954022988505741</v>
      </c>
      <c r="M2352" s="4">
        <v>8.4440229885057434</v>
      </c>
      <c r="N2352" t="s">
        <v>94</v>
      </c>
    </row>
    <row r="2353" spans="1:14">
      <c r="A2353">
        <v>2352</v>
      </c>
      <c r="B2353">
        <v>41</v>
      </c>
      <c r="C2353" t="s">
        <v>16</v>
      </c>
      <c r="D2353" t="s">
        <v>27</v>
      </c>
      <c r="E2353" t="s">
        <v>32</v>
      </c>
      <c r="F2353">
        <v>1053.68</v>
      </c>
      <c r="G2353" t="s">
        <v>31</v>
      </c>
      <c r="H2353" t="s">
        <v>15</v>
      </c>
      <c r="I2353">
        <v>3.5</v>
      </c>
      <c r="J2353">
        <v>6</v>
      </c>
      <c r="K2353">
        <v>3</v>
      </c>
      <c r="L2353" s="4">
        <v>1120.936170212766</v>
      </c>
      <c r="M2353" s="4">
        <v>67.256170212765937</v>
      </c>
      <c r="N2353" t="s">
        <v>92</v>
      </c>
    </row>
    <row r="2354" spans="1:14">
      <c r="A2354">
        <v>2353</v>
      </c>
      <c r="B2354">
        <v>57</v>
      </c>
      <c r="C2354" t="s">
        <v>16</v>
      </c>
      <c r="D2354" t="s">
        <v>17</v>
      </c>
      <c r="E2354" t="s">
        <v>18</v>
      </c>
      <c r="F2354">
        <v>147.72999999999999</v>
      </c>
      <c r="G2354" t="s">
        <v>24</v>
      </c>
      <c r="H2354" t="s">
        <v>15</v>
      </c>
      <c r="I2354">
        <v>3.6</v>
      </c>
      <c r="J2354">
        <v>15</v>
      </c>
      <c r="K2354">
        <v>5</v>
      </c>
      <c r="L2354" s="4">
        <v>173.79999999999998</v>
      </c>
      <c r="M2354" s="4">
        <v>26.069999999999993</v>
      </c>
      <c r="N2354" t="s">
        <v>94</v>
      </c>
    </row>
    <row r="2355" spans="1:14">
      <c r="A2355">
        <v>2354</v>
      </c>
      <c r="B2355">
        <v>29</v>
      </c>
      <c r="C2355" t="s">
        <v>11</v>
      </c>
      <c r="D2355" t="s">
        <v>22</v>
      </c>
      <c r="E2355" t="s">
        <v>23</v>
      </c>
      <c r="F2355">
        <v>58.79</v>
      </c>
      <c r="G2355" t="s">
        <v>14</v>
      </c>
      <c r="H2355" t="s">
        <v>37</v>
      </c>
      <c r="I2355">
        <v>2.4</v>
      </c>
      <c r="J2355">
        <v>18</v>
      </c>
      <c r="K2355">
        <v>9</v>
      </c>
      <c r="L2355" s="4">
        <v>71.695121951219505</v>
      </c>
      <c r="M2355" s="4">
        <v>12.905121951219506</v>
      </c>
      <c r="N2355" t="s">
        <v>91</v>
      </c>
    </row>
    <row r="2356" spans="1:14">
      <c r="A2356">
        <v>2355</v>
      </c>
      <c r="B2356">
        <v>52</v>
      </c>
      <c r="C2356" t="s">
        <v>11</v>
      </c>
      <c r="D2356" t="s">
        <v>25</v>
      </c>
      <c r="E2356" t="s">
        <v>47</v>
      </c>
      <c r="F2356">
        <v>17.37</v>
      </c>
      <c r="G2356" t="s">
        <v>24</v>
      </c>
      <c r="H2356" t="s">
        <v>37</v>
      </c>
      <c r="I2356">
        <v>4.3</v>
      </c>
      <c r="J2356">
        <v>17</v>
      </c>
      <c r="K2356">
        <v>6</v>
      </c>
      <c r="L2356" s="4">
        <v>20.927710843373497</v>
      </c>
      <c r="M2356" s="4">
        <v>3.5577108433734956</v>
      </c>
      <c r="N2356" t="s">
        <v>93</v>
      </c>
    </row>
    <row r="2357" spans="1:14">
      <c r="A2357">
        <v>2356</v>
      </c>
      <c r="B2357">
        <v>59</v>
      </c>
      <c r="C2357" t="s">
        <v>11</v>
      </c>
      <c r="D2357" t="s">
        <v>12</v>
      </c>
      <c r="E2357" t="s">
        <v>56</v>
      </c>
      <c r="F2357">
        <v>153.74</v>
      </c>
      <c r="G2357" t="s">
        <v>24</v>
      </c>
      <c r="H2357" t="s">
        <v>15</v>
      </c>
      <c r="I2357">
        <v>4</v>
      </c>
      <c r="J2357">
        <v>15</v>
      </c>
      <c r="K2357">
        <v>5</v>
      </c>
      <c r="L2357" s="4">
        <v>180.87058823529412</v>
      </c>
      <c r="M2357" s="4">
        <v>27.130588235294113</v>
      </c>
      <c r="N2357" t="s">
        <v>94</v>
      </c>
    </row>
    <row r="2358" spans="1:14">
      <c r="A2358">
        <v>2357</v>
      </c>
      <c r="B2358">
        <v>70</v>
      </c>
      <c r="C2358" t="s">
        <v>16</v>
      </c>
      <c r="D2358" t="s">
        <v>25</v>
      </c>
      <c r="E2358" t="s">
        <v>54</v>
      </c>
      <c r="F2358">
        <v>22.29</v>
      </c>
      <c r="G2358" t="s">
        <v>24</v>
      </c>
      <c r="H2358" t="s">
        <v>37</v>
      </c>
      <c r="I2358">
        <v>4.2</v>
      </c>
      <c r="J2358">
        <v>12</v>
      </c>
      <c r="K2358">
        <v>6</v>
      </c>
      <c r="L2358" s="4">
        <v>25.329545454545453</v>
      </c>
      <c r="M2358" s="4">
        <v>3.0395454545454541</v>
      </c>
      <c r="N2358" t="s">
        <v>95</v>
      </c>
    </row>
    <row r="2359" spans="1:14">
      <c r="A2359">
        <v>2358</v>
      </c>
      <c r="B2359">
        <v>50</v>
      </c>
      <c r="C2359" t="s">
        <v>11</v>
      </c>
      <c r="D2359" t="s">
        <v>29</v>
      </c>
      <c r="E2359" t="s">
        <v>51</v>
      </c>
      <c r="F2359">
        <v>29.51</v>
      </c>
      <c r="G2359" t="s">
        <v>19</v>
      </c>
      <c r="H2359" t="s">
        <v>37</v>
      </c>
      <c r="I2359">
        <v>4.2</v>
      </c>
      <c r="J2359">
        <v>34</v>
      </c>
      <c r="K2359">
        <v>12</v>
      </c>
      <c r="L2359" s="4">
        <v>44.712121212121218</v>
      </c>
      <c r="M2359" s="4">
        <v>15.202121212121217</v>
      </c>
      <c r="N2359" t="s">
        <v>93</v>
      </c>
    </row>
    <row r="2360" spans="1:14">
      <c r="A2360">
        <v>2359</v>
      </c>
      <c r="B2360">
        <v>24</v>
      </c>
      <c r="C2360" t="s">
        <v>16</v>
      </c>
      <c r="D2360" t="s">
        <v>20</v>
      </c>
      <c r="E2360" t="s">
        <v>36</v>
      </c>
      <c r="F2360">
        <v>232.38</v>
      </c>
      <c r="G2360" t="s">
        <v>19</v>
      </c>
      <c r="H2360" t="s">
        <v>15</v>
      </c>
      <c r="I2360">
        <v>4.7</v>
      </c>
      <c r="J2360">
        <v>22</v>
      </c>
      <c r="K2360">
        <v>6</v>
      </c>
      <c r="L2360" s="4">
        <v>297.92307692307691</v>
      </c>
      <c r="M2360" s="4">
        <v>65.54307692307691</v>
      </c>
      <c r="N2360" t="s">
        <v>100</v>
      </c>
    </row>
    <row r="2361" spans="1:14">
      <c r="A2361">
        <v>2360</v>
      </c>
      <c r="B2361">
        <v>45</v>
      </c>
      <c r="C2361" t="s">
        <v>11</v>
      </c>
      <c r="D2361" t="s">
        <v>20</v>
      </c>
      <c r="E2361" t="s">
        <v>36</v>
      </c>
      <c r="F2361">
        <v>107.39</v>
      </c>
      <c r="G2361" t="s">
        <v>19</v>
      </c>
      <c r="H2361" t="s">
        <v>15</v>
      </c>
      <c r="I2361">
        <v>4.0999999999999996</v>
      </c>
      <c r="J2361">
        <v>12</v>
      </c>
      <c r="K2361">
        <v>6</v>
      </c>
      <c r="L2361" s="4">
        <v>122.03409090909091</v>
      </c>
      <c r="M2361" s="4">
        <v>14.644090909090906</v>
      </c>
      <c r="N2361" t="s">
        <v>93</v>
      </c>
    </row>
    <row r="2362" spans="1:14">
      <c r="A2362">
        <v>2361</v>
      </c>
      <c r="B2362">
        <v>59</v>
      </c>
      <c r="C2362" t="s">
        <v>11</v>
      </c>
      <c r="D2362" t="s">
        <v>12</v>
      </c>
      <c r="E2362" t="s">
        <v>13</v>
      </c>
      <c r="F2362">
        <v>97.16</v>
      </c>
      <c r="G2362" t="s">
        <v>24</v>
      </c>
      <c r="H2362" t="s">
        <v>37</v>
      </c>
      <c r="I2362">
        <v>2.9</v>
      </c>
      <c r="J2362">
        <v>17</v>
      </c>
      <c r="K2362">
        <v>6</v>
      </c>
      <c r="L2362" s="4">
        <v>117.06024096385542</v>
      </c>
      <c r="M2362" s="4">
        <v>19.900240963855424</v>
      </c>
      <c r="N2362" t="s">
        <v>94</v>
      </c>
    </row>
    <row r="2363" spans="1:14">
      <c r="A2363">
        <v>2362</v>
      </c>
      <c r="B2363">
        <v>46</v>
      </c>
      <c r="C2363" t="s">
        <v>16</v>
      </c>
      <c r="D2363" t="s">
        <v>20</v>
      </c>
      <c r="E2363" t="s">
        <v>39</v>
      </c>
      <c r="F2363">
        <v>173.47</v>
      </c>
      <c r="G2363" t="s">
        <v>19</v>
      </c>
      <c r="H2363" t="s">
        <v>15</v>
      </c>
      <c r="I2363">
        <v>4</v>
      </c>
      <c r="J2363">
        <v>24</v>
      </c>
      <c r="K2363">
        <v>7</v>
      </c>
      <c r="L2363" s="4">
        <v>228.25</v>
      </c>
      <c r="M2363" s="4">
        <v>54.78</v>
      </c>
      <c r="N2363" t="s">
        <v>93</v>
      </c>
    </row>
    <row r="2364" spans="1:14">
      <c r="A2364">
        <v>2363</v>
      </c>
      <c r="B2364">
        <v>42</v>
      </c>
      <c r="C2364" t="s">
        <v>11</v>
      </c>
      <c r="D2364" t="s">
        <v>33</v>
      </c>
      <c r="E2364" t="s">
        <v>34</v>
      </c>
      <c r="F2364">
        <v>119.21</v>
      </c>
      <c r="G2364" t="s">
        <v>31</v>
      </c>
      <c r="H2364" t="s">
        <v>15</v>
      </c>
      <c r="I2364">
        <v>2.7</v>
      </c>
      <c r="J2364">
        <v>6</v>
      </c>
      <c r="K2364">
        <v>3</v>
      </c>
      <c r="L2364" s="4">
        <v>126.81914893617021</v>
      </c>
      <c r="M2364" s="4">
        <v>7.6091489361702145</v>
      </c>
      <c r="N2364" t="s">
        <v>92</v>
      </c>
    </row>
    <row r="2365" spans="1:14">
      <c r="A2365">
        <v>2364</v>
      </c>
      <c r="B2365">
        <v>56</v>
      </c>
      <c r="C2365" t="s">
        <v>16</v>
      </c>
      <c r="D2365" t="s">
        <v>20</v>
      </c>
      <c r="E2365" t="s">
        <v>36</v>
      </c>
      <c r="F2365">
        <v>39.86</v>
      </c>
      <c r="G2365" t="s">
        <v>24</v>
      </c>
      <c r="H2365" t="s">
        <v>15</v>
      </c>
      <c r="I2365">
        <v>2.9</v>
      </c>
      <c r="J2365">
        <v>4</v>
      </c>
      <c r="K2365">
        <v>2</v>
      </c>
      <c r="L2365" s="4">
        <v>41.520833333333336</v>
      </c>
      <c r="M2365" s="4">
        <v>1.6608333333333363</v>
      </c>
      <c r="N2365" t="s">
        <v>94</v>
      </c>
    </row>
    <row r="2366" spans="1:14">
      <c r="A2366">
        <v>2365</v>
      </c>
      <c r="B2366">
        <v>22</v>
      </c>
      <c r="C2366" t="s">
        <v>16</v>
      </c>
      <c r="D2366" t="s">
        <v>27</v>
      </c>
      <c r="E2366" t="s">
        <v>32</v>
      </c>
      <c r="F2366">
        <v>504.91</v>
      </c>
      <c r="G2366" t="s">
        <v>31</v>
      </c>
      <c r="H2366" t="s">
        <v>15</v>
      </c>
      <c r="I2366">
        <v>3.8</v>
      </c>
      <c r="J2366">
        <v>15</v>
      </c>
      <c r="K2366">
        <v>5</v>
      </c>
      <c r="L2366" s="4">
        <v>594.01176470588234</v>
      </c>
      <c r="M2366" s="4">
        <v>89.101764705882317</v>
      </c>
      <c r="N2366" t="s">
        <v>100</v>
      </c>
    </row>
    <row r="2367" spans="1:14">
      <c r="A2367">
        <v>2366</v>
      </c>
      <c r="B2367">
        <v>45</v>
      </c>
      <c r="C2367" t="s">
        <v>16</v>
      </c>
      <c r="D2367" t="s">
        <v>33</v>
      </c>
      <c r="E2367" t="s">
        <v>40</v>
      </c>
      <c r="F2367">
        <v>96.52</v>
      </c>
      <c r="G2367" t="s">
        <v>19</v>
      </c>
      <c r="H2367" t="s">
        <v>37</v>
      </c>
      <c r="I2367">
        <v>3.3</v>
      </c>
      <c r="J2367">
        <v>11</v>
      </c>
      <c r="K2367">
        <v>3</v>
      </c>
      <c r="L2367" s="4">
        <v>108.44943820224718</v>
      </c>
      <c r="M2367" s="4">
        <v>11.929438202247184</v>
      </c>
      <c r="N2367" t="s">
        <v>93</v>
      </c>
    </row>
    <row r="2368" spans="1:14">
      <c r="A2368">
        <v>2367</v>
      </c>
      <c r="B2368">
        <v>34</v>
      </c>
      <c r="C2368" t="s">
        <v>16</v>
      </c>
      <c r="D2368" t="s">
        <v>33</v>
      </c>
      <c r="E2368" t="s">
        <v>34</v>
      </c>
      <c r="F2368">
        <v>109.16</v>
      </c>
      <c r="G2368" t="s">
        <v>19</v>
      </c>
      <c r="H2368" t="s">
        <v>15</v>
      </c>
      <c r="I2368">
        <v>3.7</v>
      </c>
      <c r="J2368">
        <v>13</v>
      </c>
      <c r="K2368">
        <v>4</v>
      </c>
      <c r="L2368" s="4">
        <v>125.47126436781609</v>
      </c>
      <c r="M2368" s="4">
        <v>16.311264367816094</v>
      </c>
      <c r="N2368" t="s">
        <v>91</v>
      </c>
    </row>
    <row r="2369" spans="1:14">
      <c r="A2369">
        <v>2368</v>
      </c>
      <c r="B2369">
        <v>69</v>
      </c>
      <c r="C2369" t="s">
        <v>11</v>
      </c>
      <c r="D2369" t="s">
        <v>12</v>
      </c>
      <c r="E2369" t="s">
        <v>56</v>
      </c>
      <c r="F2369">
        <v>145.25</v>
      </c>
      <c r="G2369" t="s">
        <v>24</v>
      </c>
      <c r="H2369" t="s">
        <v>15</v>
      </c>
      <c r="I2369">
        <v>4.7</v>
      </c>
      <c r="J2369">
        <v>11</v>
      </c>
      <c r="K2369">
        <v>3</v>
      </c>
      <c r="L2369" s="4">
        <v>163.20224719101122</v>
      </c>
      <c r="M2369" s="4">
        <v>17.952247191011224</v>
      </c>
      <c r="N2369" t="s">
        <v>95</v>
      </c>
    </row>
    <row r="2370" spans="1:14">
      <c r="A2370">
        <v>2369</v>
      </c>
      <c r="B2370">
        <v>57</v>
      </c>
      <c r="C2370" t="s">
        <v>11</v>
      </c>
      <c r="D2370" t="s">
        <v>41</v>
      </c>
      <c r="E2370" t="s">
        <v>45</v>
      </c>
      <c r="F2370">
        <v>193.36</v>
      </c>
      <c r="G2370" t="s">
        <v>31</v>
      </c>
      <c r="H2370" t="s">
        <v>15</v>
      </c>
      <c r="I2370">
        <v>3.8</v>
      </c>
      <c r="J2370">
        <v>20</v>
      </c>
      <c r="K2370">
        <v>5</v>
      </c>
      <c r="L2370" s="4">
        <v>241.70000000000002</v>
      </c>
      <c r="M2370" s="4">
        <v>48.34</v>
      </c>
      <c r="N2370" t="s">
        <v>94</v>
      </c>
    </row>
    <row r="2371" spans="1:14">
      <c r="A2371">
        <v>2370</v>
      </c>
      <c r="B2371">
        <v>36</v>
      </c>
      <c r="C2371" t="s">
        <v>16</v>
      </c>
      <c r="D2371" t="s">
        <v>33</v>
      </c>
      <c r="E2371" t="s">
        <v>38</v>
      </c>
      <c r="F2371">
        <v>116.93</v>
      </c>
      <c r="G2371" t="s">
        <v>14</v>
      </c>
      <c r="H2371" t="s">
        <v>15</v>
      </c>
      <c r="I2371">
        <v>4.8</v>
      </c>
      <c r="J2371">
        <v>32</v>
      </c>
      <c r="K2371">
        <v>11</v>
      </c>
      <c r="L2371" s="4">
        <v>171.95588235294119</v>
      </c>
      <c r="M2371" s="4">
        <v>55.025882352941181</v>
      </c>
      <c r="N2371" t="s">
        <v>92</v>
      </c>
    </row>
    <row r="2372" spans="1:14">
      <c r="A2372">
        <v>2371</v>
      </c>
      <c r="B2372">
        <v>53</v>
      </c>
      <c r="C2372" t="s">
        <v>11</v>
      </c>
      <c r="D2372" t="s">
        <v>12</v>
      </c>
      <c r="E2372" t="s">
        <v>50</v>
      </c>
      <c r="F2372">
        <v>152.31</v>
      </c>
      <c r="G2372" t="s">
        <v>24</v>
      </c>
      <c r="H2372" t="s">
        <v>15</v>
      </c>
      <c r="I2372">
        <v>4.7</v>
      </c>
      <c r="J2372">
        <v>18</v>
      </c>
      <c r="K2372">
        <v>4</v>
      </c>
      <c r="L2372" s="4">
        <v>185.74390243902437</v>
      </c>
      <c r="M2372" s="4">
        <v>33.433902439024365</v>
      </c>
      <c r="N2372" t="s">
        <v>93</v>
      </c>
    </row>
    <row r="2373" spans="1:14">
      <c r="A2373">
        <v>2372</v>
      </c>
      <c r="B2373">
        <v>27</v>
      </c>
      <c r="C2373" t="s">
        <v>16</v>
      </c>
      <c r="D2373" t="s">
        <v>20</v>
      </c>
      <c r="E2373" t="s">
        <v>36</v>
      </c>
      <c r="F2373">
        <v>52.75</v>
      </c>
      <c r="G2373" t="s">
        <v>19</v>
      </c>
      <c r="H2373" t="s">
        <v>15</v>
      </c>
      <c r="I2373">
        <v>3.8</v>
      </c>
      <c r="J2373">
        <v>19</v>
      </c>
      <c r="K2373">
        <v>7</v>
      </c>
      <c r="L2373" s="4">
        <v>65.123456790123456</v>
      </c>
      <c r="M2373" s="4">
        <v>12.373456790123456</v>
      </c>
      <c r="N2373" t="s">
        <v>91</v>
      </c>
    </row>
    <row r="2374" spans="1:14">
      <c r="A2374">
        <v>2373</v>
      </c>
      <c r="B2374">
        <v>49</v>
      </c>
      <c r="C2374" t="s">
        <v>11</v>
      </c>
      <c r="D2374" t="s">
        <v>29</v>
      </c>
      <c r="E2374" t="s">
        <v>55</v>
      </c>
      <c r="F2374">
        <v>141.08000000000001</v>
      </c>
      <c r="G2374" t="s">
        <v>31</v>
      </c>
      <c r="H2374" t="s">
        <v>15</v>
      </c>
      <c r="I2374">
        <v>4.5</v>
      </c>
      <c r="J2374">
        <v>23</v>
      </c>
      <c r="K2374">
        <v>9</v>
      </c>
      <c r="L2374" s="4">
        <v>183.22077922077924</v>
      </c>
      <c r="M2374" s="4">
        <v>42.140779220779223</v>
      </c>
      <c r="N2374" t="s">
        <v>93</v>
      </c>
    </row>
    <row r="2375" spans="1:14">
      <c r="A2375">
        <v>2374</v>
      </c>
      <c r="B2375">
        <v>45</v>
      </c>
      <c r="C2375" t="s">
        <v>11</v>
      </c>
      <c r="D2375" t="s">
        <v>25</v>
      </c>
      <c r="E2375" t="s">
        <v>26</v>
      </c>
      <c r="F2375">
        <v>79</v>
      </c>
      <c r="G2375" t="s">
        <v>19</v>
      </c>
      <c r="H2375" t="s">
        <v>37</v>
      </c>
      <c r="I2375">
        <v>3.1</v>
      </c>
      <c r="J2375">
        <v>11</v>
      </c>
      <c r="K2375">
        <v>3</v>
      </c>
      <c r="L2375" s="4">
        <v>88.764044943820224</v>
      </c>
      <c r="M2375" s="4">
        <v>9.7640449438202239</v>
      </c>
      <c r="N2375" t="s">
        <v>93</v>
      </c>
    </row>
    <row r="2376" spans="1:14">
      <c r="A2376">
        <v>2375</v>
      </c>
      <c r="B2376">
        <v>58</v>
      </c>
      <c r="C2376" t="s">
        <v>11</v>
      </c>
      <c r="D2376" t="s">
        <v>22</v>
      </c>
      <c r="E2376" t="s">
        <v>23</v>
      </c>
      <c r="F2376">
        <v>53.86</v>
      </c>
      <c r="G2376" t="s">
        <v>19</v>
      </c>
      <c r="H2376" t="s">
        <v>15</v>
      </c>
      <c r="I2376">
        <v>4</v>
      </c>
      <c r="J2376">
        <v>8</v>
      </c>
      <c r="K2376">
        <v>4</v>
      </c>
      <c r="L2376" s="4">
        <v>58.543478260869563</v>
      </c>
      <c r="M2376" s="4">
        <v>4.6834782608695633</v>
      </c>
      <c r="N2376" t="s">
        <v>94</v>
      </c>
    </row>
    <row r="2377" spans="1:14">
      <c r="A2377">
        <v>2376</v>
      </c>
      <c r="B2377">
        <v>57</v>
      </c>
      <c r="C2377" t="s">
        <v>16</v>
      </c>
      <c r="D2377" t="s">
        <v>20</v>
      </c>
      <c r="E2377" t="s">
        <v>39</v>
      </c>
      <c r="F2377">
        <v>143.78</v>
      </c>
      <c r="G2377" t="s">
        <v>31</v>
      </c>
      <c r="H2377" t="s">
        <v>15</v>
      </c>
      <c r="I2377">
        <v>3.1</v>
      </c>
      <c r="J2377">
        <v>8</v>
      </c>
      <c r="K2377">
        <v>4</v>
      </c>
      <c r="L2377" s="4">
        <v>156.28260869565216</v>
      </c>
      <c r="M2377" s="4">
        <v>12.502608695652157</v>
      </c>
      <c r="N2377" t="s">
        <v>94</v>
      </c>
    </row>
    <row r="2378" spans="1:14">
      <c r="A2378">
        <v>2377</v>
      </c>
      <c r="B2378">
        <v>50</v>
      </c>
      <c r="C2378" t="s">
        <v>11</v>
      </c>
      <c r="D2378" t="s">
        <v>33</v>
      </c>
      <c r="E2378" t="s">
        <v>38</v>
      </c>
      <c r="F2378">
        <v>225.05</v>
      </c>
      <c r="G2378" t="s">
        <v>31</v>
      </c>
      <c r="H2378" t="s">
        <v>15</v>
      </c>
      <c r="I2378">
        <v>3.8</v>
      </c>
      <c r="J2378">
        <v>11</v>
      </c>
      <c r="K2378">
        <v>3</v>
      </c>
      <c r="L2378" s="4">
        <v>252.86516853932585</v>
      </c>
      <c r="M2378" s="4">
        <v>27.815168539325839</v>
      </c>
      <c r="N2378" t="s">
        <v>93</v>
      </c>
    </row>
    <row r="2379" spans="1:14">
      <c r="A2379">
        <v>2378</v>
      </c>
      <c r="B2379">
        <v>26</v>
      </c>
      <c r="C2379" t="s">
        <v>16</v>
      </c>
      <c r="D2379" t="s">
        <v>20</v>
      </c>
      <c r="E2379" t="s">
        <v>39</v>
      </c>
      <c r="F2379">
        <v>180.74</v>
      </c>
      <c r="G2379" t="s">
        <v>19</v>
      </c>
      <c r="H2379" t="s">
        <v>15</v>
      </c>
      <c r="I2379">
        <v>4.2</v>
      </c>
      <c r="J2379">
        <v>32</v>
      </c>
      <c r="K2379">
        <v>11</v>
      </c>
      <c r="L2379" s="4">
        <v>265.79411764705884</v>
      </c>
      <c r="M2379" s="4">
        <v>85.054117647058831</v>
      </c>
      <c r="N2379" t="s">
        <v>91</v>
      </c>
    </row>
    <row r="2380" spans="1:14">
      <c r="A2380">
        <v>2379</v>
      </c>
      <c r="B2380">
        <v>31</v>
      </c>
      <c r="C2380" t="s">
        <v>16</v>
      </c>
      <c r="D2380" t="s">
        <v>20</v>
      </c>
      <c r="E2380" t="s">
        <v>21</v>
      </c>
      <c r="F2380">
        <v>197.61</v>
      </c>
      <c r="G2380" t="s">
        <v>14</v>
      </c>
      <c r="H2380" t="s">
        <v>15</v>
      </c>
      <c r="I2380">
        <v>3.5</v>
      </c>
      <c r="J2380">
        <v>12</v>
      </c>
      <c r="K2380">
        <v>6</v>
      </c>
      <c r="L2380" s="4">
        <v>224.55681818181819</v>
      </c>
      <c r="M2380" s="4">
        <v>26.946818181818173</v>
      </c>
      <c r="N2380" t="s">
        <v>91</v>
      </c>
    </row>
    <row r="2381" spans="1:14">
      <c r="A2381">
        <v>2380</v>
      </c>
      <c r="B2381">
        <v>59</v>
      </c>
      <c r="C2381" t="s">
        <v>11</v>
      </c>
      <c r="D2381" t="s">
        <v>41</v>
      </c>
      <c r="E2381" t="s">
        <v>45</v>
      </c>
      <c r="F2381">
        <v>192.86</v>
      </c>
      <c r="G2381" t="s">
        <v>19</v>
      </c>
      <c r="H2381" t="s">
        <v>15</v>
      </c>
      <c r="I2381">
        <v>4.2</v>
      </c>
      <c r="J2381">
        <v>18</v>
      </c>
      <c r="K2381">
        <v>4</v>
      </c>
      <c r="L2381" s="4">
        <v>235.19512195121951</v>
      </c>
      <c r="M2381" s="4">
        <v>42.335121951219492</v>
      </c>
      <c r="N2381" t="s">
        <v>94</v>
      </c>
    </row>
    <row r="2382" spans="1:14">
      <c r="A2382">
        <v>2381</v>
      </c>
      <c r="B2382">
        <v>36</v>
      </c>
      <c r="C2382" t="s">
        <v>11</v>
      </c>
      <c r="D2382" t="s">
        <v>41</v>
      </c>
      <c r="E2382" t="s">
        <v>46</v>
      </c>
      <c r="F2382">
        <v>71.03</v>
      </c>
      <c r="G2382" t="s">
        <v>31</v>
      </c>
      <c r="H2382" t="s">
        <v>15</v>
      </c>
      <c r="I2382">
        <v>4.8</v>
      </c>
      <c r="J2382">
        <v>22</v>
      </c>
      <c r="K2382">
        <v>6</v>
      </c>
      <c r="L2382" s="4">
        <v>91.064102564102569</v>
      </c>
      <c r="M2382" s="4">
        <v>20.034102564102568</v>
      </c>
      <c r="N2382" t="s">
        <v>92</v>
      </c>
    </row>
    <row r="2383" spans="1:14">
      <c r="A2383">
        <v>2382</v>
      </c>
      <c r="B2383">
        <v>37</v>
      </c>
      <c r="C2383" t="s">
        <v>11</v>
      </c>
      <c r="D2383" t="s">
        <v>29</v>
      </c>
      <c r="E2383" t="s">
        <v>30</v>
      </c>
      <c r="F2383">
        <v>90.69</v>
      </c>
      <c r="G2383" t="s">
        <v>14</v>
      </c>
      <c r="H2383" t="s">
        <v>15</v>
      </c>
      <c r="I2383">
        <v>4.3</v>
      </c>
      <c r="J2383">
        <v>10</v>
      </c>
      <c r="K2383">
        <v>0</v>
      </c>
      <c r="L2383" s="4">
        <v>100.76666666666667</v>
      </c>
      <c r="M2383" s="4">
        <v>10.076666666666668</v>
      </c>
      <c r="N2383" t="s">
        <v>92</v>
      </c>
    </row>
    <row r="2384" spans="1:14">
      <c r="A2384">
        <v>2383</v>
      </c>
      <c r="B2384">
        <v>60</v>
      </c>
      <c r="C2384" t="s">
        <v>11</v>
      </c>
      <c r="D2384" t="s">
        <v>29</v>
      </c>
      <c r="E2384" t="s">
        <v>55</v>
      </c>
      <c r="F2384">
        <v>75.290000000000006</v>
      </c>
      <c r="G2384" t="s">
        <v>19</v>
      </c>
      <c r="H2384" t="s">
        <v>15</v>
      </c>
      <c r="I2384">
        <v>5</v>
      </c>
      <c r="J2384">
        <v>20</v>
      </c>
      <c r="K2384">
        <v>5</v>
      </c>
      <c r="L2384" s="4">
        <v>94.112499999999997</v>
      </c>
      <c r="M2384" s="4">
        <v>18.822499999999991</v>
      </c>
      <c r="N2384" t="s">
        <v>94</v>
      </c>
    </row>
    <row r="2385" spans="1:14">
      <c r="A2385">
        <v>2384</v>
      </c>
      <c r="B2385">
        <v>27</v>
      </c>
      <c r="C2385" t="s">
        <v>16</v>
      </c>
      <c r="D2385" t="s">
        <v>17</v>
      </c>
      <c r="E2385" t="s">
        <v>48</v>
      </c>
      <c r="F2385">
        <v>62.41</v>
      </c>
      <c r="G2385" t="s">
        <v>19</v>
      </c>
      <c r="H2385" t="s">
        <v>37</v>
      </c>
      <c r="I2385">
        <v>2.9</v>
      </c>
      <c r="J2385">
        <v>13</v>
      </c>
      <c r="K2385">
        <v>4</v>
      </c>
      <c r="L2385" s="4">
        <v>71.735632183908038</v>
      </c>
      <c r="M2385" s="4">
        <v>9.3256321839080414</v>
      </c>
      <c r="N2385" t="s">
        <v>91</v>
      </c>
    </row>
    <row r="2386" spans="1:14">
      <c r="A2386">
        <v>2385</v>
      </c>
      <c r="B2386">
        <v>65</v>
      </c>
      <c r="C2386" t="s">
        <v>16</v>
      </c>
      <c r="D2386" t="s">
        <v>17</v>
      </c>
      <c r="E2386" t="s">
        <v>48</v>
      </c>
      <c r="F2386">
        <v>169.17</v>
      </c>
      <c r="G2386" t="s">
        <v>14</v>
      </c>
      <c r="H2386" t="s">
        <v>15</v>
      </c>
      <c r="I2386">
        <v>3.8</v>
      </c>
      <c r="J2386">
        <v>10</v>
      </c>
      <c r="K2386">
        <v>5</v>
      </c>
      <c r="L2386" s="4">
        <v>187.96666666666664</v>
      </c>
      <c r="M2386" s="4">
        <v>18.796666666666653</v>
      </c>
      <c r="N2386" t="s">
        <v>95</v>
      </c>
    </row>
    <row r="2387" spans="1:14">
      <c r="A2387">
        <v>2386</v>
      </c>
      <c r="B2387">
        <v>39</v>
      </c>
      <c r="C2387" t="s">
        <v>16</v>
      </c>
      <c r="D2387" t="s">
        <v>27</v>
      </c>
      <c r="E2387" t="s">
        <v>28</v>
      </c>
      <c r="F2387">
        <v>2886.67</v>
      </c>
      <c r="G2387" t="s">
        <v>31</v>
      </c>
      <c r="H2387" t="s">
        <v>15</v>
      </c>
      <c r="I2387">
        <v>3.6</v>
      </c>
      <c r="J2387">
        <v>19</v>
      </c>
      <c r="K2387">
        <v>7</v>
      </c>
      <c r="L2387" s="4">
        <v>3563.7901234567898</v>
      </c>
      <c r="M2387" s="4">
        <v>677.12012345678977</v>
      </c>
      <c r="N2387" t="s">
        <v>92</v>
      </c>
    </row>
    <row r="2388" spans="1:14">
      <c r="A2388">
        <v>2387</v>
      </c>
      <c r="B2388">
        <v>60</v>
      </c>
      <c r="C2388" t="s">
        <v>16</v>
      </c>
      <c r="D2388" t="s">
        <v>33</v>
      </c>
      <c r="E2388" t="s">
        <v>40</v>
      </c>
      <c r="F2388">
        <v>144.37</v>
      </c>
      <c r="G2388" t="s">
        <v>24</v>
      </c>
      <c r="H2388" t="s">
        <v>15</v>
      </c>
      <c r="I2388">
        <v>4.4000000000000004</v>
      </c>
      <c r="J2388">
        <v>18</v>
      </c>
      <c r="K2388">
        <v>4</v>
      </c>
      <c r="L2388" s="4">
        <v>176.0609756097561</v>
      </c>
      <c r="M2388" s="4">
        <v>31.690975609756094</v>
      </c>
      <c r="N2388" t="s">
        <v>94</v>
      </c>
    </row>
    <row r="2389" spans="1:14">
      <c r="A2389">
        <v>2388</v>
      </c>
      <c r="B2389">
        <v>56</v>
      </c>
      <c r="C2389" t="s">
        <v>16</v>
      </c>
      <c r="D2389" t="s">
        <v>25</v>
      </c>
      <c r="E2389" t="s">
        <v>54</v>
      </c>
      <c r="F2389">
        <v>23.35</v>
      </c>
      <c r="G2389" t="s">
        <v>24</v>
      </c>
      <c r="H2389" t="s">
        <v>15</v>
      </c>
      <c r="I2389">
        <v>4.9000000000000004</v>
      </c>
      <c r="J2389">
        <v>17</v>
      </c>
      <c r="K2389">
        <v>6</v>
      </c>
      <c r="L2389" s="4">
        <v>28.132530120481931</v>
      </c>
      <c r="M2389" s="4">
        <v>4.7825301204819297</v>
      </c>
      <c r="N2389" t="s">
        <v>94</v>
      </c>
    </row>
    <row r="2390" spans="1:14">
      <c r="A2390">
        <v>2389</v>
      </c>
      <c r="B2390">
        <v>32</v>
      </c>
      <c r="C2390" t="s">
        <v>16</v>
      </c>
      <c r="D2390" t="s">
        <v>17</v>
      </c>
      <c r="E2390" t="s">
        <v>42</v>
      </c>
      <c r="F2390">
        <v>191.09</v>
      </c>
      <c r="G2390" t="s">
        <v>31</v>
      </c>
      <c r="H2390" t="s">
        <v>15</v>
      </c>
      <c r="I2390">
        <v>4.2</v>
      </c>
      <c r="J2390">
        <v>14</v>
      </c>
      <c r="K2390">
        <v>7</v>
      </c>
      <c r="L2390" s="4">
        <v>222.19767441860466</v>
      </c>
      <c r="M2390" s="4">
        <v>31.10767441860466</v>
      </c>
      <c r="N2390" t="s">
        <v>91</v>
      </c>
    </row>
    <row r="2391" spans="1:14">
      <c r="A2391">
        <v>2390</v>
      </c>
      <c r="B2391">
        <v>47</v>
      </c>
      <c r="C2391" t="s">
        <v>11</v>
      </c>
      <c r="D2391" t="s">
        <v>33</v>
      </c>
      <c r="E2391" t="s">
        <v>34</v>
      </c>
      <c r="F2391">
        <v>69.52</v>
      </c>
      <c r="G2391" t="s">
        <v>31</v>
      </c>
      <c r="H2391" t="s">
        <v>37</v>
      </c>
      <c r="I2391">
        <v>3.2</v>
      </c>
      <c r="J2391">
        <v>20</v>
      </c>
      <c r="K2391">
        <v>5</v>
      </c>
      <c r="L2391" s="4">
        <v>86.899999999999991</v>
      </c>
      <c r="M2391" s="4">
        <v>17.379999999999995</v>
      </c>
      <c r="N2391" t="s">
        <v>93</v>
      </c>
    </row>
    <row r="2392" spans="1:14">
      <c r="A2392">
        <v>2391</v>
      </c>
      <c r="B2392">
        <v>55</v>
      </c>
      <c r="C2392" t="s">
        <v>16</v>
      </c>
      <c r="D2392" t="s">
        <v>17</v>
      </c>
      <c r="E2392" t="s">
        <v>42</v>
      </c>
      <c r="F2392">
        <v>119.06</v>
      </c>
      <c r="G2392" t="s">
        <v>14</v>
      </c>
      <c r="H2392" t="s">
        <v>15</v>
      </c>
      <c r="I2392">
        <v>3.6</v>
      </c>
      <c r="J2392">
        <v>8</v>
      </c>
      <c r="K2392">
        <v>4</v>
      </c>
      <c r="L2392" s="4">
        <v>129.41304347826087</v>
      </c>
      <c r="M2392" s="4">
        <v>10.353043478260872</v>
      </c>
      <c r="N2392" t="s">
        <v>94</v>
      </c>
    </row>
    <row r="2393" spans="1:14">
      <c r="A2393">
        <v>2392</v>
      </c>
      <c r="B2393">
        <v>52</v>
      </c>
      <c r="C2393" t="s">
        <v>11</v>
      </c>
      <c r="D2393" t="s">
        <v>29</v>
      </c>
      <c r="E2393" t="s">
        <v>51</v>
      </c>
      <c r="F2393">
        <v>64.56</v>
      </c>
      <c r="G2393" t="s">
        <v>24</v>
      </c>
      <c r="H2393" t="s">
        <v>15</v>
      </c>
      <c r="I2393">
        <v>3.2</v>
      </c>
      <c r="J2393">
        <v>12</v>
      </c>
      <c r="K2393">
        <v>6</v>
      </c>
      <c r="L2393" s="4">
        <v>73.36363636363636</v>
      </c>
      <c r="M2393" s="4">
        <v>8.8036363636363575</v>
      </c>
      <c r="N2393" t="s">
        <v>93</v>
      </c>
    </row>
    <row r="2394" spans="1:14">
      <c r="A2394">
        <v>2393</v>
      </c>
      <c r="B2394">
        <v>59</v>
      </c>
      <c r="C2394" t="s">
        <v>11</v>
      </c>
      <c r="D2394" t="s">
        <v>33</v>
      </c>
      <c r="E2394" t="s">
        <v>40</v>
      </c>
      <c r="F2394">
        <v>90.14</v>
      </c>
      <c r="G2394" t="s">
        <v>19</v>
      </c>
      <c r="H2394" t="s">
        <v>37</v>
      </c>
      <c r="I2394">
        <v>3.9</v>
      </c>
      <c r="J2394">
        <v>11</v>
      </c>
      <c r="K2394">
        <v>3</v>
      </c>
      <c r="L2394" s="4">
        <v>101.28089887640449</v>
      </c>
      <c r="M2394" s="4">
        <v>11.140898876404492</v>
      </c>
      <c r="N2394" t="s">
        <v>94</v>
      </c>
    </row>
    <row r="2395" spans="1:14">
      <c r="A2395">
        <v>2394</v>
      </c>
      <c r="B2395">
        <v>32</v>
      </c>
      <c r="C2395" t="s">
        <v>16</v>
      </c>
      <c r="D2395" t="s">
        <v>27</v>
      </c>
      <c r="E2395" t="s">
        <v>53</v>
      </c>
      <c r="F2395">
        <v>1690.64</v>
      </c>
      <c r="G2395" t="s">
        <v>19</v>
      </c>
      <c r="H2395" t="s">
        <v>15</v>
      </c>
      <c r="I2395">
        <v>4.5999999999999996</v>
      </c>
      <c r="J2395">
        <v>18</v>
      </c>
      <c r="K2395">
        <v>4</v>
      </c>
      <c r="L2395" s="4">
        <v>2061.7560975609754</v>
      </c>
      <c r="M2395" s="4">
        <v>371.11609756097528</v>
      </c>
      <c r="N2395" t="s">
        <v>91</v>
      </c>
    </row>
    <row r="2396" spans="1:14">
      <c r="A2396">
        <v>2395</v>
      </c>
      <c r="B2396">
        <v>60</v>
      </c>
      <c r="C2396" t="s">
        <v>11</v>
      </c>
      <c r="D2396" t="s">
        <v>33</v>
      </c>
      <c r="E2396" t="s">
        <v>38</v>
      </c>
      <c r="F2396">
        <v>136.97</v>
      </c>
      <c r="G2396" t="s">
        <v>31</v>
      </c>
      <c r="H2396" t="s">
        <v>15</v>
      </c>
      <c r="I2396">
        <v>4.5</v>
      </c>
      <c r="J2396">
        <v>11</v>
      </c>
      <c r="K2396">
        <v>3</v>
      </c>
      <c r="L2396" s="4">
        <v>153.89887640449439</v>
      </c>
      <c r="M2396" s="4">
        <v>16.928876404494389</v>
      </c>
      <c r="N2396" t="s">
        <v>94</v>
      </c>
    </row>
    <row r="2397" spans="1:14">
      <c r="A2397">
        <v>2396</v>
      </c>
      <c r="B2397">
        <v>66</v>
      </c>
      <c r="C2397" t="s">
        <v>16</v>
      </c>
      <c r="D2397" t="s">
        <v>22</v>
      </c>
      <c r="E2397" t="s">
        <v>43</v>
      </c>
      <c r="F2397">
        <v>116.48</v>
      </c>
      <c r="G2397" t="s">
        <v>19</v>
      </c>
      <c r="H2397" t="s">
        <v>15</v>
      </c>
      <c r="I2397">
        <v>5</v>
      </c>
      <c r="J2397">
        <v>24</v>
      </c>
      <c r="K2397">
        <v>12</v>
      </c>
      <c r="L2397" s="4">
        <v>153.26315789473685</v>
      </c>
      <c r="M2397" s="4">
        <v>36.783157894736846</v>
      </c>
      <c r="N2397" t="s">
        <v>95</v>
      </c>
    </row>
    <row r="2398" spans="1:14">
      <c r="A2398">
        <v>2397</v>
      </c>
      <c r="B2398">
        <v>22</v>
      </c>
      <c r="C2398" t="s">
        <v>16</v>
      </c>
      <c r="D2398" t="s">
        <v>27</v>
      </c>
      <c r="E2398" t="s">
        <v>28</v>
      </c>
      <c r="F2398">
        <v>503.66</v>
      </c>
      <c r="G2398" t="s">
        <v>24</v>
      </c>
      <c r="H2398" t="s">
        <v>15</v>
      </c>
      <c r="I2398">
        <v>2.8</v>
      </c>
      <c r="J2398">
        <v>14</v>
      </c>
      <c r="K2398">
        <v>7</v>
      </c>
      <c r="L2398" s="4">
        <v>585.65116279069775</v>
      </c>
      <c r="M2398" s="4">
        <v>81.991162790697729</v>
      </c>
      <c r="N2398" t="s">
        <v>100</v>
      </c>
    </row>
    <row r="2399" spans="1:14">
      <c r="A2399">
        <v>2398</v>
      </c>
      <c r="B2399">
        <v>21</v>
      </c>
      <c r="C2399" t="s">
        <v>11</v>
      </c>
      <c r="D2399" t="s">
        <v>33</v>
      </c>
      <c r="E2399" t="s">
        <v>40</v>
      </c>
      <c r="F2399">
        <v>176.14</v>
      </c>
      <c r="G2399" t="s">
        <v>14</v>
      </c>
      <c r="H2399" t="s">
        <v>15</v>
      </c>
      <c r="I2399">
        <v>3.6</v>
      </c>
      <c r="J2399">
        <v>26</v>
      </c>
      <c r="K2399">
        <v>8</v>
      </c>
      <c r="L2399" s="4">
        <v>238.027027027027</v>
      </c>
      <c r="M2399" s="4">
        <v>61.887027027027017</v>
      </c>
      <c r="N2399" t="s">
        <v>100</v>
      </c>
    </row>
    <row r="2400" spans="1:14">
      <c r="A2400">
        <v>2399</v>
      </c>
      <c r="B2400">
        <v>61</v>
      </c>
      <c r="C2400" t="s">
        <v>11</v>
      </c>
      <c r="D2400" t="s">
        <v>33</v>
      </c>
      <c r="E2400" t="s">
        <v>34</v>
      </c>
      <c r="F2400">
        <v>202.84</v>
      </c>
      <c r="G2400" t="s">
        <v>19</v>
      </c>
      <c r="H2400" t="s">
        <v>15</v>
      </c>
      <c r="I2400">
        <v>3.2</v>
      </c>
      <c r="J2400">
        <v>10</v>
      </c>
      <c r="K2400">
        <v>5</v>
      </c>
      <c r="L2400" s="4">
        <v>225.37777777777777</v>
      </c>
      <c r="M2400" s="4">
        <v>22.537777777777762</v>
      </c>
      <c r="N2400" t="s">
        <v>94</v>
      </c>
    </row>
    <row r="2401" spans="1:14">
      <c r="A2401">
        <v>2400</v>
      </c>
      <c r="B2401">
        <v>45</v>
      </c>
      <c r="C2401" t="s">
        <v>16</v>
      </c>
      <c r="D2401" t="s">
        <v>33</v>
      </c>
      <c r="E2401" t="s">
        <v>38</v>
      </c>
      <c r="F2401">
        <v>95.24</v>
      </c>
      <c r="G2401" t="s">
        <v>24</v>
      </c>
      <c r="H2401" t="s">
        <v>37</v>
      </c>
      <c r="I2401">
        <v>4.5999999999999996</v>
      </c>
      <c r="J2401">
        <v>11</v>
      </c>
      <c r="K2401">
        <v>3</v>
      </c>
      <c r="L2401" s="4">
        <v>107.01123595505618</v>
      </c>
      <c r="M2401" s="4">
        <v>11.771235955056184</v>
      </c>
      <c r="N2401" t="s">
        <v>93</v>
      </c>
    </row>
    <row r="2402" spans="1:14">
      <c r="A2402">
        <v>2401</v>
      </c>
      <c r="B2402">
        <v>59</v>
      </c>
      <c r="C2402" t="s">
        <v>11</v>
      </c>
      <c r="D2402" t="s">
        <v>41</v>
      </c>
      <c r="E2402" t="s">
        <v>45</v>
      </c>
      <c r="F2402">
        <v>188.01</v>
      </c>
      <c r="G2402" t="s">
        <v>24</v>
      </c>
      <c r="H2402" t="s">
        <v>15</v>
      </c>
      <c r="I2402">
        <v>2.8</v>
      </c>
      <c r="J2402">
        <v>12</v>
      </c>
      <c r="K2402">
        <v>6</v>
      </c>
      <c r="L2402" s="4">
        <v>213.64772727272725</v>
      </c>
      <c r="M2402" s="4">
        <v>25.637727272727261</v>
      </c>
      <c r="N2402" t="s">
        <v>94</v>
      </c>
    </row>
    <row r="2403" spans="1:14">
      <c r="A2403">
        <v>2402</v>
      </c>
      <c r="B2403">
        <v>50</v>
      </c>
      <c r="C2403" t="s">
        <v>16</v>
      </c>
      <c r="D2403" t="s">
        <v>25</v>
      </c>
      <c r="E2403" t="s">
        <v>57</v>
      </c>
      <c r="F2403">
        <v>11.64</v>
      </c>
      <c r="G2403" t="s">
        <v>31</v>
      </c>
      <c r="H2403" t="s">
        <v>37</v>
      </c>
      <c r="I2403">
        <v>2.8</v>
      </c>
      <c r="J2403">
        <v>2</v>
      </c>
      <c r="K2403">
        <v>1</v>
      </c>
      <c r="L2403" s="4">
        <v>11.877551020408164</v>
      </c>
      <c r="M2403" s="4">
        <v>0.23755102040816389</v>
      </c>
      <c r="N2403" t="s">
        <v>93</v>
      </c>
    </row>
    <row r="2404" spans="1:14">
      <c r="A2404">
        <v>2403</v>
      </c>
      <c r="B2404">
        <v>61</v>
      </c>
      <c r="C2404" t="s">
        <v>16</v>
      </c>
      <c r="D2404" t="s">
        <v>25</v>
      </c>
      <c r="E2404" t="s">
        <v>57</v>
      </c>
      <c r="F2404">
        <v>49.05</v>
      </c>
      <c r="G2404" t="s">
        <v>31</v>
      </c>
      <c r="H2404" t="s">
        <v>15</v>
      </c>
      <c r="I2404">
        <v>2.7</v>
      </c>
      <c r="J2404">
        <v>22</v>
      </c>
      <c r="K2404">
        <v>6</v>
      </c>
      <c r="L2404" s="4">
        <v>62.88461538461538</v>
      </c>
      <c r="M2404" s="4">
        <v>13.834615384615383</v>
      </c>
      <c r="N2404" t="s">
        <v>94</v>
      </c>
    </row>
    <row r="2405" spans="1:14">
      <c r="A2405">
        <v>2404</v>
      </c>
      <c r="B2405">
        <v>36</v>
      </c>
      <c r="C2405" t="s">
        <v>11</v>
      </c>
      <c r="D2405" t="s">
        <v>20</v>
      </c>
      <c r="E2405" t="s">
        <v>36</v>
      </c>
      <c r="F2405">
        <v>51.28</v>
      </c>
      <c r="G2405" t="s">
        <v>19</v>
      </c>
      <c r="H2405" t="s">
        <v>15</v>
      </c>
      <c r="I2405">
        <v>4.5</v>
      </c>
      <c r="J2405">
        <v>22</v>
      </c>
      <c r="K2405">
        <v>6</v>
      </c>
      <c r="L2405" s="4">
        <v>65.743589743589737</v>
      </c>
      <c r="M2405" s="4">
        <v>14.463589743589736</v>
      </c>
      <c r="N2405" t="s">
        <v>92</v>
      </c>
    </row>
    <row r="2406" spans="1:14">
      <c r="A2406">
        <v>2405</v>
      </c>
      <c r="B2406">
        <v>45</v>
      </c>
      <c r="C2406" t="s">
        <v>16</v>
      </c>
      <c r="D2406" t="s">
        <v>33</v>
      </c>
      <c r="E2406" t="s">
        <v>40</v>
      </c>
      <c r="F2406">
        <v>53.31</v>
      </c>
      <c r="G2406" t="s">
        <v>31</v>
      </c>
      <c r="H2406" t="s">
        <v>37</v>
      </c>
      <c r="I2406">
        <v>3.8</v>
      </c>
      <c r="J2406">
        <v>20</v>
      </c>
      <c r="K2406">
        <v>5</v>
      </c>
      <c r="L2406" s="4">
        <v>66.637500000000003</v>
      </c>
      <c r="M2406" s="4">
        <v>13.327500000000001</v>
      </c>
      <c r="N2406" t="s">
        <v>93</v>
      </c>
    </row>
    <row r="2407" spans="1:14">
      <c r="A2407">
        <v>2406</v>
      </c>
      <c r="B2407">
        <v>23</v>
      </c>
      <c r="C2407" t="s">
        <v>16</v>
      </c>
      <c r="D2407" t="s">
        <v>33</v>
      </c>
      <c r="E2407" t="s">
        <v>38</v>
      </c>
      <c r="F2407">
        <v>70.92</v>
      </c>
      <c r="G2407" t="s">
        <v>31</v>
      </c>
      <c r="H2407" t="s">
        <v>15</v>
      </c>
      <c r="I2407">
        <v>2.8</v>
      </c>
      <c r="J2407">
        <v>24</v>
      </c>
      <c r="K2407">
        <v>7</v>
      </c>
      <c r="L2407" s="4">
        <v>93.315789473684205</v>
      </c>
      <c r="M2407" s="4">
        <v>22.395789473684204</v>
      </c>
      <c r="N2407" t="s">
        <v>100</v>
      </c>
    </row>
    <row r="2408" spans="1:14">
      <c r="A2408">
        <v>2407</v>
      </c>
      <c r="B2408">
        <v>66</v>
      </c>
      <c r="C2408" t="s">
        <v>11</v>
      </c>
      <c r="D2408" t="s">
        <v>22</v>
      </c>
      <c r="E2408" t="s">
        <v>43</v>
      </c>
      <c r="F2408">
        <v>245.8</v>
      </c>
      <c r="G2408" t="s">
        <v>24</v>
      </c>
      <c r="H2408" t="s">
        <v>15</v>
      </c>
      <c r="I2408">
        <v>3.1</v>
      </c>
      <c r="J2408">
        <v>14</v>
      </c>
      <c r="K2408">
        <v>7</v>
      </c>
      <c r="L2408" s="4">
        <v>285.81395348837214</v>
      </c>
      <c r="M2408" s="4">
        <v>40.013953488372124</v>
      </c>
      <c r="N2408" t="s">
        <v>95</v>
      </c>
    </row>
    <row r="2409" spans="1:14">
      <c r="A2409">
        <v>2408</v>
      </c>
      <c r="B2409">
        <v>62</v>
      </c>
      <c r="C2409" t="s">
        <v>16</v>
      </c>
      <c r="D2409" t="s">
        <v>33</v>
      </c>
      <c r="E2409" t="s">
        <v>38</v>
      </c>
      <c r="F2409">
        <v>111.93</v>
      </c>
      <c r="G2409" t="s">
        <v>31</v>
      </c>
      <c r="H2409" t="s">
        <v>15</v>
      </c>
      <c r="I2409">
        <v>2.2999999999999998</v>
      </c>
      <c r="J2409">
        <v>10</v>
      </c>
      <c r="K2409">
        <v>5</v>
      </c>
      <c r="L2409" s="4">
        <v>124.36666666666667</v>
      </c>
      <c r="M2409" s="4">
        <v>12.436666666666667</v>
      </c>
      <c r="N2409" t="s">
        <v>94</v>
      </c>
    </row>
    <row r="2410" spans="1:14">
      <c r="A2410">
        <v>2409</v>
      </c>
      <c r="B2410">
        <v>33</v>
      </c>
      <c r="C2410" t="s">
        <v>16</v>
      </c>
      <c r="D2410" t="s">
        <v>17</v>
      </c>
      <c r="E2410" t="s">
        <v>35</v>
      </c>
      <c r="F2410">
        <v>81.37</v>
      </c>
      <c r="G2410" t="s">
        <v>31</v>
      </c>
      <c r="H2410" t="s">
        <v>37</v>
      </c>
      <c r="I2410">
        <v>4.2</v>
      </c>
      <c r="J2410">
        <v>18</v>
      </c>
      <c r="K2410">
        <v>4</v>
      </c>
      <c r="L2410" s="4">
        <v>99.231707317073173</v>
      </c>
      <c r="M2410" s="4">
        <v>17.861707317073169</v>
      </c>
      <c r="N2410" t="s">
        <v>91</v>
      </c>
    </row>
    <row r="2411" spans="1:14">
      <c r="A2411">
        <v>2410</v>
      </c>
      <c r="B2411">
        <v>64</v>
      </c>
      <c r="C2411" t="s">
        <v>11</v>
      </c>
      <c r="D2411" t="s">
        <v>29</v>
      </c>
      <c r="E2411" t="s">
        <v>51</v>
      </c>
      <c r="F2411">
        <v>49.12</v>
      </c>
      <c r="G2411" t="s">
        <v>14</v>
      </c>
      <c r="H2411" t="s">
        <v>37</v>
      </c>
      <c r="I2411">
        <v>3.6</v>
      </c>
      <c r="J2411">
        <v>19</v>
      </c>
      <c r="K2411">
        <v>7</v>
      </c>
      <c r="L2411" s="4">
        <v>60.641975308641968</v>
      </c>
      <c r="M2411" s="4">
        <v>11.52197530864197</v>
      </c>
      <c r="N2411" t="s">
        <v>94</v>
      </c>
    </row>
    <row r="2412" spans="1:14">
      <c r="A2412">
        <v>2411</v>
      </c>
      <c r="B2412">
        <v>34</v>
      </c>
      <c r="C2412" t="s">
        <v>11</v>
      </c>
      <c r="D2412" t="s">
        <v>12</v>
      </c>
      <c r="E2412" t="s">
        <v>13</v>
      </c>
      <c r="F2412">
        <v>23.82</v>
      </c>
      <c r="G2412" t="s">
        <v>24</v>
      </c>
      <c r="H2412" t="s">
        <v>15</v>
      </c>
      <c r="I2412">
        <v>4.5999999999999996</v>
      </c>
      <c r="J2412">
        <v>24</v>
      </c>
      <c r="K2412">
        <v>7</v>
      </c>
      <c r="L2412" s="4">
        <v>31.342105263157894</v>
      </c>
      <c r="M2412" s="4">
        <v>7.5221052631578935</v>
      </c>
      <c r="N2412" t="s">
        <v>91</v>
      </c>
    </row>
    <row r="2413" spans="1:14">
      <c r="A2413">
        <v>2412</v>
      </c>
      <c r="B2413">
        <v>41</v>
      </c>
      <c r="C2413" t="s">
        <v>16</v>
      </c>
      <c r="D2413" t="s">
        <v>22</v>
      </c>
      <c r="E2413" t="s">
        <v>23</v>
      </c>
      <c r="F2413">
        <v>295.39</v>
      </c>
      <c r="G2413" t="s">
        <v>14</v>
      </c>
      <c r="H2413" t="s">
        <v>15</v>
      </c>
      <c r="I2413">
        <v>3.8</v>
      </c>
      <c r="J2413">
        <v>6</v>
      </c>
      <c r="K2413">
        <v>3</v>
      </c>
      <c r="L2413" s="4">
        <v>314.24468085106383</v>
      </c>
      <c r="M2413" s="4">
        <v>18.854680851063847</v>
      </c>
      <c r="N2413" t="s">
        <v>92</v>
      </c>
    </row>
    <row r="2414" spans="1:14">
      <c r="A2414">
        <v>2413</v>
      </c>
      <c r="B2414">
        <v>62</v>
      </c>
      <c r="C2414" t="s">
        <v>11</v>
      </c>
      <c r="D2414" t="s">
        <v>41</v>
      </c>
      <c r="E2414" t="s">
        <v>46</v>
      </c>
      <c r="F2414">
        <v>191.31</v>
      </c>
      <c r="G2414" t="s">
        <v>24</v>
      </c>
      <c r="H2414" t="s">
        <v>15</v>
      </c>
      <c r="I2414">
        <v>3.6</v>
      </c>
      <c r="J2414">
        <v>12</v>
      </c>
      <c r="K2414">
        <v>6</v>
      </c>
      <c r="L2414" s="4">
        <v>217.39772727272728</v>
      </c>
      <c r="M2414" s="4">
        <v>26.087727272727278</v>
      </c>
      <c r="N2414" t="s">
        <v>94</v>
      </c>
    </row>
    <row r="2415" spans="1:14">
      <c r="A2415">
        <v>2414</v>
      </c>
      <c r="B2415">
        <v>63</v>
      </c>
      <c r="C2415" t="s">
        <v>11</v>
      </c>
      <c r="D2415" t="s">
        <v>33</v>
      </c>
      <c r="E2415" t="s">
        <v>38</v>
      </c>
      <c r="F2415">
        <v>75.31</v>
      </c>
      <c r="G2415" t="s">
        <v>14</v>
      </c>
      <c r="H2415" t="s">
        <v>37</v>
      </c>
      <c r="I2415">
        <v>4</v>
      </c>
      <c r="J2415">
        <v>22</v>
      </c>
      <c r="K2415">
        <v>11</v>
      </c>
      <c r="L2415" s="4">
        <v>96.551282051282044</v>
      </c>
      <c r="M2415" s="4">
        <v>21.241282051282042</v>
      </c>
      <c r="N2415" t="s">
        <v>94</v>
      </c>
    </row>
    <row r="2416" spans="1:14">
      <c r="A2416">
        <v>2415</v>
      </c>
      <c r="B2416">
        <v>65</v>
      </c>
      <c r="C2416" t="s">
        <v>16</v>
      </c>
      <c r="D2416" t="s">
        <v>17</v>
      </c>
      <c r="E2416" t="s">
        <v>35</v>
      </c>
      <c r="F2416">
        <v>191.04</v>
      </c>
      <c r="G2416" t="s">
        <v>14</v>
      </c>
      <c r="H2416" t="s">
        <v>15</v>
      </c>
      <c r="I2416">
        <v>4.2</v>
      </c>
      <c r="J2416">
        <v>16</v>
      </c>
      <c r="K2416">
        <v>3</v>
      </c>
      <c r="L2416" s="4">
        <v>227.42857142857142</v>
      </c>
      <c r="M2416" s="4">
        <v>36.388571428571424</v>
      </c>
      <c r="N2416" t="s">
        <v>95</v>
      </c>
    </row>
    <row r="2417" spans="1:14">
      <c r="A2417">
        <v>2416</v>
      </c>
      <c r="B2417">
        <v>44</v>
      </c>
      <c r="C2417" t="s">
        <v>11</v>
      </c>
      <c r="D2417" t="s">
        <v>29</v>
      </c>
      <c r="E2417" t="s">
        <v>51</v>
      </c>
      <c r="F2417">
        <v>68.39</v>
      </c>
      <c r="G2417" t="s">
        <v>31</v>
      </c>
      <c r="H2417" t="s">
        <v>37</v>
      </c>
      <c r="I2417">
        <v>3.2</v>
      </c>
      <c r="J2417">
        <v>15</v>
      </c>
      <c r="K2417">
        <v>5</v>
      </c>
      <c r="L2417" s="4">
        <v>80.458823529411774</v>
      </c>
      <c r="M2417" s="4">
        <v>12.068823529411773</v>
      </c>
      <c r="N2417" t="s">
        <v>92</v>
      </c>
    </row>
    <row r="2418" spans="1:14">
      <c r="A2418">
        <v>2417</v>
      </c>
      <c r="B2418">
        <v>53</v>
      </c>
      <c r="C2418" t="s">
        <v>16</v>
      </c>
      <c r="D2418" t="s">
        <v>33</v>
      </c>
      <c r="E2418" t="s">
        <v>40</v>
      </c>
      <c r="F2418">
        <v>192.28</v>
      </c>
      <c r="G2418" t="s">
        <v>19</v>
      </c>
      <c r="H2418" t="s">
        <v>15</v>
      </c>
      <c r="I2418">
        <v>3.7</v>
      </c>
      <c r="J2418">
        <v>14</v>
      </c>
      <c r="K2418">
        <v>7</v>
      </c>
      <c r="L2418" s="4">
        <v>223.58139534883722</v>
      </c>
      <c r="M2418" s="4">
        <v>31.301395348837218</v>
      </c>
      <c r="N2418" t="s">
        <v>93</v>
      </c>
    </row>
    <row r="2419" spans="1:14">
      <c r="A2419">
        <v>2418</v>
      </c>
      <c r="B2419">
        <v>40</v>
      </c>
      <c r="C2419" t="s">
        <v>16</v>
      </c>
      <c r="D2419" t="s">
        <v>33</v>
      </c>
      <c r="E2419" t="s">
        <v>34</v>
      </c>
      <c r="F2419">
        <v>236.78</v>
      </c>
      <c r="G2419" t="s">
        <v>19</v>
      </c>
      <c r="H2419" t="s">
        <v>15</v>
      </c>
      <c r="I2419">
        <v>4.0999999999999996</v>
      </c>
      <c r="J2419">
        <v>22</v>
      </c>
      <c r="K2419">
        <v>6</v>
      </c>
      <c r="L2419" s="4">
        <v>303.56410256410254</v>
      </c>
      <c r="M2419" s="4">
        <v>66.78410256410254</v>
      </c>
      <c r="N2419" t="s">
        <v>92</v>
      </c>
    </row>
    <row r="2420" spans="1:14">
      <c r="A2420">
        <v>2419</v>
      </c>
      <c r="B2420">
        <v>31</v>
      </c>
      <c r="C2420" t="s">
        <v>11</v>
      </c>
      <c r="D2420" t="s">
        <v>25</v>
      </c>
      <c r="E2420" t="s">
        <v>57</v>
      </c>
      <c r="F2420">
        <v>52.19</v>
      </c>
      <c r="G2420" t="s">
        <v>24</v>
      </c>
      <c r="H2420" t="s">
        <v>37</v>
      </c>
      <c r="I2420">
        <v>5</v>
      </c>
      <c r="J2420">
        <v>2</v>
      </c>
      <c r="K2420">
        <v>1</v>
      </c>
      <c r="L2420" s="4">
        <v>53.255102040816325</v>
      </c>
      <c r="M2420" s="4">
        <v>1.0651020408163276</v>
      </c>
      <c r="N2420" t="s">
        <v>91</v>
      </c>
    </row>
    <row r="2421" spans="1:14">
      <c r="A2421">
        <v>2420</v>
      </c>
      <c r="B2421">
        <v>46</v>
      </c>
      <c r="C2421" t="s">
        <v>11</v>
      </c>
      <c r="D2421" t="s">
        <v>29</v>
      </c>
      <c r="E2421" t="s">
        <v>55</v>
      </c>
      <c r="F2421">
        <v>63.26</v>
      </c>
      <c r="G2421" t="s">
        <v>14</v>
      </c>
      <c r="H2421" t="s">
        <v>37</v>
      </c>
      <c r="I2421">
        <v>4.2</v>
      </c>
      <c r="J2421">
        <v>22</v>
      </c>
      <c r="K2421">
        <v>6</v>
      </c>
      <c r="L2421" s="4">
        <v>81.102564102564102</v>
      </c>
      <c r="M2421" s="4">
        <v>17.842564102564104</v>
      </c>
      <c r="N2421" t="s">
        <v>93</v>
      </c>
    </row>
    <row r="2422" spans="1:14">
      <c r="A2422">
        <v>2421</v>
      </c>
      <c r="B2422">
        <v>43</v>
      </c>
      <c r="C2422" t="s">
        <v>11</v>
      </c>
      <c r="D2422" t="s">
        <v>29</v>
      </c>
      <c r="E2422" t="s">
        <v>30</v>
      </c>
      <c r="F2422">
        <v>57.97</v>
      </c>
      <c r="G2422" t="s">
        <v>31</v>
      </c>
      <c r="H2422" t="s">
        <v>37</v>
      </c>
      <c r="I2422">
        <v>4.8</v>
      </c>
      <c r="J2422">
        <v>20</v>
      </c>
      <c r="K2422">
        <v>5</v>
      </c>
      <c r="L2422" s="4">
        <v>72.462499999999991</v>
      </c>
      <c r="M2422" s="4">
        <v>14.492499999999993</v>
      </c>
      <c r="N2422" t="s">
        <v>92</v>
      </c>
    </row>
    <row r="2423" spans="1:14">
      <c r="A2423">
        <v>2422</v>
      </c>
      <c r="B2423">
        <v>58</v>
      </c>
      <c r="C2423" t="s">
        <v>16</v>
      </c>
      <c r="D2423" t="s">
        <v>27</v>
      </c>
      <c r="E2423" t="s">
        <v>28</v>
      </c>
      <c r="F2423">
        <v>2430.6</v>
      </c>
      <c r="G2423" t="s">
        <v>14</v>
      </c>
      <c r="H2423" t="s">
        <v>15</v>
      </c>
      <c r="I2423">
        <v>3.1</v>
      </c>
      <c r="J2423">
        <v>6</v>
      </c>
      <c r="K2423">
        <v>3</v>
      </c>
      <c r="L2423" s="4">
        <v>2585.744680851064</v>
      </c>
      <c r="M2423" s="4">
        <v>155.14468085106409</v>
      </c>
      <c r="N2423" t="s">
        <v>94</v>
      </c>
    </row>
    <row r="2424" spans="1:14">
      <c r="A2424">
        <v>2423</v>
      </c>
      <c r="B2424">
        <v>63</v>
      </c>
      <c r="C2424" t="s">
        <v>16</v>
      </c>
      <c r="D2424" t="s">
        <v>22</v>
      </c>
      <c r="E2424" t="s">
        <v>52</v>
      </c>
      <c r="F2424">
        <v>50.59</v>
      </c>
      <c r="G2424" t="s">
        <v>19</v>
      </c>
      <c r="H2424" t="s">
        <v>37</v>
      </c>
      <c r="I2424">
        <v>3.2</v>
      </c>
      <c r="J2424">
        <v>6</v>
      </c>
      <c r="K2424">
        <v>3</v>
      </c>
      <c r="L2424" s="4">
        <v>53.819148936170222</v>
      </c>
      <c r="M2424" s="4">
        <v>3.229148936170219</v>
      </c>
      <c r="N2424" t="s">
        <v>94</v>
      </c>
    </row>
    <row r="2425" spans="1:14">
      <c r="A2425">
        <v>2424</v>
      </c>
      <c r="B2425">
        <v>31</v>
      </c>
      <c r="C2425" t="s">
        <v>16</v>
      </c>
      <c r="D2425" t="s">
        <v>27</v>
      </c>
      <c r="E2425" t="s">
        <v>28</v>
      </c>
      <c r="F2425">
        <v>2025.94</v>
      </c>
      <c r="G2425" t="s">
        <v>31</v>
      </c>
      <c r="H2425" t="s">
        <v>15</v>
      </c>
      <c r="I2425">
        <v>3.8</v>
      </c>
      <c r="J2425">
        <v>18</v>
      </c>
      <c r="K2425">
        <v>9</v>
      </c>
      <c r="L2425" s="4">
        <v>2470.6585365853657</v>
      </c>
      <c r="M2425" s="4">
        <v>444.71853658536565</v>
      </c>
      <c r="N2425" t="s">
        <v>91</v>
      </c>
    </row>
    <row r="2426" spans="1:14">
      <c r="A2426">
        <v>2425</v>
      </c>
      <c r="B2426">
        <v>29</v>
      </c>
      <c r="C2426" t="s">
        <v>16</v>
      </c>
      <c r="D2426" t="s">
        <v>20</v>
      </c>
      <c r="E2426" t="s">
        <v>36</v>
      </c>
      <c r="F2426">
        <v>217.27</v>
      </c>
      <c r="G2426" t="s">
        <v>19</v>
      </c>
      <c r="H2426" t="s">
        <v>15</v>
      </c>
      <c r="I2426">
        <v>4.5</v>
      </c>
      <c r="J2426">
        <v>18</v>
      </c>
      <c r="K2426">
        <v>4</v>
      </c>
      <c r="L2426" s="4">
        <v>264.96341463414632</v>
      </c>
      <c r="M2426" s="4">
        <v>47.693414634146308</v>
      </c>
      <c r="N2426" t="s">
        <v>91</v>
      </c>
    </row>
    <row r="2427" spans="1:14">
      <c r="A2427">
        <v>2426</v>
      </c>
      <c r="B2427">
        <v>61</v>
      </c>
      <c r="C2427" t="s">
        <v>11</v>
      </c>
      <c r="D2427" t="s">
        <v>29</v>
      </c>
      <c r="E2427" t="s">
        <v>55</v>
      </c>
      <c r="F2427">
        <v>81.17</v>
      </c>
      <c r="G2427" t="s">
        <v>19</v>
      </c>
      <c r="H2427" t="s">
        <v>37</v>
      </c>
      <c r="I2427">
        <v>3.7</v>
      </c>
      <c r="J2427">
        <v>18</v>
      </c>
      <c r="K2427">
        <v>4</v>
      </c>
      <c r="L2427" s="4">
        <v>98.987804878048777</v>
      </c>
      <c r="M2427" s="4">
        <v>17.817804878048776</v>
      </c>
      <c r="N2427" t="s">
        <v>94</v>
      </c>
    </row>
    <row r="2428" spans="1:14">
      <c r="A2428">
        <v>2427</v>
      </c>
      <c r="B2428">
        <v>22</v>
      </c>
      <c r="C2428" t="s">
        <v>11</v>
      </c>
      <c r="D2428" t="s">
        <v>20</v>
      </c>
      <c r="E2428" t="s">
        <v>36</v>
      </c>
      <c r="F2428">
        <v>88.1</v>
      </c>
      <c r="G2428" t="s">
        <v>19</v>
      </c>
      <c r="H2428" t="s">
        <v>37</v>
      </c>
      <c r="I2428">
        <v>3.3</v>
      </c>
      <c r="J2428">
        <v>25</v>
      </c>
      <c r="K2428">
        <v>10</v>
      </c>
      <c r="L2428" s="4">
        <v>117.46666666666665</v>
      </c>
      <c r="M2428" s="4">
        <v>29.36666666666666</v>
      </c>
      <c r="N2428" t="s">
        <v>100</v>
      </c>
    </row>
    <row r="2429" spans="1:14">
      <c r="A2429">
        <v>2428</v>
      </c>
      <c r="B2429">
        <v>45</v>
      </c>
      <c r="C2429" t="s">
        <v>11</v>
      </c>
      <c r="D2429" t="s">
        <v>41</v>
      </c>
      <c r="E2429" t="s">
        <v>42</v>
      </c>
      <c r="F2429">
        <v>174.75</v>
      </c>
      <c r="G2429" t="s">
        <v>14</v>
      </c>
      <c r="H2429" t="s">
        <v>15</v>
      </c>
      <c r="I2429">
        <v>3.5</v>
      </c>
      <c r="J2429">
        <v>14</v>
      </c>
      <c r="K2429">
        <v>2</v>
      </c>
      <c r="L2429" s="4">
        <v>203.19767441860466</v>
      </c>
      <c r="M2429" s="4">
        <v>28.447674418604663</v>
      </c>
      <c r="N2429" t="s">
        <v>93</v>
      </c>
    </row>
    <row r="2430" spans="1:14">
      <c r="A2430">
        <v>2429</v>
      </c>
      <c r="B2430">
        <v>39</v>
      </c>
      <c r="C2430" t="s">
        <v>16</v>
      </c>
      <c r="D2430" t="s">
        <v>25</v>
      </c>
      <c r="E2430" t="s">
        <v>47</v>
      </c>
      <c r="F2430">
        <v>56.99</v>
      </c>
      <c r="G2430" t="s">
        <v>14</v>
      </c>
      <c r="H2430" t="s">
        <v>37</v>
      </c>
      <c r="I2430">
        <v>3.3</v>
      </c>
      <c r="J2430">
        <v>25</v>
      </c>
      <c r="K2430">
        <v>10</v>
      </c>
      <c r="L2430" s="4">
        <v>75.986666666666665</v>
      </c>
      <c r="M2430" s="4">
        <v>18.996666666666663</v>
      </c>
      <c r="N2430" t="s">
        <v>92</v>
      </c>
    </row>
    <row r="2431" spans="1:14">
      <c r="A2431">
        <v>2430</v>
      </c>
      <c r="B2431">
        <v>20</v>
      </c>
      <c r="C2431" t="s">
        <v>11</v>
      </c>
      <c r="D2431" t="s">
        <v>41</v>
      </c>
      <c r="E2431" t="s">
        <v>45</v>
      </c>
      <c r="F2431">
        <v>95.46</v>
      </c>
      <c r="G2431" t="s">
        <v>14</v>
      </c>
      <c r="H2431" t="s">
        <v>37</v>
      </c>
      <c r="I2431">
        <v>4.5</v>
      </c>
      <c r="J2431">
        <v>23</v>
      </c>
      <c r="K2431">
        <v>9</v>
      </c>
      <c r="L2431" s="4">
        <v>123.97402597402596</v>
      </c>
      <c r="M2431" s="4">
        <v>28.514025974025969</v>
      </c>
      <c r="N2431" t="s">
        <v>100</v>
      </c>
    </row>
    <row r="2432" spans="1:14">
      <c r="A2432">
        <v>2431</v>
      </c>
      <c r="B2432">
        <v>22</v>
      </c>
      <c r="C2432" t="s">
        <v>16</v>
      </c>
      <c r="D2432" t="s">
        <v>20</v>
      </c>
      <c r="E2432" t="s">
        <v>39</v>
      </c>
      <c r="F2432">
        <v>108.86</v>
      </c>
      <c r="G2432" t="s">
        <v>19</v>
      </c>
      <c r="H2432" t="s">
        <v>15</v>
      </c>
      <c r="I2432">
        <v>3.6</v>
      </c>
      <c r="J2432">
        <v>15</v>
      </c>
      <c r="K2432">
        <v>5</v>
      </c>
      <c r="L2432" s="4">
        <v>128.07058823529411</v>
      </c>
      <c r="M2432" s="4">
        <v>19.210588235294111</v>
      </c>
      <c r="N2432" t="s">
        <v>100</v>
      </c>
    </row>
    <row r="2433" spans="1:14">
      <c r="A2433">
        <v>2432</v>
      </c>
      <c r="B2433">
        <v>54</v>
      </c>
      <c r="C2433" t="s">
        <v>11</v>
      </c>
      <c r="D2433" t="s">
        <v>41</v>
      </c>
      <c r="E2433" t="s">
        <v>44</v>
      </c>
      <c r="F2433">
        <v>166.88</v>
      </c>
      <c r="G2433" t="s">
        <v>19</v>
      </c>
      <c r="H2433" t="s">
        <v>15</v>
      </c>
      <c r="I2433">
        <v>3.5</v>
      </c>
      <c r="J2433">
        <v>18</v>
      </c>
      <c r="K2433">
        <v>4</v>
      </c>
      <c r="L2433" s="4">
        <v>203.51219512195121</v>
      </c>
      <c r="M2433" s="4">
        <v>36.632195121951213</v>
      </c>
      <c r="N2433" t="s">
        <v>93</v>
      </c>
    </row>
    <row r="2434" spans="1:14">
      <c r="A2434">
        <v>2433</v>
      </c>
      <c r="B2434">
        <v>52</v>
      </c>
      <c r="C2434" t="s">
        <v>16</v>
      </c>
      <c r="D2434" t="s">
        <v>27</v>
      </c>
      <c r="E2434" t="s">
        <v>28</v>
      </c>
      <c r="F2434">
        <v>523.38</v>
      </c>
      <c r="G2434" t="s">
        <v>31</v>
      </c>
      <c r="H2434" t="s">
        <v>15</v>
      </c>
      <c r="I2434">
        <v>3.9</v>
      </c>
      <c r="J2434">
        <v>18</v>
      </c>
      <c r="K2434">
        <v>4</v>
      </c>
      <c r="L2434" s="4">
        <v>638.26829268292681</v>
      </c>
      <c r="M2434" s="4">
        <v>114.88829268292682</v>
      </c>
      <c r="N2434" t="s">
        <v>93</v>
      </c>
    </row>
    <row r="2435" spans="1:14">
      <c r="A2435">
        <v>2434</v>
      </c>
      <c r="B2435">
        <v>25</v>
      </c>
      <c r="C2435" t="s">
        <v>16</v>
      </c>
      <c r="D2435" t="s">
        <v>17</v>
      </c>
      <c r="E2435" t="s">
        <v>35</v>
      </c>
      <c r="F2435">
        <v>109.68</v>
      </c>
      <c r="G2435" t="s">
        <v>24</v>
      </c>
      <c r="H2435" t="s">
        <v>15</v>
      </c>
      <c r="I2435">
        <v>2.8</v>
      </c>
      <c r="J2435">
        <v>13</v>
      </c>
      <c r="K2435">
        <v>4</v>
      </c>
      <c r="L2435" s="4">
        <v>126.06896551724138</v>
      </c>
      <c r="M2435" s="4">
        <v>16.388965517241374</v>
      </c>
      <c r="N2435" t="s">
        <v>91</v>
      </c>
    </row>
    <row r="2436" spans="1:14">
      <c r="A2436">
        <v>2435</v>
      </c>
      <c r="B2436">
        <v>67</v>
      </c>
      <c r="C2436" t="s">
        <v>16</v>
      </c>
      <c r="D2436" t="s">
        <v>22</v>
      </c>
      <c r="E2436" t="s">
        <v>43</v>
      </c>
      <c r="F2436">
        <v>222.65</v>
      </c>
      <c r="G2436" t="s">
        <v>14</v>
      </c>
      <c r="H2436" t="s">
        <v>15</v>
      </c>
      <c r="I2436">
        <v>3</v>
      </c>
      <c r="J2436">
        <v>9</v>
      </c>
      <c r="K2436">
        <v>2</v>
      </c>
      <c r="L2436" s="4">
        <v>244.67032967032966</v>
      </c>
      <c r="M2436" s="4">
        <v>22.020329670329659</v>
      </c>
      <c r="N2436" t="s">
        <v>95</v>
      </c>
    </row>
    <row r="2437" spans="1:14">
      <c r="A2437">
        <v>2436</v>
      </c>
      <c r="B2437">
        <v>59</v>
      </c>
      <c r="C2437" t="s">
        <v>16</v>
      </c>
      <c r="D2437" t="s">
        <v>33</v>
      </c>
      <c r="E2437" t="s">
        <v>38</v>
      </c>
      <c r="F2437">
        <v>141.41</v>
      </c>
      <c r="G2437" t="s">
        <v>19</v>
      </c>
      <c r="H2437" t="s">
        <v>15</v>
      </c>
      <c r="I2437">
        <v>3.3</v>
      </c>
      <c r="J2437">
        <v>12</v>
      </c>
      <c r="K2437">
        <v>6</v>
      </c>
      <c r="L2437" s="4">
        <v>160.69318181818181</v>
      </c>
      <c r="M2437" s="4">
        <v>19.283181818181816</v>
      </c>
      <c r="N2437" t="s">
        <v>94</v>
      </c>
    </row>
    <row r="2438" spans="1:14">
      <c r="A2438">
        <v>2437</v>
      </c>
      <c r="B2438">
        <v>59</v>
      </c>
      <c r="C2438" t="s">
        <v>16</v>
      </c>
      <c r="D2438" t="s">
        <v>20</v>
      </c>
      <c r="E2438" t="s">
        <v>36</v>
      </c>
      <c r="F2438">
        <v>165.82</v>
      </c>
      <c r="G2438" t="s">
        <v>24</v>
      </c>
      <c r="H2438" t="s">
        <v>15</v>
      </c>
      <c r="I2438">
        <v>3.8</v>
      </c>
      <c r="J2438">
        <v>17</v>
      </c>
      <c r="K2438">
        <v>6</v>
      </c>
      <c r="L2438" s="4">
        <v>199.7831325301205</v>
      </c>
      <c r="M2438" s="4">
        <v>33.963132530120504</v>
      </c>
      <c r="N2438" t="s">
        <v>94</v>
      </c>
    </row>
    <row r="2439" spans="1:14">
      <c r="A2439">
        <v>2438</v>
      </c>
      <c r="B2439">
        <v>66</v>
      </c>
      <c r="C2439" t="s">
        <v>11</v>
      </c>
      <c r="D2439" t="s">
        <v>41</v>
      </c>
      <c r="E2439" t="s">
        <v>44</v>
      </c>
      <c r="F2439">
        <v>52.02</v>
      </c>
      <c r="G2439" t="s">
        <v>14</v>
      </c>
      <c r="H2439" t="s">
        <v>37</v>
      </c>
      <c r="I2439">
        <v>3.9</v>
      </c>
      <c r="J2439">
        <v>20</v>
      </c>
      <c r="K2439">
        <v>5</v>
      </c>
      <c r="L2439" s="4">
        <v>65.025000000000006</v>
      </c>
      <c r="M2439" s="4">
        <v>13.005000000000003</v>
      </c>
      <c r="N2439" t="s">
        <v>95</v>
      </c>
    </row>
    <row r="2440" spans="1:14">
      <c r="A2440">
        <v>2439</v>
      </c>
      <c r="B2440">
        <v>45</v>
      </c>
      <c r="C2440" t="s">
        <v>11</v>
      </c>
      <c r="D2440" t="s">
        <v>29</v>
      </c>
      <c r="E2440" t="s">
        <v>30</v>
      </c>
      <c r="F2440">
        <v>130.55000000000001</v>
      </c>
      <c r="G2440" t="s">
        <v>14</v>
      </c>
      <c r="H2440" t="s">
        <v>15</v>
      </c>
      <c r="I2440">
        <v>4.8</v>
      </c>
      <c r="J2440">
        <v>8</v>
      </c>
      <c r="K2440">
        <v>4</v>
      </c>
      <c r="L2440" s="4">
        <v>141.9021739130435</v>
      </c>
      <c r="M2440" s="4">
        <v>11.352173913043487</v>
      </c>
      <c r="N2440" t="s">
        <v>93</v>
      </c>
    </row>
    <row r="2441" spans="1:14">
      <c r="A2441">
        <v>2440</v>
      </c>
      <c r="B2441">
        <v>36</v>
      </c>
      <c r="C2441" t="s">
        <v>16</v>
      </c>
      <c r="D2441" t="s">
        <v>17</v>
      </c>
      <c r="E2441" t="s">
        <v>48</v>
      </c>
      <c r="F2441">
        <v>108.9</v>
      </c>
      <c r="G2441" t="s">
        <v>31</v>
      </c>
      <c r="H2441" t="s">
        <v>15</v>
      </c>
      <c r="I2441">
        <v>3</v>
      </c>
      <c r="J2441">
        <v>16</v>
      </c>
      <c r="K2441">
        <v>8</v>
      </c>
      <c r="L2441" s="4">
        <v>129.64285714285717</v>
      </c>
      <c r="M2441" s="4">
        <v>20.742857142857162</v>
      </c>
      <c r="N2441" t="s">
        <v>92</v>
      </c>
    </row>
    <row r="2442" spans="1:14">
      <c r="A2442">
        <v>2441</v>
      </c>
      <c r="B2442">
        <v>48</v>
      </c>
      <c r="C2442" t="s">
        <v>11</v>
      </c>
      <c r="D2442" t="s">
        <v>29</v>
      </c>
      <c r="E2442" t="s">
        <v>55</v>
      </c>
      <c r="F2442">
        <v>88.67</v>
      </c>
      <c r="G2442" t="s">
        <v>24</v>
      </c>
      <c r="H2442" t="s">
        <v>15</v>
      </c>
      <c r="I2442">
        <v>4.2</v>
      </c>
      <c r="J2442">
        <v>20</v>
      </c>
      <c r="K2442">
        <v>5</v>
      </c>
      <c r="L2442" s="4">
        <v>110.83749999999999</v>
      </c>
      <c r="M2442" s="4">
        <v>22.16749999999999</v>
      </c>
      <c r="N2442" t="s">
        <v>93</v>
      </c>
    </row>
    <row r="2443" spans="1:14">
      <c r="A2443">
        <v>2442</v>
      </c>
      <c r="B2443">
        <v>26</v>
      </c>
      <c r="C2443" t="s">
        <v>16</v>
      </c>
      <c r="D2443" t="s">
        <v>20</v>
      </c>
      <c r="E2443" t="s">
        <v>39</v>
      </c>
      <c r="F2443">
        <v>231.99</v>
      </c>
      <c r="G2443" t="s">
        <v>24</v>
      </c>
      <c r="H2443" t="s">
        <v>15</v>
      </c>
      <c r="I2443">
        <v>3</v>
      </c>
      <c r="J2443">
        <v>20</v>
      </c>
      <c r="K2443">
        <v>5</v>
      </c>
      <c r="L2443" s="4">
        <v>289.98750000000001</v>
      </c>
      <c r="M2443" s="4">
        <v>57.997500000000002</v>
      </c>
      <c r="N2443" t="s">
        <v>91</v>
      </c>
    </row>
    <row r="2444" spans="1:14">
      <c r="A2444">
        <v>2443</v>
      </c>
      <c r="B2444">
        <v>34</v>
      </c>
      <c r="C2444" t="s">
        <v>16</v>
      </c>
      <c r="D2444" t="s">
        <v>27</v>
      </c>
      <c r="E2444" t="s">
        <v>53</v>
      </c>
      <c r="F2444">
        <v>585.57000000000005</v>
      </c>
      <c r="G2444" t="s">
        <v>31</v>
      </c>
      <c r="H2444" t="s">
        <v>15</v>
      </c>
      <c r="I2444">
        <v>4.5999999999999996</v>
      </c>
      <c r="J2444">
        <v>26</v>
      </c>
      <c r="K2444">
        <v>8</v>
      </c>
      <c r="L2444" s="4">
        <v>791.31081081081084</v>
      </c>
      <c r="M2444" s="4">
        <v>205.74081081081079</v>
      </c>
      <c r="N2444" t="s">
        <v>91</v>
      </c>
    </row>
    <row r="2445" spans="1:14">
      <c r="A2445">
        <v>2444</v>
      </c>
      <c r="B2445">
        <v>63</v>
      </c>
      <c r="C2445" t="s">
        <v>11</v>
      </c>
      <c r="D2445" t="s">
        <v>29</v>
      </c>
      <c r="E2445" t="s">
        <v>30</v>
      </c>
      <c r="F2445">
        <v>33.49</v>
      </c>
      <c r="G2445" t="s">
        <v>31</v>
      </c>
      <c r="H2445" t="s">
        <v>37</v>
      </c>
      <c r="I2445">
        <v>3.6</v>
      </c>
      <c r="J2445">
        <v>21</v>
      </c>
      <c r="K2445">
        <v>8</v>
      </c>
      <c r="L2445" s="4">
        <v>42.392405063291143</v>
      </c>
      <c r="M2445" s="4">
        <v>8.9024050632911411</v>
      </c>
      <c r="N2445" t="s">
        <v>94</v>
      </c>
    </row>
    <row r="2446" spans="1:14">
      <c r="A2446">
        <v>2445</v>
      </c>
      <c r="B2446">
        <v>68</v>
      </c>
      <c r="C2446" t="s">
        <v>16</v>
      </c>
      <c r="D2446" t="s">
        <v>33</v>
      </c>
      <c r="E2446" t="s">
        <v>38</v>
      </c>
      <c r="F2446">
        <v>145.49</v>
      </c>
      <c r="G2446" t="s">
        <v>31</v>
      </c>
      <c r="H2446" t="s">
        <v>15</v>
      </c>
      <c r="I2446">
        <v>3.9</v>
      </c>
      <c r="J2446">
        <v>10</v>
      </c>
      <c r="K2446">
        <v>5</v>
      </c>
      <c r="L2446" s="4">
        <v>161.65555555555557</v>
      </c>
      <c r="M2446" s="4">
        <v>16.165555555555557</v>
      </c>
      <c r="N2446" t="s">
        <v>95</v>
      </c>
    </row>
    <row r="2447" spans="1:14">
      <c r="A2447">
        <v>2446</v>
      </c>
      <c r="B2447">
        <v>65</v>
      </c>
      <c r="C2447" t="s">
        <v>11</v>
      </c>
      <c r="D2447" t="s">
        <v>22</v>
      </c>
      <c r="E2447" t="s">
        <v>23</v>
      </c>
      <c r="F2447">
        <v>39.99</v>
      </c>
      <c r="G2447" t="s">
        <v>14</v>
      </c>
      <c r="H2447" t="s">
        <v>37</v>
      </c>
      <c r="I2447">
        <v>2.8</v>
      </c>
      <c r="J2447">
        <v>17</v>
      </c>
      <c r="K2447">
        <v>6</v>
      </c>
      <c r="L2447" s="4">
        <v>48.180722891566269</v>
      </c>
      <c r="M2447" s="4">
        <v>8.1907228915662671</v>
      </c>
      <c r="N2447" t="s">
        <v>95</v>
      </c>
    </row>
    <row r="2448" spans="1:14">
      <c r="A2448">
        <v>2447</v>
      </c>
      <c r="B2448">
        <v>39</v>
      </c>
      <c r="C2448" t="s">
        <v>16</v>
      </c>
      <c r="D2448" t="s">
        <v>27</v>
      </c>
      <c r="E2448" t="s">
        <v>49</v>
      </c>
      <c r="F2448">
        <v>1959.09</v>
      </c>
      <c r="G2448" t="s">
        <v>24</v>
      </c>
      <c r="H2448" t="s">
        <v>15</v>
      </c>
      <c r="I2448">
        <v>4.2</v>
      </c>
      <c r="J2448">
        <v>12</v>
      </c>
      <c r="K2448">
        <v>1</v>
      </c>
      <c r="L2448" s="4">
        <v>2226.238636363636</v>
      </c>
      <c r="M2448" s="4">
        <v>267.14863636363611</v>
      </c>
      <c r="N2448" t="s">
        <v>92</v>
      </c>
    </row>
    <row r="2449" spans="1:14">
      <c r="A2449">
        <v>2448</v>
      </c>
      <c r="B2449">
        <v>66</v>
      </c>
      <c r="C2449" t="s">
        <v>11</v>
      </c>
      <c r="D2449" t="s">
        <v>20</v>
      </c>
      <c r="E2449" t="s">
        <v>21</v>
      </c>
      <c r="F2449">
        <v>109.15</v>
      </c>
      <c r="G2449" t="s">
        <v>24</v>
      </c>
      <c r="H2449" t="s">
        <v>15</v>
      </c>
      <c r="I2449">
        <v>2.8</v>
      </c>
      <c r="J2449">
        <v>18</v>
      </c>
      <c r="K2449">
        <v>4</v>
      </c>
      <c r="L2449" s="4">
        <v>133.10975609756096</v>
      </c>
      <c r="M2449" s="4">
        <v>23.959756097560955</v>
      </c>
      <c r="N2449" t="s">
        <v>95</v>
      </c>
    </row>
    <row r="2450" spans="1:14">
      <c r="A2450">
        <v>2449</v>
      </c>
      <c r="B2450">
        <v>31</v>
      </c>
      <c r="C2450" t="s">
        <v>16</v>
      </c>
      <c r="D2450" t="s">
        <v>20</v>
      </c>
      <c r="E2450" t="s">
        <v>36</v>
      </c>
      <c r="F2450">
        <v>247.77</v>
      </c>
      <c r="G2450" t="s">
        <v>19</v>
      </c>
      <c r="H2450" t="s">
        <v>15</v>
      </c>
      <c r="I2450">
        <v>2.8</v>
      </c>
      <c r="J2450">
        <v>10</v>
      </c>
      <c r="K2450">
        <v>5</v>
      </c>
      <c r="L2450" s="4">
        <v>275.3</v>
      </c>
      <c r="M2450" s="4">
        <v>27.53</v>
      </c>
      <c r="N2450" t="s">
        <v>91</v>
      </c>
    </row>
    <row r="2451" spans="1:14">
      <c r="A2451">
        <v>2450</v>
      </c>
      <c r="B2451">
        <v>29</v>
      </c>
      <c r="C2451" t="s">
        <v>11</v>
      </c>
      <c r="D2451" t="s">
        <v>33</v>
      </c>
      <c r="E2451" t="s">
        <v>34</v>
      </c>
      <c r="F2451">
        <v>175.99</v>
      </c>
      <c r="G2451" t="s">
        <v>19</v>
      </c>
      <c r="H2451" t="s">
        <v>15</v>
      </c>
      <c r="I2451">
        <v>5</v>
      </c>
      <c r="J2451">
        <v>24</v>
      </c>
      <c r="K2451">
        <v>7</v>
      </c>
      <c r="L2451" s="4">
        <v>231.56578947368422</v>
      </c>
      <c r="M2451" s="4">
        <v>55.57578947368421</v>
      </c>
      <c r="N2451" t="s">
        <v>91</v>
      </c>
    </row>
    <row r="2452" spans="1:14">
      <c r="A2452">
        <v>2451</v>
      </c>
      <c r="B2452">
        <v>33</v>
      </c>
      <c r="C2452" t="s">
        <v>11</v>
      </c>
      <c r="D2452" t="s">
        <v>29</v>
      </c>
      <c r="E2452" t="s">
        <v>51</v>
      </c>
      <c r="F2452">
        <v>20.03</v>
      </c>
      <c r="G2452" t="s">
        <v>31</v>
      </c>
      <c r="H2452" t="s">
        <v>15</v>
      </c>
      <c r="I2452">
        <v>3.6</v>
      </c>
      <c r="J2452">
        <v>20</v>
      </c>
      <c r="K2452">
        <v>5</v>
      </c>
      <c r="L2452" s="4">
        <v>25.037500000000001</v>
      </c>
      <c r="M2452" s="4">
        <v>5.0075000000000003</v>
      </c>
      <c r="N2452" t="s">
        <v>91</v>
      </c>
    </row>
    <row r="2453" spans="1:14">
      <c r="A2453">
        <v>2452</v>
      </c>
      <c r="B2453">
        <v>23</v>
      </c>
      <c r="C2453" t="s">
        <v>11</v>
      </c>
      <c r="D2453" t="s">
        <v>41</v>
      </c>
      <c r="E2453" t="s">
        <v>44</v>
      </c>
      <c r="F2453">
        <v>194.96</v>
      </c>
      <c r="G2453" t="s">
        <v>19</v>
      </c>
      <c r="H2453" t="s">
        <v>15</v>
      </c>
      <c r="I2453">
        <v>2.9</v>
      </c>
      <c r="J2453">
        <v>14</v>
      </c>
      <c r="K2453">
        <v>7</v>
      </c>
      <c r="L2453" s="4">
        <v>226.69767441860466</v>
      </c>
      <c r="M2453" s="4">
        <v>31.737674418604655</v>
      </c>
      <c r="N2453" t="s">
        <v>100</v>
      </c>
    </row>
    <row r="2454" spans="1:14">
      <c r="A2454">
        <v>2453</v>
      </c>
      <c r="B2454">
        <v>47</v>
      </c>
      <c r="C2454" t="s">
        <v>11</v>
      </c>
      <c r="D2454" t="s">
        <v>29</v>
      </c>
      <c r="E2454" t="s">
        <v>51</v>
      </c>
      <c r="F2454">
        <v>132.65</v>
      </c>
      <c r="G2454" t="s">
        <v>24</v>
      </c>
      <c r="H2454" t="s">
        <v>15</v>
      </c>
      <c r="I2454">
        <v>3.9</v>
      </c>
      <c r="J2454">
        <v>19</v>
      </c>
      <c r="K2454">
        <v>7</v>
      </c>
      <c r="L2454" s="4">
        <v>163.76543209876542</v>
      </c>
      <c r="M2454" s="4">
        <v>31.11543209876541</v>
      </c>
      <c r="N2454" t="s">
        <v>93</v>
      </c>
    </row>
    <row r="2455" spans="1:14">
      <c r="A2455">
        <v>2454</v>
      </c>
      <c r="B2455">
        <v>32</v>
      </c>
      <c r="C2455" t="s">
        <v>11</v>
      </c>
      <c r="D2455" t="s">
        <v>20</v>
      </c>
      <c r="E2455" t="s">
        <v>36</v>
      </c>
      <c r="F2455">
        <v>119.74</v>
      </c>
      <c r="G2455" t="s">
        <v>19</v>
      </c>
      <c r="H2455" t="s">
        <v>15</v>
      </c>
      <c r="I2455">
        <v>3.3</v>
      </c>
      <c r="J2455">
        <v>22</v>
      </c>
      <c r="K2455">
        <v>11</v>
      </c>
      <c r="L2455" s="4">
        <v>153.5128205128205</v>
      </c>
      <c r="M2455" s="4">
        <v>33.772820512820502</v>
      </c>
      <c r="N2455" t="s">
        <v>91</v>
      </c>
    </row>
    <row r="2456" spans="1:14">
      <c r="A2456">
        <v>2455</v>
      </c>
      <c r="B2456">
        <v>49</v>
      </c>
      <c r="C2456" t="s">
        <v>11</v>
      </c>
      <c r="D2456" t="s">
        <v>20</v>
      </c>
      <c r="E2456" t="s">
        <v>21</v>
      </c>
      <c r="F2456">
        <v>105.64</v>
      </c>
      <c r="G2456" t="s">
        <v>19</v>
      </c>
      <c r="H2456" t="s">
        <v>15</v>
      </c>
      <c r="I2456">
        <v>3.3</v>
      </c>
      <c r="J2456">
        <v>24</v>
      </c>
      <c r="K2456">
        <v>7</v>
      </c>
      <c r="L2456" s="4">
        <v>139</v>
      </c>
      <c r="M2456" s="4">
        <v>33.36</v>
      </c>
      <c r="N2456" t="s">
        <v>93</v>
      </c>
    </row>
    <row r="2457" spans="1:14">
      <c r="A2457">
        <v>2456</v>
      </c>
      <c r="B2457">
        <v>37</v>
      </c>
      <c r="C2457" t="s">
        <v>16</v>
      </c>
      <c r="D2457" t="s">
        <v>33</v>
      </c>
      <c r="E2457" t="s">
        <v>34</v>
      </c>
      <c r="F2457">
        <v>232.32</v>
      </c>
      <c r="G2457" t="s">
        <v>31</v>
      </c>
      <c r="H2457" t="s">
        <v>15</v>
      </c>
      <c r="I2457">
        <v>3.8</v>
      </c>
      <c r="J2457">
        <v>16</v>
      </c>
      <c r="K2457">
        <v>3</v>
      </c>
      <c r="L2457" s="4">
        <v>276.57142857142856</v>
      </c>
      <c r="M2457" s="4">
        <v>44.251428571428562</v>
      </c>
      <c r="N2457" t="s">
        <v>92</v>
      </c>
    </row>
    <row r="2458" spans="1:14">
      <c r="A2458">
        <v>2457</v>
      </c>
      <c r="B2458">
        <v>41</v>
      </c>
      <c r="C2458" t="s">
        <v>16</v>
      </c>
      <c r="D2458" t="s">
        <v>20</v>
      </c>
      <c r="E2458" t="s">
        <v>21</v>
      </c>
      <c r="F2458">
        <v>142.71</v>
      </c>
      <c r="G2458" t="s">
        <v>24</v>
      </c>
      <c r="H2458" t="s">
        <v>15</v>
      </c>
      <c r="I2458">
        <v>4.2</v>
      </c>
      <c r="J2458">
        <v>20</v>
      </c>
      <c r="K2458">
        <v>5</v>
      </c>
      <c r="L2458" s="4">
        <v>178.38749999999999</v>
      </c>
      <c r="M2458" s="4">
        <v>35.677499999999981</v>
      </c>
      <c r="N2458" t="s">
        <v>92</v>
      </c>
    </row>
    <row r="2459" spans="1:14">
      <c r="A2459">
        <v>2458</v>
      </c>
      <c r="B2459">
        <v>37</v>
      </c>
      <c r="C2459" t="s">
        <v>16</v>
      </c>
      <c r="D2459" t="s">
        <v>20</v>
      </c>
      <c r="E2459" t="s">
        <v>39</v>
      </c>
      <c r="F2459">
        <v>163.30000000000001</v>
      </c>
      <c r="G2459" t="s">
        <v>14</v>
      </c>
      <c r="H2459" t="s">
        <v>15</v>
      </c>
      <c r="I2459">
        <v>3.6</v>
      </c>
      <c r="J2459">
        <v>12</v>
      </c>
      <c r="K2459">
        <v>6</v>
      </c>
      <c r="L2459" s="4">
        <v>185.56818181818184</v>
      </c>
      <c r="M2459" s="4">
        <v>22.26818181818183</v>
      </c>
      <c r="N2459" t="s">
        <v>92</v>
      </c>
    </row>
    <row r="2460" spans="1:14">
      <c r="A2460">
        <v>2459</v>
      </c>
      <c r="B2460">
        <v>55</v>
      </c>
      <c r="C2460" t="s">
        <v>16</v>
      </c>
      <c r="D2460" t="s">
        <v>27</v>
      </c>
      <c r="E2460" t="s">
        <v>49</v>
      </c>
      <c r="F2460">
        <v>2997.94</v>
      </c>
      <c r="G2460" t="s">
        <v>14</v>
      </c>
      <c r="H2460" t="s">
        <v>15</v>
      </c>
      <c r="I2460">
        <v>4.2</v>
      </c>
      <c r="J2460">
        <v>14</v>
      </c>
      <c r="K2460">
        <v>2</v>
      </c>
      <c r="L2460" s="4">
        <v>3485.9767441860467</v>
      </c>
      <c r="M2460" s="4">
        <v>488.03674418604669</v>
      </c>
      <c r="N2460" t="s">
        <v>94</v>
      </c>
    </row>
    <row r="2461" spans="1:14">
      <c r="A2461">
        <v>2460</v>
      </c>
      <c r="B2461">
        <v>42</v>
      </c>
      <c r="C2461" t="s">
        <v>16</v>
      </c>
      <c r="D2461" t="s">
        <v>27</v>
      </c>
      <c r="E2461" t="s">
        <v>32</v>
      </c>
      <c r="F2461">
        <v>1412.92</v>
      </c>
      <c r="G2461" t="s">
        <v>14</v>
      </c>
      <c r="H2461" t="s">
        <v>15</v>
      </c>
      <c r="I2461">
        <v>3.9</v>
      </c>
      <c r="J2461">
        <v>19</v>
      </c>
      <c r="K2461">
        <v>7</v>
      </c>
      <c r="L2461" s="4">
        <v>1744.3456790123457</v>
      </c>
      <c r="M2461" s="4">
        <v>331.42567901234565</v>
      </c>
      <c r="N2461" t="s">
        <v>92</v>
      </c>
    </row>
    <row r="2462" spans="1:14">
      <c r="A2462">
        <v>2461</v>
      </c>
      <c r="B2462">
        <v>60</v>
      </c>
      <c r="C2462" t="s">
        <v>11</v>
      </c>
      <c r="D2462" t="s">
        <v>33</v>
      </c>
      <c r="E2462" t="s">
        <v>38</v>
      </c>
      <c r="F2462">
        <v>104.02</v>
      </c>
      <c r="G2462" t="s">
        <v>24</v>
      </c>
      <c r="H2462" t="s">
        <v>15</v>
      </c>
      <c r="I2462">
        <v>5</v>
      </c>
      <c r="J2462">
        <v>8</v>
      </c>
      <c r="K2462">
        <v>4</v>
      </c>
      <c r="L2462" s="4">
        <v>113.06521739130434</v>
      </c>
      <c r="M2462" s="4">
        <v>9.0452173913043481</v>
      </c>
      <c r="N2462" t="s">
        <v>94</v>
      </c>
    </row>
    <row r="2463" spans="1:14">
      <c r="A2463">
        <v>2462</v>
      </c>
      <c r="B2463">
        <v>62</v>
      </c>
      <c r="C2463" t="s">
        <v>11</v>
      </c>
      <c r="D2463" t="s">
        <v>29</v>
      </c>
      <c r="E2463" t="s">
        <v>51</v>
      </c>
      <c r="F2463">
        <v>20.71</v>
      </c>
      <c r="G2463" t="s">
        <v>14</v>
      </c>
      <c r="H2463" t="s">
        <v>15</v>
      </c>
      <c r="I2463">
        <v>3.8</v>
      </c>
      <c r="J2463">
        <v>20</v>
      </c>
      <c r="K2463">
        <v>5</v>
      </c>
      <c r="L2463" s="4">
        <v>25.887499999999999</v>
      </c>
      <c r="M2463" s="4">
        <v>5.1774999999999984</v>
      </c>
      <c r="N2463" t="s">
        <v>94</v>
      </c>
    </row>
    <row r="2464" spans="1:14">
      <c r="A2464">
        <v>2463</v>
      </c>
      <c r="B2464">
        <v>56</v>
      </c>
      <c r="C2464" t="s">
        <v>11</v>
      </c>
      <c r="D2464" t="s">
        <v>41</v>
      </c>
      <c r="E2464" t="s">
        <v>46</v>
      </c>
      <c r="F2464">
        <v>83.87</v>
      </c>
      <c r="G2464" t="s">
        <v>19</v>
      </c>
      <c r="H2464" t="s">
        <v>15</v>
      </c>
      <c r="I2464">
        <v>3.9</v>
      </c>
      <c r="J2464">
        <v>17</v>
      </c>
      <c r="K2464">
        <v>6</v>
      </c>
      <c r="L2464" s="4">
        <v>101.04819277108435</v>
      </c>
      <c r="M2464" s="4">
        <v>17.178192771084341</v>
      </c>
      <c r="N2464" t="s">
        <v>94</v>
      </c>
    </row>
    <row r="2465" spans="1:14">
      <c r="A2465">
        <v>2464</v>
      </c>
      <c r="B2465">
        <v>67</v>
      </c>
      <c r="C2465" t="s">
        <v>16</v>
      </c>
      <c r="D2465" t="s">
        <v>17</v>
      </c>
      <c r="E2465" t="s">
        <v>35</v>
      </c>
      <c r="F2465">
        <v>43.13</v>
      </c>
      <c r="G2465" t="s">
        <v>24</v>
      </c>
      <c r="H2465" t="s">
        <v>37</v>
      </c>
      <c r="I2465">
        <v>3</v>
      </c>
      <c r="J2465">
        <v>9</v>
      </c>
      <c r="K2465">
        <v>2</v>
      </c>
      <c r="L2465" s="4">
        <v>47.395604395604394</v>
      </c>
      <c r="M2465" s="4">
        <v>4.2656043956043916</v>
      </c>
      <c r="N2465" t="s">
        <v>95</v>
      </c>
    </row>
    <row r="2466" spans="1:14">
      <c r="A2466">
        <v>2465</v>
      </c>
      <c r="B2466">
        <v>59</v>
      </c>
      <c r="C2466" t="s">
        <v>16</v>
      </c>
      <c r="D2466" t="s">
        <v>20</v>
      </c>
      <c r="E2466" t="s">
        <v>21</v>
      </c>
      <c r="F2466">
        <v>73.739999999999995</v>
      </c>
      <c r="G2466" t="s">
        <v>31</v>
      </c>
      <c r="H2466" t="s">
        <v>15</v>
      </c>
      <c r="I2466">
        <v>3.8</v>
      </c>
      <c r="J2466">
        <v>15</v>
      </c>
      <c r="K2466">
        <v>5</v>
      </c>
      <c r="L2466" s="4">
        <v>86.752941176470586</v>
      </c>
      <c r="M2466" s="4">
        <v>13.012941176470591</v>
      </c>
      <c r="N2466" t="s">
        <v>94</v>
      </c>
    </row>
    <row r="2467" spans="1:14">
      <c r="A2467">
        <v>2466</v>
      </c>
      <c r="B2467">
        <v>32</v>
      </c>
      <c r="C2467" t="s">
        <v>16</v>
      </c>
      <c r="D2467" t="s">
        <v>20</v>
      </c>
      <c r="E2467" t="s">
        <v>21</v>
      </c>
      <c r="F2467">
        <v>144.04</v>
      </c>
      <c r="G2467" t="s">
        <v>31</v>
      </c>
      <c r="H2467" t="s">
        <v>15</v>
      </c>
      <c r="I2467">
        <v>3.8</v>
      </c>
      <c r="J2467">
        <v>13</v>
      </c>
      <c r="K2467">
        <v>4</v>
      </c>
      <c r="L2467" s="4">
        <v>165.56321839080459</v>
      </c>
      <c r="M2467" s="4">
        <v>21.523218390804601</v>
      </c>
      <c r="N2467" t="s">
        <v>91</v>
      </c>
    </row>
    <row r="2468" spans="1:14">
      <c r="A2468">
        <v>2467</v>
      </c>
      <c r="B2468">
        <v>24</v>
      </c>
      <c r="C2468" t="s">
        <v>11</v>
      </c>
      <c r="D2468" t="s">
        <v>29</v>
      </c>
      <c r="E2468" t="s">
        <v>51</v>
      </c>
      <c r="F2468">
        <v>82.17</v>
      </c>
      <c r="G2468" t="s">
        <v>24</v>
      </c>
      <c r="H2468" t="s">
        <v>15</v>
      </c>
      <c r="I2468">
        <v>3.4</v>
      </c>
      <c r="J2468">
        <v>15</v>
      </c>
      <c r="K2468">
        <v>5</v>
      </c>
      <c r="L2468" s="4">
        <v>96.670588235294119</v>
      </c>
      <c r="M2468" s="4">
        <v>14.500588235294117</v>
      </c>
      <c r="N2468" t="s">
        <v>100</v>
      </c>
    </row>
    <row r="2469" spans="1:14">
      <c r="A2469">
        <v>2468</v>
      </c>
      <c r="B2469">
        <v>31</v>
      </c>
      <c r="C2469" t="s">
        <v>11</v>
      </c>
      <c r="D2469" t="s">
        <v>41</v>
      </c>
      <c r="E2469" t="s">
        <v>44</v>
      </c>
      <c r="F2469">
        <v>128.18</v>
      </c>
      <c r="G2469" t="s">
        <v>14</v>
      </c>
      <c r="H2469" t="s">
        <v>15</v>
      </c>
      <c r="I2469">
        <v>4</v>
      </c>
      <c r="J2469">
        <v>17</v>
      </c>
      <c r="K2469">
        <v>6</v>
      </c>
      <c r="L2469" s="4">
        <v>154.43373493975906</v>
      </c>
      <c r="M2469" s="4">
        <v>26.253734939759056</v>
      </c>
      <c r="N2469" t="s">
        <v>91</v>
      </c>
    </row>
    <row r="2470" spans="1:14">
      <c r="A2470">
        <v>2469</v>
      </c>
      <c r="B2470">
        <v>67</v>
      </c>
      <c r="C2470" t="s">
        <v>11</v>
      </c>
      <c r="D2470" t="s">
        <v>41</v>
      </c>
      <c r="E2470" t="s">
        <v>45</v>
      </c>
      <c r="F2470">
        <v>74.73</v>
      </c>
      <c r="G2470" t="s">
        <v>14</v>
      </c>
      <c r="H2470" t="s">
        <v>37</v>
      </c>
      <c r="I2470">
        <v>3.7</v>
      </c>
      <c r="J2470">
        <v>20</v>
      </c>
      <c r="K2470">
        <v>5</v>
      </c>
      <c r="L2470" s="4">
        <v>93.412499999999994</v>
      </c>
      <c r="M2470" s="4">
        <v>18.68249999999999</v>
      </c>
      <c r="N2470" t="s">
        <v>95</v>
      </c>
    </row>
    <row r="2471" spans="1:14">
      <c r="A2471">
        <v>2470</v>
      </c>
      <c r="B2471">
        <v>41</v>
      </c>
      <c r="C2471" t="s">
        <v>11</v>
      </c>
      <c r="D2471" t="s">
        <v>22</v>
      </c>
      <c r="E2471" t="s">
        <v>23</v>
      </c>
      <c r="F2471">
        <v>159.58000000000001</v>
      </c>
      <c r="G2471" t="s">
        <v>19</v>
      </c>
      <c r="H2471" t="s">
        <v>15</v>
      </c>
      <c r="I2471">
        <v>4.4000000000000004</v>
      </c>
      <c r="J2471">
        <v>8</v>
      </c>
      <c r="K2471">
        <v>4</v>
      </c>
      <c r="L2471" s="4">
        <v>173.45652173913044</v>
      </c>
      <c r="M2471" s="4">
        <v>13.876521739130425</v>
      </c>
      <c r="N2471" t="s">
        <v>92</v>
      </c>
    </row>
    <row r="2472" spans="1:14">
      <c r="A2472">
        <v>2471</v>
      </c>
      <c r="B2472">
        <v>58</v>
      </c>
      <c r="C2472" t="s">
        <v>11</v>
      </c>
      <c r="D2472" t="s">
        <v>41</v>
      </c>
      <c r="E2472" t="s">
        <v>44</v>
      </c>
      <c r="F2472">
        <v>142.94999999999999</v>
      </c>
      <c r="G2472" t="s">
        <v>24</v>
      </c>
      <c r="H2472" t="s">
        <v>15</v>
      </c>
      <c r="I2472">
        <v>4.8</v>
      </c>
      <c r="J2472">
        <v>15</v>
      </c>
      <c r="K2472">
        <v>5</v>
      </c>
      <c r="L2472" s="4">
        <v>168.17647058823528</v>
      </c>
      <c r="M2472" s="4">
        <v>25.226470588235287</v>
      </c>
      <c r="N2472" t="s">
        <v>94</v>
      </c>
    </row>
    <row r="2473" spans="1:14">
      <c r="A2473">
        <v>2472</v>
      </c>
      <c r="B2473">
        <v>22</v>
      </c>
      <c r="C2473" t="s">
        <v>11</v>
      </c>
      <c r="D2473" t="s">
        <v>29</v>
      </c>
      <c r="E2473" t="s">
        <v>30</v>
      </c>
      <c r="F2473">
        <v>56.67</v>
      </c>
      <c r="G2473" t="s">
        <v>31</v>
      </c>
      <c r="H2473" t="s">
        <v>37</v>
      </c>
      <c r="I2473">
        <v>4.3</v>
      </c>
      <c r="J2473">
        <v>15</v>
      </c>
      <c r="K2473">
        <v>5</v>
      </c>
      <c r="L2473" s="4">
        <v>66.670588235294119</v>
      </c>
      <c r="M2473" s="4">
        <v>10.000588235294117</v>
      </c>
      <c r="N2473" t="s">
        <v>100</v>
      </c>
    </row>
    <row r="2474" spans="1:14">
      <c r="A2474">
        <v>2473</v>
      </c>
      <c r="B2474">
        <v>56</v>
      </c>
      <c r="C2474" t="s">
        <v>11</v>
      </c>
      <c r="D2474" t="s">
        <v>12</v>
      </c>
      <c r="E2474" t="s">
        <v>56</v>
      </c>
      <c r="F2474">
        <v>60.82</v>
      </c>
      <c r="G2474" t="s">
        <v>19</v>
      </c>
      <c r="H2474" t="s">
        <v>37</v>
      </c>
      <c r="I2474">
        <v>3.5</v>
      </c>
      <c r="J2474">
        <v>8</v>
      </c>
      <c r="K2474">
        <v>4</v>
      </c>
      <c r="L2474" s="4">
        <v>66.108695652173907</v>
      </c>
      <c r="M2474" s="4">
        <v>5.2886956521739066</v>
      </c>
      <c r="N2474" t="s">
        <v>94</v>
      </c>
    </row>
    <row r="2475" spans="1:14">
      <c r="A2475">
        <v>2474</v>
      </c>
      <c r="B2475">
        <v>64</v>
      </c>
      <c r="C2475" t="s">
        <v>11</v>
      </c>
      <c r="D2475" t="s">
        <v>33</v>
      </c>
      <c r="E2475" t="s">
        <v>40</v>
      </c>
      <c r="F2475">
        <v>249.17</v>
      </c>
      <c r="G2475" t="s">
        <v>19</v>
      </c>
      <c r="H2475" t="s">
        <v>15</v>
      </c>
      <c r="I2475">
        <v>4.8</v>
      </c>
      <c r="J2475">
        <v>8</v>
      </c>
      <c r="K2475">
        <v>4</v>
      </c>
      <c r="L2475" s="4">
        <v>270.83695652173913</v>
      </c>
      <c r="M2475" s="4">
        <v>21.666956521739138</v>
      </c>
      <c r="N2475" t="s">
        <v>94</v>
      </c>
    </row>
    <row r="2476" spans="1:14">
      <c r="A2476">
        <v>2475</v>
      </c>
      <c r="B2476">
        <v>58</v>
      </c>
      <c r="C2476" t="s">
        <v>11</v>
      </c>
      <c r="D2476" t="s">
        <v>41</v>
      </c>
      <c r="E2476" t="s">
        <v>46</v>
      </c>
      <c r="F2476">
        <v>105.75</v>
      </c>
      <c r="G2476" t="s">
        <v>14</v>
      </c>
      <c r="H2476" t="s">
        <v>15</v>
      </c>
      <c r="I2476">
        <v>4.5</v>
      </c>
      <c r="J2476">
        <v>19</v>
      </c>
      <c r="K2476">
        <v>7</v>
      </c>
      <c r="L2476" s="4">
        <v>130.55555555555554</v>
      </c>
      <c r="M2476" s="4">
        <v>24.805555555555543</v>
      </c>
      <c r="N2476" t="s">
        <v>94</v>
      </c>
    </row>
    <row r="2477" spans="1:14">
      <c r="A2477">
        <v>2476</v>
      </c>
      <c r="B2477">
        <v>57</v>
      </c>
      <c r="C2477" t="s">
        <v>16</v>
      </c>
      <c r="D2477" t="s">
        <v>20</v>
      </c>
      <c r="E2477" t="s">
        <v>39</v>
      </c>
      <c r="F2477">
        <v>89.44</v>
      </c>
      <c r="G2477" t="s">
        <v>14</v>
      </c>
      <c r="H2477" t="s">
        <v>37</v>
      </c>
      <c r="I2477">
        <v>4.9000000000000004</v>
      </c>
      <c r="J2477">
        <v>10</v>
      </c>
      <c r="K2477">
        <v>5</v>
      </c>
      <c r="L2477" s="4">
        <v>99.377777777777766</v>
      </c>
      <c r="M2477" s="4">
        <v>9.9377777777777681</v>
      </c>
      <c r="N2477" t="s">
        <v>94</v>
      </c>
    </row>
    <row r="2478" spans="1:14">
      <c r="A2478">
        <v>2477</v>
      </c>
      <c r="B2478">
        <v>37</v>
      </c>
      <c r="C2478" t="s">
        <v>16</v>
      </c>
      <c r="D2478" t="s">
        <v>20</v>
      </c>
      <c r="E2478" t="s">
        <v>21</v>
      </c>
      <c r="F2478">
        <v>182.81</v>
      </c>
      <c r="G2478" t="s">
        <v>31</v>
      </c>
      <c r="H2478" t="s">
        <v>15</v>
      </c>
      <c r="I2478">
        <v>3.2</v>
      </c>
      <c r="J2478">
        <v>16</v>
      </c>
      <c r="K2478">
        <v>3</v>
      </c>
      <c r="L2478" s="4">
        <v>217.63095238095238</v>
      </c>
      <c r="M2478" s="4">
        <v>34.820952380952377</v>
      </c>
      <c r="N2478" t="s">
        <v>92</v>
      </c>
    </row>
    <row r="2479" spans="1:14">
      <c r="A2479">
        <v>2478</v>
      </c>
      <c r="B2479">
        <v>30</v>
      </c>
      <c r="C2479" t="s">
        <v>16</v>
      </c>
      <c r="D2479" t="s">
        <v>20</v>
      </c>
      <c r="E2479" t="s">
        <v>21</v>
      </c>
      <c r="F2479">
        <v>49.64</v>
      </c>
      <c r="G2479" t="s">
        <v>19</v>
      </c>
      <c r="H2479" t="s">
        <v>37</v>
      </c>
      <c r="I2479">
        <v>4.0999999999999996</v>
      </c>
      <c r="J2479">
        <v>9</v>
      </c>
      <c r="K2479">
        <v>2</v>
      </c>
      <c r="L2479" s="4">
        <v>54.549450549450547</v>
      </c>
      <c r="M2479" s="4">
        <v>4.9094505494505469</v>
      </c>
      <c r="N2479" t="s">
        <v>91</v>
      </c>
    </row>
    <row r="2480" spans="1:14">
      <c r="A2480">
        <v>2479</v>
      </c>
      <c r="B2480">
        <v>56</v>
      </c>
      <c r="C2480" t="s">
        <v>16</v>
      </c>
      <c r="D2480" t="s">
        <v>20</v>
      </c>
      <c r="E2480" t="s">
        <v>36</v>
      </c>
      <c r="F2480">
        <v>118.27</v>
      </c>
      <c r="G2480" t="s">
        <v>14</v>
      </c>
      <c r="H2480" t="s">
        <v>15</v>
      </c>
      <c r="I2480">
        <v>4</v>
      </c>
      <c r="J2480">
        <v>19</v>
      </c>
      <c r="K2480">
        <v>7</v>
      </c>
      <c r="L2480" s="4">
        <v>146.01234567901233</v>
      </c>
      <c r="M2480" s="4">
        <v>27.742345679012331</v>
      </c>
      <c r="N2480" t="s">
        <v>94</v>
      </c>
    </row>
    <row r="2481" spans="1:14">
      <c r="A2481">
        <v>2480</v>
      </c>
      <c r="B2481">
        <v>41</v>
      </c>
      <c r="C2481" t="s">
        <v>11</v>
      </c>
      <c r="D2481" t="s">
        <v>12</v>
      </c>
      <c r="E2481" t="s">
        <v>56</v>
      </c>
      <c r="F2481">
        <v>155.41</v>
      </c>
      <c r="G2481" t="s">
        <v>24</v>
      </c>
      <c r="H2481" t="s">
        <v>15</v>
      </c>
      <c r="I2481">
        <v>5</v>
      </c>
      <c r="J2481">
        <v>22</v>
      </c>
      <c r="K2481">
        <v>6</v>
      </c>
      <c r="L2481" s="4">
        <v>199.24358974358972</v>
      </c>
      <c r="M2481" s="4">
        <v>43.833589743589727</v>
      </c>
      <c r="N2481" t="s">
        <v>92</v>
      </c>
    </row>
    <row r="2482" spans="1:14">
      <c r="A2482">
        <v>2481</v>
      </c>
      <c r="B2482">
        <v>47</v>
      </c>
      <c r="C2482" t="s">
        <v>16</v>
      </c>
      <c r="D2482" t="s">
        <v>33</v>
      </c>
      <c r="E2482" t="s">
        <v>38</v>
      </c>
      <c r="F2482">
        <v>162.15</v>
      </c>
      <c r="G2482" t="s">
        <v>14</v>
      </c>
      <c r="H2482" t="s">
        <v>15</v>
      </c>
      <c r="I2482">
        <v>4.9000000000000004</v>
      </c>
      <c r="J2482">
        <v>22</v>
      </c>
      <c r="K2482">
        <v>6</v>
      </c>
      <c r="L2482" s="4">
        <v>207.88461538461539</v>
      </c>
      <c r="M2482" s="4">
        <v>45.734615384615381</v>
      </c>
      <c r="N2482" t="s">
        <v>93</v>
      </c>
    </row>
    <row r="2483" spans="1:14">
      <c r="A2483">
        <v>2482</v>
      </c>
      <c r="B2483">
        <v>62</v>
      </c>
      <c r="C2483" t="s">
        <v>16</v>
      </c>
      <c r="D2483" t="s">
        <v>17</v>
      </c>
      <c r="E2483" t="s">
        <v>18</v>
      </c>
      <c r="F2483">
        <v>122.41</v>
      </c>
      <c r="G2483" t="s">
        <v>19</v>
      </c>
      <c r="H2483" t="s">
        <v>15</v>
      </c>
      <c r="I2483">
        <v>3</v>
      </c>
      <c r="J2483">
        <v>17</v>
      </c>
      <c r="K2483">
        <v>6</v>
      </c>
      <c r="L2483" s="4">
        <v>147.48192771084337</v>
      </c>
      <c r="M2483" s="4">
        <v>25.071927710843369</v>
      </c>
      <c r="N2483" t="s">
        <v>94</v>
      </c>
    </row>
    <row r="2484" spans="1:14">
      <c r="A2484">
        <v>2483</v>
      </c>
      <c r="B2484">
        <v>42</v>
      </c>
      <c r="C2484" t="s">
        <v>16</v>
      </c>
      <c r="D2484" t="s">
        <v>33</v>
      </c>
      <c r="E2484" t="s">
        <v>38</v>
      </c>
      <c r="F2484">
        <v>166.76</v>
      </c>
      <c r="G2484" t="s">
        <v>19</v>
      </c>
      <c r="H2484" t="s">
        <v>15</v>
      </c>
      <c r="I2484">
        <v>3.4</v>
      </c>
      <c r="J2484">
        <v>18</v>
      </c>
      <c r="K2484">
        <v>9</v>
      </c>
      <c r="L2484" s="4">
        <v>203.36585365853657</v>
      </c>
      <c r="M2484" s="4">
        <v>36.605853658536574</v>
      </c>
      <c r="N2484" t="s">
        <v>92</v>
      </c>
    </row>
    <row r="2485" spans="1:14">
      <c r="A2485">
        <v>2484</v>
      </c>
      <c r="B2485">
        <v>55</v>
      </c>
      <c r="C2485" t="s">
        <v>16</v>
      </c>
      <c r="D2485" t="s">
        <v>20</v>
      </c>
      <c r="E2485" t="s">
        <v>21</v>
      </c>
      <c r="F2485">
        <v>91.77</v>
      </c>
      <c r="G2485" t="s">
        <v>14</v>
      </c>
      <c r="H2485" t="s">
        <v>37</v>
      </c>
      <c r="I2485">
        <v>3.8</v>
      </c>
      <c r="J2485">
        <v>20</v>
      </c>
      <c r="K2485">
        <v>5</v>
      </c>
      <c r="L2485" s="4">
        <v>114.71249999999999</v>
      </c>
      <c r="M2485" s="4">
        <v>22.942499999999995</v>
      </c>
      <c r="N2485" t="s">
        <v>94</v>
      </c>
    </row>
    <row r="2486" spans="1:14">
      <c r="A2486">
        <v>2485</v>
      </c>
      <c r="B2486">
        <v>70</v>
      </c>
      <c r="C2486" t="s">
        <v>11</v>
      </c>
      <c r="D2486" t="s">
        <v>41</v>
      </c>
      <c r="E2486" t="s">
        <v>45</v>
      </c>
      <c r="F2486">
        <v>112.59</v>
      </c>
      <c r="G2486" t="s">
        <v>19</v>
      </c>
      <c r="H2486" t="s">
        <v>15</v>
      </c>
      <c r="I2486">
        <v>4.7</v>
      </c>
      <c r="J2486">
        <v>18</v>
      </c>
      <c r="K2486">
        <v>4</v>
      </c>
      <c r="L2486" s="4">
        <v>137.30487804878049</v>
      </c>
      <c r="M2486" s="4">
        <v>24.714878048780491</v>
      </c>
      <c r="N2486" t="s">
        <v>95</v>
      </c>
    </row>
    <row r="2487" spans="1:14">
      <c r="A2487">
        <v>2486</v>
      </c>
      <c r="B2487">
        <v>30</v>
      </c>
      <c r="C2487" t="s">
        <v>11</v>
      </c>
      <c r="D2487" t="s">
        <v>41</v>
      </c>
      <c r="E2487" t="s">
        <v>45</v>
      </c>
      <c r="F2487">
        <v>77.540000000000006</v>
      </c>
      <c r="G2487" t="s">
        <v>31</v>
      </c>
      <c r="H2487" t="s">
        <v>37</v>
      </c>
      <c r="I2487">
        <v>3.8</v>
      </c>
      <c r="J2487">
        <v>18</v>
      </c>
      <c r="K2487">
        <v>4</v>
      </c>
      <c r="L2487" s="4">
        <v>94.560975609756099</v>
      </c>
      <c r="M2487" s="4">
        <v>17.020975609756093</v>
      </c>
      <c r="N2487" t="s">
        <v>91</v>
      </c>
    </row>
    <row r="2488" spans="1:14">
      <c r="A2488">
        <v>2487</v>
      </c>
      <c r="B2488">
        <v>58</v>
      </c>
      <c r="C2488" t="s">
        <v>11</v>
      </c>
      <c r="D2488" t="s">
        <v>12</v>
      </c>
      <c r="E2488" t="s">
        <v>50</v>
      </c>
      <c r="F2488">
        <v>125.61</v>
      </c>
      <c r="G2488" t="s">
        <v>14</v>
      </c>
      <c r="H2488" t="s">
        <v>15</v>
      </c>
      <c r="I2488">
        <v>3.3</v>
      </c>
      <c r="J2488">
        <v>12</v>
      </c>
      <c r="K2488">
        <v>6</v>
      </c>
      <c r="L2488" s="4">
        <v>142.73863636363637</v>
      </c>
      <c r="M2488" s="4">
        <v>17.128636363636375</v>
      </c>
      <c r="N2488" t="s">
        <v>94</v>
      </c>
    </row>
    <row r="2489" spans="1:14">
      <c r="A2489">
        <v>2488</v>
      </c>
      <c r="B2489">
        <v>66</v>
      </c>
      <c r="C2489" t="s">
        <v>11</v>
      </c>
      <c r="D2489" t="s">
        <v>12</v>
      </c>
      <c r="E2489" t="s">
        <v>13</v>
      </c>
      <c r="F2489">
        <v>175.38</v>
      </c>
      <c r="G2489" t="s">
        <v>14</v>
      </c>
      <c r="H2489" t="s">
        <v>15</v>
      </c>
      <c r="I2489">
        <v>4.0999999999999996</v>
      </c>
      <c r="J2489">
        <v>12</v>
      </c>
      <c r="K2489">
        <v>6</v>
      </c>
      <c r="L2489" s="4">
        <v>199.29545454545453</v>
      </c>
      <c r="M2489" s="4">
        <v>23.915454545454537</v>
      </c>
      <c r="N2489" t="s">
        <v>95</v>
      </c>
    </row>
    <row r="2490" spans="1:14">
      <c r="A2490">
        <v>2489</v>
      </c>
      <c r="B2490">
        <v>45</v>
      </c>
      <c r="C2490" t="s">
        <v>11</v>
      </c>
      <c r="D2490" t="s">
        <v>33</v>
      </c>
      <c r="E2490" t="s">
        <v>38</v>
      </c>
      <c r="F2490">
        <v>199.34</v>
      </c>
      <c r="G2490" t="s">
        <v>31</v>
      </c>
      <c r="H2490" t="s">
        <v>15</v>
      </c>
      <c r="I2490">
        <v>5</v>
      </c>
      <c r="J2490">
        <v>16</v>
      </c>
      <c r="K2490">
        <v>3</v>
      </c>
      <c r="L2490" s="4">
        <v>237.30952380952382</v>
      </c>
      <c r="M2490" s="4">
        <v>37.969523809523821</v>
      </c>
      <c r="N2490" t="s">
        <v>93</v>
      </c>
    </row>
    <row r="2491" spans="1:14">
      <c r="A2491">
        <v>2490</v>
      </c>
      <c r="B2491">
        <v>57</v>
      </c>
      <c r="C2491" t="s">
        <v>16</v>
      </c>
      <c r="D2491" t="s">
        <v>33</v>
      </c>
      <c r="E2491" t="s">
        <v>40</v>
      </c>
      <c r="F2491">
        <v>102.02</v>
      </c>
      <c r="G2491" t="s">
        <v>24</v>
      </c>
      <c r="H2491" t="s">
        <v>15</v>
      </c>
      <c r="I2491">
        <v>4</v>
      </c>
      <c r="J2491">
        <v>19</v>
      </c>
      <c r="K2491">
        <v>7</v>
      </c>
      <c r="L2491" s="4">
        <v>125.95061728395061</v>
      </c>
      <c r="M2491" s="4">
        <v>23.93061728395061</v>
      </c>
      <c r="N2491" t="s">
        <v>94</v>
      </c>
    </row>
    <row r="2492" spans="1:14">
      <c r="A2492">
        <v>2491</v>
      </c>
      <c r="B2492">
        <v>27</v>
      </c>
      <c r="C2492" t="s">
        <v>16</v>
      </c>
      <c r="D2492" t="s">
        <v>27</v>
      </c>
      <c r="E2492" t="s">
        <v>32</v>
      </c>
      <c r="F2492">
        <v>736.82</v>
      </c>
      <c r="G2492" t="s">
        <v>14</v>
      </c>
      <c r="H2492" t="s">
        <v>15</v>
      </c>
      <c r="I2492">
        <v>4.4000000000000004</v>
      </c>
      <c r="J2492">
        <v>10</v>
      </c>
      <c r="K2492">
        <v>5</v>
      </c>
      <c r="L2492" s="4">
        <v>818.68888888888887</v>
      </c>
      <c r="M2492" s="4">
        <v>81.868888888888819</v>
      </c>
      <c r="N2492" t="s">
        <v>91</v>
      </c>
    </row>
    <row r="2493" spans="1:14">
      <c r="A2493">
        <v>2492</v>
      </c>
      <c r="B2493">
        <v>61</v>
      </c>
      <c r="C2493" t="s">
        <v>16</v>
      </c>
      <c r="D2493" t="s">
        <v>17</v>
      </c>
      <c r="E2493" t="s">
        <v>18</v>
      </c>
      <c r="F2493">
        <v>67.64</v>
      </c>
      <c r="G2493" t="s">
        <v>31</v>
      </c>
      <c r="H2493" t="s">
        <v>37</v>
      </c>
      <c r="I2493">
        <v>3.6</v>
      </c>
      <c r="J2493">
        <v>18</v>
      </c>
      <c r="K2493">
        <v>4</v>
      </c>
      <c r="L2493" s="4">
        <v>82.487804878048777</v>
      </c>
      <c r="M2493" s="4">
        <v>14.847804878048777</v>
      </c>
      <c r="N2493" t="s">
        <v>94</v>
      </c>
    </row>
    <row r="2494" spans="1:14">
      <c r="A2494">
        <v>2493</v>
      </c>
      <c r="B2494">
        <v>61</v>
      </c>
      <c r="C2494" t="s">
        <v>16</v>
      </c>
      <c r="D2494" t="s">
        <v>17</v>
      </c>
      <c r="E2494" t="s">
        <v>18</v>
      </c>
      <c r="F2494">
        <v>97.18</v>
      </c>
      <c r="G2494" t="s">
        <v>31</v>
      </c>
      <c r="H2494" t="s">
        <v>15</v>
      </c>
      <c r="I2494">
        <v>3.9</v>
      </c>
      <c r="J2494">
        <v>19</v>
      </c>
      <c r="K2494">
        <v>7</v>
      </c>
      <c r="L2494" s="4">
        <v>119.9753086419753</v>
      </c>
      <c r="M2494" s="4">
        <v>22.795308641975296</v>
      </c>
      <c r="N2494" t="s">
        <v>94</v>
      </c>
    </row>
    <row r="2495" spans="1:14">
      <c r="A2495">
        <v>2494</v>
      </c>
      <c r="B2495">
        <v>36</v>
      </c>
      <c r="C2495" t="s">
        <v>11</v>
      </c>
      <c r="D2495" t="s">
        <v>41</v>
      </c>
      <c r="E2495" t="s">
        <v>45</v>
      </c>
      <c r="F2495">
        <v>96.2</v>
      </c>
      <c r="G2495" t="s">
        <v>24</v>
      </c>
      <c r="H2495" t="s">
        <v>37</v>
      </c>
      <c r="I2495">
        <v>5</v>
      </c>
      <c r="J2495">
        <v>6</v>
      </c>
      <c r="K2495">
        <v>3</v>
      </c>
      <c r="L2495" s="4">
        <v>102.3404255319149</v>
      </c>
      <c r="M2495" s="4">
        <v>6.1404255319149001</v>
      </c>
      <c r="N2495" t="s">
        <v>92</v>
      </c>
    </row>
    <row r="2496" spans="1:14">
      <c r="A2496">
        <v>2495</v>
      </c>
      <c r="B2496">
        <v>30</v>
      </c>
      <c r="C2496" t="s">
        <v>16</v>
      </c>
      <c r="D2496" t="s">
        <v>33</v>
      </c>
      <c r="E2496" t="s">
        <v>34</v>
      </c>
      <c r="F2496">
        <v>178.66</v>
      </c>
      <c r="G2496" t="s">
        <v>24</v>
      </c>
      <c r="H2496" t="s">
        <v>15</v>
      </c>
      <c r="I2496">
        <v>3.1</v>
      </c>
      <c r="J2496">
        <v>16</v>
      </c>
      <c r="K2496">
        <v>3</v>
      </c>
      <c r="L2496" s="4">
        <v>212.6904761904762</v>
      </c>
      <c r="M2496" s="4">
        <v>34.030476190476207</v>
      </c>
      <c r="N2496" t="s">
        <v>91</v>
      </c>
    </row>
    <row r="2497" spans="1:14">
      <c r="A2497">
        <v>2496</v>
      </c>
      <c r="B2497">
        <v>58</v>
      </c>
      <c r="C2497" t="s">
        <v>16</v>
      </c>
      <c r="D2497" t="s">
        <v>17</v>
      </c>
      <c r="E2497" t="s">
        <v>18</v>
      </c>
      <c r="F2497">
        <v>59.56</v>
      </c>
      <c r="G2497" t="s">
        <v>14</v>
      </c>
      <c r="H2497" t="s">
        <v>15</v>
      </c>
      <c r="I2497">
        <v>4.5</v>
      </c>
      <c r="J2497">
        <v>24</v>
      </c>
      <c r="K2497">
        <v>7</v>
      </c>
      <c r="L2497" s="4">
        <v>78.368421052631575</v>
      </c>
      <c r="M2497" s="4">
        <v>18.808421052631573</v>
      </c>
      <c r="N2497" t="s">
        <v>94</v>
      </c>
    </row>
    <row r="2498" spans="1:14">
      <c r="A2498">
        <v>2497</v>
      </c>
      <c r="B2498">
        <v>44</v>
      </c>
      <c r="C2498" t="s">
        <v>16</v>
      </c>
      <c r="D2498" t="s">
        <v>20</v>
      </c>
      <c r="E2498" t="s">
        <v>21</v>
      </c>
      <c r="F2498">
        <v>211.96</v>
      </c>
      <c r="G2498" t="s">
        <v>19</v>
      </c>
      <c r="H2498" t="s">
        <v>15</v>
      </c>
      <c r="I2498">
        <v>2.7</v>
      </c>
      <c r="J2498">
        <v>24</v>
      </c>
      <c r="K2498">
        <v>7</v>
      </c>
      <c r="L2498" s="4">
        <v>278.89473684210526</v>
      </c>
      <c r="M2498" s="4">
        <v>66.934736842105252</v>
      </c>
      <c r="N2498" t="s">
        <v>92</v>
      </c>
    </row>
    <row r="2499" spans="1:14">
      <c r="A2499">
        <v>2498</v>
      </c>
      <c r="B2499">
        <v>28</v>
      </c>
      <c r="C2499" t="s">
        <v>16</v>
      </c>
      <c r="D2499" t="s">
        <v>33</v>
      </c>
      <c r="E2499" t="s">
        <v>34</v>
      </c>
      <c r="F2499">
        <v>54.72</v>
      </c>
      <c r="G2499" t="s">
        <v>24</v>
      </c>
      <c r="H2499" t="s">
        <v>37</v>
      </c>
      <c r="I2499">
        <v>3</v>
      </c>
      <c r="J2499">
        <v>8</v>
      </c>
      <c r="K2499">
        <v>4</v>
      </c>
      <c r="L2499" s="4">
        <v>59.478260869565212</v>
      </c>
      <c r="M2499" s="4">
        <v>4.7582608695652127</v>
      </c>
      <c r="N2499" t="s">
        <v>91</v>
      </c>
    </row>
    <row r="2500" spans="1:14">
      <c r="A2500">
        <v>2499</v>
      </c>
      <c r="B2500">
        <v>50</v>
      </c>
      <c r="C2500" t="s">
        <v>11</v>
      </c>
      <c r="D2500" t="s">
        <v>41</v>
      </c>
      <c r="E2500" t="s">
        <v>42</v>
      </c>
      <c r="F2500">
        <v>166.8</v>
      </c>
      <c r="G2500" t="s">
        <v>14</v>
      </c>
      <c r="H2500" t="s">
        <v>15</v>
      </c>
      <c r="I2500">
        <v>4.8</v>
      </c>
      <c r="J2500">
        <v>15</v>
      </c>
      <c r="K2500">
        <v>5</v>
      </c>
      <c r="L2500" s="4">
        <v>196.23529411764707</v>
      </c>
      <c r="M2500" s="4">
        <v>29.435294117647061</v>
      </c>
      <c r="N2500" t="s">
        <v>93</v>
      </c>
    </row>
    <row r="2501" spans="1:14">
      <c r="A2501">
        <v>2500</v>
      </c>
      <c r="B2501">
        <v>36</v>
      </c>
      <c r="C2501" t="s">
        <v>11</v>
      </c>
      <c r="D2501" t="s">
        <v>20</v>
      </c>
      <c r="E2501" t="s">
        <v>21</v>
      </c>
      <c r="F2501">
        <v>180.09</v>
      </c>
      <c r="G2501" t="s">
        <v>24</v>
      </c>
      <c r="H2501" t="s">
        <v>15</v>
      </c>
      <c r="I2501">
        <v>4.9000000000000004</v>
      </c>
      <c r="J2501">
        <v>19</v>
      </c>
      <c r="K2501">
        <v>7</v>
      </c>
      <c r="L2501" s="4">
        <v>222.33333333333331</v>
      </c>
      <c r="M2501" s="4">
        <v>42.243333333333311</v>
      </c>
      <c r="N2501" t="s">
        <v>92</v>
      </c>
    </row>
    <row r="2502" spans="1:14">
      <c r="A2502">
        <v>2501</v>
      </c>
      <c r="B2502">
        <v>55</v>
      </c>
      <c r="C2502" t="s">
        <v>11</v>
      </c>
      <c r="D2502" t="s">
        <v>20</v>
      </c>
      <c r="E2502" t="s">
        <v>21</v>
      </c>
      <c r="F2502">
        <v>73.290000000000006</v>
      </c>
      <c r="G2502" t="s">
        <v>24</v>
      </c>
      <c r="H2502" t="s">
        <v>15</v>
      </c>
      <c r="I2502">
        <v>4.5999999999999996</v>
      </c>
      <c r="J2502">
        <v>19</v>
      </c>
      <c r="K2502">
        <v>7</v>
      </c>
      <c r="L2502" s="4">
        <v>90.481481481481481</v>
      </c>
      <c r="M2502" s="4">
        <v>17.191481481481475</v>
      </c>
      <c r="N2502" t="s">
        <v>94</v>
      </c>
    </row>
    <row r="2503" spans="1:14">
      <c r="A2503">
        <v>2502</v>
      </c>
      <c r="B2503">
        <v>49</v>
      </c>
      <c r="C2503" t="s">
        <v>16</v>
      </c>
      <c r="D2503" t="s">
        <v>20</v>
      </c>
      <c r="E2503" t="s">
        <v>21</v>
      </c>
      <c r="F2503">
        <v>240.58</v>
      </c>
      <c r="G2503" t="s">
        <v>19</v>
      </c>
      <c r="H2503" t="s">
        <v>15</v>
      </c>
      <c r="I2503">
        <v>4.2</v>
      </c>
      <c r="J2503">
        <v>24</v>
      </c>
      <c r="K2503">
        <v>7</v>
      </c>
      <c r="L2503" s="4">
        <v>316.5526315789474</v>
      </c>
      <c r="M2503" s="4">
        <v>75.972631578947386</v>
      </c>
      <c r="N2503" t="s">
        <v>93</v>
      </c>
    </row>
    <row r="2504" spans="1:14">
      <c r="A2504">
        <v>2503</v>
      </c>
      <c r="B2504">
        <v>58</v>
      </c>
      <c r="C2504" t="s">
        <v>11</v>
      </c>
      <c r="D2504" t="s">
        <v>22</v>
      </c>
      <c r="E2504" t="s">
        <v>52</v>
      </c>
      <c r="F2504">
        <v>80.55</v>
      </c>
      <c r="G2504" t="s">
        <v>19</v>
      </c>
      <c r="H2504" t="s">
        <v>15</v>
      </c>
      <c r="I2504">
        <v>4.8</v>
      </c>
      <c r="J2504">
        <v>13</v>
      </c>
      <c r="K2504">
        <v>4</v>
      </c>
      <c r="L2504" s="4">
        <v>92.586206896551715</v>
      </c>
      <c r="M2504" s="4">
        <v>12.036206896551718</v>
      </c>
      <c r="N2504" t="s">
        <v>94</v>
      </c>
    </row>
    <row r="2505" spans="1:14">
      <c r="A2505">
        <v>2504</v>
      </c>
      <c r="B2505">
        <v>57</v>
      </c>
      <c r="C2505" t="s">
        <v>16</v>
      </c>
      <c r="D2505" t="s">
        <v>27</v>
      </c>
      <c r="E2505" t="s">
        <v>32</v>
      </c>
      <c r="F2505">
        <v>1635.17</v>
      </c>
      <c r="G2505" t="s">
        <v>31</v>
      </c>
      <c r="H2505" t="s">
        <v>15</v>
      </c>
      <c r="I2505">
        <v>4.0999999999999996</v>
      </c>
      <c r="J2505">
        <v>9</v>
      </c>
      <c r="K2505">
        <v>2</v>
      </c>
      <c r="L2505" s="4">
        <v>1796.8901098901099</v>
      </c>
      <c r="M2505" s="4">
        <v>161.72010989010982</v>
      </c>
      <c r="N2505" t="s">
        <v>94</v>
      </c>
    </row>
    <row r="2506" spans="1:14">
      <c r="A2506">
        <v>2505</v>
      </c>
      <c r="B2506">
        <v>25</v>
      </c>
      <c r="C2506" t="s">
        <v>16</v>
      </c>
      <c r="D2506" t="s">
        <v>33</v>
      </c>
      <c r="E2506" t="s">
        <v>34</v>
      </c>
      <c r="F2506">
        <v>226.76</v>
      </c>
      <c r="G2506" t="s">
        <v>24</v>
      </c>
      <c r="H2506" t="s">
        <v>15</v>
      </c>
      <c r="I2506">
        <v>4.2</v>
      </c>
      <c r="J2506">
        <v>21</v>
      </c>
      <c r="K2506">
        <v>8</v>
      </c>
      <c r="L2506" s="4">
        <v>287.03797468354429</v>
      </c>
      <c r="M2506" s="4">
        <v>60.277974683544301</v>
      </c>
      <c r="N2506" t="s">
        <v>91</v>
      </c>
    </row>
    <row r="2507" spans="1:14">
      <c r="A2507">
        <v>2506</v>
      </c>
      <c r="B2507">
        <v>42</v>
      </c>
      <c r="C2507" t="s">
        <v>16</v>
      </c>
      <c r="D2507" t="s">
        <v>20</v>
      </c>
      <c r="E2507" t="s">
        <v>21</v>
      </c>
      <c r="F2507">
        <v>132.34</v>
      </c>
      <c r="G2507" t="s">
        <v>19</v>
      </c>
      <c r="H2507" t="s">
        <v>15</v>
      </c>
      <c r="I2507">
        <v>4.5</v>
      </c>
      <c r="J2507">
        <v>20</v>
      </c>
      <c r="K2507">
        <v>5</v>
      </c>
      <c r="L2507" s="4">
        <v>165.42499999999998</v>
      </c>
      <c r="M2507" s="4">
        <v>33.08499999999998</v>
      </c>
      <c r="N2507" t="s">
        <v>92</v>
      </c>
    </row>
    <row r="2508" spans="1:14">
      <c r="A2508">
        <v>2507</v>
      </c>
      <c r="B2508">
        <v>42</v>
      </c>
      <c r="C2508" t="s">
        <v>11</v>
      </c>
      <c r="D2508" t="s">
        <v>12</v>
      </c>
      <c r="E2508" t="s">
        <v>56</v>
      </c>
      <c r="F2508">
        <v>151.58000000000001</v>
      </c>
      <c r="G2508" t="s">
        <v>19</v>
      </c>
      <c r="H2508" t="s">
        <v>15</v>
      </c>
      <c r="I2508">
        <v>4.0999999999999996</v>
      </c>
      <c r="J2508">
        <v>2</v>
      </c>
      <c r="K2508">
        <v>1</v>
      </c>
      <c r="L2508" s="4">
        <v>154.67346938775512</v>
      </c>
      <c r="M2508" s="4">
        <v>3.0934693877551069</v>
      </c>
      <c r="N2508" t="s">
        <v>92</v>
      </c>
    </row>
    <row r="2509" spans="1:14">
      <c r="A2509">
        <v>2508</v>
      </c>
      <c r="B2509">
        <v>35</v>
      </c>
      <c r="C2509" t="s">
        <v>16</v>
      </c>
      <c r="D2509" t="s">
        <v>25</v>
      </c>
      <c r="E2509" t="s">
        <v>54</v>
      </c>
      <c r="F2509">
        <v>6.79</v>
      </c>
      <c r="G2509" t="s">
        <v>14</v>
      </c>
      <c r="H2509" t="s">
        <v>37</v>
      </c>
      <c r="I2509">
        <v>3.4</v>
      </c>
      <c r="J2509">
        <v>16</v>
      </c>
      <c r="K2509">
        <v>8</v>
      </c>
      <c r="L2509" s="4">
        <v>8.0833333333333339</v>
      </c>
      <c r="M2509" s="4">
        <v>1.2933333333333339</v>
      </c>
      <c r="N2509" t="s">
        <v>92</v>
      </c>
    </row>
    <row r="2510" spans="1:14">
      <c r="A2510">
        <v>2509</v>
      </c>
      <c r="B2510">
        <v>53</v>
      </c>
      <c r="C2510" t="s">
        <v>11</v>
      </c>
      <c r="D2510" t="s">
        <v>33</v>
      </c>
      <c r="E2510" t="s">
        <v>38</v>
      </c>
      <c r="F2510">
        <v>177.6</v>
      </c>
      <c r="G2510" t="s">
        <v>14</v>
      </c>
      <c r="H2510" t="s">
        <v>15</v>
      </c>
      <c r="I2510">
        <v>5</v>
      </c>
      <c r="J2510">
        <v>26</v>
      </c>
      <c r="K2510">
        <v>8</v>
      </c>
      <c r="L2510" s="4">
        <v>240</v>
      </c>
      <c r="M2510" s="4">
        <v>62.400000000000006</v>
      </c>
      <c r="N2510" t="s">
        <v>93</v>
      </c>
    </row>
    <row r="2511" spans="1:14">
      <c r="A2511">
        <v>2510</v>
      </c>
      <c r="B2511">
        <v>49</v>
      </c>
      <c r="C2511" t="s">
        <v>16</v>
      </c>
      <c r="D2511" t="s">
        <v>27</v>
      </c>
      <c r="E2511" t="s">
        <v>32</v>
      </c>
      <c r="F2511">
        <v>1297.0899999999999</v>
      </c>
      <c r="G2511" t="s">
        <v>19</v>
      </c>
      <c r="H2511" t="s">
        <v>15</v>
      </c>
      <c r="I2511">
        <v>4.8</v>
      </c>
      <c r="J2511">
        <v>20</v>
      </c>
      <c r="K2511">
        <v>5</v>
      </c>
      <c r="L2511" s="4">
        <v>1621.3624999999997</v>
      </c>
      <c r="M2511" s="4">
        <v>324.27249999999981</v>
      </c>
      <c r="N2511" t="s">
        <v>93</v>
      </c>
    </row>
    <row r="2512" spans="1:14">
      <c r="A2512">
        <v>2511</v>
      </c>
      <c r="B2512">
        <v>28</v>
      </c>
      <c r="C2512" t="s">
        <v>11</v>
      </c>
      <c r="D2512" t="s">
        <v>12</v>
      </c>
      <c r="E2512" t="s">
        <v>50</v>
      </c>
      <c r="F2512">
        <v>76.02</v>
      </c>
      <c r="G2512" t="s">
        <v>14</v>
      </c>
      <c r="H2512" t="s">
        <v>15</v>
      </c>
      <c r="I2512">
        <v>4</v>
      </c>
      <c r="J2512">
        <v>22</v>
      </c>
      <c r="K2512">
        <v>6</v>
      </c>
      <c r="L2512" s="4">
        <v>97.461538461538453</v>
      </c>
      <c r="M2512" s="4">
        <v>21.441538461538457</v>
      </c>
      <c r="N2512" t="s">
        <v>91</v>
      </c>
    </row>
    <row r="2513" spans="1:14">
      <c r="A2513">
        <v>2512</v>
      </c>
      <c r="B2513">
        <v>37</v>
      </c>
      <c r="C2513" t="s">
        <v>11</v>
      </c>
      <c r="D2513" t="s">
        <v>33</v>
      </c>
      <c r="E2513" t="s">
        <v>34</v>
      </c>
      <c r="F2513">
        <v>158.57</v>
      </c>
      <c r="G2513" t="s">
        <v>19</v>
      </c>
      <c r="H2513" t="s">
        <v>15</v>
      </c>
      <c r="I2513">
        <v>3.3</v>
      </c>
      <c r="J2513">
        <v>6</v>
      </c>
      <c r="K2513">
        <v>3</v>
      </c>
      <c r="L2513" s="4">
        <v>168.69148936170214</v>
      </c>
      <c r="M2513" s="4">
        <v>10.121489361702146</v>
      </c>
      <c r="N2513" t="s">
        <v>92</v>
      </c>
    </row>
    <row r="2514" spans="1:14">
      <c r="A2514">
        <v>2513</v>
      </c>
      <c r="B2514">
        <v>27</v>
      </c>
      <c r="C2514" t="s">
        <v>11</v>
      </c>
      <c r="D2514" t="s">
        <v>41</v>
      </c>
      <c r="E2514" t="s">
        <v>44</v>
      </c>
      <c r="F2514">
        <v>88.33</v>
      </c>
      <c r="G2514" t="s">
        <v>24</v>
      </c>
      <c r="H2514" t="s">
        <v>15</v>
      </c>
      <c r="I2514">
        <v>3.8</v>
      </c>
      <c r="J2514">
        <v>10</v>
      </c>
      <c r="K2514">
        <v>5</v>
      </c>
      <c r="L2514" s="4">
        <v>98.144444444444446</v>
      </c>
      <c r="M2514" s="4">
        <v>9.8144444444444474</v>
      </c>
      <c r="N2514" t="s">
        <v>91</v>
      </c>
    </row>
    <row r="2515" spans="1:14">
      <c r="A2515">
        <v>2514</v>
      </c>
      <c r="B2515">
        <v>54</v>
      </c>
      <c r="C2515" t="s">
        <v>16</v>
      </c>
      <c r="D2515" t="s">
        <v>17</v>
      </c>
      <c r="E2515" t="s">
        <v>18</v>
      </c>
      <c r="F2515">
        <v>181.51</v>
      </c>
      <c r="G2515" t="s">
        <v>14</v>
      </c>
      <c r="H2515" t="s">
        <v>15</v>
      </c>
      <c r="I2515">
        <v>4.8</v>
      </c>
      <c r="J2515">
        <v>13</v>
      </c>
      <c r="K2515">
        <v>4</v>
      </c>
      <c r="L2515" s="4">
        <v>208.63218390804596</v>
      </c>
      <c r="M2515" s="4">
        <v>27.122183908045969</v>
      </c>
      <c r="N2515" t="s">
        <v>93</v>
      </c>
    </row>
    <row r="2516" spans="1:14">
      <c r="A2516">
        <v>2515</v>
      </c>
      <c r="B2516">
        <v>27</v>
      </c>
      <c r="C2516" t="s">
        <v>16</v>
      </c>
      <c r="D2516" t="s">
        <v>17</v>
      </c>
      <c r="E2516" t="s">
        <v>18</v>
      </c>
      <c r="F2516">
        <v>48.86</v>
      </c>
      <c r="G2516" t="s">
        <v>24</v>
      </c>
      <c r="H2516" t="s">
        <v>37</v>
      </c>
      <c r="I2516">
        <v>4.8</v>
      </c>
      <c r="J2516">
        <v>8</v>
      </c>
      <c r="K2516">
        <v>4</v>
      </c>
      <c r="L2516" s="4">
        <v>53.108695652173907</v>
      </c>
      <c r="M2516" s="4">
        <v>4.2486956521739074</v>
      </c>
      <c r="N2516" t="s">
        <v>91</v>
      </c>
    </row>
    <row r="2517" spans="1:14">
      <c r="A2517">
        <v>2516</v>
      </c>
      <c r="B2517">
        <v>55</v>
      </c>
      <c r="C2517" t="s">
        <v>11</v>
      </c>
      <c r="D2517" t="s">
        <v>12</v>
      </c>
      <c r="E2517" t="s">
        <v>13</v>
      </c>
      <c r="F2517">
        <v>124.2</v>
      </c>
      <c r="G2517" t="s">
        <v>19</v>
      </c>
      <c r="H2517" t="s">
        <v>15</v>
      </c>
      <c r="I2517">
        <v>3.6</v>
      </c>
      <c r="J2517">
        <v>12</v>
      </c>
      <c r="K2517">
        <v>6</v>
      </c>
      <c r="L2517" s="4">
        <v>141.13636363636363</v>
      </c>
      <c r="M2517" s="4">
        <v>16.936363636363623</v>
      </c>
      <c r="N2517" t="s">
        <v>94</v>
      </c>
    </row>
    <row r="2518" spans="1:14">
      <c r="A2518">
        <v>2517</v>
      </c>
      <c r="B2518">
        <v>37</v>
      </c>
      <c r="C2518" t="s">
        <v>11</v>
      </c>
      <c r="D2518" t="s">
        <v>29</v>
      </c>
      <c r="E2518" t="s">
        <v>55</v>
      </c>
      <c r="F2518">
        <v>130.83000000000001</v>
      </c>
      <c r="G2518" t="s">
        <v>19</v>
      </c>
      <c r="H2518" t="s">
        <v>15</v>
      </c>
      <c r="I2518">
        <v>5</v>
      </c>
      <c r="J2518">
        <v>18</v>
      </c>
      <c r="K2518">
        <v>4</v>
      </c>
      <c r="L2518" s="4">
        <v>159.54878048780489</v>
      </c>
      <c r="M2518" s="4">
        <v>28.718780487804878</v>
      </c>
      <c r="N2518" t="s">
        <v>92</v>
      </c>
    </row>
    <row r="2519" spans="1:14">
      <c r="A2519">
        <v>2518</v>
      </c>
      <c r="B2519">
        <v>21</v>
      </c>
      <c r="C2519" t="s">
        <v>16</v>
      </c>
      <c r="D2519" t="s">
        <v>17</v>
      </c>
      <c r="E2519" t="s">
        <v>18</v>
      </c>
      <c r="F2519">
        <v>46.83</v>
      </c>
      <c r="G2519" t="s">
        <v>19</v>
      </c>
      <c r="H2519" t="s">
        <v>15</v>
      </c>
      <c r="I2519">
        <v>5</v>
      </c>
      <c r="J2519">
        <v>16</v>
      </c>
      <c r="K2519">
        <v>3</v>
      </c>
      <c r="L2519" s="4">
        <v>55.75</v>
      </c>
      <c r="M2519" s="4">
        <v>8.9200000000000017</v>
      </c>
      <c r="N2519" t="s">
        <v>100</v>
      </c>
    </row>
    <row r="2520" spans="1:14">
      <c r="A2520">
        <v>2519</v>
      </c>
      <c r="B2520">
        <v>47</v>
      </c>
      <c r="C2520" t="s">
        <v>16</v>
      </c>
      <c r="D2520" t="s">
        <v>33</v>
      </c>
      <c r="E2520" t="s">
        <v>34</v>
      </c>
      <c r="F2520">
        <v>43.11</v>
      </c>
      <c r="G2520" t="s">
        <v>19</v>
      </c>
      <c r="H2520" t="s">
        <v>15</v>
      </c>
      <c r="I2520">
        <v>3.6</v>
      </c>
      <c r="J2520">
        <v>16</v>
      </c>
      <c r="K2520">
        <v>8</v>
      </c>
      <c r="L2520" s="4">
        <v>51.321428571428569</v>
      </c>
      <c r="M2520" s="4">
        <v>8.21142857142857</v>
      </c>
      <c r="N2520" t="s">
        <v>93</v>
      </c>
    </row>
    <row r="2521" spans="1:14">
      <c r="A2521">
        <v>2520</v>
      </c>
      <c r="B2521">
        <v>55</v>
      </c>
      <c r="C2521" t="s">
        <v>11</v>
      </c>
      <c r="D2521" t="s">
        <v>29</v>
      </c>
      <c r="E2521" t="s">
        <v>51</v>
      </c>
      <c r="F2521">
        <v>131.37</v>
      </c>
      <c r="G2521" t="s">
        <v>14</v>
      </c>
      <c r="H2521" t="s">
        <v>15</v>
      </c>
      <c r="I2521">
        <v>3.4</v>
      </c>
      <c r="J2521">
        <v>14</v>
      </c>
      <c r="K2521">
        <v>2</v>
      </c>
      <c r="L2521" s="4">
        <v>152.75581395348837</v>
      </c>
      <c r="M2521" s="4">
        <v>21.385813953488366</v>
      </c>
      <c r="N2521" t="s">
        <v>94</v>
      </c>
    </row>
    <row r="2522" spans="1:14">
      <c r="A2522">
        <v>2521</v>
      </c>
      <c r="B2522">
        <v>35</v>
      </c>
      <c r="C2522" t="s">
        <v>11</v>
      </c>
      <c r="D2522" t="s">
        <v>33</v>
      </c>
      <c r="E2522" t="s">
        <v>34</v>
      </c>
      <c r="F2522">
        <v>216.78</v>
      </c>
      <c r="G2522" t="s">
        <v>14</v>
      </c>
      <c r="H2522" t="s">
        <v>15</v>
      </c>
      <c r="I2522">
        <v>3.7</v>
      </c>
      <c r="J2522">
        <v>10</v>
      </c>
      <c r="K2522">
        <v>5</v>
      </c>
      <c r="L2522" s="4">
        <v>240.86666666666667</v>
      </c>
      <c r="M2522" s="4">
        <v>24.086666666666673</v>
      </c>
      <c r="N2522" t="s">
        <v>92</v>
      </c>
    </row>
    <row r="2523" spans="1:14">
      <c r="A2523">
        <v>2522</v>
      </c>
      <c r="B2523">
        <v>45</v>
      </c>
      <c r="C2523" t="s">
        <v>11</v>
      </c>
      <c r="D2523" t="s">
        <v>25</v>
      </c>
      <c r="E2523" t="s">
        <v>26</v>
      </c>
      <c r="F2523">
        <v>21.14</v>
      </c>
      <c r="G2523" t="s">
        <v>24</v>
      </c>
      <c r="H2523" t="s">
        <v>15</v>
      </c>
      <c r="I2523">
        <v>3.7</v>
      </c>
      <c r="J2523">
        <v>22</v>
      </c>
      <c r="K2523">
        <v>6</v>
      </c>
      <c r="L2523" s="4">
        <v>27.102564102564102</v>
      </c>
      <c r="M2523" s="4">
        <v>5.9625641025641016</v>
      </c>
      <c r="N2523" t="s">
        <v>93</v>
      </c>
    </row>
    <row r="2524" spans="1:14">
      <c r="A2524">
        <v>2523</v>
      </c>
      <c r="B2524">
        <v>69</v>
      </c>
      <c r="C2524" t="s">
        <v>11</v>
      </c>
      <c r="D2524" t="s">
        <v>33</v>
      </c>
      <c r="E2524" t="s">
        <v>34</v>
      </c>
      <c r="F2524">
        <v>237.37</v>
      </c>
      <c r="G2524" t="s">
        <v>14</v>
      </c>
      <c r="H2524" t="s">
        <v>15</v>
      </c>
      <c r="I2524">
        <v>3.1</v>
      </c>
      <c r="J2524">
        <v>16</v>
      </c>
      <c r="K2524">
        <v>3</v>
      </c>
      <c r="L2524" s="4">
        <v>282.58333333333337</v>
      </c>
      <c r="M2524" s="4">
        <v>45.213333333333367</v>
      </c>
      <c r="N2524" t="s">
        <v>95</v>
      </c>
    </row>
    <row r="2525" spans="1:14">
      <c r="A2525">
        <v>2524</v>
      </c>
      <c r="B2525">
        <v>35</v>
      </c>
      <c r="C2525" t="s">
        <v>11</v>
      </c>
      <c r="D2525" t="s">
        <v>33</v>
      </c>
      <c r="E2525" t="s">
        <v>38</v>
      </c>
      <c r="F2525">
        <v>112.58</v>
      </c>
      <c r="G2525" t="s">
        <v>24</v>
      </c>
      <c r="H2525" t="s">
        <v>15</v>
      </c>
      <c r="I2525">
        <v>4</v>
      </c>
      <c r="J2525">
        <v>8</v>
      </c>
      <c r="K2525">
        <v>4</v>
      </c>
      <c r="L2525" s="4">
        <v>122.3695652173913</v>
      </c>
      <c r="M2525" s="4">
        <v>9.7895652173912993</v>
      </c>
      <c r="N2525" t="s">
        <v>92</v>
      </c>
    </row>
    <row r="2526" spans="1:14">
      <c r="A2526">
        <v>2525</v>
      </c>
      <c r="B2526">
        <v>47</v>
      </c>
      <c r="C2526" t="s">
        <v>16</v>
      </c>
      <c r="D2526" t="s">
        <v>25</v>
      </c>
      <c r="E2526" t="s">
        <v>47</v>
      </c>
      <c r="F2526">
        <v>38.119999999999997</v>
      </c>
      <c r="G2526" t="s">
        <v>14</v>
      </c>
      <c r="H2526" t="s">
        <v>37</v>
      </c>
      <c r="I2526">
        <v>3.7</v>
      </c>
      <c r="J2526">
        <v>8</v>
      </c>
      <c r="K2526">
        <v>4</v>
      </c>
      <c r="L2526" s="4">
        <v>41.434782608695649</v>
      </c>
      <c r="M2526" s="4">
        <v>3.3147826086956513</v>
      </c>
      <c r="N2526" t="s">
        <v>93</v>
      </c>
    </row>
    <row r="2527" spans="1:14">
      <c r="A2527">
        <v>2526</v>
      </c>
      <c r="B2527">
        <v>40</v>
      </c>
      <c r="C2527" t="s">
        <v>11</v>
      </c>
      <c r="D2527" t="s">
        <v>29</v>
      </c>
      <c r="E2527" t="s">
        <v>30</v>
      </c>
      <c r="F2527">
        <v>79.73</v>
      </c>
      <c r="G2527" t="s">
        <v>14</v>
      </c>
      <c r="H2527" t="s">
        <v>15</v>
      </c>
      <c r="I2527">
        <v>3.5</v>
      </c>
      <c r="J2527">
        <v>12</v>
      </c>
      <c r="K2527">
        <v>1</v>
      </c>
      <c r="L2527" s="4">
        <v>90.602272727272734</v>
      </c>
      <c r="M2527" s="4">
        <v>10.87227272727273</v>
      </c>
      <c r="N2527" t="s">
        <v>92</v>
      </c>
    </row>
    <row r="2528" spans="1:14">
      <c r="A2528">
        <v>2527</v>
      </c>
      <c r="B2528">
        <v>40</v>
      </c>
      <c r="C2528" t="s">
        <v>11</v>
      </c>
      <c r="D2528" t="s">
        <v>25</v>
      </c>
      <c r="E2528" t="s">
        <v>26</v>
      </c>
      <c r="F2528">
        <v>23.39</v>
      </c>
      <c r="G2528" t="s">
        <v>24</v>
      </c>
      <c r="H2528" t="s">
        <v>37</v>
      </c>
      <c r="I2528">
        <v>3.7</v>
      </c>
      <c r="J2528">
        <v>18</v>
      </c>
      <c r="K2528">
        <v>4</v>
      </c>
      <c r="L2528" s="4">
        <v>28.524390243902438</v>
      </c>
      <c r="M2528" s="4">
        <v>5.1343902439024376</v>
      </c>
      <c r="N2528" t="s">
        <v>92</v>
      </c>
    </row>
    <row r="2529" spans="1:14">
      <c r="A2529">
        <v>2528</v>
      </c>
      <c r="B2529">
        <v>49</v>
      </c>
      <c r="C2529" t="s">
        <v>11</v>
      </c>
      <c r="D2529" t="s">
        <v>20</v>
      </c>
      <c r="E2529" t="s">
        <v>21</v>
      </c>
      <c r="F2529">
        <v>155.91999999999999</v>
      </c>
      <c r="G2529" t="s">
        <v>31</v>
      </c>
      <c r="H2529" t="s">
        <v>15</v>
      </c>
      <c r="I2529">
        <v>4.0999999999999996</v>
      </c>
      <c r="J2529">
        <v>8</v>
      </c>
      <c r="K2529">
        <v>4</v>
      </c>
      <c r="L2529" s="4">
        <v>169.47826086956519</v>
      </c>
      <c r="M2529" s="4">
        <v>13.558260869565203</v>
      </c>
      <c r="N2529" t="s">
        <v>93</v>
      </c>
    </row>
    <row r="2530" spans="1:14">
      <c r="A2530">
        <v>2529</v>
      </c>
      <c r="B2530">
        <v>25</v>
      </c>
      <c r="C2530" t="s">
        <v>16</v>
      </c>
      <c r="D2530" t="s">
        <v>27</v>
      </c>
      <c r="E2530" t="s">
        <v>53</v>
      </c>
      <c r="F2530">
        <v>1144.23</v>
      </c>
      <c r="G2530" t="s">
        <v>31</v>
      </c>
      <c r="H2530" t="s">
        <v>15</v>
      </c>
      <c r="I2530">
        <v>3.4</v>
      </c>
      <c r="J2530">
        <v>2</v>
      </c>
      <c r="K2530">
        <v>1</v>
      </c>
      <c r="L2530" s="4">
        <v>1167.5816326530612</v>
      </c>
      <c r="M2530" s="4">
        <v>23.351632653061188</v>
      </c>
      <c r="N2530" t="s">
        <v>91</v>
      </c>
    </row>
    <row r="2531" spans="1:14">
      <c r="A2531">
        <v>2530</v>
      </c>
      <c r="B2531">
        <v>35</v>
      </c>
      <c r="C2531" t="s">
        <v>16</v>
      </c>
      <c r="D2531" t="s">
        <v>17</v>
      </c>
      <c r="E2531" t="s">
        <v>35</v>
      </c>
      <c r="F2531">
        <v>180.47</v>
      </c>
      <c r="G2531" t="s">
        <v>24</v>
      </c>
      <c r="H2531" t="s">
        <v>15</v>
      </c>
      <c r="I2531">
        <v>4</v>
      </c>
      <c r="J2531">
        <v>12</v>
      </c>
      <c r="K2531">
        <v>6</v>
      </c>
      <c r="L2531" s="4">
        <v>205.07954545454544</v>
      </c>
      <c r="M2531" s="4">
        <v>24.60954545454544</v>
      </c>
      <c r="N2531" t="s">
        <v>92</v>
      </c>
    </row>
    <row r="2532" spans="1:14">
      <c r="A2532">
        <v>2531</v>
      </c>
      <c r="B2532">
        <v>67</v>
      </c>
      <c r="C2532" t="s">
        <v>11</v>
      </c>
      <c r="D2532" t="s">
        <v>22</v>
      </c>
      <c r="E2532" t="s">
        <v>43</v>
      </c>
      <c r="F2532">
        <v>127.66</v>
      </c>
      <c r="G2532" t="s">
        <v>31</v>
      </c>
      <c r="H2532" t="s">
        <v>15</v>
      </c>
      <c r="I2532">
        <v>4.3</v>
      </c>
      <c r="J2532">
        <v>15</v>
      </c>
      <c r="K2532">
        <v>5</v>
      </c>
      <c r="L2532" s="4">
        <v>150.18823529411765</v>
      </c>
      <c r="M2532" s="4">
        <v>22.52823529411765</v>
      </c>
      <c r="N2532" t="s">
        <v>95</v>
      </c>
    </row>
    <row r="2533" spans="1:14">
      <c r="A2533">
        <v>2532</v>
      </c>
      <c r="B2533">
        <v>58</v>
      </c>
      <c r="C2533" t="s">
        <v>11</v>
      </c>
      <c r="D2533" t="s">
        <v>25</v>
      </c>
      <c r="E2533" t="s">
        <v>54</v>
      </c>
      <c r="F2533">
        <v>24.67</v>
      </c>
      <c r="G2533" t="s">
        <v>19</v>
      </c>
      <c r="H2533" t="s">
        <v>15</v>
      </c>
      <c r="I2533">
        <v>5</v>
      </c>
      <c r="J2533">
        <v>8</v>
      </c>
      <c r="K2533">
        <v>4</v>
      </c>
      <c r="L2533" s="4">
        <v>26.815217391304348</v>
      </c>
      <c r="M2533" s="4">
        <v>2.145217391304346</v>
      </c>
      <c r="N2533" t="s">
        <v>94</v>
      </c>
    </row>
    <row r="2534" spans="1:14">
      <c r="A2534">
        <v>2533</v>
      </c>
      <c r="B2534">
        <v>57</v>
      </c>
      <c r="C2534" t="s">
        <v>16</v>
      </c>
      <c r="D2534" t="s">
        <v>22</v>
      </c>
      <c r="E2534" t="s">
        <v>23</v>
      </c>
      <c r="F2534">
        <v>146.46</v>
      </c>
      <c r="G2534" t="s">
        <v>19</v>
      </c>
      <c r="H2534" t="s">
        <v>15</v>
      </c>
      <c r="I2534">
        <v>4.4000000000000004</v>
      </c>
      <c r="J2534">
        <v>6</v>
      </c>
      <c r="K2534">
        <v>3</v>
      </c>
      <c r="L2534" s="4">
        <v>155.80851063829789</v>
      </c>
      <c r="M2534" s="4">
        <v>9.3485106382978813</v>
      </c>
      <c r="N2534" t="s">
        <v>94</v>
      </c>
    </row>
    <row r="2535" spans="1:14">
      <c r="A2535">
        <v>2534</v>
      </c>
      <c r="B2535">
        <v>44</v>
      </c>
      <c r="C2535" t="s">
        <v>11</v>
      </c>
      <c r="D2535" t="s">
        <v>41</v>
      </c>
      <c r="E2535" t="s">
        <v>44</v>
      </c>
      <c r="F2535">
        <v>88.66</v>
      </c>
      <c r="G2535" t="s">
        <v>19</v>
      </c>
      <c r="H2535" t="s">
        <v>37</v>
      </c>
      <c r="I2535">
        <v>3.1</v>
      </c>
      <c r="J2535">
        <v>15</v>
      </c>
      <c r="K2535">
        <v>5</v>
      </c>
      <c r="L2535" s="4">
        <v>104.30588235294117</v>
      </c>
      <c r="M2535" s="4">
        <v>15.645882352941172</v>
      </c>
      <c r="N2535" t="s">
        <v>92</v>
      </c>
    </row>
    <row r="2536" spans="1:14">
      <c r="A2536">
        <v>2535</v>
      </c>
      <c r="B2536">
        <v>22</v>
      </c>
      <c r="C2536" t="s">
        <v>16</v>
      </c>
      <c r="D2536" t="s">
        <v>20</v>
      </c>
      <c r="E2536" t="s">
        <v>39</v>
      </c>
      <c r="F2536">
        <v>174.54</v>
      </c>
      <c r="G2536" t="s">
        <v>24</v>
      </c>
      <c r="H2536" t="s">
        <v>15</v>
      </c>
      <c r="I2536">
        <v>3.3</v>
      </c>
      <c r="J2536">
        <v>18</v>
      </c>
      <c r="K2536">
        <v>9</v>
      </c>
      <c r="L2536" s="4">
        <v>212.85365853658533</v>
      </c>
      <c r="M2536" s="4">
        <v>38.313658536585336</v>
      </c>
      <c r="N2536" t="s">
        <v>100</v>
      </c>
    </row>
    <row r="2537" spans="1:14">
      <c r="A2537">
        <v>2536</v>
      </c>
      <c r="B2537">
        <v>26</v>
      </c>
      <c r="C2537" t="s">
        <v>16</v>
      </c>
      <c r="D2537" t="s">
        <v>27</v>
      </c>
      <c r="E2537" t="s">
        <v>49</v>
      </c>
      <c r="F2537">
        <v>689.29</v>
      </c>
      <c r="G2537" t="s">
        <v>14</v>
      </c>
      <c r="H2537" t="s">
        <v>15</v>
      </c>
      <c r="I2537">
        <v>3.7</v>
      </c>
      <c r="J2537">
        <v>4</v>
      </c>
      <c r="K2537">
        <v>2</v>
      </c>
      <c r="L2537" s="4">
        <v>718.01041666666663</v>
      </c>
      <c r="M2537" s="4">
        <v>28.720416666666665</v>
      </c>
      <c r="N2537" t="s">
        <v>91</v>
      </c>
    </row>
    <row r="2538" spans="1:14">
      <c r="A2538">
        <v>2537</v>
      </c>
      <c r="B2538">
        <v>48</v>
      </c>
      <c r="C2538" t="s">
        <v>11</v>
      </c>
      <c r="D2538" t="s">
        <v>41</v>
      </c>
      <c r="E2538" t="s">
        <v>45</v>
      </c>
      <c r="F2538">
        <v>102.81</v>
      </c>
      <c r="G2538" t="s">
        <v>31</v>
      </c>
      <c r="H2538" t="s">
        <v>15</v>
      </c>
      <c r="I2538">
        <v>2.8</v>
      </c>
      <c r="J2538">
        <v>13</v>
      </c>
      <c r="K2538">
        <v>4</v>
      </c>
      <c r="L2538" s="4">
        <v>118.17241379310344</v>
      </c>
      <c r="M2538" s="4">
        <v>15.362413793103443</v>
      </c>
      <c r="N2538" t="s">
        <v>93</v>
      </c>
    </row>
    <row r="2539" spans="1:14">
      <c r="A2539">
        <v>2538</v>
      </c>
      <c r="B2539">
        <v>53</v>
      </c>
      <c r="C2539" t="s">
        <v>11</v>
      </c>
      <c r="D2539" t="s">
        <v>41</v>
      </c>
      <c r="E2539" t="s">
        <v>44</v>
      </c>
      <c r="F2539">
        <v>98.94</v>
      </c>
      <c r="G2539" t="s">
        <v>14</v>
      </c>
      <c r="H2539" t="s">
        <v>15</v>
      </c>
      <c r="I2539">
        <v>4.8</v>
      </c>
      <c r="J2539">
        <v>15</v>
      </c>
      <c r="K2539">
        <v>5</v>
      </c>
      <c r="L2539" s="4">
        <v>116.4</v>
      </c>
      <c r="M2539" s="4">
        <v>17.460000000000008</v>
      </c>
      <c r="N2539" t="s">
        <v>93</v>
      </c>
    </row>
    <row r="2540" spans="1:14">
      <c r="A2540">
        <v>2539</v>
      </c>
      <c r="B2540">
        <v>63</v>
      </c>
      <c r="C2540" t="s">
        <v>16</v>
      </c>
      <c r="D2540" t="s">
        <v>17</v>
      </c>
      <c r="E2540" t="s">
        <v>35</v>
      </c>
      <c r="F2540">
        <v>111.55</v>
      </c>
      <c r="G2540" t="s">
        <v>24</v>
      </c>
      <c r="H2540" t="s">
        <v>15</v>
      </c>
      <c r="I2540">
        <v>3.4</v>
      </c>
      <c r="J2540">
        <v>12</v>
      </c>
      <c r="K2540">
        <v>6</v>
      </c>
      <c r="L2540" s="4">
        <v>126.76136363636363</v>
      </c>
      <c r="M2540" s="4">
        <v>15.211363636363629</v>
      </c>
      <c r="N2540" t="s">
        <v>94</v>
      </c>
    </row>
    <row r="2541" spans="1:14">
      <c r="A2541">
        <v>2540</v>
      </c>
      <c r="B2541">
        <v>56</v>
      </c>
      <c r="C2541" t="s">
        <v>11</v>
      </c>
      <c r="D2541" t="s">
        <v>33</v>
      </c>
      <c r="E2541" t="s">
        <v>34</v>
      </c>
      <c r="F2541">
        <v>97.22</v>
      </c>
      <c r="G2541" t="s">
        <v>14</v>
      </c>
      <c r="H2541" t="s">
        <v>15</v>
      </c>
      <c r="I2541">
        <v>2.8</v>
      </c>
      <c r="J2541">
        <v>4</v>
      </c>
      <c r="K2541">
        <v>2</v>
      </c>
      <c r="L2541" s="4">
        <v>101.27083333333334</v>
      </c>
      <c r="M2541" s="4">
        <v>4.0508333333333439</v>
      </c>
      <c r="N2541" t="s">
        <v>94</v>
      </c>
    </row>
    <row r="2542" spans="1:14">
      <c r="A2542">
        <v>2541</v>
      </c>
      <c r="B2542">
        <v>61</v>
      </c>
      <c r="C2542" t="s">
        <v>11</v>
      </c>
      <c r="D2542" t="s">
        <v>20</v>
      </c>
      <c r="E2542" t="s">
        <v>36</v>
      </c>
      <c r="F2542">
        <v>25.02</v>
      </c>
      <c r="G2542" t="s">
        <v>19</v>
      </c>
      <c r="H2542" t="s">
        <v>37</v>
      </c>
      <c r="I2542">
        <v>4.2</v>
      </c>
      <c r="J2542">
        <v>16</v>
      </c>
      <c r="K2542">
        <v>3</v>
      </c>
      <c r="L2542" s="4">
        <v>29.785714285714285</v>
      </c>
      <c r="M2542" s="4">
        <v>4.7657142857142851</v>
      </c>
      <c r="N2542" t="s">
        <v>94</v>
      </c>
    </row>
    <row r="2543" spans="1:14">
      <c r="A2543">
        <v>2542</v>
      </c>
      <c r="B2543">
        <v>36</v>
      </c>
      <c r="C2543" t="s">
        <v>11</v>
      </c>
      <c r="D2543" t="s">
        <v>33</v>
      </c>
      <c r="E2543" t="s">
        <v>40</v>
      </c>
      <c r="F2543">
        <v>96.04</v>
      </c>
      <c r="G2543" t="s">
        <v>14</v>
      </c>
      <c r="H2543" t="s">
        <v>37</v>
      </c>
      <c r="I2543">
        <v>2.8</v>
      </c>
      <c r="J2543">
        <v>20</v>
      </c>
      <c r="K2543">
        <v>5</v>
      </c>
      <c r="L2543" s="4">
        <v>120.05</v>
      </c>
      <c r="M2543" s="4">
        <v>24.009999999999991</v>
      </c>
      <c r="N2543" t="s">
        <v>92</v>
      </c>
    </row>
    <row r="2544" spans="1:14">
      <c r="A2544">
        <v>2543</v>
      </c>
      <c r="B2544">
        <v>25</v>
      </c>
      <c r="C2544" t="s">
        <v>16</v>
      </c>
      <c r="D2544" t="s">
        <v>33</v>
      </c>
      <c r="E2544" t="s">
        <v>38</v>
      </c>
      <c r="F2544">
        <v>77.540000000000006</v>
      </c>
      <c r="G2544" t="s">
        <v>31</v>
      </c>
      <c r="H2544" t="s">
        <v>15</v>
      </c>
      <c r="I2544">
        <v>4</v>
      </c>
      <c r="J2544">
        <v>15</v>
      </c>
      <c r="K2544">
        <v>5</v>
      </c>
      <c r="L2544" s="4">
        <v>91.223529411764716</v>
      </c>
      <c r="M2544" s="4">
        <v>13.683529411764709</v>
      </c>
      <c r="N2544" t="s">
        <v>91</v>
      </c>
    </row>
    <row r="2545" spans="1:14">
      <c r="A2545">
        <v>2544</v>
      </c>
      <c r="B2545">
        <v>23</v>
      </c>
      <c r="C2545" t="s">
        <v>11</v>
      </c>
      <c r="D2545" t="s">
        <v>33</v>
      </c>
      <c r="E2545" t="s">
        <v>38</v>
      </c>
      <c r="F2545">
        <v>128.30000000000001</v>
      </c>
      <c r="G2545" t="s">
        <v>14</v>
      </c>
      <c r="H2545" t="s">
        <v>15</v>
      </c>
      <c r="I2545">
        <v>2.7</v>
      </c>
      <c r="J2545">
        <v>10</v>
      </c>
      <c r="K2545">
        <v>5</v>
      </c>
      <c r="L2545" s="4">
        <v>142.55555555555557</v>
      </c>
      <c r="M2545" s="4">
        <v>14.25555555555556</v>
      </c>
      <c r="N2545" t="s">
        <v>100</v>
      </c>
    </row>
    <row r="2546" spans="1:14">
      <c r="A2546">
        <v>2545</v>
      </c>
      <c r="B2546">
        <v>64</v>
      </c>
      <c r="C2546" t="s">
        <v>11</v>
      </c>
      <c r="D2546" t="s">
        <v>33</v>
      </c>
      <c r="E2546" t="s">
        <v>40</v>
      </c>
      <c r="F2546">
        <v>123.62</v>
      </c>
      <c r="G2546" t="s">
        <v>24</v>
      </c>
      <c r="H2546" t="s">
        <v>15</v>
      </c>
      <c r="I2546">
        <v>4.2</v>
      </c>
      <c r="J2546">
        <v>10</v>
      </c>
      <c r="K2546">
        <v>5</v>
      </c>
      <c r="L2546" s="4">
        <v>137.35555555555555</v>
      </c>
      <c r="M2546" s="4">
        <v>13.73555555555555</v>
      </c>
      <c r="N2546" t="s">
        <v>94</v>
      </c>
    </row>
    <row r="2547" spans="1:14">
      <c r="A2547">
        <v>2546</v>
      </c>
      <c r="B2547">
        <v>54</v>
      </c>
      <c r="C2547" t="s">
        <v>16</v>
      </c>
      <c r="D2547" t="s">
        <v>20</v>
      </c>
      <c r="E2547" t="s">
        <v>36</v>
      </c>
      <c r="F2547">
        <v>113.57</v>
      </c>
      <c r="G2547" t="s">
        <v>14</v>
      </c>
      <c r="H2547" t="s">
        <v>15</v>
      </c>
      <c r="I2547">
        <v>3</v>
      </c>
      <c r="J2547">
        <v>15</v>
      </c>
      <c r="K2547">
        <v>5</v>
      </c>
      <c r="L2547" s="4">
        <v>133.61176470588234</v>
      </c>
      <c r="M2547" s="4">
        <v>20.041764705882343</v>
      </c>
      <c r="N2547" t="s">
        <v>93</v>
      </c>
    </row>
    <row r="2548" spans="1:14">
      <c r="A2548">
        <v>2547</v>
      </c>
      <c r="B2548">
        <v>22</v>
      </c>
      <c r="C2548" t="s">
        <v>11</v>
      </c>
      <c r="D2548" t="s">
        <v>12</v>
      </c>
      <c r="E2548" t="s">
        <v>50</v>
      </c>
      <c r="F2548">
        <v>76.34</v>
      </c>
      <c r="G2548" t="s">
        <v>31</v>
      </c>
      <c r="H2548" t="s">
        <v>37</v>
      </c>
      <c r="I2548">
        <v>3.9</v>
      </c>
      <c r="J2548">
        <v>17</v>
      </c>
      <c r="K2548">
        <v>6</v>
      </c>
      <c r="L2548" s="4">
        <v>91.975903614457835</v>
      </c>
      <c r="M2548" s="4">
        <v>15.635903614457831</v>
      </c>
      <c r="N2548" t="s">
        <v>100</v>
      </c>
    </row>
    <row r="2549" spans="1:14">
      <c r="A2549">
        <v>2548</v>
      </c>
      <c r="B2549">
        <v>61</v>
      </c>
      <c r="C2549" t="s">
        <v>16</v>
      </c>
      <c r="D2549" t="s">
        <v>17</v>
      </c>
      <c r="E2549" t="s">
        <v>35</v>
      </c>
      <c r="F2549">
        <v>128.18</v>
      </c>
      <c r="G2549" t="s">
        <v>19</v>
      </c>
      <c r="H2549" t="s">
        <v>15</v>
      </c>
      <c r="I2549">
        <v>3.6</v>
      </c>
      <c r="J2549">
        <v>16</v>
      </c>
      <c r="K2549">
        <v>3</v>
      </c>
      <c r="L2549" s="4">
        <v>152.5952380952381</v>
      </c>
      <c r="M2549" s="4">
        <v>24.415238095238095</v>
      </c>
      <c r="N2549" t="s">
        <v>94</v>
      </c>
    </row>
    <row r="2550" spans="1:14">
      <c r="A2550">
        <v>2549</v>
      </c>
      <c r="B2550">
        <v>26</v>
      </c>
      <c r="C2550" t="s">
        <v>16</v>
      </c>
      <c r="D2550" t="s">
        <v>20</v>
      </c>
      <c r="E2550" t="s">
        <v>21</v>
      </c>
      <c r="F2550">
        <v>98.3</v>
      </c>
      <c r="G2550" t="s">
        <v>14</v>
      </c>
      <c r="H2550" t="s">
        <v>15</v>
      </c>
      <c r="I2550">
        <v>3.9</v>
      </c>
      <c r="J2550">
        <v>16</v>
      </c>
      <c r="K2550">
        <v>3</v>
      </c>
      <c r="L2550" s="4">
        <v>117.02380952380952</v>
      </c>
      <c r="M2550" s="4">
        <v>18.723809523809521</v>
      </c>
      <c r="N2550" t="s">
        <v>91</v>
      </c>
    </row>
    <row r="2551" spans="1:14">
      <c r="A2551">
        <v>2550</v>
      </c>
      <c r="B2551">
        <v>42</v>
      </c>
      <c r="C2551" t="s">
        <v>11</v>
      </c>
      <c r="D2551" t="s">
        <v>29</v>
      </c>
      <c r="E2551" t="s">
        <v>55</v>
      </c>
      <c r="F2551">
        <v>74.72</v>
      </c>
      <c r="G2551" t="s">
        <v>19</v>
      </c>
      <c r="H2551" t="s">
        <v>15</v>
      </c>
      <c r="I2551">
        <v>4.3</v>
      </c>
      <c r="J2551">
        <v>25</v>
      </c>
      <c r="K2551">
        <v>10</v>
      </c>
      <c r="L2551" s="4">
        <v>99.626666666666665</v>
      </c>
      <c r="M2551" s="4">
        <v>24.906666666666666</v>
      </c>
      <c r="N2551" t="s">
        <v>92</v>
      </c>
    </row>
    <row r="2552" spans="1:14">
      <c r="A2552">
        <v>2551</v>
      </c>
      <c r="B2552">
        <v>56</v>
      </c>
      <c r="C2552" t="s">
        <v>11</v>
      </c>
      <c r="D2552" t="s">
        <v>41</v>
      </c>
      <c r="E2552" t="s">
        <v>45</v>
      </c>
      <c r="F2552">
        <v>104.87</v>
      </c>
      <c r="G2552" t="s">
        <v>14</v>
      </c>
      <c r="H2552" t="s">
        <v>15</v>
      </c>
      <c r="I2552">
        <v>4.4000000000000004</v>
      </c>
      <c r="J2552">
        <v>22</v>
      </c>
      <c r="K2552">
        <v>11</v>
      </c>
      <c r="L2552" s="4">
        <v>134.44871794871796</v>
      </c>
      <c r="M2552" s="4">
        <v>29.578717948717951</v>
      </c>
      <c r="N2552" t="s">
        <v>94</v>
      </c>
    </row>
    <row r="2553" spans="1:14">
      <c r="A2553">
        <v>2552</v>
      </c>
      <c r="B2553">
        <v>54</v>
      </c>
      <c r="C2553" t="s">
        <v>11</v>
      </c>
      <c r="D2553" t="s">
        <v>12</v>
      </c>
      <c r="E2553" t="s">
        <v>56</v>
      </c>
      <c r="F2553">
        <v>54.62</v>
      </c>
      <c r="G2553" t="s">
        <v>31</v>
      </c>
      <c r="H2553" t="s">
        <v>37</v>
      </c>
      <c r="I2553">
        <v>3.7</v>
      </c>
      <c r="J2553">
        <v>8</v>
      </c>
      <c r="K2553">
        <v>4</v>
      </c>
      <c r="L2553" s="4">
        <v>59.369565217391298</v>
      </c>
      <c r="M2553" s="4">
        <v>4.7495652173913001</v>
      </c>
      <c r="N2553" t="s">
        <v>93</v>
      </c>
    </row>
    <row r="2554" spans="1:14">
      <c r="A2554">
        <v>2553</v>
      </c>
      <c r="B2554">
        <v>50</v>
      </c>
      <c r="C2554" t="s">
        <v>11</v>
      </c>
      <c r="D2554" t="s">
        <v>12</v>
      </c>
      <c r="E2554" t="s">
        <v>56</v>
      </c>
      <c r="F2554">
        <v>161.18</v>
      </c>
      <c r="G2554" t="s">
        <v>31</v>
      </c>
      <c r="H2554" t="s">
        <v>15</v>
      </c>
      <c r="I2554">
        <v>3.9</v>
      </c>
      <c r="J2554">
        <v>22</v>
      </c>
      <c r="K2554">
        <v>6</v>
      </c>
      <c r="L2554" s="4">
        <v>206.64102564102564</v>
      </c>
      <c r="M2554" s="4">
        <v>45.461025641025628</v>
      </c>
      <c r="N2554" t="s">
        <v>93</v>
      </c>
    </row>
    <row r="2555" spans="1:14">
      <c r="A2555">
        <v>2554</v>
      </c>
      <c r="B2555">
        <v>52</v>
      </c>
      <c r="C2555" t="s">
        <v>11</v>
      </c>
      <c r="D2555" t="s">
        <v>25</v>
      </c>
      <c r="E2555" t="s">
        <v>54</v>
      </c>
      <c r="F2555">
        <v>36.75</v>
      </c>
      <c r="G2555" t="s">
        <v>14</v>
      </c>
      <c r="H2555" t="s">
        <v>15</v>
      </c>
      <c r="I2555">
        <v>4</v>
      </c>
      <c r="J2555">
        <v>8</v>
      </c>
      <c r="K2555">
        <v>4</v>
      </c>
      <c r="L2555" s="4">
        <v>39.945652173913039</v>
      </c>
      <c r="M2555" s="4">
        <v>3.1956521739130395</v>
      </c>
      <c r="N2555" t="s">
        <v>93</v>
      </c>
    </row>
    <row r="2556" spans="1:14">
      <c r="A2556">
        <v>2555</v>
      </c>
      <c r="B2556">
        <v>41</v>
      </c>
      <c r="C2556" t="s">
        <v>11</v>
      </c>
      <c r="D2556" t="s">
        <v>12</v>
      </c>
      <c r="E2556" t="s">
        <v>50</v>
      </c>
      <c r="F2556">
        <v>101.23</v>
      </c>
      <c r="G2556" t="s">
        <v>19</v>
      </c>
      <c r="H2556" t="s">
        <v>15</v>
      </c>
      <c r="I2556">
        <v>2.8</v>
      </c>
      <c r="J2556">
        <v>15</v>
      </c>
      <c r="K2556">
        <v>5</v>
      </c>
      <c r="L2556" s="4">
        <v>119.09411764705884</v>
      </c>
      <c r="M2556" s="4">
        <v>17.864117647058833</v>
      </c>
      <c r="N2556" t="s">
        <v>92</v>
      </c>
    </row>
    <row r="2557" spans="1:14">
      <c r="A2557">
        <v>2556</v>
      </c>
      <c r="B2557">
        <v>63</v>
      </c>
      <c r="C2557" t="s">
        <v>11</v>
      </c>
      <c r="D2557" t="s">
        <v>25</v>
      </c>
      <c r="E2557" t="s">
        <v>57</v>
      </c>
      <c r="F2557">
        <v>69.8</v>
      </c>
      <c r="G2557" t="s">
        <v>14</v>
      </c>
      <c r="H2557" t="s">
        <v>37</v>
      </c>
      <c r="I2557">
        <v>5</v>
      </c>
      <c r="J2557">
        <v>10</v>
      </c>
      <c r="K2557">
        <v>5</v>
      </c>
      <c r="L2557" s="4">
        <v>77.555555555555557</v>
      </c>
      <c r="M2557" s="4">
        <v>7.75555555555556</v>
      </c>
      <c r="N2557" t="s">
        <v>94</v>
      </c>
    </row>
    <row r="2558" spans="1:14">
      <c r="A2558">
        <v>2557</v>
      </c>
      <c r="B2558">
        <v>57</v>
      </c>
      <c r="C2558" t="s">
        <v>11</v>
      </c>
      <c r="D2558" t="s">
        <v>25</v>
      </c>
      <c r="E2558" t="s">
        <v>57</v>
      </c>
      <c r="F2558">
        <v>56.76</v>
      </c>
      <c r="G2558" t="s">
        <v>31</v>
      </c>
      <c r="H2558" t="s">
        <v>15</v>
      </c>
      <c r="I2558">
        <v>3.9</v>
      </c>
      <c r="J2558">
        <v>22</v>
      </c>
      <c r="K2558">
        <v>6</v>
      </c>
      <c r="L2558" s="4">
        <v>72.769230769230759</v>
      </c>
      <c r="M2558" s="4">
        <v>16.009230769230761</v>
      </c>
      <c r="N2558" t="s">
        <v>94</v>
      </c>
    </row>
    <row r="2559" spans="1:14">
      <c r="A2559">
        <v>2558</v>
      </c>
      <c r="B2559">
        <v>44</v>
      </c>
      <c r="C2559" t="s">
        <v>11</v>
      </c>
      <c r="D2559" t="s">
        <v>20</v>
      </c>
      <c r="E2559" t="s">
        <v>39</v>
      </c>
      <c r="F2559">
        <v>192.76</v>
      </c>
      <c r="G2559" t="s">
        <v>14</v>
      </c>
      <c r="H2559" t="s">
        <v>15</v>
      </c>
      <c r="I2559">
        <v>3.5</v>
      </c>
      <c r="J2559">
        <v>15</v>
      </c>
      <c r="K2559">
        <v>5</v>
      </c>
      <c r="L2559" s="4">
        <v>226.7764705882353</v>
      </c>
      <c r="M2559" s="4">
        <v>34.016470588235308</v>
      </c>
      <c r="N2559" t="s">
        <v>92</v>
      </c>
    </row>
    <row r="2560" spans="1:14">
      <c r="A2560">
        <v>2559</v>
      </c>
      <c r="B2560">
        <v>47</v>
      </c>
      <c r="C2560" t="s">
        <v>16</v>
      </c>
      <c r="D2560" t="s">
        <v>20</v>
      </c>
      <c r="E2560" t="s">
        <v>39</v>
      </c>
      <c r="F2560">
        <v>133.84</v>
      </c>
      <c r="G2560" t="s">
        <v>31</v>
      </c>
      <c r="H2560" t="s">
        <v>15</v>
      </c>
      <c r="I2560">
        <v>5</v>
      </c>
      <c r="J2560">
        <v>14</v>
      </c>
      <c r="K2560">
        <v>7</v>
      </c>
      <c r="L2560" s="4">
        <v>155.62790697674419</v>
      </c>
      <c r="M2560" s="4">
        <v>21.787906976744182</v>
      </c>
      <c r="N2560" t="s">
        <v>93</v>
      </c>
    </row>
    <row r="2561" spans="1:14">
      <c r="A2561">
        <v>2560</v>
      </c>
      <c r="B2561">
        <v>66</v>
      </c>
      <c r="C2561" t="s">
        <v>11</v>
      </c>
      <c r="D2561" t="s">
        <v>12</v>
      </c>
      <c r="E2561" t="s">
        <v>50</v>
      </c>
      <c r="F2561">
        <v>48.53</v>
      </c>
      <c r="G2561" t="s">
        <v>31</v>
      </c>
      <c r="H2561" t="s">
        <v>15</v>
      </c>
      <c r="I2561">
        <v>2.9</v>
      </c>
      <c r="J2561">
        <v>11</v>
      </c>
      <c r="K2561">
        <v>3</v>
      </c>
      <c r="L2561" s="4">
        <v>54.528089887640448</v>
      </c>
      <c r="M2561" s="4">
        <v>5.9980898876404467</v>
      </c>
      <c r="N2561" t="s">
        <v>95</v>
      </c>
    </row>
    <row r="2562" spans="1:14">
      <c r="A2562">
        <v>2561</v>
      </c>
      <c r="B2562">
        <v>65</v>
      </c>
      <c r="C2562" t="s">
        <v>11</v>
      </c>
      <c r="D2562" t="s">
        <v>22</v>
      </c>
      <c r="E2562" t="s">
        <v>52</v>
      </c>
      <c r="F2562">
        <v>157.49</v>
      </c>
      <c r="G2562" t="s">
        <v>19</v>
      </c>
      <c r="H2562" t="s">
        <v>15</v>
      </c>
      <c r="I2562">
        <v>3.8</v>
      </c>
      <c r="J2562">
        <v>17</v>
      </c>
      <c r="K2562">
        <v>6</v>
      </c>
      <c r="L2562" s="4">
        <v>189.74698795180726</v>
      </c>
      <c r="M2562" s="4">
        <v>32.256987951807247</v>
      </c>
      <c r="N2562" t="s">
        <v>95</v>
      </c>
    </row>
    <row r="2563" spans="1:14">
      <c r="A2563">
        <v>2562</v>
      </c>
      <c r="B2563">
        <v>69</v>
      </c>
      <c r="C2563" t="s">
        <v>16</v>
      </c>
      <c r="D2563" t="s">
        <v>33</v>
      </c>
      <c r="E2563" t="s">
        <v>34</v>
      </c>
      <c r="F2563">
        <v>157.19999999999999</v>
      </c>
      <c r="G2563" t="s">
        <v>24</v>
      </c>
      <c r="H2563" t="s">
        <v>15</v>
      </c>
      <c r="I2563">
        <v>4.4000000000000004</v>
      </c>
      <c r="J2563">
        <v>11</v>
      </c>
      <c r="K2563">
        <v>3</v>
      </c>
      <c r="L2563" s="4">
        <v>176.62921348314606</v>
      </c>
      <c r="M2563" s="4">
        <v>19.429213483146071</v>
      </c>
      <c r="N2563" t="s">
        <v>95</v>
      </c>
    </row>
    <row r="2564" spans="1:14">
      <c r="A2564">
        <v>2563</v>
      </c>
      <c r="B2564">
        <v>45</v>
      </c>
      <c r="C2564" t="s">
        <v>11</v>
      </c>
      <c r="D2564" t="s">
        <v>29</v>
      </c>
      <c r="E2564" t="s">
        <v>55</v>
      </c>
      <c r="F2564">
        <v>59.66</v>
      </c>
      <c r="G2564" t="s">
        <v>14</v>
      </c>
      <c r="H2564" t="s">
        <v>15</v>
      </c>
      <c r="I2564">
        <v>3.8</v>
      </c>
      <c r="J2564">
        <v>11</v>
      </c>
      <c r="K2564">
        <v>3</v>
      </c>
      <c r="L2564" s="4">
        <v>67.033707865168537</v>
      </c>
      <c r="M2564" s="4">
        <v>7.3737078651685408</v>
      </c>
      <c r="N2564" t="s">
        <v>93</v>
      </c>
    </row>
    <row r="2565" spans="1:14">
      <c r="A2565">
        <v>2564</v>
      </c>
      <c r="B2565">
        <v>37</v>
      </c>
      <c r="C2565" t="s">
        <v>11</v>
      </c>
      <c r="D2565" t="s">
        <v>41</v>
      </c>
      <c r="E2565" t="s">
        <v>42</v>
      </c>
      <c r="F2565">
        <v>181.19</v>
      </c>
      <c r="G2565" t="s">
        <v>31</v>
      </c>
      <c r="H2565" t="s">
        <v>15</v>
      </c>
      <c r="I2565">
        <v>4.3</v>
      </c>
      <c r="J2565">
        <v>22</v>
      </c>
      <c r="K2565">
        <v>6</v>
      </c>
      <c r="L2565" s="4">
        <v>232.2948717948718</v>
      </c>
      <c r="M2565" s="4">
        <v>51.104871794871798</v>
      </c>
      <c r="N2565" t="s">
        <v>92</v>
      </c>
    </row>
    <row r="2566" spans="1:14">
      <c r="A2566">
        <v>2565</v>
      </c>
      <c r="B2566">
        <v>47</v>
      </c>
      <c r="C2566" t="s">
        <v>11</v>
      </c>
      <c r="D2566" t="s">
        <v>41</v>
      </c>
      <c r="E2566" t="s">
        <v>46</v>
      </c>
      <c r="F2566">
        <v>123.24</v>
      </c>
      <c r="G2566" t="s">
        <v>19</v>
      </c>
      <c r="H2566" t="s">
        <v>15</v>
      </c>
      <c r="I2566">
        <v>3.6</v>
      </c>
      <c r="J2566">
        <v>10</v>
      </c>
      <c r="K2566">
        <v>5</v>
      </c>
      <c r="L2566" s="4">
        <v>136.93333333333334</v>
      </c>
      <c r="M2566" s="4">
        <v>13.693333333333342</v>
      </c>
      <c r="N2566" t="s">
        <v>93</v>
      </c>
    </row>
    <row r="2567" spans="1:14">
      <c r="A2567">
        <v>2566</v>
      </c>
      <c r="B2567">
        <v>33</v>
      </c>
      <c r="C2567" t="s">
        <v>11</v>
      </c>
      <c r="D2567" t="s">
        <v>41</v>
      </c>
      <c r="E2567" t="s">
        <v>46</v>
      </c>
      <c r="F2567">
        <v>53.56</v>
      </c>
      <c r="G2567" t="s">
        <v>19</v>
      </c>
      <c r="H2567" t="s">
        <v>15</v>
      </c>
      <c r="I2567">
        <v>3.1</v>
      </c>
      <c r="J2567">
        <v>10</v>
      </c>
      <c r="K2567">
        <v>5</v>
      </c>
      <c r="L2567" s="4">
        <v>59.511111111111113</v>
      </c>
      <c r="M2567" s="4">
        <v>5.9511111111111106</v>
      </c>
      <c r="N2567" t="s">
        <v>91</v>
      </c>
    </row>
    <row r="2568" spans="1:14">
      <c r="A2568">
        <v>2567</v>
      </c>
      <c r="B2568">
        <v>44</v>
      </c>
      <c r="C2568" t="s">
        <v>11</v>
      </c>
      <c r="D2568" t="s">
        <v>12</v>
      </c>
      <c r="E2568" t="s">
        <v>13</v>
      </c>
      <c r="F2568">
        <v>153.44999999999999</v>
      </c>
      <c r="G2568" t="s">
        <v>19</v>
      </c>
      <c r="H2568" t="s">
        <v>15</v>
      </c>
      <c r="I2568">
        <v>4.0999999999999996</v>
      </c>
      <c r="J2568">
        <v>13</v>
      </c>
      <c r="K2568">
        <v>4</v>
      </c>
      <c r="L2568" s="4">
        <v>176.37931034482759</v>
      </c>
      <c r="M2568" s="4">
        <v>22.929310344827599</v>
      </c>
      <c r="N2568" t="s">
        <v>92</v>
      </c>
    </row>
    <row r="2569" spans="1:14">
      <c r="A2569">
        <v>2568</v>
      </c>
      <c r="B2569">
        <v>30</v>
      </c>
      <c r="C2569" t="s">
        <v>11</v>
      </c>
      <c r="D2569" t="s">
        <v>33</v>
      </c>
      <c r="E2569" t="s">
        <v>40</v>
      </c>
      <c r="F2569">
        <v>136.93</v>
      </c>
      <c r="G2569" t="s">
        <v>31</v>
      </c>
      <c r="H2569" t="s">
        <v>15</v>
      </c>
      <c r="I2569">
        <v>5</v>
      </c>
      <c r="J2569">
        <v>9</v>
      </c>
      <c r="K2569">
        <v>2</v>
      </c>
      <c r="L2569" s="4">
        <v>150.47252747252747</v>
      </c>
      <c r="M2569" s="4">
        <v>13.542527472527468</v>
      </c>
      <c r="N2569" t="s">
        <v>91</v>
      </c>
    </row>
    <row r="2570" spans="1:14">
      <c r="A2570">
        <v>2569</v>
      </c>
      <c r="B2570">
        <v>70</v>
      </c>
      <c r="C2570" t="s">
        <v>16</v>
      </c>
      <c r="D2570" t="s">
        <v>17</v>
      </c>
      <c r="E2570" t="s">
        <v>42</v>
      </c>
      <c r="F2570">
        <v>198.86</v>
      </c>
      <c r="G2570" t="s">
        <v>19</v>
      </c>
      <c r="H2570" t="s">
        <v>15</v>
      </c>
      <c r="I2570">
        <v>4.0999999999999996</v>
      </c>
      <c r="J2570">
        <v>8</v>
      </c>
      <c r="K2570">
        <v>4</v>
      </c>
      <c r="L2570" s="4">
        <v>216.15217391304347</v>
      </c>
      <c r="M2570" s="4">
        <v>17.292173913043456</v>
      </c>
      <c r="N2570" t="s">
        <v>95</v>
      </c>
    </row>
    <row r="2571" spans="1:14">
      <c r="A2571">
        <v>2570</v>
      </c>
      <c r="B2571">
        <v>44</v>
      </c>
      <c r="C2571" t="s">
        <v>16</v>
      </c>
      <c r="D2571" t="s">
        <v>20</v>
      </c>
      <c r="E2571" t="s">
        <v>36</v>
      </c>
      <c r="F2571">
        <v>154.32</v>
      </c>
      <c r="G2571" t="s">
        <v>24</v>
      </c>
      <c r="H2571" t="s">
        <v>15</v>
      </c>
      <c r="I2571">
        <v>4.5999999999999996</v>
      </c>
      <c r="J2571">
        <v>10</v>
      </c>
      <c r="K2571">
        <v>5</v>
      </c>
      <c r="L2571" s="4">
        <v>171.46666666666667</v>
      </c>
      <c r="M2571" s="4">
        <v>17.146666666666675</v>
      </c>
      <c r="N2571" t="s">
        <v>92</v>
      </c>
    </row>
    <row r="2572" spans="1:14">
      <c r="A2572">
        <v>2571</v>
      </c>
      <c r="B2572">
        <v>69</v>
      </c>
      <c r="C2572" t="s">
        <v>16</v>
      </c>
      <c r="D2572" t="s">
        <v>17</v>
      </c>
      <c r="E2572" t="s">
        <v>48</v>
      </c>
      <c r="F2572">
        <v>176.88</v>
      </c>
      <c r="G2572" t="s">
        <v>19</v>
      </c>
      <c r="H2572" t="s">
        <v>15</v>
      </c>
      <c r="I2572">
        <v>4.3</v>
      </c>
      <c r="J2572">
        <v>9</v>
      </c>
      <c r="K2572">
        <v>2</v>
      </c>
      <c r="L2572" s="4">
        <v>194.37362637362637</v>
      </c>
      <c r="M2572" s="4">
        <v>17.49362637362637</v>
      </c>
      <c r="N2572" t="s">
        <v>95</v>
      </c>
    </row>
    <row r="2573" spans="1:14">
      <c r="A2573">
        <v>2572</v>
      </c>
      <c r="B2573">
        <v>48</v>
      </c>
      <c r="C2573" t="s">
        <v>11</v>
      </c>
      <c r="D2573" t="s">
        <v>20</v>
      </c>
      <c r="E2573" t="s">
        <v>36</v>
      </c>
      <c r="F2573">
        <v>91.06</v>
      </c>
      <c r="G2573" t="s">
        <v>31</v>
      </c>
      <c r="H2573" t="s">
        <v>15</v>
      </c>
      <c r="I2573">
        <v>4.2</v>
      </c>
      <c r="J2573">
        <v>11</v>
      </c>
      <c r="K2573">
        <v>3</v>
      </c>
      <c r="L2573" s="4">
        <v>102.31460674157303</v>
      </c>
      <c r="M2573" s="4">
        <v>11.254606741573028</v>
      </c>
      <c r="N2573" t="s">
        <v>93</v>
      </c>
    </row>
    <row r="2574" spans="1:14">
      <c r="A2574">
        <v>2573</v>
      </c>
      <c r="B2574">
        <v>33</v>
      </c>
      <c r="C2574" t="s">
        <v>11</v>
      </c>
      <c r="D2574" t="s">
        <v>33</v>
      </c>
      <c r="E2574" t="s">
        <v>38</v>
      </c>
      <c r="F2574">
        <v>76.06</v>
      </c>
      <c r="G2574" t="s">
        <v>14</v>
      </c>
      <c r="H2574" t="s">
        <v>15</v>
      </c>
      <c r="I2574">
        <v>4</v>
      </c>
      <c r="J2574">
        <v>15</v>
      </c>
      <c r="K2574">
        <v>5</v>
      </c>
      <c r="L2574" s="4">
        <v>89.482352941176472</v>
      </c>
      <c r="M2574" s="4">
        <v>13.42235294117647</v>
      </c>
      <c r="N2574" t="s">
        <v>91</v>
      </c>
    </row>
    <row r="2575" spans="1:14">
      <c r="A2575">
        <v>2574</v>
      </c>
      <c r="B2575">
        <v>52</v>
      </c>
      <c r="C2575" t="s">
        <v>11</v>
      </c>
      <c r="D2575" t="s">
        <v>12</v>
      </c>
      <c r="E2575" t="s">
        <v>56</v>
      </c>
      <c r="F2575">
        <v>65.97</v>
      </c>
      <c r="G2575" t="s">
        <v>19</v>
      </c>
      <c r="H2575" t="s">
        <v>15</v>
      </c>
      <c r="I2575">
        <v>2.9</v>
      </c>
      <c r="J2575">
        <v>6</v>
      </c>
      <c r="K2575">
        <v>3</v>
      </c>
      <c r="L2575" s="4">
        <v>70.180851063829792</v>
      </c>
      <c r="M2575" s="4">
        <v>4.2108510638297929</v>
      </c>
      <c r="N2575" t="s">
        <v>93</v>
      </c>
    </row>
    <row r="2576" spans="1:14">
      <c r="A2576">
        <v>2575</v>
      </c>
      <c r="B2576">
        <v>65</v>
      </c>
      <c r="C2576" t="s">
        <v>16</v>
      </c>
      <c r="D2576" t="s">
        <v>17</v>
      </c>
      <c r="E2576" t="s">
        <v>42</v>
      </c>
      <c r="F2576">
        <v>119.34</v>
      </c>
      <c r="G2576" t="s">
        <v>24</v>
      </c>
      <c r="H2576" t="s">
        <v>15</v>
      </c>
      <c r="I2576">
        <v>4.0999999999999996</v>
      </c>
      <c r="J2576">
        <v>8</v>
      </c>
      <c r="K2576">
        <v>4</v>
      </c>
      <c r="L2576" s="4">
        <v>129.71739130434781</v>
      </c>
      <c r="M2576" s="4">
        <v>10.37739130434781</v>
      </c>
      <c r="N2576" t="s">
        <v>95</v>
      </c>
    </row>
    <row r="2577" spans="1:14">
      <c r="A2577">
        <v>2576</v>
      </c>
      <c r="B2577">
        <v>70</v>
      </c>
      <c r="C2577" t="s">
        <v>11</v>
      </c>
      <c r="D2577" t="s">
        <v>41</v>
      </c>
      <c r="E2577" t="s">
        <v>42</v>
      </c>
      <c r="F2577">
        <v>140.91</v>
      </c>
      <c r="G2577" t="s">
        <v>19</v>
      </c>
      <c r="H2577" t="s">
        <v>15</v>
      </c>
      <c r="I2577">
        <v>3.1</v>
      </c>
      <c r="J2577">
        <v>10</v>
      </c>
      <c r="K2577">
        <v>5</v>
      </c>
      <c r="L2577" s="4">
        <v>156.56666666666666</v>
      </c>
      <c r="M2577" s="4">
        <v>15.656666666666666</v>
      </c>
      <c r="N2577" t="s">
        <v>95</v>
      </c>
    </row>
    <row r="2578" spans="1:14">
      <c r="A2578">
        <v>2577</v>
      </c>
      <c r="B2578">
        <v>29</v>
      </c>
      <c r="C2578" t="s">
        <v>16</v>
      </c>
      <c r="D2578" t="s">
        <v>25</v>
      </c>
      <c r="E2578" t="s">
        <v>26</v>
      </c>
      <c r="F2578">
        <v>51.55</v>
      </c>
      <c r="G2578" t="s">
        <v>14</v>
      </c>
      <c r="H2578" t="s">
        <v>15</v>
      </c>
      <c r="I2578">
        <v>4.2</v>
      </c>
      <c r="J2578">
        <v>7</v>
      </c>
      <c r="K2578">
        <v>1</v>
      </c>
      <c r="L2578" s="4">
        <v>55.43010752688172</v>
      </c>
      <c r="M2578" s="4">
        <v>3.8801075268817229</v>
      </c>
      <c r="N2578" t="s">
        <v>91</v>
      </c>
    </row>
    <row r="2579" spans="1:14">
      <c r="A2579">
        <v>2578</v>
      </c>
      <c r="B2579">
        <v>47</v>
      </c>
      <c r="C2579" t="s">
        <v>16</v>
      </c>
      <c r="D2579" t="s">
        <v>33</v>
      </c>
      <c r="E2579" t="s">
        <v>38</v>
      </c>
      <c r="F2579">
        <v>45.39</v>
      </c>
      <c r="G2579" t="s">
        <v>14</v>
      </c>
      <c r="H2579" t="s">
        <v>15</v>
      </c>
      <c r="I2579">
        <v>4.0999999999999996</v>
      </c>
      <c r="J2579">
        <v>19</v>
      </c>
      <c r="K2579">
        <v>7</v>
      </c>
      <c r="L2579" s="4">
        <v>56.037037037037031</v>
      </c>
      <c r="M2579" s="4">
        <v>10.64703703703703</v>
      </c>
      <c r="N2579" t="s">
        <v>93</v>
      </c>
    </row>
    <row r="2580" spans="1:14">
      <c r="A2580">
        <v>2579</v>
      </c>
      <c r="B2580">
        <v>69</v>
      </c>
      <c r="C2580" t="s">
        <v>11</v>
      </c>
      <c r="D2580" t="s">
        <v>20</v>
      </c>
      <c r="E2580" t="s">
        <v>21</v>
      </c>
      <c r="F2580">
        <v>116.25</v>
      </c>
      <c r="G2580" t="s">
        <v>24</v>
      </c>
      <c r="H2580" t="s">
        <v>15</v>
      </c>
      <c r="I2580">
        <v>4.5999999999999996</v>
      </c>
      <c r="J2580">
        <v>24</v>
      </c>
      <c r="K2580">
        <v>7</v>
      </c>
      <c r="L2580" s="4">
        <v>152.96052631578948</v>
      </c>
      <c r="M2580" s="4">
        <v>36.71052631578948</v>
      </c>
      <c r="N2580" t="s">
        <v>95</v>
      </c>
    </row>
    <row r="2581" spans="1:14">
      <c r="A2581">
        <v>2580</v>
      </c>
      <c r="B2581">
        <v>43</v>
      </c>
      <c r="C2581" t="s">
        <v>11</v>
      </c>
      <c r="D2581" t="s">
        <v>25</v>
      </c>
      <c r="E2581" t="s">
        <v>47</v>
      </c>
      <c r="F2581">
        <v>65.16</v>
      </c>
      <c r="G2581" t="s">
        <v>24</v>
      </c>
      <c r="H2581" t="s">
        <v>37</v>
      </c>
      <c r="I2581">
        <v>4.7</v>
      </c>
      <c r="J2581">
        <v>18</v>
      </c>
      <c r="K2581">
        <v>4</v>
      </c>
      <c r="L2581" s="4">
        <v>79.463414634146332</v>
      </c>
      <c r="M2581" s="4">
        <v>14.303414634146336</v>
      </c>
      <c r="N2581" t="s">
        <v>92</v>
      </c>
    </row>
    <row r="2582" spans="1:14">
      <c r="A2582">
        <v>2581</v>
      </c>
      <c r="B2582">
        <v>33</v>
      </c>
      <c r="C2582" t="s">
        <v>11</v>
      </c>
      <c r="D2582" t="s">
        <v>41</v>
      </c>
      <c r="E2582" t="s">
        <v>45</v>
      </c>
      <c r="F2582">
        <v>123.96</v>
      </c>
      <c r="G2582" t="s">
        <v>19</v>
      </c>
      <c r="H2582" t="s">
        <v>15</v>
      </c>
      <c r="I2582">
        <v>3.1</v>
      </c>
      <c r="J2582">
        <v>15</v>
      </c>
      <c r="K2582">
        <v>5</v>
      </c>
      <c r="L2582" s="4">
        <v>145.83529411764707</v>
      </c>
      <c r="M2582" s="4">
        <v>21.875294117647073</v>
      </c>
      <c r="N2582" t="s">
        <v>91</v>
      </c>
    </row>
    <row r="2583" spans="1:14">
      <c r="A2583">
        <v>2582</v>
      </c>
      <c r="B2583">
        <v>66</v>
      </c>
      <c r="C2583" t="s">
        <v>16</v>
      </c>
      <c r="D2583" t="s">
        <v>33</v>
      </c>
      <c r="E2583" t="s">
        <v>38</v>
      </c>
      <c r="F2583">
        <v>58.45</v>
      </c>
      <c r="G2583" t="s">
        <v>24</v>
      </c>
      <c r="H2583" t="s">
        <v>15</v>
      </c>
      <c r="I2583">
        <v>3.5</v>
      </c>
      <c r="J2583">
        <v>20</v>
      </c>
      <c r="K2583">
        <v>5</v>
      </c>
      <c r="L2583" s="4">
        <v>73.0625</v>
      </c>
      <c r="M2583" s="4">
        <v>14.612499999999997</v>
      </c>
      <c r="N2583" t="s">
        <v>95</v>
      </c>
    </row>
    <row r="2584" spans="1:14">
      <c r="A2584">
        <v>2583</v>
      </c>
      <c r="B2584">
        <v>59</v>
      </c>
      <c r="C2584" t="s">
        <v>11</v>
      </c>
      <c r="D2584" t="s">
        <v>33</v>
      </c>
      <c r="E2584" t="s">
        <v>34</v>
      </c>
      <c r="F2584">
        <v>183.81</v>
      </c>
      <c r="G2584" t="s">
        <v>19</v>
      </c>
      <c r="H2584" t="s">
        <v>15</v>
      </c>
      <c r="I2584">
        <v>4.0999999999999996</v>
      </c>
      <c r="J2584">
        <v>22</v>
      </c>
      <c r="K2584">
        <v>6</v>
      </c>
      <c r="L2584" s="4">
        <v>235.65384615384616</v>
      </c>
      <c r="M2584" s="4">
        <v>51.843846153846158</v>
      </c>
      <c r="N2584" t="s">
        <v>94</v>
      </c>
    </row>
    <row r="2585" spans="1:14">
      <c r="A2585">
        <v>2584</v>
      </c>
      <c r="B2585">
        <v>30</v>
      </c>
      <c r="C2585" t="s">
        <v>11</v>
      </c>
      <c r="D2585" t="s">
        <v>29</v>
      </c>
      <c r="E2585" t="s">
        <v>55</v>
      </c>
      <c r="F2585">
        <v>129.88999999999999</v>
      </c>
      <c r="G2585" t="s">
        <v>31</v>
      </c>
      <c r="H2585" t="s">
        <v>15</v>
      </c>
      <c r="I2585">
        <v>4.2</v>
      </c>
      <c r="J2585">
        <v>17</v>
      </c>
      <c r="K2585">
        <v>6</v>
      </c>
      <c r="L2585" s="4">
        <v>156.49397590361446</v>
      </c>
      <c r="M2585" s="4">
        <v>26.603975903614469</v>
      </c>
      <c r="N2585" t="s">
        <v>91</v>
      </c>
    </row>
    <row r="2586" spans="1:14">
      <c r="A2586">
        <v>2585</v>
      </c>
      <c r="B2586">
        <v>47</v>
      </c>
      <c r="C2586" t="s">
        <v>16</v>
      </c>
      <c r="D2586" t="s">
        <v>17</v>
      </c>
      <c r="E2586" t="s">
        <v>48</v>
      </c>
      <c r="F2586">
        <v>97.5</v>
      </c>
      <c r="G2586" t="s">
        <v>19</v>
      </c>
      <c r="H2586" t="s">
        <v>37</v>
      </c>
      <c r="I2586">
        <v>4.7</v>
      </c>
      <c r="J2586">
        <v>12</v>
      </c>
      <c r="K2586">
        <v>6</v>
      </c>
      <c r="L2586" s="4">
        <v>110.79545454545455</v>
      </c>
      <c r="M2586" s="4">
        <v>13.295454545454547</v>
      </c>
      <c r="N2586" t="s">
        <v>93</v>
      </c>
    </row>
    <row r="2587" spans="1:14">
      <c r="A2587">
        <v>2586</v>
      </c>
      <c r="B2587">
        <v>68</v>
      </c>
      <c r="C2587" t="s">
        <v>16</v>
      </c>
      <c r="D2587" t="s">
        <v>20</v>
      </c>
      <c r="E2587" t="s">
        <v>39</v>
      </c>
      <c r="F2587">
        <v>123.53</v>
      </c>
      <c r="G2587" t="s">
        <v>19</v>
      </c>
      <c r="H2587" t="s">
        <v>15</v>
      </c>
      <c r="I2587">
        <v>4.4000000000000004</v>
      </c>
      <c r="J2587">
        <v>14</v>
      </c>
      <c r="K2587">
        <v>2</v>
      </c>
      <c r="L2587" s="4">
        <v>143.63953488372093</v>
      </c>
      <c r="M2587" s="4">
        <v>20.109534883720926</v>
      </c>
      <c r="N2587" t="s">
        <v>95</v>
      </c>
    </row>
    <row r="2588" spans="1:14">
      <c r="A2588">
        <v>2587</v>
      </c>
      <c r="B2588">
        <v>53</v>
      </c>
      <c r="C2588" t="s">
        <v>16</v>
      </c>
      <c r="D2588" t="s">
        <v>20</v>
      </c>
      <c r="E2588" t="s">
        <v>36</v>
      </c>
      <c r="F2588">
        <v>152.44999999999999</v>
      </c>
      <c r="G2588" t="s">
        <v>19</v>
      </c>
      <c r="H2588" t="s">
        <v>15</v>
      </c>
      <c r="I2588">
        <v>3</v>
      </c>
      <c r="J2588">
        <v>19</v>
      </c>
      <c r="K2588">
        <v>7</v>
      </c>
      <c r="L2588" s="4">
        <v>188.20987654320984</v>
      </c>
      <c r="M2588" s="4">
        <v>35.759876543209856</v>
      </c>
      <c r="N2588" t="s">
        <v>93</v>
      </c>
    </row>
    <row r="2589" spans="1:14">
      <c r="A2589">
        <v>2588</v>
      </c>
      <c r="B2589">
        <v>30</v>
      </c>
      <c r="C2589" t="s">
        <v>11</v>
      </c>
      <c r="D2589" t="s">
        <v>41</v>
      </c>
      <c r="E2589" t="s">
        <v>45</v>
      </c>
      <c r="F2589">
        <v>148.18</v>
      </c>
      <c r="G2589" t="s">
        <v>24</v>
      </c>
      <c r="H2589" t="s">
        <v>15</v>
      </c>
      <c r="I2589">
        <v>4.7</v>
      </c>
      <c r="J2589">
        <v>24</v>
      </c>
      <c r="K2589">
        <v>7</v>
      </c>
      <c r="L2589" s="4">
        <v>194.97368421052633</v>
      </c>
      <c r="M2589" s="4">
        <v>46.793684210526322</v>
      </c>
      <c r="N2589" t="s">
        <v>91</v>
      </c>
    </row>
    <row r="2590" spans="1:14">
      <c r="A2590">
        <v>2589</v>
      </c>
      <c r="B2590">
        <v>52</v>
      </c>
      <c r="C2590" t="s">
        <v>11</v>
      </c>
      <c r="D2590" t="s">
        <v>25</v>
      </c>
      <c r="E2590" t="s">
        <v>57</v>
      </c>
      <c r="F2590">
        <v>69.489999999999995</v>
      </c>
      <c r="G2590" t="s">
        <v>19</v>
      </c>
      <c r="H2590" t="s">
        <v>37</v>
      </c>
      <c r="I2590">
        <v>3.9</v>
      </c>
      <c r="J2590">
        <v>12</v>
      </c>
      <c r="K2590">
        <v>6</v>
      </c>
      <c r="L2590" s="4">
        <v>78.965909090909079</v>
      </c>
      <c r="M2590" s="4">
        <v>9.4759090909090844</v>
      </c>
      <c r="N2590" t="s">
        <v>93</v>
      </c>
    </row>
    <row r="2591" spans="1:14">
      <c r="A2591">
        <v>2590</v>
      </c>
      <c r="B2591">
        <v>28</v>
      </c>
      <c r="C2591" t="s">
        <v>11</v>
      </c>
      <c r="D2591" t="s">
        <v>33</v>
      </c>
      <c r="E2591" t="s">
        <v>38</v>
      </c>
      <c r="F2591">
        <v>221.51</v>
      </c>
      <c r="G2591" t="s">
        <v>19</v>
      </c>
      <c r="H2591" t="s">
        <v>15</v>
      </c>
      <c r="I2591">
        <v>3</v>
      </c>
      <c r="J2591">
        <v>8</v>
      </c>
      <c r="K2591">
        <v>4</v>
      </c>
      <c r="L2591" s="4">
        <v>240.77173913043475</v>
      </c>
      <c r="M2591" s="4">
        <v>19.261739130434762</v>
      </c>
      <c r="N2591" t="s">
        <v>91</v>
      </c>
    </row>
    <row r="2592" spans="1:14">
      <c r="A2592">
        <v>2591</v>
      </c>
      <c r="B2592">
        <v>40</v>
      </c>
      <c r="C2592" t="s">
        <v>11</v>
      </c>
      <c r="D2592" t="s">
        <v>20</v>
      </c>
      <c r="E2592" t="s">
        <v>36</v>
      </c>
      <c r="F2592">
        <v>129.22</v>
      </c>
      <c r="G2592" t="s">
        <v>14</v>
      </c>
      <c r="H2592" t="s">
        <v>15</v>
      </c>
      <c r="I2592">
        <v>4.3</v>
      </c>
      <c r="J2592">
        <v>12</v>
      </c>
      <c r="K2592">
        <v>6</v>
      </c>
      <c r="L2592" s="4">
        <v>146.84090909090909</v>
      </c>
      <c r="M2592" s="4">
        <v>17.620909090909095</v>
      </c>
      <c r="N2592" t="s">
        <v>92</v>
      </c>
    </row>
    <row r="2593" spans="1:14">
      <c r="A2593">
        <v>2592</v>
      </c>
      <c r="B2593">
        <v>46</v>
      </c>
      <c r="C2593" t="s">
        <v>16</v>
      </c>
      <c r="D2593" t="s">
        <v>20</v>
      </c>
      <c r="E2593" t="s">
        <v>39</v>
      </c>
      <c r="F2593">
        <v>67.89</v>
      </c>
      <c r="G2593" t="s">
        <v>31</v>
      </c>
      <c r="H2593" t="s">
        <v>15</v>
      </c>
      <c r="I2593">
        <v>3.3</v>
      </c>
      <c r="J2593">
        <v>8</v>
      </c>
      <c r="K2593">
        <v>4</v>
      </c>
      <c r="L2593" s="4">
        <v>73.793478260869563</v>
      </c>
      <c r="M2593" s="4">
        <v>5.9034782608695622</v>
      </c>
      <c r="N2593" t="s">
        <v>93</v>
      </c>
    </row>
    <row r="2594" spans="1:14">
      <c r="A2594">
        <v>2593</v>
      </c>
      <c r="B2594">
        <v>26</v>
      </c>
      <c r="C2594" t="s">
        <v>16</v>
      </c>
      <c r="D2594" t="s">
        <v>25</v>
      </c>
      <c r="E2594" t="s">
        <v>47</v>
      </c>
      <c r="F2594">
        <v>31.17</v>
      </c>
      <c r="G2594" t="s">
        <v>14</v>
      </c>
      <c r="H2594" t="s">
        <v>37</v>
      </c>
      <c r="I2594">
        <v>3.4</v>
      </c>
      <c r="J2594">
        <v>11</v>
      </c>
      <c r="K2594">
        <v>3</v>
      </c>
      <c r="L2594" s="4">
        <v>35.022471910112358</v>
      </c>
      <c r="M2594" s="4">
        <v>3.8524719101123566</v>
      </c>
      <c r="N2594" t="s">
        <v>91</v>
      </c>
    </row>
    <row r="2595" spans="1:14">
      <c r="A2595">
        <v>2594</v>
      </c>
      <c r="B2595">
        <v>54</v>
      </c>
      <c r="C2595" t="s">
        <v>11</v>
      </c>
      <c r="D2595" t="s">
        <v>12</v>
      </c>
      <c r="E2595" t="s">
        <v>50</v>
      </c>
      <c r="F2595">
        <v>90.54</v>
      </c>
      <c r="G2595" t="s">
        <v>31</v>
      </c>
      <c r="H2595" t="s">
        <v>37</v>
      </c>
      <c r="I2595">
        <v>3.4</v>
      </c>
      <c r="J2595">
        <v>18</v>
      </c>
      <c r="K2595">
        <v>4</v>
      </c>
      <c r="L2595" s="4">
        <v>110.41463414634146</v>
      </c>
      <c r="M2595" s="4">
        <v>19.87463414634145</v>
      </c>
      <c r="N2595" t="s">
        <v>93</v>
      </c>
    </row>
    <row r="2596" spans="1:14">
      <c r="A2596">
        <v>2595</v>
      </c>
      <c r="B2596">
        <v>34</v>
      </c>
      <c r="C2596" t="s">
        <v>16</v>
      </c>
      <c r="D2596" t="s">
        <v>17</v>
      </c>
      <c r="E2596" t="s">
        <v>18</v>
      </c>
      <c r="F2596">
        <v>62.19</v>
      </c>
      <c r="G2596" t="s">
        <v>24</v>
      </c>
      <c r="H2596" t="s">
        <v>37</v>
      </c>
      <c r="I2596">
        <v>4.0999999999999996</v>
      </c>
      <c r="J2596">
        <v>18</v>
      </c>
      <c r="K2596">
        <v>4</v>
      </c>
      <c r="L2596" s="4">
        <v>75.841463414634134</v>
      </c>
      <c r="M2596" s="4">
        <v>13.651463414634136</v>
      </c>
      <c r="N2596" t="s">
        <v>91</v>
      </c>
    </row>
    <row r="2597" spans="1:14">
      <c r="A2597">
        <v>2596</v>
      </c>
      <c r="B2597">
        <v>53</v>
      </c>
      <c r="C2597" t="s">
        <v>11</v>
      </c>
      <c r="D2597" t="s">
        <v>33</v>
      </c>
      <c r="E2597" t="s">
        <v>40</v>
      </c>
      <c r="F2597">
        <v>160.62</v>
      </c>
      <c r="G2597" t="s">
        <v>31</v>
      </c>
      <c r="H2597" t="s">
        <v>15</v>
      </c>
      <c r="I2597">
        <v>3.4</v>
      </c>
      <c r="J2597">
        <v>21</v>
      </c>
      <c r="K2597">
        <v>8</v>
      </c>
      <c r="L2597" s="4">
        <v>203.31645569620252</v>
      </c>
      <c r="M2597" s="4">
        <v>42.69645569620252</v>
      </c>
      <c r="N2597" t="s">
        <v>93</v>
      </c>
    </row>
    <row r="2598" spans="1:14">
      <c r="A2598">
        <v>2597</v>
      </c>
      <c r="B2598">
        <v>53</v>
      </c>
      <c r="C2598" t="s">
        <v>16</v>
      </c>
      <c r="D2598" t="s">
        <v>27</v>
      </c>
      <c r="E2598" t="s">
        <v>49</v>
      </c>
      <c r="F2598">
        <v>2661.25</v>
      </c>
      <c r="G2598" t="s">
        <v>19</v>
      </c>
      <c r="H2598" t="s">
        <v>15</v>
      </c>
      <c r="I2598">
        <v>4.5</v>
      </c>
      <c r="J2598">
        <v>24</v>
      </c>
      <c r="K2598">
        <v>7</v>
      </c>
      <c r="L2598" s="4">
        <v>3501.6447368421054</v>
      </c>
      <c r="M2598" s="4">
        <v>840.39473684210543</v>
      </c>
      <c r="N2598" t="s">
        <v>93</v>
      </c>
    </row>
    <row r="2599" spans="1:14">
      <c r="A2599">
        <v>2598</v>
      </c>
      <c r="B2599">
        <v>60</v>
      </c>
      <c r="C2599" t="s">
        <v>11</v>
      </c>
      <c r="D2599" t="s">
        <v>41</v>
      </c>
      <c r="E2599" t="s">
        <v>45</v>
      </c>
      <c r="F2599">
        <v>57.4</v>
      </c>
      <c r="G2599" t="s">
        <v>24</v>
      </c>
      <c r="H2599" t="s">
        <v>37</v>
      </c>
      <c r="I2599">
        <v>3.3</v>
      </c>
      <c r="J2599">
        <v>17</v>
      </c>
      <c r="K2599">
        <v>6</v>
      </c>
      <c r="L2599" s="4">
        <v>69.156626506024097</v>
      </c>
      <c r="M2599" s="4">
        <v>11.756626506024098</v>
      </c>
      <c r="N2599" t="s">
        <v>94</v>
      </c>
    </row>
    <row r="2600" spans="1:14">
      <c r="A2600">
        <v>2599</v>
      </c>
      <c r="B2600">
        <v>24</v>
      </c>
      <c r="C2600" t="s">
        <v>16</v>
      </c>
      <c r="D2600" t="s">
        <v>17</v>
      </c>
      <c r="E2600" t="s">
        <v>48</v>
      </c>
      <c r="F2600">
        <v>38.57</v>
      </c>
      <c r="G2600" t="s">
        <v>31</v>
      </c>
      <c r="H2600" t="s">
        <v>15</v>
      </c>
      <c r="I2600">
        <v>3.5</v>
      </c>
      <c r="J2600">
        <v>6</v>
      </c>
      <c r="K2600">
        <v>3</v>
      </c>
      <c r="L2600" s="4">
        <v>41.031914893617021</v>
      </c>
      <c r="M2600" s="4">
        <v>2.4619148936170205</v>
      </c>
      <c r="N2600" t="s">
        <v>100</v>
      </c>
    </row>
    <row r="2601" spans="1:14">
      <c r="A2601">
        <v>2600</v>
      </c>
      <c r="B2601">
        <v>29</v>
      </c>
      <c r="C2601" t="s">
        <v>11</v>
      </c>
      <c r="D2601" t="s">
        <v>33</v>
      </c>
      <c r="E2601" t="s">
        <v>38</v>
      </c>
      <c r="F2601">
        <v>57.06</v>
      </c>
      <c r="G2601" t="s">
        <v>14</v>
      </c>
      <c r="H2601" t="s">
        <v>15</v>
      </c>
      <c r="I2601">
        <v>4.0999999999999996</v>
      </c>
      <c r="J2601">
        <v>12</v>
      </c>
      <c r="K2601">
        <v>6</v>
      </c>
      <c r="L2601" s="4">
        <v>64.840909090909093</v>
      </c>
      <c r="M2601" s="4">
        <v>7.7809090909090912</v>
      </c>
      <c r="N2601" t="s">
        <v>91</v>
      </c>
    </row>
    <row r="2602" spans="1:14">
      <c r="A2602">
        <v>2601</v>
      </c>
      <c r="B2602">
        <v>64</v>
      </c>
      <c r="C2602" t="s">
        <v>16</v>
      </c>
      <c r="D2602" t="s">
        <v>25</v>
      </c>
      <c r="E2602" t="s">
        <v>47</v>
      </c>
      <c r="F2602">
        <v>49.9</v>
      </c>
      <c r="G2602" t="s">
        <v>31</v>
      </c>
      <c r="H2602" t="s">
        <v>15</v>
      </c>
      <c r="I2602">
        <v>4.2</v>
      </c>
      <c r="J2602">
        <v>14</v>
      </c>
      <c r="K2602">
        <v>7</v>
      </c>
      <c r="L2602" s="4">
        <v>58.02325581395349</v>
      </c>
      <c r="M2602" s="4">
        <v>8.1232558139534916</v>
      </c>
      <c r="N2602" t="s">
        <v>94</v>
      </c>
    </row>
    <row r="2603" spans="1:14">
      <c r="A2603">
        <v>2602</v>
      </c>
      <c r="B2603">
        <v>48</v>
      </c>
      <c r="C2603" t="s">
        <v>11</v>
      </c>
      <c r="D2603" t="s">
        <v>12</v>
      </c>
      <c r="E2603" t="s">
        <v>13</v>
      </c>
      <c r="F2603">
        <v>142.62</v>
      </c>
      <c r="G2603" t="s">
        <v>14</v>
      </c>
      <c r="H2603" t="s">
        <v>15</v>
      </c>
      <c r="I2603">
        <v>3.6</v>
      </c>
      <c r="J2603">
        <v>18</v>
      </c>
      <c r="K2603">
        <v>9</v>
      </c>
      <c r="L2603" s="4">
        <v>173.92682926829266</v>
      </c>
      <c r="M2603" s="4">
        <v>31.30682926829266</v>
      </c>
      <c r="N2603" t="s">
        <v>93</v>
      </c>
    </row>
    <row r="2604" spans="1:14">
      <c r="A2604">
        <v>2603</v>
      </c>
      <c r="B2604">
        <v>55</v>
      </c>
      <c r="C2604" t="s">
        <v>16</v>
      </c>
      <c r="D2604" t="s">
        <v>17</v>
      </c>
      <c r="E2604" t="s">
        <v>42</v>
      </c>
      <c r="F2604">
        <v>90.45</v>
      </c>
      <c r="G2604" t="s">
        <v>19</v>
      </c>
      <c r="H2604" t="s">
        <v>37</v>
      </c>
      <c r="I2604">
        <v>3.3</v>
      </c>
      <c r="J2604">
        <v>8</v>
      </c>
      <c r="K2604">
        <v>4</v>
      </c>
      <c r="L2604" s="4">
        <v>98.315217391304344</v>
      </c>
      <c r="M2604" s="4">
        <v>7.8652173913043413</v>
      </c>
      <c r="N2604" t="s">
        <v>94</v>
      </c>
    </row>
    <row r="2605" spans="1:14">
      <c r="A2605">
        <v>2604</v>
      </c>
      <c r="B2605">
        <v>59</v>
      </c>
      <c r="C2605" t="s">
        <v>16</v>
      </c>
      <c r="D2605" t="s">
        <v>20</v>
      </c>
      <c r="E2605" t="s">
        <v>36</v>
      </c>
      <c r="F2605">
        <v>207.97</v>
      </c>
      <c r="G2605" t="s">
        <v>19</v>
      </c>
      <c r="H2605" t="s">
        <v>15</v>
      </c>
      <c r="I2605">
        <v>4.5</v>
      </c>
      <c r="J2605">
        <v>13</v>
      </c>
      <c r="K2605">
        <v>4</v>
      </c>
      <c r="L2605" s="4">
        <v>239.04597701149424</v>
      </c>
      <c r="M2605" s="4">
        <v>31.075977011494246</v>
      </c>
      <c r="N2605" t="s">
        <v>94</v>
      </c>
    </row>
    <row r="2606" spans="1:14">
      <c r="A2606">
        <v>2605</v>
      </c>
      <c r="B2606">
        <v>29</v>
      </c>
      <c r="C2606" t="s">
        <v>16</v>
      </c>
      <c r="D2606" t="s">
        <v>20</v>
      </c>
      <c r="E2606" t="s">
        <v>39</v>
      </c>
      <c r="F2606">
        <v>78.87</v>
      </c>
      <c r="G2606" t="s">
        <v>31</v>
      </c>
      <c r="H2606" t="s">
        <v>37</v>
      </c>
      <c r="I2606">
        <v>3.9</v>
      </c>
      <c r="J2606">
        <v>17</v>
      </c>
      <c r="K2606">
        <v>6</v>
      </c>
      <c r="L2606" s="4">
        <v>95.02409638554218</v>
      </c>
      <c r="M2606" s="4">
        <v>16.154096385542175</v>
      </c>
      <c r="N2606" t="s">
        <v>91</v>
      </c>
    </row>
    <row r="2607" spans="1:14">
      <c r="A2607">
        <v>2606</v>
      </c>
      <c r="B2607">
        <v>47</v>
      </c>
      <c r="C2607" t="s">
        <v>16</v>
      </c>
      <c r="D2607" t="s">
        <v>17</v>
      </c>
      <c r="E2607" t="s">
        <v>35</v>
      </c>
      <c r="F2607">
        <v>160.26</v>
      </c>
      <c r="G2607" t="s">
        <v>31</v>
      </c>
      <c r="H2607" t="s">
        <v>15</v>
      </c>
      <c r="I2607">
        <v>3.7</v>
      </c>
      <c r="J2607">
        <v>20</v>
      </c>
      <c r="K2607">
        <v>5</v>
      </c>
      <c r="L2607" s="4">
        <v>200.32499999999999</v>
      </c>
      <c r="M2607" s="4">
        <v>40.064999999999998</v>
      </c>
      <c r="N2607" t="s">
        <v>93</v>
      </c>
    </row>
    <row r="2608" spans="1:14">
      <c r="A2608">
        <v>2607</v>
      </c>
      <c r="B2608">
        <v>27</v>
      </c>
      <c r="C2608" t="s">
        <v>16</v>
      </c>
      <c r="D2608" t="s">
        <v>20</v>
      </c>
      <c r="E2608" t="s">
        <v>21</v>
      </c>
      <c r="F2608">
        <v>227.6</v>
      </c>
      <c r="G2608" t="s">
        <v>24</v>
      </c>
      <c r="H2608" t="s">
        <v>15</v>
      </c>
      <c r="I2608">
        <v>4.9000000000000004</v>
      </c>
      <c r="J2608">
        <v>14</v>
      </c>
      <c r="K2608">
        <v>2</v>
      </c>
      <c r="L2608" s="4">
        <v>264.6511627906977</v>
      </c>
      <c r="M2608" s="4">
        <v>37.051162790697703</v>
      </c>
      <c r="N2608" t="s">
        <v>91</v>
      </c>
    </row>
    <row r="2609" spans="1:14">
      <c r="A2609">
        <v>2608</v>
      </c>
      <c r="B2609">
        <v>37</v>
      </c>
      <c r="C2609" t="s">
        <v>11</v>
      </c>
      <c r="D2609" t="s">
        <v>33</v>
      </c>
      <c r="E2609" t="s">
        <v>38</v>
      </c>
      <c r="F2609">
        <v>62.2</v>
      </c>
      <c r="G2609" t="s">
        <v>31</v>
      </c>
      <c r="H2609" t="s">
        <v>37</v>
      </c>
      <c r="I2609">
        <v>4</v>
      </c>
      <c r="J2609">
        <v>18</v>
      </c>
      <c r="K2609">
        <v>9</v>
      </c>
      <c r="L2609" s="4">
        <v>75.853658536585357</v>
      </c>
      <c r="M2609" s="4">
        <v>13.653658536585354</v>
      </c>
      <c r="N2609" t="s">
        <v>92</v>
      </c>
    </row>
    <row r="2610" spans="1:14">
      <c r="A2610">
        <v>2609</v>
      </c>
      <c r="B2610">
        <v>30</v>
      </c>
      <c r="C2610" t="s">
        <v>16</v>
      </c>
      <c r="D2610" t="s">
        <v>17</v>
      </c>
      <c r="E2610" t="s">
        <v>18</v>
      </c>
      <c r="F2610">
        <v>111.07</v>
      </c>
      <c r="G2610" t="s">
        <v>19</v>
      </c>
      <c r="H2610" t="s">
        <v>15</v>
      </c>
      <c r="I2610">
        <v>3.9</v>
      </c>
      <c r="J2610">
        <v>23</v>
      </c>
      <c r="K2610">
        <v>9</v>
      </c>
      <c r="L2610" s="4">
        <v>144.24675324675323</v>
      </c>
      <c r="M2610" s="4">
        <v>33.176753246753236</v>
      </c>
      <c r="N2610" t="s">
        <v>91</v>
      </c>
    </row>
    <row r="2611" spans="1:14">
      <c r="A2611">
        <v>2610</v>
      </c>
      <c r="B2611">
        <v>44</v>
      </c>
      <c r="C2611" t="s">
        <v>16</v>
      </c>
      <c r="D2611" t="s">
        <v>22</v>
      </c>
      <c r="E2611" t="s">
        <v>43</v>
      </c>
      <c r="F2611">
        <v>136.96</v>
      </c>
      <c r="G2611" t="s">
        <v>31</v>
      </c>
      <c r="H2611" t="s">
        <v>15</v>
      </c>
      <c r="I2611">
        <v>2.5</v>
      </c>
      <c r="J2611">
        <v>19</v>
      </c>
      <c r="K2611">
        <v>7</v>
      </c>
      <c r="L2611" s="4">
        <v>169.08641975308643</v>
      </c>
      <c r="M2611" s="4">
        <v>32.126419753086424</v>
      </c>
      <c r="N2611" t="s">
        <v>92</v>
      </c>
    </row>
    <row r="2612" spans="1:14">
      <c r="A2612">
        <v>2611</v>
      </c>
      <c r="B2612">
        <v>28</v>
      </c>
      <c r="C2612" t="s">
        <v>11</v>
      </c>
      <c r="D2612" t="s">
        <v>20</v>
      </c>
      <c r="E2612" t="s">
        <v>39</v>
      </c>
      <c r="F2612">
        <v>99.34</v>
      </c>
      <c r="G2612" t="s">
        <v>24</v>
      </c>
      <c r="H2612" t="s">
        <v>37</v>
      </c>
      <c r="I2612">
        <v>4.0999999999999996</v>
      </c>
      <c r="J2612">
        <v>15</v>
      </c>
      <c r="K2612">
        <v>5</v>
      </c>
      <c r="L2612" s="4">
        <v>116.87058823529412</v>
      </c>
      <c r="M2612" s="4">
        <v>17.530588235294118</v>
      </c>
      <c r="N2612" t="s">
        <v>91</v>
      </c>
    </row>
    <row r="2613" spans="1:14">
      <c r="A2613">
        <v>2612</v>
      </c>
      <c r="B2613">
        <v>58</v>
      </c>
      <c r="C2613" t="s">
        <v>11</v>
      </c>
      <c r="D2613" t="s">
        <v>29</v>
      </c>
      <c r="E2613" t="s">
        <v>55</v>
      </c>
      <c r="F2613">
        <v>59.64</v>
      </c>
      <c r="G2613" t="s">
        <v>19</v>
      </c>
      <c r="H2613" t="s">
        <v>37</v>
      </c>
      <c r="I2613">
        <v>3.1</v>
      </c>
      <c r="J2613">
        <v>15</v>
      </c>
      <c r="K2613">
        <v>5</v>
      </c>
      <c r="L2613" s="4">
        <v>70.164705882352948</v>
      </c>
      <c r="M2613" s="4">
        <v>10.524705882352947</v>
      </c>
      <c r="N2613" t="s">
        <v>94</v>
      </c>
    </row>
    <row r="2614" spans="1:14">
      <c r="A2614">
        <v>2613</v>
      </c>
      <c r="B2614">
        <v>67</v>
      </c>
      <c r="C2614" t="s">
        <v>11</v>
      </c>
      <c r="D2614" t="s">
        <v>41</v>
      </c>
      <c r="E2614" t="s">
        <v>46</v>
      </c>
      <c r="F2614">
        <v>44.95</v>
      </c>
      <c r="G2614" t="s">
        <v>24</v>
      </c>
      <c r="H2614" t="s">
        <v>15</v>
      </c>
      <c r="I2614">
        <v>2.8</v>
      </c>
      <c r="J2614">
        <v>12</v>
      </c>
      <c r="K2614">
        <v>6</v>
      </c>
      <c r="L2614" s="4">
        <v>51.07954545454546</v>
      </c>
      <c r="M2614" s="4">
        <v>6.1295454545454575</v>
      </c>
      <c r="N2614" t="s">
        <v>95</v>
      </c>
    </row>
    <row r="2615" spans="1:14">
      <c r="A2615">
        <v>2614</v>
      </c>
      <c r="B2615">
        <v>58</v>
      </c>
      <c r="C2615" t="s">
        <v>16</v>
      </c>
      <c r="D2615" t="s">
        <v>27</v>
      </c>
      <c r="E2615" t="s">
        <v>28</v>
      </c>
      <c r="F2615">
        <v>926.5</v>
      </c>
      <c r="G2615" t="s">
        <v>31</v>
      </c>
      <c r="H2615" t="s">
        <v>15</v>
      </c>
      <c r="I2615">
        <v>4.3</v>
      </c>
      <c r="J2615">
        <v>6</v>
      </c>
      <c r="K2615">
        <v>3</v>
      </c>
      <c r="L2615" s="4">
        <v>985.63829787234044</v>
      </c>
      <c r="M2615" s="4">
        <v>59.138297872340445</v>
      </c>
      <c r="N2615" t="s">
        <v>94</v>
      </c>
    </row>
    <row r="2616" spans="1:14">
      <c r="A2616">
        <v>2615</v>
      </c>
      <c r="B2616">
        <v>45</v>
      </c>
      <c r="C2616" t="s">
        <v>11</v>
      </c>
      <c r="D2616" t="s">
        <v>25</v>
      </c>
      <c r="E2616" t="s">
        <v>57</v>
      </c>
      <c r="F2616">
        <v>59.98</v>
      </c>
      <c r="G2616" t="s">
        <v>31</v>
      </c>
      <c r="H2616" t="s">
        <v>15</v>
      </c>
      <c r="I2616">
        <v>4</v>
      </c>
      <c r="J2616">
        <v>6</v>
      </c>
      <c r="K2616">
        <v>3</v>
      </c>
      <c r="L2616" s="4">
        <v>63.808510638297875</v>
      </c>
      <c r="M2616" s="4">
        <v>3.8285106382978782</v>
      </c>
      <c r="N2616" t="s">
        <v>93</v>
      </c>
    </row>
    <row r="2617" spans="1:14">
      <c r="A2617">
        <v>2616</v>
      </c>
      <c r="B2617">
        <v>26</v>
      </c>
      <c r="C2617" t="s">
        <v>16</v>
      </c>
      <c r="D2617" t="s">
        <v>20</v>
      </c>
      <c r="E2617" t="s">
        <v>36</v>
      </c>
      <c r="F2617">
        <v>188.94</v>
      </c>
      <c r="G2617" t="s">
        <v>24</v>
      </c>
      <c r="H2617" t="s">
        <v>15</v>
      </c>
      <c r="I2617">
        <v>4.3</v>
      </c>
      <c r="J2617">
        <v>18</v>
      </c>
      <c r="K2617">
        <v>4</v>
      </c>
      <c r="L2617" s="4">
        <v>230.41463414634146</v>
      </c>
      <c r="M2617" s="4">
        <v>41.474634146341458</v>
      </c>
      <c r="N2617" t="s">
        <v>91</v>
      </c>
    </row>
    <row r="2618" spans="1:14">
      <c r="A2618">
        <v>2617</v>
      </c>
      <c r="B2618">
        <v>56</v>
      </c>
      <c r="C2618" t="s">
        <v>11</v>
      </c>
      <c r="D2618" t="s">
        <v>33</v>
      </c>
      <c r="E2618" t="s">
        <v>40</v>
      </c>
      <c r="F2618">
        <v>177.97</v>
      </c>
      <c r="G2618" t="s">
        <v>19</v>
      </c>
      <c r="H2618" t="s">
        <v>15</v>
      </c>
      <c r="I2618">
        <v>4</v>
      </c>
      <c r="J2618">
        <v>20</v>
      </c>
      <c r="K2618">
        <v>10</v>
      </c>
      <c r="L2618" s="4">
        <v>222.46249999999998</v>
      </c>
      <c r="M2618" s="4">
        <v>44.492499999999978</v>
      </c>
      <c r="N2618" t="s">
        <v>94</v>
      </c>
    </row>
    <row r="2619" spans="1:14">
      <c r="A2619">
        <v>2618</v>
      </c>
      <c r="B2619">
        <v>50</v>
      </c>
      <c r="C2619" t="s">
        <v>11</v>
      </c>
      <c r="D2619" t="s">
        <v>12</v>
      </c>
      <c r="E2619" t="s">
        <v>56</v>
      </c>
      <c r="F2619">
        <v>128.68</v>
      </c>
      <c r="G2619" t="s">
        <v>19</v>
      </c>
      <c r="H2619" t="s">
        <v>15</v>
      </c>
      <c r="I2619">
        <v>3.7</v>
      </c>
      <c r="J2619">
        <v>11</v>
      </c>
      <c r="K2619">
        <v>3</v>
      </c>
      <c r="L2619" s="4">
        <v>144.58426966292134</v>
      </c>
      <c r="M2619" s="4">
        <v>15.904269662921337</v>
      </c>
      <c r="N2619" t="s">
        <v>93</v>
      </c>
    </row>
    <row r="2620" spans="1:14">
      <c r="A2620">
        <v>2619</v>
      </c>
      <c r="B2620">
        <v>48</v>
      </c>
      <c r="C2620" t="s">
        <v>16</v>
      </c>
      <c r="D2620" t="s">
        <v>20</v>
      </c>
      <c r="E2620" t="s">
        <v>21</v>
      </c>
      <c r="F2620">
        <v>137.66999999999999</v>
      </c>
      <c r="G2620" t="s">
        <v>19</v>
      </c>
      <c r="H2620" t="s">
        <v>15</v>
      </c>
      <c r="I2620">
        <v>3.7</v>
      </c>
      <c r="J2620">
        <v>4</v>
      </c>
      <c r="K2620">
        <v>2</v>
      </c>
      <c r="L2620" s="4">
        <v>143.40625</v>
      </c>
      <c r="M2620" s="4">
        <v>5.7362500000000125</v>
      </c>
      <c r="N2620" t="s">
        <v>93</v>
      </c>
    </row>
    <row r="2621" spans="1:14">
      <c r="A2621">
        <v>2620</v>
      </c>
      <c r="B2621">
        <v>28</v>
      </c>
      <c r="C2621" t="s">
        <v>16</v>
      </c>
      <c r="D2621" t="s">
        <v>17</v>
      </c>
      <c r="E2621" t="s">
        <v>42</v>
      </c>
      <c r="F2621">
        <v>138.24</v>
      </c>
      <c r="G2621" t="s">
        <v>14</v>
      </c>
      <c r="H2621" t="s">
        <v>15</v>
      </c>
      <c r="I2621">
        <v>3.1</v>
      </c>
      <c r="J2621">
        <v>11</v>
      </c>
      <c r="K2621">
        <v>3</v>
      </c>
      <c r="L2621" s="4">
        <v>155.32584269662922</v>
      </c>
      <c r="M2621" s="4">
        <v>17.085842696629214</v>
      </c>
      <c r="N2621" t="s">
        <v>91</v>
      </c>
    </row>
    <row r="2622" spans="1:14">
      <c r="A2622">
        <v>2621</v>
      </c>
      <c r="B2622">
        <v>60</v>
      </c>
      <c r="C2622" t="s">
        <v>16</v>
      </c>
      <c r="D2622" t="s">
        <v>20</v>
      </c>
      <c r="E2622" t="s">
        <v>36</v>
      </c>
      <c r="F2622">
        <v>26.82</v>
      </c>
      <c r="G2622" t="s">
        <v>24</v>
      </c>
      <c r="H2622" t="s">
        <v>15</v>
      </c>
      <c r="I2622">
        <v>4.5</v>
      </c>
      <c r="J2622">
        <v>11</v>
      </c>
      <c r="K2622">
        <v>3</v>
      </c>
      <c r="L2622" s="4">
        <v>30.134831460674157</v>
      </c>
      <c r="M2622" s="4">
        <v>3.3148314606741565</v>
      </c>
      <c r="N2622" t="s">
        <v>94</v>
      </c>
    </row>
    <row r="2623" spans="1:14">
      <c r="A2623">
        <v>2622</v>
      </c>
      <c r="B2623">
        <v>64</v>
      </c>
      <c r="C2623" t="s">
        <v>11</v>
      </c>
      <c r="D2623" t="s">
        <v>41</v>
      </c>
      <c r="E2623" t="s">
        <v>44</v>
      </c>
      <c r="F2623">
        <v>83.11</v>
      </c>
      <c r="G2623" t="s">
        <v>19</v>
      </c>
      <c r="H2623" t="s">
        <v>37</v>
      </c>
      <c r="I2623">
        <v>2.9</v>
      </c>
      <c r="J2623">
        <v>11</v>
      </c>
      <c r="K2623">
        <v>3</v>
      </c>
      <c r="L2623" s="4">
        <v>93.382022471910105</v>
      </c>
      <c r="M2623" s="4">
        <v>10.272022471910105</v>
      </c>
      <c r="N2623" t="s">
        <v>94</v>
      </c>
    </row>
    <row r="2624" spans="1:14">
      <c r="A2624">
        <v>2623</v>
      </c>
      <c r="B2624">
        <v>47</v>
      </c>
      <c r="C2624" t="s">
        <v>16</v>
      </c>
      <c r="D2624" t="s">
        <v>20</v>
      </c>
      <c r="E2624" t="s">
        <v>36</v>
      </c>
      <c r="F2624">
        <v>126.93</v>
      </c>
      <c r="G2624" t="s">
        <v>31</v>
      </c>
      <c r="H2624" t="s">
        <v>15</v>
      </c>
      <c r="I2624">
        <v>3.6</v>
      </c>
      <c r="J2624">
        <v>20</v>
      </c>
      <c r="K2624">
        <v>10</v>
      </c>
      <c r="L2624" s="4">
        <v>158.66249999999999</v>
      </c>
      <c r="M2624" s="4">
        <v>31.732499999999987</v>
      </c>
      <c r="N2624" t="s">
        <v>93</v>
      </c>
    </row>
    <row r="2625" spans="1:14">
      <c r="A2625">
        <v>2624</v>
      </c>
      <c r="B2625">
        <v>28</v>
      </c>
      <c r="C2625" t="s">
        <v>16</v>
      </c>
      <c r="D2625" t="s">
        <v>22</v>
      </c>
      <c r="E2625" t="s">
        <v>52</v>
      </c>
      <c r="F2625">
        <v>241.39</v>
      </c>
      <c r="G2625" t="s">
        <v>19</v>
      </c>
      <c r="H2625" t="s">
        <v>15</v>
      </c>
      <c r="I2625">
        <v>3.2</v>
      </c>
      <c r="J2625">
        <v>17</v>
      </c>
      <c r="K2625">
        <v>6</v>
      </c>
      <c r="L2625" s="4">
        <v>290.8313253012048</v>
      </c>
      <c r="M2625" s="4">
        <v>49.441325301204813</v>
      </c>
      <c r="N2625" t="s">
        <v>91</v>
      </c>
    </row>
    <row r="2626" spans="1:14">
      <c r="A2626">
        <v>2625</v>
      </c>
      <c r="B2626">
        <v>48</v>
      </c>
      <c r="C2626" t="s">
        <v>11</v>
      </c>
      <c r="D2626" t="s">
        <v>29</v>
      </c>
      <c r="E2626" t="s">
        <v>55</v>
      </c>
      <c r="F2626">
        <v>128.09</v>
      </c>
      <c r="G2626" t="s">
        <v>24</v>
      </c>
      <c r="H2626" t="s">
        <v>15</v>
      </c>
      <c r="I2626">
        <v>4.2</v>
      </c>
      <c r="J2626">
        <v>14</v>
      </c>
      <c r="K2626">
        <v>7</v>
      </c>
      <c r="L2626" s="4">
        <v>148.94186046511629</v>
      </c>
      <c r="M2626" s="4">
        <v>20.851860465116289</v>
      </c>
      <c r="N2626" t="s">
        <v>93</v>
      </c>
    </row>
    <row r="2627" spans="1:14">
      <c r="A2627">
        <v>2626</v>
      </c>
      <c r="B2627">
        <v>29</v>
      </c>
      <c r="C2627" t="s">
        <v>16</v>
      </c>
      <c r="D2627" t="s">
        <v>33</v>
      </c>
      <c r="E2627" t="s">
        <v>34</v>
      </c>
      <c r="F2627">
        <v>184.29</v>
      </c>
      <c r="G2627" t="s">
        <v>19</v>
      </c>
      <c r="H2627" t="s">
        <v>15</v>
      </c>
      <c r="I2627">
        <v>2.8</v>
      </c>
      <c r="J2627">
        <v>24</v>
      </c>
      <c r="K2627">
        <v>7</v>
      </c>
      <c r="L2627" s="4">
        <v>242.48684210526315</v>
      </c>
      <c r="M2627" s="4">
        <v>58.196842105263158</v>
      </c>
      <c r="N2627" t="s">
        <v>91</v>
      </c>
    </row>
    <row r="2628" spans="1:14">
      <c r="A2628">
        <v>2627</v>
      </c>
      <c r="B2628">
        <v>60</v>
      </c>
      <c r="C2628" t="s">
        <v>11</v>
      </c>
      <c r="D2628" t="s">
        <v>29</v>
      </c>
      <c r="E2628" t="s">
        <v>55</v>
      </c>
      <c r="F2628">
        <v>144.08000000000001</v>
      </c>
      <c r="G2628" t="s">
        <v>14</v>
      </c>
      <c r="H2628" t="s">
        <v>15</v>
      </c>
      <c r="I2628">
        <v>2.5</v>
      </c>
      <c r="J2628">
        <v>6</v>
      </c>
      <c r="K2628">
        <v>3</v>
      </c>
      <c r="L2628" s="4">
        <v>153.27659574468086</v>
      </c>
      <c r="M2628" s="4">
        <v>9.1965957446808488</v>
      </c>
      <c r="N2628" t="s">
        <v>94</v>
      </c>
    </row>
    <row r="2629" spans="1:14">
      <c r="A2629">
        <v>2628</v>
      </c>
      <c r="B2629">
        <v>48</v>
      </c>
      <c r="C2629" t="s">
        <v>11</v>
      </c>
      <c r="D2629" t="s">
        <v>41</v>
      </c>
      <c r="E2629" t="s">
        <v>44</v>
      </c>
      <c r="F2629">
        <v>74.56</v>
      </c>
      <c r="G2629" t="s">
        <v>14</v>
      </c>
      <c r="H2629" t="s">
        <v>37</v>
      </c>
      <c r="I2629">
        <v>3.3</v>
      </c>
      <c r="J2629">
        <v>8</v>
      </c>
      <c r="K2629">
        <v>4</v>
      </c>
      <c r="L2629" s="4">
        <v>81.043478260869563</v>
      </c>
      <c r="M2629" s="4">
        <v>6.4834782608695605</v>
      </c>
      <c r="N2629" t="s">
        <v>93</v>
      </c>
    </row>
    <row r="2630" spans="1:14">
      <c r="A2630">
        <v>2629</v>
      </c>
      <c r="B2630">
        <v>66</v>
      </c>
      <c r="C2630" t="s">
        <v>16</v>
      </c>
      <c r="D2630" t="s">
        <v>33</v>
      </c>
      <c r="E2630" t="s">
        <v>34</v>
      </c>
      <c r="F2630">
        <v>127.67</v>
      </c>
      <c r="G2630" t="s">
        <v>14</v>
      </c>
      <c r="H2630" t="s">
        <v>15</v>
      </c>
      <c r="I2630">
        <v>3.4</v>
      </c>
      <c r="J2630">
        <v>0</v>
      </c>
      <c r="K2630">
        <v>0</v>
      </c>
      <c r="L2630" s="4">
        <v>127.67</v>
      </c>
      <c r="M2630" s="4">
        <v>0</v>
      </c>
      <c r="N2630" t="s">
        <v>95</v>
      </c>
    </row>
    <row r="2631" spans="1:14">
      <c r="A2631">
        <v>2630</v>
      </c>
      <c r="B2631">
        <v>49</v>
      </c>
      <c r="C2631" t="s">
        <v>11</v>
      </c>
      <c r="D2631" t="s">
        <v>33</v>
      </c>
      <c r="E2631" t="s">
        <v>34</v>
      </c>
      <c r="F2631">
        <v>73.3</v>
      </c>
      <c r="G2631" t="s">
        <v>31</v>
      </c>
      <c r="H2631" t="s">
        <v>37</v>
      </c>
      <c r="I2631">
        <v>3.3</v>
      </c>
      <c r="J2631">
        <v>8</v>
      </c>
      <c r="K2631">
        <v>4</v>
      </c>
      <c r="L2631" s="4">
        <v>79.673913043478251</v>
      </c>
      <c r="M2631" s="4">
        <v>6.3739130434782538</v>
      </c>
      <c r="N2631" t="s">
        <v>93</v>
      </c>
    </row>
    <row r="2632" spans="1:14">
      <c r="A2632">
        <v>2631</v>
      </c>
      <c r="B2632">
        <v>25</v>
      </c>
      <c r="C2632" t="s">
        <v>16</v>
      </c>
      <c r="D2632" t="s">
        <v>20</v>
      </c>
      <c r="E2632" t="s">
        <v>21</v>
      </c>
      <c r="F2632">
        <v>106.6</v>
      </c>
      <c r="G2632" t="s">
        <v>14</v>
      </c>
      <c r="H2632" t="s">
        <v>15</v>
      </c>
      <c r="I2632">
        <v>3.8</v>
      </c>
      <c r="J2632">
        <v>17</v>
      </c>
      <c r="K2632">
        <v>6</v>
      </c>
      <c r="L2632" s="4">
        <v>128.43373493975903</v>
      </c>
      <c r="M2632" s="4">
        <v>21.83373493975904</v>
      </c>
      <c r="N2632" t="s">
        <v>91</v>
      </c>
    </row>
    <row r="2633" spans="1:14">
      <c r="A2633">
        <v>2632</v>
      </c>
      <c r="B2633">
        <v>52</v>
      </c>
      <c r="C2633" t="s">
        <v>16</v>
      </c>
      <c r="D2633" t="s">
        <v>27</v>
      </c>
      <c r="E2633" t="s">
        <v>28</v>
      </c>
      <c r="F2633">
        <v>1302.45</v>
      </c>
      <c r="G2633" t="s">
        <v>14</v>
      </c>
      <c r="H2633" t="s">
        <v>15</v>
      </c>
      <c r="I2633">
        <v>4.5</v>
      </c>
      <c r="J2633">
        <v>18</v>
      </c>
      <c r="K2633">
        <v>9</v>
      </c>
      <c r="L2633" s="4">
        <v>1588.3536585365853</v>
      </c>
      <c r="M2633" s="4">
        <v>285.90365853658523</v>
      </c>
      <c r="N2633" t="s">
        <v>93</v>
      </c>
    </row>
    <row r="2634" spans="1:14">
      <c r="A2634">
        <v>2633</v>
      </c>
      <c r="B2634">
        <v>65</v>
      </c>
      <c r="C2634" t="s">
        <v>16</v>
      </c>
      <c r="D2634" t="s">
        <v>22</v>
      </c>
      <c r="E2634" t="s">
        <v>52</v>
      </c>
      <c r="F2634">
        <v>275.33999999999997</v>
      </c>
      <c r="G2634" t="s">
        <v>14</v>
      </c>
      <c r="H2634" t="s">
        <v>15</v>
      </c>
      <c r="I2634">
        <v>3</v>
      </c>
      <c r="J2634">
        <v>14</v>
      </c>
      <c r="K2634">
        <v>7</v>
      </c>
      <c r="L2634" s="4">
        <v>320.16279069767438</v>
      </c>
      <c r="M2634" s="4">
        <v>44.822790697674407</v>
      </c>
      <c r="N2634" t="s">
        <v>95</v>
      </c>
    </row>
    <row r="2635" spans="1:14">
      <c r="A2635">
        <v>2634</v>
      </c>
      <c r="B2635">
        <v>62</v>
      </c>
      <c r="C2635" t="s">
        <v>11</v>
      </c>
      <c r="D2635" t="s">
        <v>41</v>
      </c>
      <c r="E2635" t="s">
        <v>42</v>
      </c>
      <c r="F2635">
        <v>167.27</v>
      </c>
      <c r="G2635" t="s">
        <v>31</v>
      </c>
      <c r="H2635" t="s">
        <v>15</v>
      </c>
      <c r="I2635">
        <v>3.3</v>
      </c>
      <c r="J2635">
        <v>18</v>
      </c>
      <c r="K2635">
        <v>4</v>
      </c>
      <c r="L2635" s="4">
        <v>203.98780487804879</v>
      </c>
      <c r="M2635" s="4">
        <v>36.717804878048781</v>
      </c>
      <c r="N2635" t="s">
        <v>94</v>
      </c>
    </row>
    <row r="2636" spans="1:14">
      <c r="A2636">
        <v>2635</v>
      </c>
      <c r="B2636">
        <v>70</v>
      </c>
      <c r="C2636" t="s">
        <v>16</v>
      </c>
      <c r="D2636" t="s">
        <v>17</v>
      </c>
      <c r="E2636" t="s">
        <v>18</v>
      </c>
      <c r="F2636">
        <v>191.8</v>
      </c>
      <c r="G2636" t="s">
        <v>14</v>
      </c>
      <c r="H2636" t="s">
        <v>15</v>
      </c>
      <c r="I2636">
        <v>2.4</v>
      </c>
      <c r="J2636">
        <v>13</v>
      </c>
      <c r="K2636">
        <v>4</v>
      </c>
      <c r="L2636" s="4">
        <v>220.45977011494253</v>
      </c>
      <c r="M2636" s="4">
        <v>28.659770114942518</v>
      </c>
      <c r="N2636" t="s">
        <v>95</v>
      </c>
    </row>
    <row r="2637" spans="1:14">
      <c r="A2637">
        <v>2636</v>
      </c>
      <c r="B2637">
        <v>64</v>
      </c>
      <c r="C2637" t="s">
        <v>16</v>
      </c>
      <c r="D2637" t="s">
        <v>33</v>
      </c>
      <c r="E2637" t="s">
        <v>40</v>
      </c>
      <c r="F2637">
        <v>62.44</v>
      </c>
      <c r="G2637" t="s">
        <v>14</v>
      </c>
      <c r="H2637" t="s">
        <v>15</v>
      </c>
      <c r="I2637">
        <v>5</v>
      </c>
      <c r="J2637">
        <v>16</v>
      </c>
      <c r="K2637">
        <v>8</v>
      </c>
      <c r="L2637" s="4">
        <v>74.333333333333329</v>
      </c>
      <c r="M2637" s="4">
        <v>11.893333333333331</v>
      </c>
      <c r="N2637" t="s">
        <v>94</v>
      </c>
    </row>
    <row r="2638" spans="1:14">
      <c r="A2638">
        <v>2637</v>
      </c>
      <c r="B2638">
        <v>22</v>
      </c>
      <c r="C2638" t="s">
        <v>11</v>
      </c>
      <c r="D2638" t="s">
        <v>33</v>
      </c>
      <c r="E2638" t="s">
        <v>40</v>
      </c>
      <c r="F2638">
        <v>146.36000000000001</v>
      </c>
      <c r="G2638" t="s">
        <v>31</v>
      </c>
      <c r="H2638" t="s">
        <v>15</v>
      </c>
      <c r="I2638">
        <v>4.5999999999999996</v>
      </c>
      <c r="J2638">
        <v>10</v>
      </c>
      <c r="K2638">
        <v>5</v>
      </c>
      <c r="L2638" s="4">
        <v>162.62222222222223</v>
      </c>
      <c r="M2638" s="4">
        <v>16.262222222222221</v>
      </c>
      <c r="N2638" t="s">
        <v>100</v>
      </c>
    </row>
    <row r="2639" spans="1:14">
      <c r="A2639">
        <v>2638</v>
      </c>
      <c r="B2639">
        <v>61</v>
      </c>
      <c r="C2639" t="s">
        <v>16</v>
      </c>
      <c r="D2639" t="s">
        <v>20</v>
      </c>
      <c r="E2639" t="s">
        <v>36</v>
      </c>
      <c r="F2639">
        <v>237.45</v>
      </c>
      <c r="G2639" t="s">
        <v>31</v>
      </c>
      <c r="H2639" t="s">
        <v>15</v>
      </c>
      <c r="I2639">
        <v>5</v>
      </c>
      <c r="J2639">
        <v>24</v>
      </c>
      <c r="K2639">
        <v>7</v>
      </c>
      <c r="L2639" s="4">
        <v>312.43421052631578</v>
      </c>
      <c r="M2639" s="4">
        <v>74.984210526315792</v>
      </c>
      <c r="N2639" t="s">
        <v>94</v>
      </c>
    </row>
    <row r="2640" spans="1:14">
      <c r="A2640">
        <v>2639</v>
      </c>
      <c r="B2640">
        <v>63</v>
      </c>
      <c r="C2640" t="s">
        <v>11</v>
      </c>
      <c r="D2640" t="s">
        <v>29</v>
      </c>
      <c r="E2640" t="s">
        <v>30</v>
      </c>
      <c r="F2640">
        <v>85.28</v>
      </c>
      <c r="G2640" t="s">
        <v>31</v>
      </c>
      <c r="H2640" t="s">
        <v>15</v>
      </c>
      <c r="I2640">
        <v>4.9000000000000004</v>
      </c>
      <c r="J2640">
        <v>20</v>
      </c>
      <c r="K2640">
        <v>10</v>
      </c>
      <c r="L2640" s="4">
        <v>106.6</v>
      </c>
      <c r="M2640" s="4">
        <v>21.319999999999993</v>
      </c>
      <c r="N2640" t="s">
        <v>94</v>
      </c>
    </row>
    <row r="2641" spans="1:14">
      <c r="A2641">
        <v>2640</v>
      </c>
      <c r="B2641">
        <v>45</v>
      </c>
      <c r="C2641" t="s">
        <v>16</v>
      </c>
      <c r="D2641" t="s">
        <v>27</v>
      </c>
      <c r="E2641" t="s">
        <v>49</v>
      </c>
      <c r="F2641">
        <v>1766.89</v>
      </c>
      <c r="G2641" t="s">
        <v>14</v>
      </c>
      <c r="H2641" t="s">
        <v>15</v>
      </c>
      <c r="I2641">
        <v>4.5</v>
      </c>
      <c r="J2641">
        <v>20</v>
      </c>
      <c r="K2641">
        <v>5</v>
      </c>
      <c r="L2641" s="4">
        <v>2208.6125000000002</v>
      </c>
      <c r="M2641" s="4">
        <v>441.72250000000008</v>
      </c>
      <c r="N2641" t="s">
        <v>93</v>
      </c>
    </row>
    <row r="2642" spans="1:14">
      <c r="A2642">
        <v>2641</v>
      </c>
      <c r="B2642">
        <v>26</v>
      </c>
      <c r="C2642" t="s">
        <v>11</v>
      </c>
      <c r="D2642" t="s">
        <v>41</v>
      </c>
      <c r="E2642" t="s">
        <v>44</v>
      </c>
      <c r="F2642">
        <v>56.74</v>
      </c>
      <c r="G2642" t="s">
        <v>31</v>
      </c>
      <c r="H2642" t="s">
        <v>37</v>
      </c>
      <c r="I2642">
        <v>3.8</v>
      </c>
      <c r="J2642">
        <v>19</v>
      </c>
      <c r="K2642">
        <v>7</v>
      </c>
      <c r="L2642" s="4">
        <v>70.049382716049379</v>
      </c>
      <c r="M2642" s="4">
        <v>13.309382716049377</v>
      </c>
      <c r="N2642" t="s">
        <v>91</v>
      </c>
    </row>
    <row r="2643" spans="1:14">
      <c r="A2643">
        <v>2642</v>
      </c>
      <c r="B2643">
        <v>48</v>
      </c>
      <c r="C2643" t="s">
        <v>11</v>
      </c>
      <c r="D2643" t="s">
        <v>29</v>
      </c>
      <c r="E2643" t="s">
        <v>51</v>
      </c>
      <c r="F2643">
        <v>39.32</v>
      </c>
      <c r="G2643" t="s">
        <v>24</v>
      </c>
      <c r="H2643" t="s">
        <v>37</v>
      </c>
      <c r="I2643">
        <v>4.2</v>
      </c>
      <c r="J2643">
        <v>13</v>
      </c>
      <c r="K2643">
        <v>4</v>
      </c>
      <c r="L2643" s="4">
        <v>45.195402298850574</v>
      </c>
      <c r="M2643" s="4">
        <v>5.8754022988505739</v>
      </c>
      <c r="N2643" t="s">
        <v>93</v>
      </c>
    </row>
    <row r="2644" spans="1:14">
      <c r="A2644">
        <v>2643</v>
      </c>
      <c r="B2644">
        <v>64</v>
      </c>
      <c r="C2644" t="s">
        <v>11</v>
      </c>
      <c r="D2644" t="s">
        <v>12</v>
      </c>
      <c r="E2644" t="s">
        <v>13</v>
      </c>
      <c r="F2644">
        <v>98.93</v>
      </c>
      <c r="G2644" t="s">
        <v>19</v>
      </c>
      <c r="H2644" t="s">
        <v>37</v>
      </c>
      <c r="I2644">
        <v>3.9</v>
      </c>
      <c r="J2644">
        <v>16</v>
      </c>
      <c r="K2644">
        <v>3</v>
      </c>
      <c r="L2644" s="4">
        <v>117.77380952380953</v>
      </c>
      <c r="M2644" s="4">
        <v>18.843809523809526</v>
      </c>
      <c r="N2644" t="s">
        <v>94</v>
      </c>
    </row>
    <row r="2645" spans="1:14">
      <c r="A2645">
        <v>2644</v>
      </c>
      <c r="B2645">
        <v>61</v>
      </c>
      <c r="C2645" t="s">
        <v>16</v>
      </c>
      <c r="D2645" t="s">
        <v>25</v>
      </c>
      <c r="E2645" t="s">
        <v>54</v>
      </c>
      <c r="F2645">
        <v>57.47</v>
      </c>
      <c r="G2645" t="s">
        <v>31</v>
      </c>
      <c r="H2645" t="s">
        <v>37</v>
      </c>
      <c r="I2645">
        <v>3.4</v>
      </c>
      <c r="J2645">
        <v>18</v>
      </c>
      <c r="K2645">
        <v>4</v>
      </c>
      <c r="L2645" s="4">
        <v>70.08536585365853</v>
      </c>
      <c r="M2645" s="4">
        <v>12.615365853658531</v>
      </c>
      <c r="N2645" t="s">
        <v>94</v>
      </c>
    </row>
    <row r="2646" spans="1:14">
      <c r="A2646">
        <v>2645</v>
      </c>
      <c r="B2646">
        <v>36</v>
      </c>
      <c r="C2646" t="s">
        <v>11</v>
      </c>
      <c r="D2646" t="s">
        <v>25</v>
      </c>
      <c r="E2646" t="s">
        <v>47</v>
      </c>
      <c r="F2646">
        <v>57.01</v>
      </c>
      <c r="G2646" t="s">
        <v>14</v>
      </c>
      <c r="H2646" t="s">
        <v>15</v>
      </c>
      <c r="I2646">
        <v>3.9</v>
      </c>
      <c r="J2646">
        <v>6</v>
      </c>
      <c r="K2646">
        <v>3</v>
      </c>
      <c r="L2646" s="4">
        <v>60.648936170212764</v>
      </c>
      <c r="M2646" s="4">
        <v>3.6389361702127658</v>
      </c>
      <c r="N2646" t="s">
        <v>92</v>
      </c>
    </row>
    <row r="2647" spans="1:14">
      <c r="A2647">
        <v>2646</v>
      </c>
      <c r="B2647">
        <v>64</v>
      </c>
      <c r="C2647" t="s">
        <v>16</v>
      </c>
      <c r="D2647" t="s">
        <v>17</v>
      </c>
      <c r="E2647" t="s">
        <v>35</v>
      </c>
      <c r="F2647">
        <v>150.52000000000001</v>
      </c>
      <c r="G2647" t="s">
        <v>24</v>
      </c>
      <c r="H2647" t="s">
        <v>15</v>
      </c>
      <c r="I2647">
        <v>4.3</v>
      </c>
      <c r="J2647">
        <v>18</v>
      </c>
      <c r="K2647">
        <v>4</v>
      </c>
      <c r="L2647" s="4">
        <v>183.5609756097561</v>
      </c>
      <c r="M2647" s="4">
        <v>33.040975609756089</v>
      </c>
      <c r="N2647" t="s">
        <v>94</v>
      </c>
    </row>
    <row r="2648" spans="1:14">
      <c r="A2648">
        <v>2647</v>
      </c>
      <c r="B2648">
        <v>50</v>
      </c>
      <c r="C2648" t="s">
        <v>11</v>
      </c>
      <c r="D2648" t="s">
        <v>29</v>
      </c>
      <c r="E2648" t="s">
        <v>30</v>
      </c>
      <c r="F2648">
        <v>58.55</v>
      </c>
      <c r="G2648" t="s">
        <v>19</v>
      </c>
      <c r="H2648" t="s">
        <v>15</v>
      </c>
      <c r="I2648">
        <v>3.4</v>
      </c>
      <c r="J2648">
        <v>19</v>
      </c>
      <c r="K2648">
        <v>7</v>
      </c>
      <c r="L2648" s="4">
        <v>72.283950617283949</v>
      </c>
      <c r="M2648" s="4">
        <v>13.733950617283952</v>
      </c>
      <c r="N2648" t="s">
        <v>93</v>
      </c>
    </row>
    <row r="2649" spans="1:14">
      <c r="A2649">
        <v>2648</v>
      </c>
      <c r="B2649">
        <v>64</v>
      </c>
      <c r="C2649" t="s">
        <v>11</v>
      </c>
      <c r="D2649" t="s">
        <v>41</v>
      </c>
      <c r="E2649" t="s">
        <v>44</v>
      </c>
      <c r="F2649">
        <v>32.29</v>
      </c>
      <c r="G2649" t="s">
        <v>24</v>
      </c>
      <c r="H2649" t="s">
        <v>37</v>
      </c>
      <c r="I2649">
        <v>4.2</v>
      </c>
      <c r="J2649">
        <v>12</v>
      </c>
      <c r="K2649">
        <v>6</v>
      </c>
      <c r="L2649" s="4">
        <v>36.69318181818182</v>
      </c>
      <c r="M2649" s="4">
        <v>4.403181818181821</v>
      </c>
      <c r="N2649" t="s">
        <v>94</v>
      </c>
    </row>
    <row r="2650" spans="1:14">
      <c r="A2650">
        <v>2649</v>
      </c>
      <c r="B2650">
        <v>65</v>
      </c>
      <c r="C2650" t="s">
        <v>16</v>
      </c>
      <c r="D2650" t="s">
        <v>27</v>
      </c>
      <c r="E2650" t="s">
        <v>28</v>
      </c>
      <c r="F2650">
        <v>1042.54</v>
      </c>
      <c r="G2650" t="s">
        <v>14</v>
      </c>
      <c r="H2650" t="s">
        <v>15</v>
      </c>
      <c r="I2650">
        <v>3.7</v>
      </c>
      <c r="J2650">
        <v>12</v>
      </c>
      <c r="K2650">
        <v>6</v>
      </c>
      <c r="L2650" s="4">
        <v>1184.7045454545455</v>
      </c>
      <c r="M2650" s="4">
        <v>142.16454545454553</v>
      </c>
      <c r="N2650" t="s">
        <v>95</v>
      </c>
    </row>
    <row r="2651" spans="1:14">
      <c r="A2651">
        <v>2650</v>
      </c>
      <c r="B2651">
        <v>69</v>
      </c>
      <c r="C2651" t="s">
        <v>11</v>
      </c>
      <c r="D2651" t="s">
        <v>25</v>
      </c>
      <c r="E2651" t="s">
        <v>57</v>
      </c>
      <c r="F2651">
        <v>26.45</v>
      </c>
      <c r="G2651" t="s">
        <v>31</v>
      </c>
      <c r="H2651" t="s">
        <v>37</v>
      </c>
      <c r="I2651">
        <v>4.5</v>
      </c>
      <c r="J2651">
        <v>20</v>
      </c>
      <c r="K2651">
        <v>5</v>
      </c>
      <c r="L2651" s="4">
        <v>33.0625</v>
      </c>
      <c r="M2651" s="4">
        <v>6.6125000000000007</v>
      </c>
      <c r="N2651" t="s">
        <v>95</v>
      </c>
    </row>
    <row r="2652" spans="1:14">
      <c r="A2652">
        <v>2651</v>
      </c>
      <c r="B2652">
        <v>32</v>
      </c>
      <c r="C2652" t="s">
        <v>11</v>
      </c>
      <c r="D2652" t="s">
        <v>33</v>
      </c>
      <c r="E2652" t="s">
        <v>38</v>
      </c>
      <c r="F2652">
        <v>90.64</v>
      </c>
      <c r="G2652" t="s">
        <v>31</v>
      </c>
      <c r="H2652" t="s">
        <v>37</v>
      </c>
      <c r="I2652">
        <v>3.7</v>
      </c>
      <c r="J2652">
        <v>17</v>
      </c>
      <c r="K2652">
        <v>6</v>
      </c>
      <c r="L2652" s="4">
        <v>109.20481927710844</v>
      </c>
      <c r="M2652" s="4">
        <v>18.564819277108441</v>
      </c>
      <c r="N2652" t="s">
        <v>91</v>
      </c>
    </row>
    <row r="2653" spans="1:14">
      <c r="A2653">
        <v>2652</v>
      </c>
      <c r="B2653">
        <v>33</v>
      </c>
      <c r="C2653" t="s">
        <v>16</v>
      </c>
      <c r="D2653" t="s">
        <v>33</v>
      </c>
      <c r="E2653" t="s">
        <v>34</v>
      </c>
      <c r="F2653">
        <v>44.23</v>
      </c>
      <c r="G2653" t="s">
        <v>19</v>
      </c>
      <c r="H2653" t="s">
        <v>37</v>
      </c>
      <c r="I2653">
        <v>2.4</v>
      </c>
      <c r="J2653">
        <v>8</v>
      </c>
      <c r="K2653">
        <v>4</v>
      </c>
      <c r="L2653" s="4">
        <v>48.076086956521735</v>
      </c>
      <c r="M2653" s="4">
        <v>3.8460869565217379</v>
      </c>
      <c r="N2653" t="s">
        <v>91</v>
      </c>
    </row>
    <row r="2654" spans="1:14">
      <c r="A2654">
        <v>2653</v>
      </c>
      <c r="B2654">
        <v>58</v>
      </c>
      <c r="C2654" t="s">
        <v>16</v>
      </c>
      <c r="D2654" t="s">
        <v>33</v>
      </c>
      <c r="E2654" t="s">
        <v>34</v>
      </c>
      <c r="F2654">
        <v>54.47</v>
      </c>
      <c r="G2654" t="s">
        <v>14</v>
      </c>
      <c r="H2654" t="s">
        <v>15</v>
      </c>
      <c r="I2654">
        <v>3.1</v>
      </c>
      <c r="J2654">
        <v>12</v>
      </c>
      <c r="K2654">
        <v>6</v>
      </c>
      <c r="L2654" s="4">
        <v>61.897727272727273</v>
      </c>
      <c r="M2654" s="4">
        <v>7.4277272727272745</v>
      </c>
      <c r="N2654" t="s">
        <v>94</v>
      </c>
    </row>
    <row r="2655" spans="1:14">
      <c r="A2655">
        <v>2654</v>
      </c>
      <c r="B2655">
        <v>51</v>
      </c>
      <c r="C2655" t="s">
        <v>11</v>
      </c>
      <c r="D2655" t="s">
        <v>12</v>
      </c>
      <c r="E2655" t="s">
        <v>56</v>
      </c>
      <c r="F2655">
        <v>121.74</v>
      </c>
      <c r="G2655" t="s">
        <v>24</v>
      </c>
      <c r="H2655" t="s">
        <v>15</v>
      </c>
      <c r="I2655">
        <v>4.5999999999999996</v>
      </c>
      <c r="J2655">
        <v>4</v>
      </c>
      <c r="K2655">
        <v>2</v>
      </c>
      <c r="L2655" s="4">
        <v>126.8125</v>
      </c>
      <c r="M2655" s="4">
        <v>5.0725000000000051</v>
      </c>
      <c r="N2655" t="s">
        <v>93</v>
      </c>
    </row>
    <row r="2656" spans="1:14">
      <c r="A2656">
        <v>2655</v>
      </c>
      <c r="B2656">
        <v>69</v>
      </c>
      <c r="C2656" t="s">
        <v>11</v>
      </c>
      <c r="D2656" t="s">
        <v>22</v>
      </c>
      <c r="E2656" t="s">
        <v>52</v>
      </c>
      <c r="F2656">
        <v>51.27</v>
      </c>
      <c r="G2656" t="s">
        <v>31</v>
      </c>
      <c r="H2656" t="s">
        <v>15</v>
      </c>
      <c r="I2656">
        <v>3.9</v>
      </c>
      <c r="J2656">
        <v>16</v>
      </c>
      <c r="K2656">
        <v>3</v>
      </c>
      <c r="L2656" s="4">
        <v>61.035714285714292</v>
      </c>
      <c r="M2656" s="4">
        <v>9.7657142857142887</v>
      </c>
      <c r="N2656" t="s">
        <v>95</v>
      </c>
    </row>
    <row r="2657" spans="1:14">
      <c r="A2657">
        <v>2656</v>
      </c>
      <c r="B2657">
        <v>39</v>
      </c>
      <c r="C2657" t="s">
        <v>16</v>
      </c>
      <c r="D2657" t="s">
        <v>22</v>
      </c>
      <c r="E2657" t="s">
        <v>43</v>
      </c>
      <c r="F2657">
        <v>188.31</v>
      </c>
      <c r="G2657" t="s">
        <v>14</v>
      </c>
      <c r="H2657" t="s">
        <v>15</v>
      </c>
      <c r="I2657">
        <v>2.8</v>
      </c>
      <c r="J2657">
        <v>8</v>
      </c>
      <c r="K2657">
        <v>4</v>
      </c>
      <c r="L2657" s="4">
        <v>204.68478260869566</v>
      </c>
      <c r="M2657" s="4">
        <v>16.374782608695654</v>
      </c>
      <c r="N2657" t="s">
        <v>92</v>
      </c>
    </row>
    <row r="2658" spans="1:14">
      <c r="A2658">
        <v>2657</v>
      </c>
      <c r="B2658">
        <v>63</v>
      </c>
      <c r="C2658" t="s">
        <v>11</v>
      </c>
      <c r="D2658" t="s">
        <v>33</v>
      </c>
      <c r="E2658" t="s">
        <v>38</v>
      </c>
      <c r="F2658">
        <v>230.43</v>
      </c>
      <c r="G2658" t="s">
        <v>24</v>
      </c>
      <c r="H2658" t="s">
        <v>15</v>
      </c>
      <c r="I2658">
        <v>3.8</v>
      </c>
      <c r="J2658">
        <v>8</v>
      </c>
      <c r="K2658">
        <v>4</v>
      </c>
      <c r="L2658" s="4">
        <v>250.46739130434781</v>
      </c>
      <c r="M2658" s="4">
        <v>20.037391304347807</v>
      </c>
      <c r="N2658" t="s">
        <v>94</v>
      </c>
    </row>
    <row r="2659" spans="1:14">
      <c r="A2659">
        <v>2658</v>
      </c>
      <c r="B2659">
        <v>56</v>
      </c>
      <c r="C2659" t="s">
        <v>16</v>
      </c>
      <c r="D2659" t="s">
        <v>17</v>
      </c>
      <c r="E2659" t="s">
        <v>35</v>
      </c>
      <c r="F2659">
        <v>47.11</v>
      </c>
      <c r="G2659" t="s">
        <v>19</v>
      </c>
      <c r="H2659" t="s">
        <v>37</v>
      </c>
      <c r="I2659">
        <v>4.4000000000000004</v>
      </c>
      <c r="J2659">
        <v>8</v>
      </c>
      <c r="K2659">
        <v>4</v>
      </c>
      <c r="L2659" s="4">
        <v>51.20652173913043</v>
      </c>
      <c r="M2659" s="4">
        <v>4.0965217391304307</v>
      </c>
      <c r="N2659" t="s">
        <v>94</v>
      </c>
    </row>
    <row r="2660" spans="1:14">
      <c r="A2660">
        <v>2659</v>
      </c>
      <c r="B2660">
        <v>70</v>
      </c>
      <c r="C2660" t="s">
        <v>11</v>
      </c>
      <c r="D2660" t="s">
        <v>41</v>
      </c>
      <c r="E2660" t="s">
        <v>42</v>
      </c>
      <c r="F2660">
        <v>30.45</v>
      </c>
      <c r="G2660" t="s">
        <v>24</v>
      </c>
      <c r="H2660" t="s">
        <v>15</v>
      </c>
      <c r="I2660">
        <v>3.8</v>
      </c>
      <c r="J2660">
        <v>12</v>
      </c>
      <c r="K2660">
        <v>6</v>
      </c>
      <c r="L2660" s="4">
        <v>34.602272727272727</v>
      </c>
      <c r="M2660" s="4">
        <v>4.1522727272727273</v>
      </c>
      <c r="N2660" t="s">
        <v>95</v>
      </c>
    </row>
    <row r="2661" spans="1:14">
      <c r="A2661">
        <v>2660</v>
      </c>
      <c r="B2661">
        <v>50</v>
      </c>
      <c r="C2661" t="s">
        <v>11</v>
      </c>
      <c r="D2661" t="s">
        <v>29</v>
      </c>
      <c r="E2661" t="s">
        <v>55</v>
      </c>
      <c r="F2661">
        <v>54.62</v>
      </c>
      <c r="G2661" t="s">
        <v>19</v>
      </c>
      <c r="H2661" t="s">
        <v>37</v>
      </c>
      <c r="I2661">
        <v>4.0999999999999996</v>
      </c>
      <c r="J2661">
        <v>16</v>
      </c>
      <c r="K2661">
        <v>3</v>
      </c>
      <c r="L2661" s="4">
        <v>65.023809523809518</v>
      </c>
      <c r="M2661" s="4">
        <v>10.403809523809521</v>
      </c>
      <c r="N2661" t="s">
        <v>93</v>
      </c>
    </row>
    <row r="2662" spans="1:14">
      <c r="A2662">
        <v>2661</v>
      </c>
      <c r="B2662">
        <v>45</v>
      </c>
      <c r="C2662" t="s">
        <v>16</v>
      </c>
      <c r="D2662" t="s">
        <v>25</v>
      </c>
      <c r="E2662" t="s">
        <v>54</v>
      </c>
      <c r="F2662">
        <v>5.85</v>
      </c>
      <c r="G2662" t="s">
        <v>24</v>
      </c>
      <c r="H2662" t="s">
        <v>15</v>
      </c>
      <c r="I2662">
        <v>4.5</v>
      </c>
      <c r="J2662">
        <v>13</v>
      </c>
      <c r="K2662">
        <v>4</v>
      </c>
      <c r="L2662" s="4">
        <v>6.7241379310344822</v>
      </c>
      <c r="M2662" s="4">
        <v>0.87413793103448256</v>
      </c>
      <c r="N2662" t="s">
        <v>93</v>
      </c>
    </row>
    <row r="2663" spans="1:14">
      <c r="A2663">
        <v>2662</v>
      </c>
      <c r="B2663">
        <v>55</v>
      </c>
      <c r="C2663" t="s">
        <v>16</v>
      </c>
      <c r="D2663" t="s">
        <v>20</v>
      </c>
      <c r="E2663" t="s">
        <v>39</v>
      </c>
      <c r="F2663">
        <v>175.82</v>
      </c>
      <c r="G2663" t="s">
        <v>31</v>
      </c>
      <c r="H2663" t="s">
        <v>15</v>
      </c>
      <c r="I2663">
        <v>4.5999999999999996</v>
      </c>
      <c r="J2663">
        <v>7</v>
      </c>
      <c r="K2663">
        <v>1</v>
      </c>
      <c r="L2663" s="4">
        <v>189.05376344086022</v>
      </c>
      <c r="M2663" s="4">
        <v>13.23376344086023</v>
      </c>
      <c r="N2663" t="s">
        <v>94</v>
      </c>
    </row>
    <row r="2664" spans="1:14">
      <c r="A2664">
        <v>2663</v>
      </c>
      <c r="B2664">
        <v>26</v>
      </c>
      <c r="C2664" t="s">
        <v>16</v>
      </c>
      <c r="D2664" t="s">
        <v>20</v>
      </c>
      <c r="E2664" t="s">
        <v>39</v>
      </c>
      <c r="F2664">
        <v>34.479999999999997</v>
      </c>
      <c r="G2664" t="s">
        <v>14</v>
      </c>
      <c r="H2664" t="s">
        <v>37</v>
      </c>
      <c r="I2664">
        <v>4</v>
      </c>
      <c r="J2664">
        <v>17</v>
      </c>
      <c r="K2664">
        <v>6</v>
      </c>
      <c r="L2664" s="4">
        <v>41.542168674698793</v>
      </c>
      <c r="M2664" s="4">
        <v>7.0621686746987962</v>
      </c>
      <c r="N2664" t="s">
        <v>91</v>
      </c>
    </row>
    <row r="2665" spans="1:14">
      <c r="A2665">
        <v>2664</v>
      </c>
      <c r="B2665">
        <v>69</v>
      </c>
      <c r="C2665" t="s">
        <v>16</v>
      </c>
      <c r="D2665" t="s">
        <v>27</v>
      </c>
      <c r="E2665" t="s">
        <v>28</v>
      </c>
      <c r="F2665">
        <v>2410.79</v>
      </c>
      <c r="G2665" t="s">
        <v>24</v>
      </c>
      <c r="H2665" t="s">
        <v>15</v>
      </c>
      <c r="I2665">
        <v>4.3</v>
      </c>
      <c r="J2665">
        <v>16</v>
      </c>
      <c r="K2665">
        <v>8</v>
      </c>
      <c r="L2665" s="4">
        <v>2869.9880952380954</v>
      </c>
      <c r="M2665" s="4">
        <v>459.19809523809545</v>
      </c>
      <c r="N2665" t="s">
        <v>95</v>
      </c>
    </row>
    <row r="2666" spans="1:14">
      <c r="A2666">
        <v>2665</v>
      </c>
      <c r="B2666">
        <v>64</v>
      </c>
      <c r="C2666" t="s">
        <v>16</v>
      </c>
      <c r="D2666" t="s">
        <v>20</v>
      </c>
      <c r="E2666" t="s">
        <v>21</v>
      </c>
      <c r="F2666">
        <v>232.53</v>
      </c>
      <c r="G2666" t="s">
        <v>14</v>
      </c>
      <c r="H2666" t="s">
        <v>15</v>
      </c>
      <c r="I2666">
        <v>4.3</v>
      </c>
      <c r="J2666">
        <v>19</v>
      </c>
      <c r="K2666">
        <v>7</v>
      </c>
      <c r="L2666" s="4">
        <v>287.07407407407408</v>
      </c>
      <c r="M2666" s="4">
        <v>54.544074074074075</v>
      </c>
      <c r="N2666" t="s">
        <v>94</v>
      </c>
    </row>
    <row r="2667" spans="1:14">
      <c r="A2667">
        <v>2666</v>
      </c>
      <c r="B2667">
        <v>31</v>
      </c>
      <c r="C2667" t="s">
        <v>16</v>
      </c>
      <c r="D2667" t="s">
        <v>33</v>
      </c>
      <c r="E2667" t="s">
        <v>38</v>
      </c>
      <c r="F2667">
        <v>112.63</v>
      </c>
      <c r="G2667" t="s">
        <v>14</v>
      </c>
      <c r="H2667" t="s">
        <v>15</v>
      </c>
      <c r="I2667">
        <v>2.7</v>
      </c>
      <c r="J2667">
        <v>8</v>
      </c>
      <c r="K2667">
        <v>4</v>
      </c>
      <c r="L2667" s="4">
        <v>122.42391304347825</v>
      </c>
      <c r="M2667" s="4">
        <v>9.7939130434782555</v>
      </c>
      <c r="N2667" t="s">
        <v>91</v>
      </c>
    </row>
    <row r="2668" spans="1:14">
      <c r="A2668">
        <v>2667</v>
      </c>
      <c r="B2668">
        <v>60</v>
      </c>
      <c r="C2668" t="s">
        <v>11</v>
      </c>
      <c r="D2668" t="s">
        <v>12</v>
      </c>
      <c r="E2668" t="s">
        <v>13</v>
      </c>
      <c r="F2668">
        <v>138.91</v>
      </c>
      <c r="G2668" t="s">
        <v>14</v>
      </c>
      <c r="H2668" t="s">
        <v>15</v>
      </c>
      <c r="I2668">
        <v>4.4000000000000004</v>
      </c>
      <c r="J2668">
        <v>13</v>
      </c>
      <c r="K2668">
        <v>4</v>
      </c>
      <c r="L2668" s="4">
        <v>159.66666666666666</v>
      </c>
      <c r="M2668" s="4">
        <v>20.756666666666661</v>
      </c>
      <c r="N2668" t="s">
        <v>94</v>
      </c>
    </row>
    <row r="2669" spans="1:14">
      <c r="A2669">
        <v>2668</v>
      </c>
      <c r="B2669">
        <v>26</v>
      </c>
      <c r="C2669" t="s">
        <v>16</v>
      </c>
      <c r="D2669" t="s">
        <v>33</v>
      </c>
      <c r="E2669" t="s">
        <v>38</v>
      </c>
      <c r="F2669">
        <v>221.47</v>
      </c>
      <c r="G2669" t="s">
        <v>14</v>
      </c>
      <c r="H2669" t="s">
        <v>15</v>
      </c>
      <c r="I2669">
        <v>3.1</v>
      </c>
      <c r="J2669">
        <v>12</v>
      </c>
      <c r="K2669">
        <v>6</v>
      </c>
      <c r="L2669" s="4">
        <v>251.67045454545453</v>
      </c>
      <c r="M2669" s="4">
        <v>30.200454545454534</v>
      </c>
      <c r="N2669" t="s">
        <v>91</v>
      </c>
    </row>
    <row r="2670" spans="1:14">
      <c r="A2670">
        <v>2669</v>
      </c>
      <c r="B2670">
        <v>21</v>
      </c>
      <c r="C2670" t="s">
        <v>11</v>
      </c>
      <c r="D2670" t="s">
        <v>41</v>
      </c>
      <c r="E2670" t="s">
        <v>42</v>
      </c>
      <c r="F2670">
        <v>52.43</v>
      </c>
      <c r="G2670" t="s">
        <v>14</v>
      </c>
      <c r="H2670" t="s">
        <v>37</v>
      </c>
      <c r="I2670">
        <v>3.6</v>
      </c>
      <c r="J2670">
        <v>25</v>
      </c>
      <c r="K2670">
        <v>10</v>
      </c>
      <c r="L2670" s="4">
        <v>69.906666666666666</v>
      </c>
      <c r="M2670" s="4">
        <v>17.476666666666667</v>
      </c>
      <c r="N2670" t="s">
        <v>100</v>
      </c>
    </row>
    <row r="2671" spans="1:14">
      <c r="A2671">
        <v>2670</v>
      </c>
      <c r="B2671">
        <v>37</v>
      </c>
      <c r="C2671" t="s">
        <v>16</v>
      </c>
      <c r="D2671" t="s">
        <v>20</v>
      </c>
      <c r="E2671" t="s">
        <v>39</v>
      </c>
      <c r="F2671">
        <v>172.83</v>
      </c>
      <c r="G2671" t="s">
        <v>19</v>
      </c>
      <c r="H2671" t="s">
        <v>15</v>
      </c>
      <c r="I2671">
        <v>3.1</v>
      </c>
      <c r="J2671">
        <v>22</v>
      </c>
      <c r="K2671">
        <v>6</v>
      </c>
      <c r="L2671" s="4">
        <v>221.57692307692309</v>
      </c>
      <c r="M2671" s="4">
        <v>48.746923076923082</v>
      </c>
      <c r="N2671" t="s">
        <v>92</v>
      </c>
    </row>
    <row r="2672" spans="1:14">
      <c r="A2672">
        <v>2671</v>
      </c>
      <c r="B2672">
        <v>35</v>
      </c>
      <c r="C2672" t="s">
        <v>11</v>
      </c>
      <c r="D2672" t="s">
        <v>22</v>
      </c>
      <c r="E2672" t="s">
        <v>23</v>
      </c>
      <c r="F2672">
        <v>217.67</v>
      </c>
      <c r="G2672" t="s">
        <v>24</v>
      </c>
      <c r="H2672" t="s">
        <v>15</v>
      </c>
      <c r="I2672">
        <v>3.5</v>
      </c>
      <c r="J2672">
        <v>10</v>
      </c>
      <c r="K2672">
        <v>5</v>
      </c>
      <c r="L2672" s="4">
        <v>241.85555555555553</v>
      </c>
      <c r="M2672" s="4">
        <v>24.185555555555538</v>
      </c>
      <c r="N2672" t="s">
        <v>92</v>
      </c>
    </row>
    <row r="2673" spans="1:14">
      <c r="A2673">
        <v>2672</v>
      </c>
      <c r="B2673">
        <v>29</v>
      </c>
      <c r="C2673" t="s">
        <v>16</v>
      </c>
      <c r="D2673" t="s">
        <v>33</v>
      </c>
      <c r="E2673" t="s">
        <v>40</v>
      </c>
      <c r="F2673">
        <v>217.41</v>
      </c>
      <c r="G2673" t="s">
        <v>14</v>
      </c>
      <c r="H2673" t="s">
        <v>15</v>
      </c>
      <c r="I2673">
        <v>4.3</v>
      </c>
      <c r="J2673">
        <v>14</v>
      </c>
      <c r="K2673">
        <v>7</v>
      </c>
      <c r="L2673" s="4">
        <v>252.80232558139534</v>
      </c>
      <c r="M2673" s="4">
        <v>35.39232558139534</v>
      </c>
      <c r="N2673" t="s">
        <v>91</v>
      </c>
    </row>
    <row r="2674" spans="1:14">
      <c r="A2674">
        <v>2673</v>
      </c>
      <c r="B2674">
        <v>41</v>
      </c>
      <c r="C2674" t="s">
        <v>16</v>
      </c>
      <c r="D2674" t="s">
        <v>33</v>
      </c>
      <c r="E2674" t="s">
        <v>40</v>
      </c>
      <c r="F2674">
        <v>171.5</v>
      </c>
      <c r="G2674" t="s">
        <v>24</v>
      </c>
      <c r="H2674" t="s">
        <v>15</v>
      </c>
      <c r="I2674">
        <v>3.3</v>
      </c>
      <c r="J2674">
        <v>19</v>
      </c>
      <c r="K2674">
        <v>7</v>
      </c>
      <c r="L2674" s="4">
        <v>211.72839506172838</v>
      </c>
      <c r="M2674" s="4">
        <v>40.228395061728378</v>
      </c>
      <c r="N2674" t="s">
        <v>92</v>
      </c>
    </row>
    <row r="2675" spans="1:14">
      <c r="A2675">
        <v>2674</v>
      </c>
      <c r="B2675">
        <v>35</v>
      </c>
      <c r="C2675" t="s">
        <v>16</v>
      </c>
      <c r="D2675" t="s">
        <v>27</v>
      </c>
      <c r="E2675" t="s">
        <v>49</v>
      </c>
      <c r="F2675">
        <v>2366.84</v>
      </c>
      <c r="G2675" t="s">
        <v>24</v>
      </c>
      <c r="H2675" t="s">
        <v>15</v>
      </c>
      <c r="I2675">
        <v>3.6</v>
      </c>
      <c r="J2675">
        <v>26</v>
      </c>
      <c r="K2675">
        <v>8</v>
      </c>
      <c r="L2675" s="4">
        <v>3198.4324324324325</v>
      </c>
      <c r="M2675" s="4">
        <v>831.59243243243236</v>
      </c>
      <c r="N2675" t="s">
        <v>92</v>
      </c>
    </row>
    <row r="2676" spans="1:14">
      <c r="A2676">
        <v>2675</v>
      </c>
      <c r="B2676">
        <v>70</v>
      </c>
      <c r="C2676" t="s">
        <v>11</v>
      </c>
      <c r="D2676" t="s">
        <v>12</v>
      </c>
      <c r="E2676" t="s">
        <v>56</v>
      </c>
      <c r="F2676">
        <v>169.45</v>
      </c>
      <c r="G2676" t="s">
        <v>19</v>
      </c>
      <c r="H2676" t="s">
        <v>15</v>
      </c>
      <c r="I2676">
        <v>3.1</v>
      </c>
      <c r="J2676">
        <v>15</v>
      </c>
      <c r="K2676">
        <v>5</v>
      </c>
      <c r="L2676" s="4">
        <v>199.35294117647058</v>
      </c>
      <c r="M2676" s="4">
        <v>29.902941176470591</v>
      </c>
      <c r="N2676" t="s">
        <v>95</v>
      </c>
    </row>
    <row r="2677" spans="1:14">
      <c r="A2677">
        <v>2676</v>
      </c>
      <c r="B2677">
        <v>50</v>
      </c>
      <c r="C2677" t="s">
        <v>11</v>
      </c>
      <c r="D2677" t="s">
        <v>12</v>
      </c>
      <c r="E2677" t="s">
        <v>13</v>
      </c>
      <c r="F2677">
        <v>51.73</v>
      </c>
      <c r="G2677" t="s">
        <v>14</v>
      </c>
      <c r="H2677" t="s">
        <v>37</v>
      </c>
      <c r="I2677">
        <v>3.4</v>
      </c>
      <c r="J2677">
        <v>10</v>
      </c>
      <c r="K2677">
        <v>5</v>
      </c>
      <c r="L2677" s="4">
        <v>57.477777777777774</v>
      </c>
      <c r="M2677" s="4">
        <v>5.7477777777777774</v>
      </c>
      <c r="N2677" t="s">
        <v>93</v>
      </c>
    </row>
    <row r="2678" spans="1:14">
      <c r="A2678">
        <v>2677</v>
      </c>
      <c r="B2678">
        <v>43</v>
      </c>
      <c r="C2678" t="s">
        <v>11</v>
      </c>
      <c r="D2678" t="s">
        <v>33</v>
      </c>
      <c r="E2678" t="s">
        <v>34</v>
      </c>
      <c r="F2678">
        <v>111.39</v>
      </c>
      <c r="G2678" t="s">
        <v>14</v>
      </c>
      <c r="H2678" t="s">
        <v>15</v>
      </c>
      <c r="I2678">
        <v>2.8</v>
      </c>
      <c r="J2678">
        <v>6</v>
      </c>
      <c r="K2678">
        <v>3</v>
      </c>
      <c r="L2678" s="4">
        <v>118.50000000000001</v>
      </c>
      <c r="M2678" s="4">
        <v>7.1100000000000136</v>
      </c>
      <c r="N2678" t="s">
        <v>92</v>
      </c>
    </row>
    <row r="2679" spans="1:14">
      <c r="A2679">
        <v>2678</v>
      </c>
      <c r="B2679">
        <v>40</v>
      </c>
      <c r="C2679" t="s">
        <v>11</v>
      </c>
      <c r="D2679" t="s">
        <v>33</v>
      </c>
      <c r="E2679" t="s">
        <v>40</v>
      </c>
      <c r="F2679">
        <v>184.33</v>
      </c>
      <c r="G2679" t="s">
        <v>31</v>
      </c>
      <c r="H2679" t="s">
        <v>15</v>
      </c>
      <c r="I2679">
        <v>4.3</v>
      </c>
      <c r="J2679">
        <v>26</v>
      </c>
      <c r="K2679">
        <v>8</v>
      </c>
      <c r="L2679" s="4">
        <v>249.09459459459461</v>
      </c>
      <c r="M2679" s="4">
        <v>64.764594594594598</v>
      </c>
      <c r="N2679" t="s">
        <v>92</v>
      </c>
    </row>
    <row r="2680" spans="1:14">
      <c r="A2680">
        <v>2679</v>
      </c>
      <c r="B2680">
        <v>32</v>
      </c>
      <c r="C2680" t="s">
        <v>11</v>
      </c>
      <c r="D2680" t="s">
        <v>41</v>
      </c>
      <c r="E2680" t="s">
        <v>46</v>
      </c>
      <c r="F2680">
        <v>110.27</v>
      </c>
      <c r="G2680" t="s">
        <v>24</v>
      </c>
      <c r="H2680" t="s">
        <v>15</v>
      </c>
      <c r="I2680">
        <v>4.4000000000000004</v>
      </c>
      <c r="J2680">
        <v>18</v>
      </c>
      <c r="K2680">
        <v>4</v>
      </c>
      <c r="L2680" s="4">
        <v>134.47560975609755</v>
      </c>
      <c r="M2680" s="4">
        <v>24.205609756097559</v>
      </c>
      <c r="N2680" t="s">
        <v>91</v>
      </c>
    </row>
    <row r="2681" spans="1:14">
      <c r="A2681">
        <v>2680</v>
      </c>
      <c r="B2681">
        <v>61</v>
      </c>
      <c r="C2681" t="s">
        <v>11</v>
      </c>
      <c r="D2681" t="s">
        <v>41</v>
      </c>
      <c r="E2681" t="s">
        <v>45</v>
      </c>
      <c r="F2681">
        <v>79.69</v>
      </c>
      <c r="G2681" t="s">
        <v>14</v>
      </c>
      <c r="H2681" t="s">
        <v>37</v>
      </c>
      <c r="I2681">
        <v>3.3</v>
      </c>
      <c r="J2681">
        <v>18</v>
      </c>
      <c r="K2681">
        <v>4</v>
      </c>
      <c r="L2681" s="4">
        <v>97.182926829268283</v>
      </c>
      <c r="M2681" s="4">
        <v>17.492926829268285</v>
      </c>
      <c r="N2681" t="s">
        <v>94</v>
      </c>
    </row>
    <row r="2682" spans="1:14">
      <c r="A2682">
        <v>2681</v>
      </c>
      <c r="B2682">
        <v>54</v>
      </c>
      <c r="C2682" t="s">
        <v>11</v>
      </c>
      <c r="D2682" t="s">
        <v>29</v>
      </c>
      <c r="E2682" t="s">
        <v>30</v>
      </c>
      <c r="F2682">
        <v>125.21</v>
      </c>
      <c r="G2682" t="s">
        <v>14</v>
      </c>
      <c r="H2682" t="s">
        <v>15</v>
      </c>
      <c r="I2682">
        <v>4.0999999999999996</v>
      </c>
      <c r="J2682">
        <v>8</v>
      </c>
      <c r="K2682">
        <v>4</v>
      </c>
      <c r="L2682" s="4">
        <v>136.0978260869565</v>
      </c>
      <c r="M2682" s="4">
        <v>10.887826086956508</v>
      </c>
      <c r="N2682" t="s">
        <v>93</v>
      </c>
    </row>
    <row r="2683" spans="1:14">
      <c r="A2683">
        <v>2682</v>
      </c>
      <c r="B2683">
        <v>66</v>
      </c>
      <c r="C2683" t="s">
        <v>16</v>
      </c>
      <c r="D2683" t="s">
        <v>25</v>
      </c>
      <c r="E2683" t="s">
        <v>57</v>
      </c>
      <c r="F2683">
        <v>5.08</v>
      </c>
      <c r="G2683" t="s">
        <v>24</v>
      </c>
      <c r="H2683" t="s">
        <v>37</v>
      </c>
      <c r="I2683">
        <v>4.9000000000000004</v>
      </c>
      <c r="J2683">
        <v>17</v>
      </c>
      <c r="K2683">
        <v>6</v>
      </c>
      <c r="L2683" s="4">
        <v>6.120481927710844</v>
      </c>
      <c r="M2683" s="4">
        <v>1.0404819277108439</v>
      </c>
      <c r="N2683" t="s">
        <v>95</v>
      </c>
    </row>
    <row r="2684" spans="1:14">
      <c r="A2684">
        <v>2683</v>
      </c>
      <c r="B2684">
        <v>69</v>
      </c>
      <c r="C2684" t="s">
        <v>11</v>
      </c>
      <c r="D2684" t="s">
        <v>33</v>
      </c>
      <c r="E2684" t="s">
        <v>40</v>
      </c>
      <c r="F2684">
        <v>228.38</v>
      </c>
      <c r="G2684" t="s">
        <v>14</v>
      </c>
      <c r="H2684" t="s">
        <v>15</v>
      </c>
      <c r="I2684">
        <v>4</v>
      </c>
      <c r="J2684">
        <v>14</v>
      </c>
      <c r="K2684">
        <v>7</v>
      </c>
      <c r="L2684" s="4">
        <v>265.55813953488371</v>
      </c>
      <c r="M2684" s="4">
        <v>37.178139534883712</v>
      </c>
      <c r="N2684" t="s">
        <v>95</v>
      </c>
    </row>
    <row r="2685" spans="1:14">
      <c r="A2685">
        <v>2684</v>
      </c>
      <c r="B2685">
        <v>27</v>
      </c>
      <c r="C2685" t="s">
        <v>16</v>
      </c>
      <c r="D2685" t="s">
        <v>33</v>
      </c>
      <c r="E2685" t="s">
        <v>38</v>
      </c>
      <c r="F2685">
        <v>146.57</v>
      </c>
      <c r="G2685" t="s">
        <v>24</v>
      </c>
      <c r="H2685" t="s">
        <v>15</v>
      </c>
      <c r="I2685">
        <v>3.2</v>
      </c>
      <c r="J2685">
        <v>15</v>
      </c>
      <c r="K2685">
        <v>5</v>
      </c>
      <c r="L2685" s="4">
        <v>172.43529411764706</v>
      </c>
      <c r="M2685" s="4">
        <v>25.865294117647068</v>
      </c>
      <c r="N2685" t="s">
        <v>91</v>
      </c>
    </row>
    <row r="2686" spans="1:14">
      <c r="A2686">
        <v>2685</v>
      </c>
      <c r="B2686">
        <v>64</v>
      </c>
      <c r="C2686" t="s">
        <v>11</v>
      </c>
      <c r="D2686" t="s">
        <v>33</v>
      </c>
      <c r="E2686" t="s">
        <v>38</v>
      </c>
      <c r="F2686">
        <v>90.12</v>
      </c>
      <c r="G2686" t="s">
        <v>24</v>
      </c>
      <c r="H2686" t="s">
        <v>15</v>
      </c>
      <c r="I2686">
        <v>5</v>
      </c>
      <c r="J2686">
        <v>13</v>
      </c>
      <c r="K2686">
        <v>4</v>
      </c>
      <c r="L2686" s="4">
        <v>103.58620689655173</v>
      </c>
      <c r="M2686" s="4">
        <v>13.466206896551725</v>
      </c>
      <c r="N2686" t="s">
        <v>94</v>
      </c>
    </row>
    <row r="2687" spans="1:14">
      <c r="A2687">
        <v>2686</v>
      </c>
      <c r="B2687">
        <v>46</v>
      </c>
      <c r="C2687" t="s">
        <v>16</v>
      </c>
      <c r="D2687" t="s">
        <v>20</v>
      </c>
      <c r="E2687" t="s">
        <v>39</v>
      </c>
      <c r="F2687">
        <v>180.39</v>
      </c>
      <c r="G2687" t="s">
        <v>24</v>
      </c>
      <c r="H2687" t="s">
        <v>15</v>
      </c>
      <c r="I2687">
        <v>5</v>
      </c>
      <c r="J2687">
        <v>11</v>
      </c>
      <c r="K2687">
        <v>3</v>
      </c>
      <c r="L2687" s="4">
        <v>202.68539325842696</v>
      </c>
      <c r="M2687" s="4">
        <v>22.295393258426969</v>
      </c>
      <c r="N2687" t="s">
        <v>93</v>
      </c>
    </row>
    <row r="2688" spans="1:14">
      <c r="A2688">
        <v>2687</v>
      </c>
      <c r="B2688">
        <v>21</v>
      </c>
      <c r="C2688" t="s">
        <v>11</v>
      </c>
      <c r="D2688" t="s">
        <v>33</v>
      </c>
      <c r="E2688" t="s">
        <v>38</v>
      </c>
      <c r="F2688">
        <v>234.56</v>
      </c>
      <c r="G2688" t="s">
        <v>31</v>
      </c>
      <c r="H2688" t="s">
        <v>15</v>
      </c>
      <c r="I2688">
        <v>4.0999999999999996</v>
      </c>
      <c r="J2688">
        <v>15</v>
      </c>
      <c r="K2688">
        <v>5</v>
      </c>
      <c r="L2688" s="4">
        <v>275.95294117647057</v>
      </c>
      <c r="M2688" s="4">
        <v>41.392941176470572</v>
      </c>
      <c r="N2688" t="s">
        <v>100</v>
      </c>
    </row>
    <row r="2689" spans="1:14">
      <c r="A2689">
        <v>2688</v>
      </c>
      <c r="B2689">
        <v>31</v>
      </c>
      <c r="C2689" t="s">
        <v>16</v>
      </c>
      <c r="D2689" t="s">
        <v>17</v>
      </c>
      <c r="E2689" t="s">
        <v>42</v>
      </c>
      <c r="F2689">
        <v>172.58</v>
      </c>
      <c r="G2689" t="s">
        <v>14</v>
      </c>
      <c r="H2689" t="s">
        <v>15</v>
      </c>
      <c r="I2689">
        <v>2.4</v>
      </c>
      <c r="J2689">
        <v>18</v>
      </c>
      <c r="K2689">
        <v>4</v>
      </c>
      <c r="L2689" s="4">
        <v>210.46341463414635</v>
      </c>
      <c r="M2689" s="4">
        <v>37.883414634146334</v>
      </c>
      <c r="N2689" t="s">
        <v>91</v>
      </c>
    </row>
    <row r="2690" spans="1:14">
      <c r="A2690">
        <v>2689</v>
      </c>
      <c r="B2690">
        <v>69</v>
      </c>
      <c r="C2690" t="s">
        <v>11</v>
      </c>
      <c r="D2690" t="s">
        <v>33</v>
      </c>
      <c r="E2690" t="s">
        <v>34</v>
      </c>
      <c r="F2690">
        <v>90.11</v>
      </c>
      <c r="G2690" t="s">
        <v>14</v>
      </c>
      <c r="H2690" t="s">
        <v>37</v>
      </c>
      <c r="I2690">
        <v>3.3</v>
      </c>
      <c r="J2690">
        <v>15</v>
      </c>
      <c r="K2690">
        <v>5</v>
      </c>
      <c r="L2690" s="4">
        <v>106.01176470588236</v>
      </c>
      <c r="M2690" s="4">
        <v>15.901764705882357</v>
      </c>
      <c r="N2690" t="s">
        <v>95</v>
      </c>
    </row>
    <row r="2691" spans="1:14">
      <c r="A2691">
        <v>2690</v>
      </c>
      <c r="B2691">
        <v>55</v>
      </c>
      <c r="C2691" t="s">
        <v>11</v>
      </c>
      <c r="D2691" t="s">
        <v>41</v>
      </c>
      <c r="E2691" t="s">
        <v>44</v>
      </c>
      <c r="F2691">
        <v>159.87</v>
      </c>
      <c r="G2691" t="s">
        <v>24</v>
      </c>
      <c r="H2691" t="s">
        <v>15</v>
      </c>
      <c r="I2691">
        <v>3.6</v>
      </c>
      <c r="J2691">
        <v>8</v>
      </c>
      <c r="K2691">
        <v>4</v>
      </c>
      <c r="L2691" s="4">
        <v>173.77173913043478</v>
      </c>
      <c r="M2691" s="4">
        <v>13.901739130434777</v>
      </c>
      <c r="N2691" t="s">
        <v>94</v>
      </c>
    </row>
    <row r="2692" spans="1:14">
      <c r="A2692">
        <v>2691</v>
      </c>
      <c r="B2692">
        <v>50</v>
      </c>
      <c r="C2692" t="s">
        <v>11</v>
      </c>
      <c r="D2692" t="s">
        <v>33</v>
      </c>
      <c r="E2692" t="s">
        <v>38</v>
      </c>
      <c r="F2692">
        <v>95.51</v>
      </c>
      <c r="G2692" t="s">
        <v>19</v>
      </c>
      <c r="H2692" t="s">
        <v>15</v>
      </c>
      <c r="I2692">
        <v>5</v>
      </c>
      <c r="J2692">
        <v>20</v>
      </c>
      <c r="K2692">
        <v>5</v>
      </c>
      <c r="L2692" s="4">
        <v>119.3875</v>
      </c>
      <c r="M2692" s="4">
        <v>23.877499999999998</v>
      </c>
      <c r="N2692" t="s">
        <v>93</v>
      </c>
    </row>
    <row r="2693" spans="1:14">
      <c r="A2693">
        <v>2692</v>
      </c>
      <c r="B2693">
        <v>68</v>
      </c>
      <c r="C2693" t="s">
        <v>16</v>
      </c>
      <c r="D2693" t="s">
        <v>20</v>
      </c>
      <c r="E2693" t="s">
        <v>39</v>
      </c>
      <c r="F2693">
        <v>84.67</v>
      </c>
      <c r="G2693" t="s">
        <v>14</v>
      </c>
      <c r="H2693" t="s">
        <v>15</v>
      </c>
      <c r="I2693">
        <v>3</v>
      </c>
      <c r="J2693">
        <v>13</v>
      </c>
      <c r="K2693">
        <v>4</v>
      </c>
      <c r="L2693" s="4">
        <v>97.321839080459768</v>
      </c>
      <c r="M2693" s="4">
        <v>12.651839080459766</v>
      </c>
      <c r="N2693" t="s">
        <v>95</v>
      </c>
    </row>
    <row r="2694" spans="1:14">
      <c r="A2694">
        <v>2693</v>
      </c>
      <c r="B2694">
        <v>64</v>
      </c>
      <c r="C2694" t="s">
        <v>16</v>
      </c>
      <c r="D2694" t="s">
        <v>20</v>
      </c>
      <c r="E2694" t="s">
        <v>39</v>
      </c>
      <c r="F2694">
        <v>25.56</v>
      </c>
      <c r="G2694" t="s">
        <v>24</v>
      </c>
      <c r="H2694" t="s">
        <v>37</v>
      </c>
      <c r="I2694">
        <v>3.2</v>
      </c>
      <c r="J2694">
        <v>11</v>
      </c>
      <c r="K2694">
        <v>3</v>
      </c>
      <c r="L2694" s="4">
        <v>28.719101123595504</v>
      </c>
      <c r="M2694" s="4">
        <v>3.1591011235955051</v>
      </c>
      <c r="N2694" t="s">
        <v>94</v>
      </c>
    </row>
    <row r="2695" spans="1:14">
      <c r="A2695">
        <v>2694</v>
      </c>
      <c r="B2695">
        <v>63</v>
      </c>
      <c r="C2695" t="s">
        <v>11</v>
      </c>
      <c r="D2695" t="s">
        <v>29</v>
      </c>
      <c r="E2695" t="s">
        <v>30</v>
      </c>
      <c r="F2695">
        <v>49.07</v>
      </c>
      <c r="G2695" t="s">
        <v>14</v>
      </c>
      <c r="H2695" t="s">
        <v>15</v>
      </c>
      <c r="I2695">
        <v>4.5999999999999996</v>
      </c>
      <c r="J2695">
        <v>6</v>
      </c>
      <c r="K2695">
        <v>3</v>
      </c>
      <c r="L2695" s="4">
        <v>52.202127659574472</v>
      </c>
      <c r="M2695" s="4">
        <v>3.132127659574472</v>
      </c>
      <c r="N2695" t="s">
        <v>94</v>
      </c>
    </row>
    <row r="2696" spans="1:14">
      <c r="A2696">
        <v>2695</v>
      </c>
      <c r="B2696">
        <v>32</v>
      </c>
      <c r="C2696" t="s">
        <v>16</v>
      </c>
      <c r="D2696" t="s">
        <v>17</v>
      </c>
      <c r="E2696" t="s">
        <v>18</v>
      </c>
      <c r="F2696">
        <v>73.680000000000007</v>
      </c>
      <c r="G2696" t="s">
        <v>19</v>
      </c>
      <c r="H2696" t="s">
        <v>37</v>
      </c>
      <c r="I2696">
        <v>4.5</v>
      </c>
      <c r="J2696">
        <v>22</v>
      </c>
      <c r="K2696">
        <v>6</v>
      </c>
      <c r="L2696" s="4">
        <v>94.461538461538467</v>
      </c>
      <c r="M2696" s="4">
        <v>20.78153846153846</v>
      </c>
      <c r="N2696" t="s">
        <v>91</v>
      </c>
    </row>
    <row r="2697" spans="1:14">
      <c r="A2697">
        <v>2696</v>
      </c>
      <c r="B2697">
        <v>36</v>
      </c>
      <c r="C2697" t="s">
        <v>16</v>
      </c>
      <c r="D2697" t="s">
        <v>20</v>
      </c>
      <c r="E2697" t="s">
        <v>39</v>
      </c>
      <c r="F2697">
        <v>116.83</v>
      </c>
      <c r="G2697" t="s">
        <v>14</v>
      </c>
      <c r="H2697" t="s">
        <v>15</v>
      </c>
      <c r="I2697">
        <v>4</v>
      </c>
      <c r="J2697">
        <v>14</v>
      </c>
      <c r="K2697">
        <v>7</v>
      </c>
      <c r="L2697" s="4">
        <v>135.84883720930233</v>
      </c>
      <c r="M2697" s="4">
        <v>19.018837209302333</v>
      </c>
      <c r="N2697" t="s">
        <v>92</v>
      </c>
    </row>
    <row r="2698" spans="1:14">
      <c r="A2698">
        <v>2697</v>
      </c>
      <c r="B2698">
        <v>49</v>
      </c>
      <c r="C2698" t="s">
        <v>16</v>
      </c>
      <c r="D2698" t="s">
        <v>27</v>
      </c>
      <c r="E2698" t="s">
        <v>28</v>
      </c>
      <c r="F2698">
        <v>1896.33</v>
      </c>
      <c r="G2698" t="s">
        <v>14</v>
      </c>
      <c r="H2698" t="s">
        <v>15</v>
      </c>
      <c r="I2698">
        <v>3.7</v>
      </c>
      <c r="J2698">
        <v>14</v>
      </c>
      <c r="K2698">
        <v>7</v>
      </c>
      <c r="L2698" s="4">
        <v>2205.0348837209303</v>
      </c>
      <c r="M2698" s="4">
        <v>308.70488372093041</v>
      </c>
      <c r="N2698" t="s">
        <v>93</v>
      </c>
    </row>
    <row r="2699" spans="1:14">
      <c r="A2699">
        <v>2698</v>
      </c>
      <c r="B2699">
        <v>48</v>
      </c>
      <c r="C2699" t="s">
        <v>11</v>
      </c>
      <c r="D2699" t="s">
        <v>29</v>
      </c>
      <c r="E2699" t="s">
        <v>55</v>
      </c>
      <c r="F2699">
        <v>27.41</v>
      </c>
      <c r="G2699" t="s">
        <v>19</v>
      </c>
      <c r="H2699" t="s">
        <v>15</v>
      </c>
      <c r="I2699">
        <v>5</v>
      </c>
      <c r="J2699">
        <v>14</v>
      </c>
      <c r="K2699">
        <v>2</v>
      </c>
      <c r="L2699" s="4">
        <v>31.872093023255815</v>
      </c>
      <c r="M2699" s="4">
        <v>4.4620930232558145</v>
      </c>
      <c r="N2699" t="s">
        <v>93</v>
      </c>
    </row>
    <row r="2700" spans="1:14">
      <c r="A2700">
        <v>2699</v>
      </c>
      <c r="B2700">
        <v>57</v>
      </c>
      <c r="C2700" t="s">
        <v>16</v>
      </c>
      <c r="D2700" t="s">
        <v>17</v>
      </c>
      <c r="E2700" t="s">
        <v>42</v>
      </c>
      <c r="F2700">
        <v>160.88</v>
      </c>
      <c r="G2700" t="s">
        <v>31</v>
      </c>
      <c r="H2700" t="s">
        <v>15</v>
      </c>
      <c r="I2700">
        <v>2.9</v>
      </c>
      <c r="J2700">
        <v>20</v>
      </c>
      <c r="K2700">
        <v>5</v>
      </c>
      <c r="L2700" s="4">
        <v>201.1</v>
      </c>
      <c r="M2700" s="4">
        <v>40.22</v>
      </c>
      <c r="N2700" t="s">
        <v>94</v>
      </c>
    </row>
    <row r="2701" spans="1:14">
      <c r="A2701">
        <v>2700</v>
      </c>
      <c r="B2701">
        <v>47</v>
      </c>
      <c r="C2701" t="s">
        <v>11</v>
      </c>
      <c r="D2701" t="s">
        <v>29</v>
      </c>
      <c r="E2701" t="s">
        <v>55</v>
      </c>
      <c r="F2701">
        <v>133.68</v>
      </c>
      <c r="G2701" t="s">
        <v>31</v>
      </c>
      <c r="H2701" t="s">
        <v>15</v>
      </c>
      <c r="I2701">
        <v>4.9000000000000004</v>
      </c>
      <c r="J2701">
        <v>12</v>
      </c>
      <c r="K2701">
        <v>1</v>
      </c>
      <c r="L2701" s="4">
        <v>151.90909090909091</v>
      </c>
      <c r="M2701" s="4">
        <v>18.2290909090909</v>
      </c>
      <c r="N2701" t="s">
        <v>93</v>
      </c>
    </row>
    <row r="2702" spans="1:14">
      <c r="A2702">
        <v>2701</v>
      </c>
      <c r="B2702">
        <v>64</v>
      </c>
      <c r="C2702" t="s">
        <v>16</v>
      </c>
      <c r="D2702" t="s">
        <v>27</v>
      </c>
      <c r="E2702" t="s">
        <v>49</v>
      </c>
      <c r="F2702">
        <v>2526.33</v>
      </c>
      <c r="G2702" t="s">
        <v>19</v>
      </c>
      <c r="H2702" t="s">
        <v>15</v>
      </c>
      <c r="I2702">
        <v>4.7</v>
      </c>
      <c r="J2702">
        <v>11</v>
      </c>
      <c r="K2702">
        <v>3</v>
      </c>
      <c r="L2702" s="4">
        <v>2838.5730337078649</v>
      </c>
      <c r="M2702" s="4">
        <v>312.24303370786492</v>
      </c>
      <c r="N2702" t="s">
        <v>94</v>
      </c>
    </row>
    <row r="2703" spans="1:14">
      <c r="A2703">
        <v>2702</v>
      </c>
      <c r="B2703">
        <v>43</v>
      </c>
      <c r="C2703" t="s">
        <v>11</v>
      </c>
      <c r="D2703" t="s">
        <v>29</v>
      </c>
      <c r="E2703" t="s">
        <v>30</v>
      </c>
      <c r="F2703">
        <v>52.38</v>
      </c>
      <c r="G2703" t="s">
        <v>19</v>
      </c>
      <c r="H2703" t="s">
        <v>37</v>
      </c>
      <c r="I2703">
        <v>4.5</v>
      </c>
      <c r="J2703">
        <v>13</v>
      </c>
      <c r="K2703">
        <v>4</v>
      </c>
      <c r="L2703" s="4">
        <v>60.206896551724142</v>
      </c>
      <c r="M2703" s="4">
        <v>7.8268965517241398</v>
      </c>
      <c r="N2703" t="s">
        <v>92</v>
      </c>
    </row>
    <row r="2704" spans="1:14">
      <c r="A2704">
        <v>2703</v>
      </c>
      <c r="B2704">
        <v>46</v>
      </c>
      <c r="C2704" t="s">
        <v>16</v>
      </c>
      <c r="D2704" t="s">
        <v>33</v>
      </c>
      <c r="E2704" t="s">
        <v>38</v>
      </c>
      <c r="F2704">
        <v>172.43</v>
      </c>
      <c r="G2704" t="s">
        <v>14</v>
      </c>
      <c r="H2704" t="s">
        <v>15</v>
      </c>
      <c r="I2704">
        <v>3.7</v>
      </c>
      <c r="J2704">
        <v>28</v>
      </c>
      <c r="K2704">
        <v>9</v>
      </c>
      <c r="L2704" s="4">
        <v>239.48611111111114</v>
      </c>
      <c r="M2704" s="4">
        <v>67.056111111111136</v>
      </c>
      <c r="N2704" t="s">
        <v>93</v>
      </c>
    </row>
    <row r="2705" spans="1:14">
      <c r="A2705">
        <v>2704</v>
      </c>
      <c r="B2705">
        <v>31</v>
      </c>
      <c r="C2705" t="s">
        <v>11</v>
      </c>
      <c r="D2705" t="s">
        <v>29</v>
      </c>
      <c r="E2705" t="s">
        <v>30</v>
      </c>
      <c r="F2705">
        <v>22.43</v>
      </c>
      <c r="G2705" t="s">
        <v>19</v>
      </c>
      <c r="H2705" t="s">
        <v>37</v>
      </c>
      <c r="I2705">
        <v>5</v>
      </c>
      <c r="J2705">
        <v>20</v>
      </c>
      <c r="K2705">
        <v>5</v>
      </c>
      <c r="L2705" s="4">
        <v>28.037499999999998</v>
      </c>
      <c r="M2705" s="4">
        <v>5.6074999999999982</v>
      </c>
      <c r="N2705" t="s">
        <v>91</v>
      </c>
    </row>
    <row r="2706" spans="1:14">
      <c r="A2706">
        <v>2705</v>
      </c>
      <c r="B2706">
        <v>57</v>
      </c>
      <c r="C2706" t="s">
        <v>11</v>
      </c>
      <c r="D2706" t="s">
        <v>29</v>
      </c>
      <c r="E2706" t="s">
        <v>51</v>
      </c>
      <c r="F2706">
        <v>134.93</v>
      </c>
      <c r="G2706" t="s">
        <v>19</v>
      </c>
      <c r="H2706" t="s">
        <v>15</v>
      </c>
      <c r="I2706">
        <v>4.5</v>
      </c>
      <c r="J2706">
        <v>16</v>
      </c>
      <c r="K2706">
        <v>3</v>
      </c>
      <c r="L2706" s="4">
        <v>160.63095238095241</v>
      </c>
      <c r="M2706" s="4">
        <v>25.700952380952401</v>
      </c>
      <c r="N2706" t="s">
        <v>94</v>
      </c>
    </row>
    <row r="2707" spans="1:14">
      <c r="A2707">
        <v>2706</v>
      </c>
      <c r="B2707">
        <v>28</v>
      </c>
      <c r="C2707" t="s">
        <v>11</v>
      </c>
      <c r="D2707" t="s">
        <v>29</v>
      </c>
      <c r="E2707" t="s">
        <v>30</v>
      </c>
      <c r="F2707">
        <v>29.51</v>
      </c>
      <c r="G2707" t="s">
        <v>31</v>
      </c>
      <c r="H2707" t="s">
        <v>15</v>
      </c>
      <c r="I2707">
        <v>4.4000000000000004</v>
      </c>
      <c r="J2707">
        <v>16</v>
      </c>
      <c r="K2707">
        <v>8</v>
      </c>
      <c r="L2707" s="4">
        <v>35.130952380952387</v>
      </c>
      <c r="M2707" s="4">
        <v>5.6209523809523851</v>
      </c>
      <c r="N2707" t="s">
        <v>91</v>
      </c>
    </row>
    <row r="2708" spans="1:14">
      <c r="A2708">
        <v>2707</v>
      </c>
      <c r="B2708">
        <v>21</v>
      </c>
      <c r="C2708" t="s">
        <v>16</v>
      </c>
      <c r="D2708" t="s">
        <v>17</v>
      </c>
      <c r="E2708" t="s">
        <v>18</v>
      </c>
      <c r="F2708">
        <v>58.68</v>
      </c>
      <c r="G2708" t="s">
        <v>14</v>
      </c>
      <c r="H2708" t="s">
        <v>15</v>
      </c>
      <c r="I2708">
        <v>3.6</v>
      </c>
      <c r="J2708">
        <v>20</v>
      </c>
      <c r="K2708">
        <v>5</v>
      </c>
      <c r="L2708" s="4">
        <v>73.349999999999994</v>
      </c>
      <c r="M2708" s="4">
        <v>14.669999999999995</v>
      </c>
      <c r="N2708" t="s">
        <v>100</v>
      </c>
    </row>
    <row r="2709" spans="1:14">
      <c r="A2709">
        <v>2708</v>
      </c>
      <c r="B2709">
        <v>31</v>
      </c>
      <c r="C2709" t="s">
        <v>16</v>
      </c>
      <c r="D2709" t="s">
        <v>27</v>
      </c>
      <c r="E2709" t="s">
        <v>49</v>
      </c>
      <c r="F2709">
        <v>2023.48</v>
      </c>
      <c r="G2709" t="s">
        <v>14</v>
      </c>
      <c r="H2709" t="s">
        <v>15</v>
      </c>
      <c r="I2709">
        <v>2.6</v>
      </c>
      <c r="J2709">
        <v>9</v>
      </c>
      <c r="K2709">
        <v>2</v>
      </c>
      <c r="L2709" s="4">
        <v>2223.6043956043954</v>
      </c>
      <c r="M2709" s="4">
        <v>200.12439560439543</v>
      </c>
      <c r="N2709" t="s">
        <v>91</v>
      </c>
    </row>
    <row r="2710" spans="1:14">
      <c r="A2710">
        <v>2709</v>
      </c>
      <c r="B2710">
        <v>57</v>
      </c>
      <c r="C2710" t="s">
        <v>11</v>
      </c>
      <c r="D2710" t="s">
        <v>29</v>
      </c>
      <c r="E2710" t="s">
        <v>55</v>
      </c>
      <c r="F2710">
        <v>66.39</v>
      </c>
      <c r="G2710" t="s">
        <v>31</v>
      </c>
      <c r="H2710" t="s">
        <v>37</v>
      </c>
      <c r="I2710">
        <v>3.1</v>
      </c>
      <c r="J2710">
        <v>8</v>
      </c>
      <c r="K2710">
        <v>4</v>
      </c>
      <c r="L2710" s="4">
        <v>72.16304347826086</v>
      </c>
      <c r="M2710" s="4">
        <v>5.7730434782608597</v>
      </c>
      <c r="N2710" t="s">
        <v>94</v>
      </c>
    </row>
    <row r="2711" spans="1:14">
      <c r="A2711">
        <v>2710</v>
      </c>
      <c r="B2711">
        <v>59</v>
      </c>
      <c r="C2711" t="s">
        <v>16</v>
      </c>
      <c r="D2711" t="s">
        <v>17</v>
      </c>
      <c r="E2711" t="s">
        <v>48</v>
      </c>
      <c r="F2711">
        <v>141.61000000000001</v>
      </c>
      <c r="G2711" t="s">
        <v>31</v>
      </c>
      <c r="H2711" t="s">
        <v>15</v>
      </c>
      <c r="I2711">
        <v>4.0999999999999996</v>
      </c>
      <c r="J2711">
        <v>8</v>
      </c>
      <c r="K2711">
        <v>4</v>
      </c>
      <c r="L2711" s="4">
        <v>153.92391304347828</v>
      </c>
      <c r="M2711" s="4">
        <v>12.313913043478266</v>
      </c>
      <c r="N2711" t="s">
        <v>94</v>
      </c>
    </row>
    <row r="2712" spans="1:14">
      <c r="A2712">
        <v>2711</v>
      </c>
      <c r="B2712">
        <v>21</v>
      </c>
      <c r="C2712" t="s">
        <v>16</v>
      </c>
      <c r="D2712" t="s">
        <v>27</v>
      </c>
      <c r="E2712" t="s">
        <v>49</v>
      </c>
      <c r="F2712">
        <v>2109.6799999999998</v>
      </c>
      <c r="G2712" t="s">
        <v>24</v>
      </c>
      <c r="H2712" t="s">
        <v>15</v>
      </c>
      <c r="I2712">
        <v>3.2</v>
      </c>
      <c r="J2712">
        <v>12</v>
      </c>
      <c r="K2712">
        <v>6</v>
      </c>
      <c r="L2712" s="4">
        <v>2397.363636363636</v>
      </c>
      <c r="M2712" s="4">
        <v>287.6836363636362</v>
      </c>
      <c r="N2712" t="s">
        <v>100</v>
      </c>
    </row>
    <row r="2713" spans="1:14">
      <c r="A2713">
        <v>2712</v>
      </c>
      <c r="B2713">
        <v>25</v>
      </c>
      <c r="C2713" t="s">
        <v>11</v>
      </c>
      <c r="D2713" t="s">
        <v>25</v>
      </c>
      <c r="E2713" t="s">
        <v>26</v>
      </c>
      <c r="F2713">
        <v>41.72</v>
      </c>
      <c r="G2713" t="s">
        <v>14</v>
      </c>
      <c r="H2713" t="s">
        <v>37</v>
      </c>
      <c r="I2713">
        <v>5</v>
      </c>
      <c r="J2713">
        <v>2</v>
      </c>
      <c r="K2713">
        <v>1</v>
      </c>
      <c r="L2713" s="4">
        <v>42.571428571428569</v>
      </c>
      <c r="M2713" s="4">
        <v>0.85142857142857054</v>
      </c>
      <c r="N2713" t="s">
        <v>91</v>
      </c>
    </row>
    <row r="2714" spans="1:14">
      <c r="A2714">
        <v>2713</v>
      </c>
      <c r="B2714">
        <v>41</v>
      </c>
      <c r="C2714" t="s">
        <v>11</v>
      </c>
      <c r="D2714" t="s">
        <v>29</v>
      </c>
      <c r="E2714" t="s">
        <v>30</v>
      </c>
      <c r="F2714">
        <v>139.88</v>
      </c>
      <c r="G2714" t="s">
        <v>19</v>
      </c>
      <c r="H2714" t="s">
        <v>15</v>
      </c>
      <c r="I2714">
        <v>4.3</v>
      </c>
      <c r="J2714">
        <v>6</v>
      </c>
      <c r="K2714">
        <v>3</v>
      </c>
      <c r="L2714" s="4">
        <v>148.80851063829789</v>
      </c>
      <c r="M2714" s="4">
        <v>8.9285106382978938</v>
      </c>
      <c r="N2714" t="s">
        <v>92</v>
      </c>
    </row>
    <row r="2715" spans="1:14">
      <c r="A2715">
        <v>2714</v>
      </c>
      <c r="B2715">
        <v>46</v>
      </c>
      <c r="C2715" t="s">
        <v>11</v>
      </c>
      <c r="D2715" t="s">
        <v>12</v>
      </c>
      <c r="E2715" t="s">
        <v>50</v>
      </c>
      <c r="F2715">
        <v>39.06</v>
      </c>
      <c r="G2715" t="s">
        <v>24</v>
      </c>
      <c r="H2715" t="s">
        <v>37</v>
      </c>
      <c r="I2715">
        <v>3.2</v>
      </c>
      <c r="J2715">
        <v>12</v>
      </c>
      <c r="K2715">
        <v>6</v>
      </c>
      <c r="L2715" s="4">
        <v>44.38636363636364</v>
      </c>
      <c r="M2715" s="4">
        <v>5.326363636363638</v>
      </c>
      <c r="N2715" t="s">
        <v>93</v>
      </c>
    </row>
    <row r="2716" spans="1:14">
      <c r="A2716">
        <v>2715</v>
      </c>
      <c r="B2716">
        <v>40</v>
      </c>
      <c r="C2716" t="s">
        <v>11</v>
      </c>
      <c r="D2716" t="s">
        <v>29</v>
      </c>
      <c r="E2716" t="s">
        <v>51</v>
      </c>
      <c r="F2716">
        <v>104.69</v>
      </c>
      <c r="G2716" t="s">
        <v>24</v>
      </c>
      <c r="H2716" t="s">
        <v>15</v>
      </c>
      <c r="I2716">
        <v>2.2000000000000002</v>
      </c>
      <c r="J2716">
        <v>17</v>
      </c>
      <c r="K2716">
        <v>6</v>
      </c>
      <c r="L2716" s="4">
        <v>126.13253012048193</v>
      </c>
      <c r="M2716" s="4">
        <v>21.442530120481933</v>
      </c>
      <c r="N2716" t="s">
        <v>92</v>
      </c>
    </row>
    <row r="2717" spans="1:14">
      <c r="A2717">
        <v>2716</v>
      </c>
      <c r="B2717">
        <v>47</v>
      </c>
      <c r="C2717" t="s">
        <v>16</v>
      </c>
      <c r="D2717" t="s">
        <v>17</v>
      </c>
      <c r="E2717" t="s">
        <v>48</v>
      </c>
      <c r="F2717">
        <v>119.05</v>
      </c>
      <c r="G2717" t="s">
        <v>24</v>
      </c>
      <c r="H2717" t="s">
        <v>15</v>
      </c>
      <c r="I2717">
        <v>2.5</v>
      </c>
      <c r="J2717">
        <v>9</v>
      </c>
      <c r="K2717">
        <v>2</v>
      </c>
      <c r="L2717" s="4">
        <v>130.82417582417582</v>
      </c>
      <c r="M2717" s="4">
        <v>11.774175824175828</v>
      </c>
      <c r="N2717" t="s">
        <v>93</v>
      </c>
    </row>
    <row r="2718" spans="1:14">
      <c r="A2718">
        <v>2717</v>
      </c>
      <c r="B2718">
        <v>53</v>
      </c>
      <c r="C2718" t="s">
        <v>11</v>
      </c>
      <c r="D2718" t="s">
        <v>12</v>
      </c>
      <c r="E2718" t="s">
        <v>50</v>
      </c>
      <c r="F2718">
        <v>158.47</v>
      </c>
      <c r="G2718" t="s">
        <v>31</v>
      </c>
      <c r="H2718" t="s">
        <v>15</v>
      </c>
      <c r="I2718">
        <v>4.4000000000000004</v>
      </c>
      <c r="J2718">
        <v>22</v>
      </c>
      <c r="K2718">
        <v>6</v>
      </c>
      <c r="L2718" s="4">
        <v>203.16666666666666</v>
      </c>
      <c r="M2718" s="4">
        <v>44.696666666666658</v>
      </c>
      <c r="N2718" t="s">
        <v>93</v>
      </c>
    </row>
    <row r="2719" spans="1:14">
      <c r="A2719">
        <v>2718</v>
      </c>
      <c r="B2719">
        <v>34</v>
      </c>
      <c r="C2719" t="s">
        <v>16</v>
      </c>
      <c r="D2719" t="s">
        <v>17</v>
      </c>
      <c r="E2719" t="s">
        <v>42</v>
      </c>
      <c r="F2719">
        <v>111.49</v>
      </c>
      <c r="G2719" t="s">
        <v>19</v>
      </c>
      <c r="H2719" t="s">
        <v>15</v>
      </c>
      <c r="I2719">
        <v>4.5</v>
      </c>
      <c r="J2719">
        <v>18</v>
      </c>
      <c r="K2719">
        <v>4</v>
      </c>
      <c r="L2719" s="4">
        <v>135.96341463414632</v>
      </c>
      <c r="M2719" s="4">
        <v>24.473414634146323</v>
      </c>
      <c r="N2719" t="s">
        <v>91</v>
      </c>
    </row>
    <row r="2720" spans="1:14">
      <c r="A2720">
        <v>2719</v>
      </c>
      <c r="B2720">
        <v>34</v>
      </c>
      <c r="C2720" t="s">
        <v>11</v>
      </c>
      <c r="D2720" t="s">
        <v>33</v>
      </c>
      <c r="E2720" t="s">
        <v>40</v>
      </c>
      <c r="F2720">
        <v>171.91</v>
      </c>
      <c r="G2720" t="s">
        <v>19</v>
      </c>
      <c r="H2720" t="s">
        <v>15</v>
      </c>
      <c r="I2720">
        <v>3.3</v>
      </c>
      <c r="J2720">
        <v>20</v>
      </c>
      <c r="K2720">
        <v>5</v>
      </c>
      <c r="L2720" s="4">
        <v>214.88749999999999</v>
      </c>
      <c r="M2720" s="4">
        <v>42.977499999999992</v>
      </c>
      <c r="N2720" t="s">
        <v>91</v>
      </c>
    </row>
    <row r="2721" spans="1:14">
      <c r="A2721">
        <v>2720</v>
      </c>
      <c r="B2721">
        <v>61</v>
      </c>
      <c r="C2721" t="s">
        <v>11</v>
      </c>
      <c r="D2721" t="s">
        <v>41</v>
      </c>
      <c r="E2721" t="s">
        <v>42</v>
      </c>
      <c r="F2721">
        <v>199.45</v>
      </c>
      <c r="G2721" t="s">
        <v>19</v>
      </c>
      <c r="H2721" t="s">
        <v>15</v>
      </c>
      <c r="I2721">
        <v>3.2</v>
      </c>
      <c r="J2721">
        <v>24</v>
      </c>
      <c r="K2721">
        <v>7</v>
      </c>
      <c r="L2721" s="4">
        <v>262.43421052631578</v>
      </c>
      <c r="M2721" s="4">
        <v>62.984210526315792</v>
      </c>
      <c r="N2721" t="s">
        <v>94</v>
      </c>
    </row>
    <row r="2722" spans="1:14">
      <c r="A2722">
        <v>2721</v>
      </c>
      <c r="B2722">
        <v>29</v>
      </c>
      <c r="C2722" t="s">
        <v>16</v>
      </c>
      <c r="D2722" t="s">
        <v>33</v>
      </c>
      <c r="E2722" t="s">
        <v>40</v>
      </c>
      <c r="F2722">
        <v>201.67</v>
      </c>
      <c r="G2722" t="s">
        <v>31</v>
      </c>
      <c r="H2722" t="s">
        <v>15</v>
      </c>
      <c r="I2722">
        <v>4.0999999999999996</v>
      </c>
      <c r="J2722">
        <v>11</v>
      </c>
      <c r="K2722">
        <v>3</v>
      </c>
      <c r="L2722" s="4">
        <v>226.59550561797752</v>
      </c>
      <c r="M2722" s="4">
        <v>24.925505617977535</v>
      </c>
      <c r="N2722" t="s">
        <v>91</v>
      </c>
    </row>
    <row r="2723" spans="1:14">
      <c r="A2723">
        <v>2722</v>
      </c>
      <c r="B2723">
        <v>33</v>
      </c>
      <c r="C2723" t="s">
        <v>16</v>
      </c>
      <c r="D2723" t="s">
        <v>25</v>
      </c>
      <c r="E2723" t="s">
        <v>57</v>
      </c>
      <c r="F2723">
        <v>30.08</v>
      </c>
      <c r="G2723" t="s">
        <v>19</v>
      </c>
      <c r="H2723" t="s">
        <v>15</v>
      </c>
      <c r="I2723">
        <v>4.2</v>
      </c>
      <c r="J2723">
        <v>10</v>
      </c>
      <c r="K2723">
        <v>5</v>
      </c>
      <c r="L2723" s="4">
        <v>33.422222222222217</v>
      </c>
      <c r="M2723" s="4">
        <v>3.3422222222222189</v>
      </c>
      <c r="N2723" t="s">
        <v>91</v>
      </c>
    </row>
    <row r="2724" spans="1:14">
      <c r="A2724">
        <v>2723</v>
      </c>
      <c r="B2724">
        <v>70</v>
      </c>
      <c r="C2724" t="s">
        <v>11</v>
      </c>
      <c r="D2724" t="s">
        <v>33</v>
      </c>
      <c r="E2724" t="s">
        <v>38</v>
      </c>
      <c r="F2724">
        <v>173.77</v>
      </c>
      <c r="G2724" t="s">
        <v>19</v>
      </c>
      <c r="H2724" t="s">
        <v>15</v>
      </c>
      <c r="I2724">
        <v>4</v>
      </c>
      <c r="J2724">
        <v>12</v>
      </c>
      <c r="K2724">
        <v>6</v>
      </c>
      <c r="L2724" s="4">
        <v>197.46590909090909</v>
      </c>
      <c r="M2724" s="4">
        <v>23.695909090909083</v>
      </c>
      <c r="N2724" t="s">
        <v>95</v>
      </c>
    </row>
    <row r="2725" spans="1:14">
      <c r="A2725">
        <v>2724</v>
      </c>
      <c r="B2725">
        <v>51</v>
      </c>
      <c r="C2725" t="s">
        <v>16</v>
      </c>
      <c r="D2725" t="s">
        <v>20</v>
      </c>
      <c r="E2725" t="s">
        <v>39</v>
      </c>
      <c r="F2725">
        <v>26.65</v>
      </c>
      <c r="G2725" t="s">
        <v>24</v>
      </c>
      <c r="H2725" t="s">
        <v>15</v>
      </c>
      <c r="I2725">
        <v>3.5</v>
      </c>
      <c r="J2725">
        <v>12</v>
      </c>
      <c r="K2725">
        <v>6</v>
      </c>
      <c r="L2725" s="4">
        <v>30.284090909090907</v>
      </c>
      <c r="M2725" s="4">
        <v>3.6340909090909079</v>
      </c>
      <c r="N2725" t="s">
        <v>93</v>
      </c>
    </row>
    <row r="2726" spans="1:14">
      <c r="A2726">
        <v>2725</v>
      </c>
      <c r="B2726">
        <v>57</v>
      </c>
      <c r="C2726" t="s">
        <v>16</v>
      </c>
      <c r="D2726" t="s">
        <v>27</v>
      </c>
      <c r="E2726" t="s">
        <v>28</v>
      </c>
      <c r="F2726">
        <v>800.36</v>
      </c>
      <c r="G2726" t="s">
        <v>14</v>
      </c>
      <c r="H2726" t="s">
        <v>15</v>
      </c>
      <c r="I2726">
        <v>4</v>
      </c>
      <c r="J2726">
        <v>22</v>
      </c>
      <c r="K2726">
        <v>6</v>
      </c>
      <c r="L2726" s="4">
        <v>1026.102564102564</v>
      </c>
      <c r="M2726" s="4">
        <v>225.74256410256396</v>
      </c>
      <c r="N2726" t="s">
        <v>94</v>
      </c>
    </row>
    <row r="2727" spans="1:14">
      <c r="A2727">
        <v>2726</v>
      </c>
      <c r="B2727">
        <v>45</v>
      </c>
      <c r="C2727" t="s">
        <v>16</v>
      </c>
      <c r="D2727" t="s">
        <v>17</v>
      </c>
      <c r="E2727" t="s">
        <v>18</v>
      </c>
      <c r="F2727">
        <v>94.82</v>
      </c>
      <c r="G2727" t="s">
        <v>19</v>
      </c>
      <c r="H2727" t="s">
        <v>15</v>
      </c>
      <c r="I2727">
        <v>4.4000000000000004</v>
      </c>
      <c r="J2727">
        <v>19</v>
      </c>
      <c r="K2727">
        <v>7</v>
      </c>
      <c r="L2727" s="4">
        <v>117.06172839506171</v>
      </c>
      <c r="M2727" s="4">
        <v>22.241728395061713</v>
      </c>
      <c r="N2727" t="s">
        <v>93</v>
      </c>
    </row>
    <row r="2728" spans="1:14">
      <c r="A2728">
        <v>2727</v>
      </c>
      <c r="B2728">
        <v>67</v>
      </c>
      <c r="C2728" t="s">
        <v>11</v>
      </c>
      <c r="D2728" t="s">
        <v>22</v>
      </c>
      <c r="E2728" t="s">
        <v>43</v>
      </c>
      <c r="F2728">
        <v>248.77</v>
      </c>
      <c r="G2728" t="s">
        <v>31</v>
      </c>
      <c r="H2728" t="s">
        <v>15</v>
      </c>
      <c r="I2728">
        <v>3.9</v>
      </c>
      <c r="J2728">
        <v>8</v>
      </c>
      <c r="K2728">
        <v>4</v>
      </c>
      <c r="L2728" s="4">
        <v>270.4021739130435</v>
      </c>
      <c r="M2728" s="4">
        <v>21.632173913043488</v>
      </c>
      <c r="N2728" t="s">
        <v>95</v>
      </c>
    </row>
    <row r="2729" spans="1:14">
      <c r="A2729">
        <v>2728</v>
      </c>
      <c r="B2729">
        <v>45</v>
      </c>
      <c r="C2729" t="s">
        <v>11</v>
      </c>
      <c r="D2729" t="s">
        <v>12</v>
      </c>
      <c r="E2729" t="s">
        <v>50</v>
      </c>
      <c r="F2729">
        <v>30.71</v>
      </c>
      <c r="G2729" t="s">
        <v>24</v>
      </c>
      <c r="H2729" t="s">
        <v>37</v>
      </c>
      <c r="I2729">
        <v>3.5</v>
      </c>
      <c r="J2729">
        <v>12</v>
      </c>
      <c r="K2729">
        <v>1</v>
      </c>
      <c r="L2729" s="4">
        <v>34.897727272727273</v>
      </c>
      <c r="M2729" s="4">
        <v>4.1877272727272725</v>
      </c>
      <c r="N2729" t="s">
        <v>93</v>
      </c>
    </row>
    <row r="2730" spans="1:14">
      <c r="A2730">
        <v>2729</v>
      </c>
      <c r="B2730">
        <v>60</v>
      </c>
      <c r="C2730" t="s">
        <v>16</v>
      </c>
      <c r="D2730" t="s">
        <v>20</v>
      </c>
      <c r="E2730" t="s">
        <v>39</v>
      </c>
      <c r="F2730">
        <v>165.51</v>
      </c>
      <c r="G2730" t="s">
        <v>24</v>
      </c>
      <c r="H2730" t="s">
        <v>15</v>
      </c>
      <c r="I2730">
        <v>2.6</v>
      </c>
      <c r="J2730">
        <v>8</v>
      </c>
      <c r="K2730">
        <v>4</v>
      </c>
      <c r="L2730" s="4">
        <v>179.90217391304347</v>
      </c>
      <c r="M2730" s="4">
        <v>14.392173913043479</v>
      </c>
      <c r="N2730" t="s">
        <v>94</v>
      </c>
    </row>
    <row r="2731" spans="1:14">
      <c r="A2731">
        <v>2730</v>
      </c>
      <c r="B2731">
        <v>70</v>
      </c>
      <c r="C2731" t="s">
        <v>11</v>
      </c>
      <c r="D2731" t="s">
        <v>41</v>
      </c>
      <c r="E2731" t="s">
        <v>46</v>
      </c>
      <c r="F2731">
        <v>68.489999999999995</v>
      </c>
      <c r="G2731" t="s">
        <v>14</v>
      </c>
      <c r="H2731" t="s">
        <v>37</v>
      </c>
      <c r="I2731">
        <v>4.7</v>
      </c>
      <c r="J2731">
        <v>14</v>
      </c>
      <c r="K2731">
        <v>2</v>
      </c>
      <c r="L2731" s="4">
        <v>79.639534883720927</v>
      </c>
      <c r="M2731" s="4">
        <v>11.149534883720932</v>
      </c>
      <c r="N2731" t="s">
        <v>95</v>
      </c>
    </row>
    <row r="2732" spans="1:14">
      <c r="A2732">
        <v>2731</v>
      </c>
      <c r="B2732">
        <v>21</v>
      </c>
      <c r="C2732" t="s">
        <v>16</v>
      </c>
      <c r="D2732" t="s">
        <v>27</v>
      </c>
      <c r="E2732" t="s">
        <v>49</v>
      </c>
      <c r="F2732">
        <v>2061.36</v>
      </c>
      <c r="G2732" t="s">
        <v>19</v>
      </c>
      <c r="H2732" t="s">
        <v>15</v>
      </c>
      <c r="I2732">
        <v>4</v>
      </c>
      <c r="J2732">
        <v>20</v>
      </c>
      <c r="K2732">
        <v>5</v>
      </c>
      <c r="L2732" s="4">
        <v>2576.6999999999998</v>
      </c>
      <c r="M2732" s="4">
        <v>515.33999999999969</v>
      </c>
      <c r="N2732" t="s">
        <v>100</v>
      </c>
    </row>
    <row r="2733" spans="1:14">
      <c r="A2733">
        <v>2732</v>
      </c>
      <c r="B2733">
        <v>42</v>
      </c>
      <c r="C2733" t="s">
        <v>11</v>
      </c>
      <c r="D2733" t="s">
        <v>33</v>
      </c>
      <c r="E2733" t="s">
        <v>38</v>
      </c>
      <c r="F2733">
        <v>45.4</v>
      </c>
      <c r="G2733" t="s">
        <v>24</v>
      </c>
      <c r="H2733" t="s">
        <v>15</v>
      </c>
      <c r="I2733">
        <v>3.5</v>
      </c>
      <c r="J2733">
        <v>19</v>
      </c>
      <c r="K2733">
        <v>7</v>
      </c>
      <c r="L2733" s="4">
        <v>56.049382716049379</v>
      </c>
      <c r="M2733" s="4">
        <v>10.649382716049381</v>
      </c>
      <c r="N2733" t="s">
        <v>92</v>
      </c>
    </row>
    <row r="2734" spans="1:14">
      <c r="A2734">
        <v>2733</v>
      </c>
      <c r="B2734">
        <v>26</v>
      </c>
      <c r="C2734" t="s">
        <v>11</v>
      </c>
      <c r="D2734" t="s">
        <v>41</v>
      </c>
      <c r="E2734" t="s">
        <v>44</v>
      </c>
      <c r="F2734">
        <v>66.62</v>
      </c>
      <c r="G2734" t="s">
        <v>14</v>
      </c>
      <c r="H2734" t="s">
        <v>37</v>
      </c>
      <c r="I2734">
        <v>3.5</v>
      </c>
      <c r="J2734">
        <v>2</v>
      </c>
      <c r="K2734">
        <v>1</v>
      </c>
      <c r="L2734" s="4">
        <v>67.979591836734699</v>
      </c>
      <c r="M2734" s="4">
        <v>1.359591836734694</v>
      </c>
      <c r="N2734" t="s">
        <v>91</v>
      </c>
    </row>
    <row r="2735" spans="1:14">
      <c r="A2735">
        <v>2734</v>
      </c>
      <c r="B2735">
        <v>69</v>
      </c>
      <c r="C2735" t="s">
        <v>11</v>
      </c>
      <c r="D2735" t="s">
        <v>33</v>
      </c>
      <c r="E2735" t="s">
        <v>38</v>
      </c>
      <c r="F2735">
        <v>43.11</v>
      </c>
      <c r="G2735" t="s">
        <v>14</v>
      </c>
      <c r="H2735" t="s">
        <v>37</v>
      </c>
      <c r="I2735">
        <v>3.4</v>
      </c>
      <c r="J2735">
        <v>2</v>
      </c>
      <c r="K2735">
        <v>1</v>
      </c>
      <c r="L2735" s="4">
        <v>43.989795918367349</v>
      </c>
      <c r="M2735" s="4">
        <v>0.87979591836734983</v>
      </c>
      <c r="N2735" t="s">
        <v>95</v>
      </c>
    </row>
    <row r="2736" spans="1:14">
      <c r="A2736">
        <v>2735</v>
      </c>
      <c r="B2736">
        <v>49</v>
      </c>
      <c r="C2736" t="s">
        <v>16</v>
      </c>
      <c r="D2736" t="s">
        <v>27</v>
      </c>
      <c r="E2736" t="s">
        <v>28</v>
      </c>
      <c r="F2736">
        <v>519.78</v>
      </c>
      <c r="G2736" t="s">
        <v>19</v>
      </c>
      <c r="H2736" t="s">
        <v>15</v>
      </c>
      <c r="I2736">
        <v>3.7</v>
      </c>
      <c r="J2736">
        <v>22</v>
      </c>
      <c r="K2736">
        <v>6</v>
      </c>
      <c r="L2736" s="4">
        <v>666.38461538461536</v>
      </c>
      <c r="M2736" s="4">
        <v>146.60461538461539</v>
      </c>
      <c r="N2736" t="s">
        <v>93</v>
      </c>
    </row>
    <row r="2737" spans="1:14">
      <c r="A2737">
        <v>2736</v>
      </c>
      <c r="B2737">
        <v>28</v>
      </c>
      <c r="C2737" t="s">
        <v>11</v>
      </c>
      <c r="D2737" t="s">
        <v>41</v>
      </c>
      <c r="E2737" t="s">
        <v>42</v>
      </c>
      <c r="F2737">
        <v>167.8</v>
      </c>
      <c r="G2737" t="s">
        <v>19</v>
      </c>
      <c r="H2737" t="s">
        <v>15</v>
      </c>
      <c r="I2737">
        <v>3.8</v>
      </c>
      <c r="J2737">
        <v>19</v>
      </c>
      <c r="K2737">
        <v>7</v>
      </c>
      <c r="L2737" s="4">
        <v>207.16049382716051</v>
      </c>
      <c r="M2737" s="4">
        <v>39.360493827160496</v>
      </c>
      <c r="N2737" t="s">
        <v>91</v>
      </c>
    </row>
    <row r="2738" spans="1:14">
      <c r="A2738">
        <v>2737</v>
      </c>
      <c r="B2738">
        <v>59</v>
      </c>
      <c r="C2738" t="s">
        <v>16</v>
      </c>
      <c r="D2738" t="s">
        <v>22</v>
      </c>
      <c r="E2738" t="s">
        <v>23</v>
      </c>
      <c r="F2738">
        <v>57.56</v>
      </c>
      <c r="G2738" t="s">
        <v>14</v>
      </c>
      <c r="H2738" t="s">
        <v>15</v>
      </c>
      <c r="I2738">
        <v>4.7</v>
      </c>
      <c r="J2738">
        <v>17</v>
      </c>
      <c r="K2738">
        <v>6</v>
      </c>
      <c r="L2738" s="4">
        <v>69.349397590361448</v>
      </c>
      <c r="M2738" s="4">
        <v>11.789397590361446</v>
      </c>
      <c r="N2738" t="s">
        <v>94</v>
      </c>
    </row>
    <row r="2739" spans="1:14">
      <c r="A2739">
        <v>2738</v>
      </c>
      <c r="B2739">
        <v>41</v>
      </c>
      <c r="C2739" t="s">
        <v>11</v>
      </c>
      <c r="D2739" t="s">
        <v>22</v>
      </c>
      <c r="E2739" t="s">
        <v>52</v>
      </c>
      <c r="F2739">
        <v>82.73</v>
      </c>
      <c r="G2739" t="s">
        <v>31</v>
      </c>
      <c r="H2739" t="s">
        <v>37</v>
      </c>
      <c r="I2739">
        <v>3.9</v>
      </c>
      <c r="J2739">
        <v>26</v>
      </c>
      <c r="K2739">
        <v>8</v>
      </c>
      <c r="L2739" s="4">
        <v>111.79729729729731</v>
      </c>
      <c r="M2739" s="4">
        <v>29.067297297297301</v>
      </c>
      <c r="N2739" t="s">
        <v>92</v>
      </c>
    </row>
    <row r="2740" spans="1:14">
      <c r="A2740">
        <v>2739</v>
      </c>
      <c r="B2740">
        <v>30</v>
      </c>
      <c r="C2740" t="s">
        <v>16</v>
      </c>
      <c r="D2740" t="s">
        <v>27</v>
      </c>
      <c r="E2740" t="s">
        <v>28</v>
      </c>
      <c r="F2740">
        <v>578.64</v>
      </c>
      <c r="G2740" t="s">
        <v>24</v>
      </c>
      <c r="H2740" t="s">
        <v>15</v>
      </c>
      <c r="I2740">
        <v>3.2</v>
      </c>
      <c r="J2740">
        <v>21</v>
      </c>
      <c r="K2740">
        <v>8</v>
      </c>
      <c r="L2740" s="4">
        <v>732.45569620253161</v>
      </c>
      <c r="M2740" s="4">
        <v>153.81569620253163</v>
      </c>
      <c r="N2740" t="s">
        <v>91</v>
      </c>
    </row>
    <row r="2741" spans="1:14">
      <c r="A2741">
        <v>2740</v>
      </c>
      <c r="B2741">
        <v>69</v>
      </c>
      <c r="C2741" t="s">
        <v>16</v>
      </c>
      <c r="D2741" t="s">
        <v>25</v>
      </c>
      <c r="E2741" t="s">
        <v>26</v>
      </c>
      <c r="F2741">
        <v>65.16</v>
      </c>
      <c r="G2741" t="s">
        <v>14</v>
      </c>
      <c r="H2741" t="s">
        <v>15</v>
      </c>
      <c r="I2741">
        <v>4.2</v>
      </c>
      <c r="J2741">
        <v>11</v>
      </c>
      <c r="K2741">
        <v>3</v>
      </c>
      <c r="L2741" s="4">
        <v>73.213483146067418</v>
      </c>
      <c r="M2741" s="4">
        <v>8.0534831460674212</v>
      </c>
      <c r="N2741" t="s">
        <v>95</v>
      </c>
    </row>
    <row r="2742" spans="1:14">
      <c r="A2742">
        <v>2741</v>
      </c>
      <c r="B2742">
        <v>62</v>
      </c>
      <c r="C2742" t="s">
        <v>11</v>
      </c>
      <c r="D2742" t="s">
        <v>41</v>
      </c>
      <c r="E2742" t="s">
        <v>42</v>
      </c>
      <c r="F2742">
        <v>101.41</v>
      </c>
      <c r="G2742" t="s">
        <v>19</v>
      </c>
      <c r="H2742" t="s">
        <v>15</v>
      </c>
      <c r="I2742">
        <v>3.9</v>
      </c>
      <c r="J2742">
        <v>8</v>
      </c>
      <c r="K2742">
        <v>4</v>
      </c>
      <c r="L2742" s="4">
        <v>110.2282608695652</v>
      </c>
      <c r="M2742" s="4">
        <v>8.8182608695652078</v>
      </c>
      <c r="N2742" t="s">
        <v>94</v>
      </c>
    </row>
    <row r="2743" spans="1:14">
      <c r="A2743">
        <v>2742</v>
      </c>
      <c r="B2743">
        <v>33</v>
      </c>
      <c r="C2743" t="s">
        <v>11</v>
      </c>
      <c r="D2743" t="s">
        <v>29</v>
      </c>
      <c r="E2743" t="s">
        <v>30</v>
      </c>
      <c r="F2743">
        <v>110.21</v>
      </c>
      <c r="G2743" t="s">
        <v>24</v>
      </c>
      <c r="H2743" t="s">
        <v>15</v>
      </c>
      <c r="I2743">
        <v>4.0999999999999996</v>
      </c>
      <c r="J2743">
        <v>14</v>
      </c>
      <c r="K2743">
        <v>2</v>
      </c>
      <c r="L2743" s="4">
        <v>128.15116279069767</v>
      </c>
      <c r="M2743" s="4">
        <v>17.941162790697675</v>
      </c>
      <c r="N2743" t="s">
        <v>91</v>
      </c>
    </row>
    <row r="2744" spans="1:14">
      <c r="A2744">
        <v>2743</v>
      </c>
      <c r="B2744">
        <v>22</v>
      </c>
      <c r="C2744" t="s">
        <v>16</v>
      </c>
      <c r="D2744" t="s">
        <v>20</v>
      </c>
      <c r="E2744" t="s">
        <v>39</v>
      </c>
      <c r="F2744">
        <v>63.38</v>
      </c>
      <c r="G2744" t="s">
        <v>14</v>
      </c>
      <c r="H2744" t="s">
        <v>37</v>
      </c>
      <c r="I2744">
        <v>3</v>
      </c>
      <c r="J2744">
        <v>28</v>
      </c>
      <c r="K2744">
        <v>9</v>
      </c>
      <c r="L2744" s="4">
        <v>88.027777777777786</v>
      </c>
      <c r="M2744" s="4">
        <v>24.647777777777783</v>
      </c>
      <c r="N2744" t="s">
        <v>100</v>
      </c>
    </row>
    <row r="2745" spans="1:14">
      <c r="A2745">
        <v>2744</v>
      </c>
      <c r="B2745">
        <v>56</v>
      </c>
      <c r="C2745" t="s">
        <v>16</v>
      </c>
      <c r="D2745" t="s">
        <v>17</v>
      </c>
      <c r="E2745" t="s">
        <v>48</v>
      </c>
      <c r="F2745">
        <v>144.24</v>
      </c>
      <c r="G2745" t="s">
        <v>14</v>
      </c>
      <c r="H2745" t="s">
        <v>15</v>
      </c>
      <c r="I2745">
        <v>3.8</v>
      </c>
      <c r="J2745">
        <v>28</v>
      </c>
      <c r="K2745">
        <v>9</v>
      </c>
      <c r="L2745" s="4">
        <v>200.33333333333334</v>
      </c>
      <c r="M2745" s="4">
        <v>56.093333333333334</v>
      </c>
      <c r="N2745" t="s">
        <v>94</v>
      </c>
    </row>
    <row r="2746" spans="1:14">
      <c r="A2746">
        <v>2745</v>
      </c>
      <c r="B2746">
        <v>37</v>
      </c>
      <c r="C2746" t="s">
        <v>16</v>
      </c>
      <c r="D2746" t="s">
        <v>33</v>
      </c>
      <c r="E2746" t="s">
        <v>38</v>
      </c>
      <c r="F2746">
        <v>235.76</v>
      </c>
      <c r="G2746" t="s">
        <v>24</v>
      </c>
      <c r="H2746" t="s">
        <v>15</v>
      </c>
      <c r="I2746">
        <v>4.5</v>
      </c>
      <c r="J2746">
        <v>28</v>
      </c>
      <c r="K2746">
        <v>9</v>
      </c>
      <c r="L2746" s="4">
        <v>327.44444444444446</v>
      </c>
      <c r="M2746" s="4">
        <v>91.684444444444466</v>
      </c>
      <c r="N2746" t="s">
        <v>92</v>
      </c>
    </row>
    <row r="2747" spans="1:14">
      <c r="A2747">
        <v>2746</v>
      </c>
      <c r="B2747">
        <v>41</v>
      </c>
      <c r="C2747" t="s">
        <v>11</v>
      </c>
      <c r="D2747" t="s">
        <v>12</v>
      </c>
      <c r="E2747" t="s">
        <v>56</v>
      </c>
      <c r="F2747">
        <v>53.22</v>
      </c>
      <c r="G2747" t="s">
        <v>24</v>
      </c>
      <c r="H2747" t="s">
        <v>37</v>
      </c>
      <c r="I2747">
        <v>2.7</v>
      </c>
      <c r="J2747">
        <v>13</v>
      </c>
      <c r="K2747">
        <v>4</v>
      </c>
      <c r="L2747" s="4">
        <v>61.172413793103445</v>
      </c>
      <c r="M2747" s="4">
        <v>7.952413793103446</v>
      </c>
      <c r="N2747" t="s">
        <v>92</v>
      </c>
    </row>
    <row r="2748" spans="1:14">
      <c r="A2748">
        <v>2747</v>
      </c>
      <c r="B2748">
        <v>66</v>
      </c>
      <c r="C2748" t="s">
        <v>16</v>
      </c>
      <c r="D2748" t="s">
        <v>20</v>
      </c>
      <c r="E2748" t="s">
        <v>36</v>
      </c>
      <c r="F2748">
        <v>50.31</v>
      </c>
      <c r="G2748" t="s">
        <v>19</v>
      </c>
      <c r="H2748" t="s">
        <v>37</v>
      </c>
      <c r="I2748">
        <v>2.6</v>
      </c>
      <c r="J2748">
        <v>18</v>
      </c>
      <c r="K2748">
        <v>4</v>
      </c>
      <c r="L2748" s="4">
        <v>61.353658536585364</v>
      </c>
      <c r="M2748" s="4">
        <v>11.043658536585362</v>
      </c>
      <c r="N2748" t="s">
        <v>95</v>
      </c>
    </row>
    <row r="2749" spans="1:14">
      <c r="A2749">
        <v>2748</v>
      </c>
      <c r="B2749">
        <v>22</v>
      </c>
      <c r="C2749" t="s">
        <v>16</v>
      </c>
      <c r="D2749" t="s">
        <v>27</v>
      </c>
      <c r="E2749" t="s">
        <v>32</v>
      </c>
      <c r="F2749">
        <v>1764.17</v>
      </c>
      <c r="G2749" t="s">
        <v>24</v>
      </c>
      <c r="H2749" t="s">
        <v>15</v>
      </c>
      <c r="I2749">
        <v>4.0999999999999996</v>
      </c>
      <c r="J2749">
        <v>16</v>
      </c>
      <c r="K2749">
        <v>8</v>
      </c>
      <c r="L2749" s="4">
        <v>2100.2023809523812</v>
      </c>
      <c r="M2749" s="4">
        <v>336.03238095238112</v>
      </c>
      <c r="N2749" t="s">
        <v>100</v>
      </c>
    </row>
    <row r="2750" spans="1:14">
      <c r="A2750">
        <v>2749</v>
      </c>
      <c r="B2750">
        <v>50</v>
      </c>
      <c r="C2750" t="s">
        <v>11</v>
      </c>
      <c r="D2750" t="s">
        <v>29</v>
      </c>
      <c r="E2750" t="s">
        <v>55</v>
      </c>
      <c r="F2750">
        <v>78.25</v>
      </c>
      <c r="G2750" t="s">
        <v>24</v>
      </c>
      <c r="H2750" t="s">
        <v>37</v>
      </c>
      <c r="I2750">
        <v>4.8</v>
      </c>
      <c r="J2750">
        <v>18</v>
      </c>
      <c r="K2750">
        <v>4</v>
      </c>
      <c r="L2750" s="4">
        <v>95.426829268292678</v>
      </c>
      <c r="M2750" s="4">
        <v>17.176829268292678</v>
      </c>
      <c r="N2750" t="s">
        <v>93</v>
      </c>
    </row>
    <row r="2751" spans="1:14">
      <c r="A2751">
        <v>2750</v>
      </c>
      <c r="B2751">
        <v>67</v>
      </c>
      <c r="C2751" t="s">
        <v>16</v>
      </c>
      <c r="D2751" t="s">
        <v>25</v>
      </c>
      <c r="E2751" t="s">
        <v>26</v>
      </c>
      <c r="F2751">
        <v>18.2</v>
      </c>
      <c r="G2751" t="s">
        <v>19</v>
      </c>
      <c r="H2751" t="s">
        <v>15</v>
      </c>
      <c r="I2751">
        <v>3</v>
      </c>
      <c r="J2751">
        <v>14</v>
      </c>
      <c r="K2751">
        <v>7</v>
      </c>
      <c r="L2751" s="4">
        <v>21.162790697674417</v>
      </c>
      <c r="M2751" s="4">
        <v>2.9627906976744178</v>
      </c>
      <c r="N2751" t="s">
        <v>95</v>
      </c>
    </row>
    <row r="2752" spans="1:14">
      <c r="A2752">
        <v>2751</v>
      </c>
      <c r="B2752">
        <v>35</v>
      </c>
      <c r="C2752" t="s">
        <v>16</v>
      </c>
      <c r="D2752" t="s">
        <v>22</v>
      </c>
      <c r="E2752" t="s">
        <v>23</v>
      </c>
      <c r="F2752">
        <v>244.27</v>
      </c>
      <c r="G2752" t="s">
        <v>19</v>
      </c>
      <c r="H2752" t="s">
        <v>15</v>
      </c>
      <c r="I2752">
        <v>4.5999999999999996</v>
      </c>
      <c r="J2752">
        <v>12</v>
      </c>
      <c r="K2752">
        <v>1</v>
      </c>
      <c r="L2752" s="4">
        <v>277.57954545454544</v>
      </c>
      <c r="M2752" s="4">
        <v>33.309545454545429</v>
      </c>
      <c r="N2752" t="s">
        <v>92</v>
      </c>
    </row>
    <row r="2753" spans="1:14">
      <c r="A2753">
        <v>2752</v>
      </c>
      <c r="B2753">
        <v>36</v>
      </c>
      <c r="C2753" t="s">
        <v>16</v>
      </c>
      <c r="D2753" t="s">
        <v>22</v>
      </c>
      <c r="E2753" t="s">
        <v>52</v>
      </c>
      <c r="F2753">
        <v>112.07</v>
      </c>
      <c r="G2753" t="s">
        <v>31</v>
      </c>
      <c r="H2753" t="s">
        <v>15</v>
      </c>
      <c r="I2753">
        <v>3.8</v>
      </c>
      <c r="J2753">
        <v>14</v>
      </c>
      <c r="K2753">
        <v>7</v>
      </c>
      <c r="L2753" s="4">
        <v>130.31395348837208</v>
      </c>
      <c r="M2753" s="4">
        <v>18.243953488372085</v>
      </c>
      <c r="N2753" t="s">
        <v>92</v>
      </c>
    </row>
    <row r="2754" spans="1:14">
      <c r="A2754">
        <v>2753</v>
      </c>
      <c r="B2754">
        <v>22</v>
      </c>
      <c r="C2754" t="s">
        <v>16</v>
      </c>
      <c r="D2754" t="s">
        <v>17</v>
      </c>
      <c r="E2754" t="s">
        <v>48</v>
      </c>
      <c r="F2754">
        <v>116.68</v>
      </c>
      <c r="G2754" t="s">
        <v>31</v>
      </c>
      <c r="H2754" t="s">
        <v>15</v>
      </c>
      <c r="I2754">
        <v>5</v>
      </c>
      <c r="J2754">
        <v>15</v>
      </c>
      <c r="K2754">
        <v>5</v>
      </c>
      <c r="L2754" s="4">
        <v>137.27058823529413</v>
      </c>
      <c r="M2754" s="4">
        <v>20.590588235294121</v>
      </c>
      <c r="N2754" t="s">
        <v>100</v>
      </c>
    </row>
    <row r="2755" spans="1:14">
      <c r="A2755">
        <v>2754</v>
      </c>
      <c r="B2755">
        <v>30</v>
      </c>
      <c r="C2755" t="s">
        <v>11</v>
      </c>
      <c r="D2755" t="s">
        <v>25</v>
      </c>
      <c r="E2755" t="s">
        <v>26</v>
      </c>
      <c r="F2755">
        <v>28.54</v>
      </c>
      <c r="G2755" t="s">
        <v>19</v>
      </c>
      <c r="H2755" t="s">
        <v>15</v>
      </c>
      <c r="I2755">
        <v>3.5</v>
      </c>
      <c r="J2755">
        <v>12</v>
      </c>
      <c r="K2755">
        <v>6</v>
      </c>
      <c r="L2755" s="4">
        <v>32.43181818181818</v>
      </c>
      <c r="M2755" s="4">
        <v>3.8918181818181807</v>
      </c>
      <c r="N2755" t="s">
        <v>91</v>
      </c>
    </row>
    <row r="2756" spans="1:14">
      <c r="A2756">
        <v>2755</v>
      </c>
      <c r="B2756">
        <v>54</v>
      </c>
      <c r="C2756" t="s">
        <v>16</v>
      </c>
      <c r="D2756" t="s">
        <v>27</v>
      </c>
      <c r="E2756" t="s">
        <v>53</v>
      </c>
      <c r="F2756">
        <v>1263.5899999999999</v>
      </c>
      <c r="G2756" t="s">
        <v>24</v>
      </c>
      <c r="H2756" t="s">
        <v>15</v>
      </c>
      <c r="I2756">
        <v>3.3</v>
      </c>
      <c r="J2756">
        <v>8</v>
      </c>
      <c r="K2756">
        <v>4</v>
      </c>
      <c r="L2756" s="4">
        <v>1373.4673913043478</v>
      </c>
      <c r="M2756" s="4">
        <v>109.87739130434784</v>
      </c>
      <c r="N2756" t="s">
        <v>93</v>
      </c>
    </row>
    <row r="2757" spans="1:14">
      <c r="A2757">
        <v>2756</v>
      </c>
      <c r="B2757">
        <v>35</v>
      </c>
      <c r="C2757" t="s">
        <v>16</v>
      </c>
      <c r="D2757" t="s">
        <v>20</v>
      </c>
      <c r="E2757" t="s">
        <v>21</v>
      </c>
      <c r="F2757">
        <v>137.06</v>
      </c>
      <c r="G2757" t="s">
        <v>24</v>
      </c>
      <c r="H2757" t="s">
        <v>15</v>
      </c>
      <c r="I2757">
        <v>3.6</v>
      </c>
      <c r="J2757">
        <v>16</v>
      </c>
      <c r="K2757">
        <v>8</v>
      </c>
      <c r="L2757" s="4">
        <v>163.16666666666669</v>
      </c>
      <c r="M2757" s="4">
        <v>26.106666666666683</v>
      </c>
      <c r="N2757" t="s">
        <v>92</v>
      </c>
    </row>
    <row r="2758" spans="1:14">
      <c r="A2758">
        <v>2757</v>
      </c>
      <c r="B2758">
        <v>21</v>
      </c>
      <c r="C2758" t="s">
        <v>16</v>
      </c>
      <c r="D2758" t="s">
        <v>25</v>
      </c>
      <c r="E2758" t="s">
        <v>54</v>
      </c>
      <c r="F2758">
        <v>49.98</v>
      </c>
      <c r="G2758" t="s">
        <v>19</v>
      </c>
      <c r="H2758" t="s">
        <v>15</v>
      </c>
      <c r="I2758">
        <v>3.2</v>
      </c>
      <c r="J2758">
        <v>13</v>
      </c>
      <c r="K2758">
        <v>4</v>
      </c>
      <c r="L2758" s="4">
        <v>57.448275862068961</v>
      </c>
      <c r="M2758" s="4">
        <v>7.468275862068964</v>
      </c>
      <c r="N2758" t="s">
        <v>100</v>
      </c>
    </row>
    <row r="2759" spans="1:14">
      <c r="A2759">
        <v>2758</v>
      </c>
      <c r="B2759">
        <v>50</v>
      </c>
      <c r="C2759" t="s">
        <v>11</v>
      </c>
      <c r="D2759" t="s">
        <v>33</v>
      </c>
      <c r="E2759" t="s">
        <v>40</v>
      </c>
      <c r="F2759">
        <v>99.11</v>
      </c>
      <c r="G2759" t="s">
        <v>31</v>
      </c>
      <c r="H2759" t="s">
        <v>37</v>
      </c>
      <c r="I2759">
        <v>4.3</v>
      </c>
      <c r="J2759">
        <v>9</v>
      </c>
      <c r="K2759">
        <v>2</v>
      </c>
      <c r="L2759" s="4">
        <v>108.91208791208791</v>
      </c>
      <c r="M2759" s="4">
        <v>9.802087912087913</v>
      </c>
      <c r="N2759" t="s">
        <v>93</v>
      </c>
    </row>
    <row r="2760" spans="1:14">
      <c r="A2760">
        <v>2759</v>
      </c>
      <c r="B2760">
        <v>30</v>
      </c>
      <c r="C2760" t="s">
        <v>16</v>
      </c>
      <c r="D2760" t="s">
        <v>27</v>
      </c>
      <c r="E2760" t="s">
        <v>28</v>
      </c>
      <c r="F2760">
        <v>1683.57</v>
      </c>
      <c r="G2760" t="s">
        <v>24</v>
      </c>
      <c r="H2760" t="s">
        <v>15</v>
      </c>
      <c r="I2760">
        <v>3.5</v>
      </c>
      <c r="J2760">
        <v>11</v>
      </c>
      <c r="K2760">
        <v>3</v>
      </c>
      <c r="L2760" s="4">
        <v>1891.6516853932583</v>
      </c>
      <c r="M2760" s="4">
        <v>208.08168539325834</v>
      </c>
      <c r="N2760" t="s">
        <v>91</v>
      </c>
    </row>
    <row r="2761" spans="1:14">
      <c r="A2761">
        <v>2760</v>
      </c>
      <c r="B2761">
        <v>48</v>
      </c>
      <c r="C2761" t="s">
        <v>11</v>
      </c>
      <c r="D2761" t="s">
        <v>25</v>
      </c>
      <c r="E2761" t="s">
        <v>47</v>
      </c>
      <c r="F2761">
        <v>77.239999999999995</v>
      </c>
      <c r="G2761" t="s">
        <v>31</v>
      </c>
      <c r="H2761" t="s">
        <v>15</v>
      </c>
      <c r="I2761">
        <v>4.7</v>
      </c>
      <c r="J2761">
        <v>28</v>
      </c>
      <c r="K2761">
        <v>9</v>
      </c>
      <c r="L2761" s="4">
        <v>107.27777777777777</v>
      </c>
      <c r="M2761" s="4">
        <v>30.037777777777777</v>
      </c>
      <c r="N2761" t="s">
        <v>93</v>
      </c>
    </row>
    <row r="2762" spans="1:14">
      <c r="A2762">
        <v>2761</v>
      </c>
      <c r="B2762">
        <v>38</v>
      </c>
      <c r="C2762" t="s">
        <v>11</v>
      </c>
      <c r="D2762" t="s">
        <v>25</v>
      </c>
      <c r="E2762" t="s">
        <v>54</v>
      </c>
      <c r="F2762">
        <v>15.14</v>
      </c>
      <c r="G2762" t="s">
        <v>19</v>
      </c>
      <c r="H2762" t="s">
        <v>15</v>
      </c>
      <c r="I2762">
        <v>3.2</v>
      </c>
      <c r="J2762">
        <v>18</v>
      </c>
      <c r="K2762">
        <v>4</v>
      </c>
      <c r="L2762" s="4">
        <v>18.463414634146339</v>
      </c>
      <c r="M2762" s="4">
        <v>3.3234146341463386</v>
      </c>
      <c r="N2762" t="s">
        <v>92</v>
      </c>
    </row>
    <row r="2763" spans="1:14">
      <c r="A2763">
        <v>2762</v>
      </c>
      <c r="B2763">
        <v>62</v>
      </c>
      <c r="C2763" t="s">
        <v>16</v>
      </c>
      <c r="D2763" t="s">
        <v>33</v>
      </c>
      <c r="E2763" t="s">
        <v>38</v>
      </c>
      <c r="F2763">
        <v>43.56</v>
      </c>
      <c r="G2763" t="s">
        <v>24</v>
      </c>
      <c r="H2763" t="s">
        <v>37</v>
      </c>
      <c r="I2763">
        <v>2.6</v>
      </c>
      <c r="J2763">
        <v>24</v>
      </c>
      <c r="K2763">
        <v>7</v>
      </c>
      <c r="L2763" s="4">
        <v>57.315789473684212</v>
      </c>
      <c r="M2763" s="4">
        <v>13.75578947368421</v>
      </c>
      <c r="N2763" t="s">
        <v>94</v>
      </c>
    </row>
    <row r="2764" spans="1:14">
      <c r="A2764">
        <v>2763</v>
      </c>
      <c r="B2764">
        <v>30</v>
      </c>
      <c r="C2764" t="s">
        <v>11</v>
      </c>
      <c r="D2764" t="s">
        <v>29</v>
      </c>
      <c r="E2764" t="s">
        <v>30</v>
      </c>
      <c r="F2764">
        <v>51</v>
      </c>
      <c r="G2764" t="s">
        <v>31</v>
      </c>
      <c r="H2764" t="s">
        <v>37</v>
      </c>
      <c r="I2764">
        <v>4.5</v>
      </c>
      <c r="J2764">
        <v>8</v>
      </c>
      <c r="K2764">
        <v>4</v>
      </c>
      <c r="L2764" s="4">
        <v>55.434782608695649</v>
      </c>
      <c r="M2764" s="4">
        <v>4.4347826086956488</v>
      </c>
      <c r="N2764" t="s">
        <v>91</v>
      </c>
    </row>
    <row r="2765" spans="1:14">
      <c r="A2765">
        <v>2764</v>
      </c>
      <c r="B2765">
        <v>24</v>
      </c>
      <c r="C2765" t="s">
        <v>11</v>
      </c>
      <c r="D2765" t="s">
        <v>20</v>
      </c>
      <c r="E2765" t="s">
        <v>39</v>
      </c>
      <c r="F2765">
        <v>232.42</v>
      </c>
      <c r="G2765" t="s">
        <v>31</v>
      </c>
      <c r="H2765" t="s">
        <v>15</v>
      </c>
      <c r="I2765">
        <v>2.7</v>
      </c>
      <c r="J2765">
        <v>9</v>
      </c>
      <c r="K2765">
        <v>2</v>
      </c>
      <c r="L2765" s="4">
        <v>255.40659340659337</v>
      </c>
      <c r="M2765" s="4">
        <v>22.986593406593386</v>
      </c>
      <c r="N2765" t="s">
        <v>100</v>
      </c>
    </row>
    <row r="2766" spans="1:14">
      <c r="A2766">
        <v>2765</v>
      </c>
      <c r="B2766">
        <v>56</v>
      </c>
      <c r="C2766" t="s">
        <v>11</v>
      </c>
      <c r="D2766" t="s">
        <v>29</v>
      </c>
      <c r="E2766" t="s">
        <v>55</v>
      </c>
      <c r="F2766">
        <v>78.209999999999994</v>
      </c>
      <c r="G2766" t="s">
        <v>19</v>
      </c>
      <c r="H2766" t="s">
        <v>37</v>
      </c>
      <c r="I2766">
        <v>5</v>
      </c>
      <c r="J2766">
        <v>22</v>
      </c>
      <c r="K2766">
        <v>6</v>
      </c>
      <c r="L2766" s="4">
        <v>100.26923076923076</v>
      </c>
      <c r="M2766" s="4">
        <v>22.059230769230766</v>
      </c>
      <c r="N2766" t="s">
        <v>94</v>
      </c>
    </row>
    <row r="2767" spans="1:14">
      <c r="A2767">
        <v>2766</v>
      </c>
      <c r="B2767">
        <v>70</v>
      </c>
      <c r="C2767" t="s">
        <v>11</v>
      </c>
      <c r="D2767" t="s">
        <v>25</v>
      </c>
      <c r="E2767" t="s">
        <v>57</v>
      </c>
      <c r="F2767">
        <v>26.36</v>
      </c>
      <c r="G2767" t="s">
        <v>19</v>
      </c>
      <c r="H2767" t="s">
        <v>37</v>
      </c>
      <c r="I2767">
        <v>4.4000000000000004</v>
      </c>
      <c r="J2767">
        <v>10</v>
      </c>
      <c r="K2767">
        <v>5</v>
      </c>
      <c r="L2767" s="4">
        <v>29.288888888888888</v>
      </c>
      <c r="M2767" s="4">
        <v>2.9288888888888884</v>
      </c>
      <c r="N2767" t="s">
        <v>95</v>
      </c>
    </row>
    <row r="2768" spans="1:14">
      <c r="A2768">
        <v>2767</v>
      </c>
      <c r="B2768">
        <v>22</v>
      </c>
      <c r="C2768" t="s">
        <v>16</v>
      </c>
      <c r="D2768" t="s">
        <v>17</v>
      </c>
      <c r="E2768" t="s">
        <v>48</v>
      </c>
      <c r="F2768">
        <v>59.51</v>
      </c>
      <c r="G2768" t="s">
        <v>24</v>
      </c>
      <c r="H2768" t="s">
        <v>15</v>
      </c>
      <c r="I2768">
        <v>3.3</v>
      </c>
      <c r="J2768">
        <v>16</v>
      </c>
      <c r="K2768">
        <v>3</v>
      </c>
      <c r="L2768" s="4">
        <v>70.845238095238102</v>
      </c>
      <c r="M2768" s="4">
        <v>11.335238095238104</v>
      </c>
      <c r="N2768" t="s">
        <v>100</v>
      </c>
    </row>
    <row r="2769" spans="1:14">
      <c r="A2769">
        <v>2768</v>
      </c>
      <c r="B2769">
        <v>36</v>
      </c>
      <c r="C2769" t="s">
        <v>11</v>
      </c>
      <c r="D2769" t="s">
        <v>41</v>
      </c>
      <c r="E2769" t="s">
        <v>42</v>
      </c>
      <c r="F2769">
        <v>150.91999999999999</v>
      </c>
      <c r="G2769" t="s">
        <v>31</v>
      </c>
      <c r="H2769" t="s">
        <v>15</v>
      </c>
      <c r="I2769">
        <v>4.0999999999999996</v>
      </c>
      <c r="J2769">
        <v>15</v>
      </c>
      <c r="K2769">
        <v>5</v>
      </c>
      <c r="L2769" s="4">
        <v>177.55294117647057</v>
      </c>
      <c r="M2769" s="4">
        <v>26.632941176470581</v>
      </c>
      <c r="N2769" t="s">
        <v>92</v>
      </c>
    </row>
    <row r="2770" spans="1:14">
      <c r="A2770">
        <v>2769</v>
      </c>
      <c r="B2770">
        <v>47</v>
      </c>
      <c r="C2770" t="s">
        <v>11</v>
      </c>
      <c r="D2770" t="s">
        <v>41</v>
      </c>
      <c r="E2770" t="s">
        <v>45</v>
      </c>
      <c r="F2770">
        <v>148.25</v>
      </c>
      <c r="G2770" t="s">
        <v>19</v>
      </c>
      <c r="H2770" t="s">
        <v>15</v>
      </c>
      <c r="I2770">
        <v>4</v>
      </c>
      <c r="J2770">
        <v>16</v>
      </c>
      <c r="K2770">
        <v>3</v>
      </c>
      <c r="L2770" s="4">
        <v>176.48809523809524</v>
      </c>
      <c r="M2770" s="4">
        <v>28.238095238095241</v>
      </c>
      <c r="N2770" t="s">
        <v>93</v>
      </c>
    </row>
    <row r="2771" spans="1:14">
      <c r="A2771">
        <v>2770</v>
      </c>
      <c r="B2771">
        <v>57</v>
      </c>
      <c r="C2771" t="s">
        <v>16</v>
      </c>
      <c r="D2771" t="s">
        <v>33</v>
      </c>
      <c r="E2771" t="s">
        <v>34</v>
      </c>
      <c r="F2771">
        <v>196.03</v>
      </c>
      <c r="G2771" t="s">
        <v>24</v>
      </c>
      <c r="H2771" t="s">
        <v>15</v>
      </c>
      <c r="I2771">
        <v>4.3</v>
      </c>
      <c r="J2771">
        <v>6</v>
      </c>
      <c r="K2771">
        <v>3</v>
      </c>
      <c r="L2771" s="4">
        <v>208.54255319148936</v>
      </c>
      <c r="M2771" s="4">
        <v>12.51255319148936</v>
      </c>
      <c r="N2771" t="s">
        <v>94</v>
      </c>
    </row>
    <row r="2772" spans="1:14">
      <c r="A2772">
        <v>2771</v>
      </c>
      <c r="B2772">
        <v>46</v>
      </c>
      <c r="C2772" t="s">
        <v>16</v>
      </c>
      <c r="D2772" t="s">
        <v>27</v>
      </c>
      <c r="E2772" t="s">
        <v>49</v>
      </c>
      <c r="F2772">
        <v>853.51</v>
      </c>
      <c r="G2772" t="s">
        <v>19</v>
      </c>
      <c r="H2772" t="s">
        <v>15</v>
      </c>
      <c r="I2772">
        <v>2.7</v>
      </c>
      <c r="J2772">
        <v>11</v>
      </c>
      <c r="K2772">
        <v>3</v>
      </c>
      <c r="L2772" s="4">
        <v>959</v>
      </c>
      <c r="M2772" s="4">
        <v>105.49000000000001</v>
      </c>
      <c r="N2772" t="s">
        <v>93</v>
      </c>
    </row>
    <row r="2773" spans="1:14">
      <c r="A2773">
        <v>2772</v>
      </c>
      <c r="B2773">
        <v>62</v>
      </c>
      <c r="C2773" t="s">
        <v>16</v>
      </c>
      <c r="D2773" t="s">
        <v>27</v>
      </c>
      <c r="E2773" t="s">
        <v>53</v>
      </c>
      <c r="F2773">
        <v>1899.51</v>
      </c>
      <c r="G2773" t="s">
        <v>14</v>
      </c>
      <c r="H2773" t="s">
        <v>15</v>
      </c>
      <c r="I2773">
        <v>4.2</v>
      </c>
      <c r="J2773">
        <v>24</v>
      </c>
      <c r="K2773">
        <v>7</v>
      </c>
      <c r="L2773" s="4">
        <v>2499.3552631578946</v>
      </c>
      <c r="M2773" s="4">
        <v>599.84526315789458</v>
      </c>
      <c r="N2773" t="s">
        <v>94</v>
      </c>
    </row>
    <row r="2774" spans="1:14">
      <c r="A2774">
        <v>2773</v>
      </c>
      <c r="B2774">
        <v>20</v>
      </c>
      <c r="C2774" t="s">
        <v>16</v>
      </c>
      <c r="D2774" t="s">
        <v>17</v>
      </c>
      <c r="E2774" t="s">
        <v>35</v>
      </c>
      <c r="F2774">
        <v>89.5</v>
      </c>
      <c r="G2774" t="s">
        <v>14</v>
      </c>
      <c r="H2774" t="s">
        <v>15</v>
      </c>
      <c r="I2774">
        <v>4.3</v>
      </c>
      <c r="J2774">
        <v>28</v>
      </c>
      <c r="K2774">
        <v>9</v>
      </c>
      <c r="L2774" s="4">
        <v>124.30555555555556</v>
      </c>
      <c r="M2774" s="4">
        <v>34.805555555555557</v>
      </c>
      <c r="N2774" t="s">
        <v>100</v>
      </c>
    </row>
    <row r="2775" spans="1:14">
      <c r="A2775">
        <v>2774</v>
      </c>
      <c r="B2775">
        <v>61</v>
      </c>
      <c r="C2775" t="s">
        <v>16</v>
      </c>
      <c r="D2775" t="s">
        <v>20</v>
      </c>
      <c r="E2775" t="s">
        <v>39</v>
      </c>
      <c r="F2775">
        <v>30.95</v>
      </c>
      <c r="G2775" t="s">
        <v>24</v>
      </c>
      <c r="H2775" t="s">
        <v>15</v>
      </c>
      <c r="I2775">
        <v>3.5</v>
      </c>
      <c r="J2775">
        <v>17</v>
      </c>
      <c r="K2775">
        <v>6</v>
      </c>
      <c r="L2775" s="4">
        <v>37.289156626506028</v>
      </c>
      <c r="M2775" s="4">
        <v>6.3391566265060284</v>
      </c>
      <c r="N2775" t="s">
        <v>94</v>
      </c>
    </row>
    <row r="2776" spans="1:14">
      <c r="A2776">
        <v>2775</v>
      </c>
      <c r="B2776">
        <v>48</v>
      </c>
      <c r="C2776" t="s">
        <v>16</v>
      </c>
      <c r="D2776" t="s">
        <v>22</v>
      </c>
      <c r="E2776" t="s">
        <v>52</v>
      </c>
      <c r="F2776">
        <v>297.56</v>
      </c>
      <c r="G2776" t="s">
        <v>24</v>
      </c>
      <c r="H2776" t="s">
        <v>15</v>
      </c>
      <c r="I2776">
        <v>5</v>
      </c>
      <c r="J2776">
        <v>18</v>
      </c>
      <c r="K2776">
        <v>4</v>
      </c>
      <c r="L2776" s="4">
        <v>362.8780487804878</v>
      </c>
      <c r="M2776" s="4">
        <v>65.3180487804878</v>
      </c>
      <c r="N2776" t="s">
        <v>93</v>
      </c>
    </row>
    <row r="2777" spans="1:14">
      <c r="A2777">
        <v>2776</v>
      </c>
      <c r="B2777">
        <v>52</v>
      </c>
      <c r="C2777" t="s">
        <v>16</v>
      </c>
      <c r="D2777" t="s">
        <v>17</v>
      </c>
      <c r="E2777" t="s">
        <v>42</v>
      </c>
      <c r="F2777">
        <v>169.71</v>
      </c>
      <c r="G2777" t="s">
        <v>24</v>
      </c>
      <c r="H2777" t="s">
        <v>15</v>
      </c>
      <c r="I2777">
        <v>4.3</v>
      </c>
      <c r="J2777">
        <v>19</v>
      </c>
      <c r="K2777">
        <v>7</v>
      </c>
      <c r="L2777" s="4">
        <v>209.5185185185185</v>
      </c>
      <c r="M2777" s="4">
        <v>39.808518518518497</v>
      </c>
      <c r="N2777" t="s">
        <v>93</v>
      </c>
    </row>
    <row r="2778" spans="1:14">
      <c r="A2778">
        <v>2777</v>
      </c>
      <c r="B2778">
        <v>60</v>
      </c>
      <c r="C2778" t="s">
        <v>11</v>
      </c>
      <c r="D2778" t="s">
        <v>41</v>
      </c>
      <c r="E2778" t="s">
        <v>44</v>
      </c>
      <c r="F2778">
        <v>97.73</v>
      </c>
      <c r="G2778" t="s">
        <v>24</v>
      </c>
      <c r="H2778" t="s">
        <v>15</v>
      </c>
      <c r="I2778">
        <v>4</v>
      </c>
      <c r="J2778">
        <v>19</v>
      </c>
      <c r="K2778">
        <v>7</v>
      </c>
      <c r="L2778" s="4">
        <v>120.65432098765432</v>
      </c>
      <c r="M2778" s="4">
        <v>22.924320987654312</v>
      </c>
      <c r="N2778" t="s">
        <v>94</v>
      </c>
    </row>
    <row r="2779" spans="1:14">
      <c r="A2779">
        <v>2778</v>
      </c>
      <c r="B2779">
        <v>23</v>
      </c>
      <c r="C2779" t="s">
        <v>16</v>
      </c>
      <c r="D2779" t="s">
        <v>22</v>
      </c>
      <c r="E2779" t="s">
        <v>43</v>
      </c>
      <c r="F2779">
        <v>92.52</v>
      </c>
      <c r="G2779" t="s">
        <v>14</v>
      </c>
      <c r="H2779" t="s">
        <v>15</v>
      </c>
      <c r="I2779">
        <v>3.3</v>
      </c>
      <c r="J2779">
        <v>8</v>
      </c>
      <c r="K2779">
        <v>4</v>
      </c>
      <c r="L2779" s="4">
        <v>100.56521739130434</v>
      </c>
      <c r="M2779" s="4">
        <v>8.0452173913043481</v>
      </c>
      <c r="N2779" t="s">
        <v>100</v>
      </c>
    </row>
    <row r="2780" spans="1:14">
      <c r="A2780">
        <v>2779</v>
      </c>
      <c r="B2780">
        <v>43</v>
      </c>
      <c r="C2780" t="s">
        <v>16</v>
      </c>
      <c r="D2780" t="s">
        <v>20</v>
      </c>
      <c r="E2780" t="s">
        <v>39</v>
      </c>
      <c r="F2780">
        <v>217.59</v>
      </c>
      <c r="G2780" t="s">
        <v>31</v>
      </c>
      <c r="H2780" t="s">
        <v>15</v>
      </c>
      <c r="I2780">
        <v>4.0999999999999996</v>
      </c>
      <c r="J2780">
        <v>10</v>
      </c>
      <c r="K2780">
        <v>5</v>
      </c>
      <c r="L2780" s="4">
        <v>241.76666666666665</v>
      </c>
      <c r="M2780" s="4">
        <v>24.176666666666648</v>
      </c>
      <c r="N2780" t="s">
        <v>92</v>
      </c>
    </row>
    <row r="2781" spans="1:14">
      <c r="A2781">
        <v>2780</v>
      </c>
      <c r="B2781">
        <v>27</v>
      </c>
      <c r="C2781" t="s">
        <v>16</v>
      </c>
      <c r="D2781" t="s">
        <v>33</v>
      </c>
      <c r="E2781" t="s">
        <v>38</v>
      </c>
      <c r="F2781">
        <v>144.94999999999999</v>
      </c>
      <c r="G2781" t="s">
        <v>31</v>
      </c>
      <c r="H2781" t="s">
        <v>15</v>
      </c>
      <c r="I2781">
        <v>4.5999999999999996</v>
      </c>
      <c r="J2781">
        <v>13</v>
      </c>
      <c r="K2781">
        <v>4</v>
      </c>
      <c r="L2781" s="4">
        <v>166.60919540229884</v>
      </c>
      <c r="M2781" s="4">
        <v>21.659195402298849</v>
      </c>
      <c r="N2781" t="s">
        <v>91</v>
      </c>
    </row>
    <row r="2782" spans="1:14">
      <c r="A2782">
        <v>2781</v>
      </c>
      <c r="B2782">
        <v>37</v>
      </c>
      <c r="C2782" t="s">
        <v>11</v>
      </c>
      <c r="D2782" t="s">
        <v>41</v>
      </c>
      <c r="E2782" t="s">
        <v>44</v>
      </c>
      <c r="F2782">
        <v>95.24</v>
      </c>
      <c r="G2782" t="s">
        <v>24</v>
      </c>
      <c r="H2782" t="s">
        <v>37</v>
      </c>
      <c r="I2782">
        <v>4.0999999999999996</v>
      </c>
      <c r="J2782">
        <v>17</v>
      </c>
      <c r="K2782">
        <v>6</v>
      </c>
      <c r="L2782" s="4">
        <v>114.74698795180723</v>
      </c>
      <c r="M2782" s="4">
        <v>19.506987951807233</v>
      </c>
      <c r="N2782" t="s">
        <v>92</v>
      </c>
    </row>
    <row r="2783" spans="1:14">
      <c r="A2783">
        <v>2782</v>
      </c>
      <c r="B2783">
        <v>20</v>
      </c>
      <c r="C2783" t="s">
        <v>11</v>
      </c>
      <c r="D2783" t="s">
        <v>22</v>
      </c>
      <c r="E2783" t="s">
        <v>23</v>
      </c>
      <c r="F2783">
        <v>291.95</v>
      </c>
      <c r="G2783" t="s">
        <v>31</v>
      </c>
      <c r="H2783" t="s">
        <v>15</v>
      </c>
      <c r="I2783">
        <v>2.8</v>
      </c>
      <c r="J2783">
        <v>20</v>
      </c>
      <c r="K2783">
        <v>5</v>
      </c>
      <c r="L2783" s="4">
        <v>364.93749999999994</v>
      </c>
      <c r="M2783" s="4">
        <v>72.987499999999955</v>
      </c>
      <c r="N2783" t="s">
        <v>100</v>
      </c>
    </row>
    <row r="2784" spans="1:14">
      <c r="A2784">
        <v>2783</v>
      </c>
      <c r="B2784">
        <v>44</v>
      </c>
      <c r="C2784" t="s">
        <v>16</v>
      </c>
      <c r="D2784" t="s">
        <v>17</v>
      </c>
      <c r="E2784" t="s">
        <v>35</v>
      </c>
      <c r="F2784">
        <v>154.18</v>
      </c>
      <c r="G2784" t="s">
        <v>31</v>
      </c>
      <c r="H2784" t="s">
        <v>15</v>
      </c>
      <c r="I2784">
        <v>4.5</v>
      </c>
      <c r="J2784">
        <v>16</v>
      </c>
      <c r="K2784">
        <v>8</v>
      </c>
      <c r="L2784" s="4">
        <v>183.54761904761907</v>
      </c>
      <c r="M2784" s="4">
        <v>29.367619047619058</v>
      </c>
      <c r="N2784" t="s">
        <v>92</v>
      </c>
    </row>
    <row r="2785" spans="1:14">
      <c r="A2785">
        <v>2784</v>
      </c>
      <c r="B2785">
        <v>20</v>
      </c>
      <c r="C2785" t="s">
        <v>11</v>
      </c>
      <c r="D2785" t="s">
        <v>29</v>
      </c>
      <c r="E2785" t="s">
        <v>51</v>
      </c>
      <c r="F2785">
        <v>51.67</v>
      </c>
      <c r="G2785" t="s">
        <v>19</v>
      </c>
      <c r="H2785" t="s">
        <v>37</v>
      </c>
      <c r="I2785">
        <v>3.5</v>
      </c>
      <c r="J2785">
        <v>12</v>
      </c>
      <c r="K2785">
        <v>6</v>
      </c>
      <c r="L2785" s="4">
        <v>58.715909090909093</v>
      </c>
      <c r="M2785" s="4">
        <v>7.0459090909090918</v>
      </c>
      <c r="N2785" t="s">
        <v>100</v>
      </c>
    </row>
    <row r="2786" spans="1:14">
      <c r="A2786">
        <v>2785</v>
      </c>
      <c r="B2786">
        <v>43</v>
      </c>
      <c r="C2786" t="s">
        <v>11</v>
      </c>
      <c r="D2786" t="s">
        <v>29</v>
      </c>
      <c r="E2786" t="s">
        <v>55</v>
      </c>
      <c r="F2786">
        <v>137.75</v>
      </c>
      <c r="G2786" t="s">
        <v>19</v>
      </c>
      <c r="H2786" t="s">
        <v>15</v>
      </c>
      <c r="I2786">
        <v>4.0999999999999996</v>
      </c>
      <c r="J2786">
        <v>20</v>
      </c>
      <c r="K2786">
        <v>5</v>
      </c>
      <c r="L2786" s="4">
        <v>172.1875</v>
      </c>
      <c r="M2786" s="4">
        <v>34.4375</v>
      </c>
      <c r="N2786" t="s">
        <v>92</v>
      </c>
    </row>
    <row r="2787" spans="1:14">
      <c r="A2787">
        <v>2786</v>
      </c>
      <c r="B2787">
        <v>46</v>
      </c>
      <c r="C2787" t="s">
        <v>11</v>
      </c>
      <c r="D2787" t="s">
        <v>33</v>
      </c>
      <c r="E2787" t="s">
        <v>40</v>
      </c>
      <c r="F2787">
        <v>106.59</v>
      </c>
      <c r="G2787" t="s">
        <v>24</v>
      </c>
      <c r="H2787" t="s">
        <v>15</v>
      </c>
      <c r="I2787">
        <v>4.9000000000000004</v>
      </c>
      <c r="J2787">
        <v>26</v>
      </c>
      <c r="K2787">
        <v>8</v>
      </c>
      <c r="L2787" s="4">
        <v>144.04054054054055</v>
      </c>
      <c r="M2787" s="4">
        <v>37.450540540540544</v>
      </c>
      <c r="N2787" t="s">
        <v>93</v>
      </c>
    </row>
    <row r="2788" spans="1:14">
      <c r="A2788">
        <v>2787</v>
      </c>
      <c r="B2788">
        <v>30</v>
      </c>
      <c r="C2788" t="s">
        <v>11</v>
      </c>
      <c r="D2788" t="s">
        <v>12</v>
      </c>
      <c r="E2788" t="s">
        <v>56</v>
      </c>
      <c r="F2788">
        <v>119.64</v>
      </c>
      <c r="G2788" t="s">
        <v>19</v>
      </c>
      <c r="H2788" t="s">
        <v>15</v>
      </c>
      <c r="I2788">
        <v>3.8</v>
      </c>
      <c r="J2788">
        <v>13</v>
      </c>
      <c r="K2788">
        <v>4</v>
      </c>
      <c r="L2788" s="4">
        <v>137.51724137931035</v>
      </c>
      <c r="M2788" s="4">
        <v>17.877241379310348</v>
      </c>
      <c r="N2788" t="s">
        <v>91</v>
      </c>
    </row>
    <row r="2789" spans="1:14">
      <c r="A2789">
        <v>2788</v>
      </c>
      <c r="B2789">
        <v>22</v>
      </c>
      <c r="C2789" t="s">
        <v>11</v>
      </c>
      <c r="D2789" t="s">
        <v>29</v>
      </c>
      <c r="E2789" t="s">
        <v>51</v>
      </c>
      <c r="F2789">
        <v>90.97</v>
      </c>
      <c r="G2789" t="s">
        <v>19</v>
      </c>
      <c r="H2789" t="s">
        <v>15</v>
      </c>
      <c r="I2789">
        <v>4</v>
      </c>
      <c r="J2789">
        <v>14</v>
      </c>
      <c r="K2789">
        <v>2</v>
      </c>
      <c r="L2789" s="4">
        <v>105.77906976744185</v>
      </c>
      <c r="M2789" s="4">
        <v>14.809069767441855</v>
      </c>
      <c r="N2789" t="s">
        <v>100</v>
      </c>
    </row>
    <row r="2790" spans="1:14">
      <c r="A2790">
        <v>2789</v>
      </c>
      <c r="B2790">
        <v>57</v>
      </c>
      <c r="C2790" t="s">
        <v>11</v>
      </c>
      <c r="D2790" t="s">
        <v>22</v>
      </c>
      <c r="E2790" t="s">
        <v>23</v>
      </c>
      <c r="F2790">
        <v>106.31</v>
      </c>
      <c r="G2790" t="s">
        <v>19</v>
      </c>
      <c r="H2790" t="s">
        <v>15</v>
      </c>
      <c r="I2790">
        <v>2.4</v>
      </c>
      <c r="J2790">
        <v>15</v>
      </c>
      <c r="K2790">
        <v>5</v>
      </c>
      <c r="L2790" s="4">
        <v>125.07058823529412</v>
      </c>
      <c r="M2790" s="4">
        <v>18.760588235294122</v>
      </c>
      <c r="N2790" t="s">
        <v>94</v>
      </c>
    </row>
    <row r="2791" spans="1:14">
      <c r="A2791">
        <v>2790</v>
      </c>
      <c r="B2791">
        <v>50</v>
      </c>
      <c r="C2791" t="s">
        <v>16</v>
      </c>
      <c r="D2791" t="s">
        <v>33</v>
      </c>
      <c r="E2791" t="s">
        <v>38</v>
      </c>
      <c r="F2791">
        <v>116.45</v>
      </c>
      <c r="G2791" t="s">
        <v>31</v>
      </c>
      <c r="H2791" t="s">
        <v>15</v>
      </c>
      <c r="I2791">
        <v>3.7</v>
      </c>
      <c r="J2791">
        <v>18</v>
      </c>
      <c r="K2791">
        <v>9</v>
      </c>
      <c r="L2791" s="4">
        <v>142.01219512195121</v>
      </c>
      <c r="M2791" s="4">
        <v>25.562195121951206</v>
      </c>
      <c r="N2791" t="s">
        <v>93</v>
      </c>
    </row>
    <row r="2792" spans="1:14">
      <c r="A2792">
        <v>2791</v>
      </c>
      <c r="B2792">
        <v>61</v>
      </c>
      <c r="C2792" t="s">
        <v>16</v>
      </c>
      <c r="D2792" t="s">
        <v>33</v>
      </c>
      <c r="E2792" t="s">
        <v>38</v>
      </c>
      <c r="F2792">
        <v>166.25</v>
      </c>
      <c r="G2792" t="s">
        <v>24</v>
      </c>
      <c r="H2792" t="s">
        <v>15</v>
      </c>
      <c r="I2792">
        <v>4.3</v>
      </c>
      <c r="J2792">
        <v>8</v>
      </c>
      <c r="K2792">
        <v>4</v>
      </c>
      <c r="L2792" s="4">
        <v>180.70652173913044</v>
      </c>
      <c r="M2792" s="4">
        <v>14.456521739130437</v>
      </c>
      <c r="N2792" t="s">
        <v>94</v>
      </c>
    </row>
    <row r="2793" spans="1:14">
      <c r="A2793">
        <v>2792</v>
      </c>
      <c r="B2793">
        <v>38</v>
      </c>
      <c r="C2793" t="s">
        <v>16</v>
      </c>
      <c r="D2793" t="s">
        <v>33</v>
      </c>
      <c r="E2793" t="s">
        <v>34</v>
      </c>
      <c r="F2793">
        <v>204.4</v>
      </c>
      <c r="G2793" t="s">
        <v>19</v>
      </c>
      <c r="H2793" t="s">
        <v>15</v>
      </c>
      <c r="I2793">
        <v>4.7</v>
      </c>
      <c r="J2793">
        <v>6</v>
      </c>
      <c r="K2793">
        <v>3</v>
      </c>
      <c r="L2793" s="4">
        <v>217.44680851063831</v>
      </c>
      <c r="M2793" s="4">
        <v>13.0468085106383</v>
      </c>
      <c r="N2793" t="s">
        <v>92</v>
      </c>
    </row>
    <row r="2794" spans="1:14">
      <c r="A2794">
        <v>2793</v>
      </c>
      <c r="B2794">
        <v>37</v>
      </c>
      <c r="C2794" t="s">
        <v>16</v>
      </c>
      <c r="D2794" t="s">
        <v>20</v>
      </c>
      <c r="E2794" t="s">
        <v>39</v>
      </c>
      <c r="F2794">
        <v>239.14</v>
      </c>
      <c r="G2794" t="s">
        <v>24</v>
      </c>
      <c r="H2794" t="s">
        <v>15</v>
      </c>
      <c r="I2794">
        <v>2.2000000000000002</v>
      </c>
      <c r="J2794">
        <v>15</v>
      </c>
      <c r="K2794">
        <v>5</v>
      </c>
      <c r="L2794" s="4">
        <v>281.34117647058821</v>
      </c>
      <c r="M2794" s="4">
        <v>42.201176470588223</v>
      </c>
      <c r="N2794" t="s">
        <v>92</v>
      </c>
    </row>
    <row r="2795" spans="1:14">
      <c r="A2795">
        <v>2794</v>
      </c>
      <c r="B2795">
        <v>37</v>
      </c>
      <c r="C2795" t="s">
        <v>16</v>
      </c>
      <c r="D2795" t="s">
        <v>33</v>
      </c>
      <c r="E2795" t="s">
        <v>38</v>
      </c>
      <c r="F2795">
        <v>174.28</v>
      </c>
      <c r="G2795" t="s">
        <v>19</v>
      </c>
      <c r="H2795" t="s">
        <v>15</v>
      </c>
      <c r="I2795">
        <v>3.2</v>
      </c>
      <c r="J2795">
        <v>15</v>
      </c>
      <c r="K2795">
        <v>5</v>
      </c>
      <c r="L2795" s="4">
        <v>205.03529411764706</v>
      </c>
      <c r="M2795" s="4">
        <v>30.755294117647054</v>
      </c>
      <c r="N2795" t="s">
        <v>92</v>
      </c>
    </row>
    <row r="2796" spans="1:14">
      <c r="A2796">
        <v>2795</v>
      </c>
      <c r="B2796">
        <v>30</v>
      </c>
      <c r="C2796" t="s">
        <v>16</v>
      </c>
      <c r="D2796" t="s">
        <v>33</v>
      </c>
      <c r="E2796" t="s">
        <v>34</v>
      </c>
      <c r="F2796">
        <v>54.8</v>
      </c>
      <c r="G2796" t="s">
        <v>31</v>
      </c>
      <c r="H2796" t="s">
        <v>37</v>
      </c>
      <c r="I2796">
        <v>3.6</v>
      </c>
      <c r="J2796">
        <v>22</v>
      </c>
      <c r="K2796">
        <v>6</v>
      </c>
      <c r="L2796" s="4">
        <v>70.256410256410248</v>
      </c>
      <c r="M2796" s="4">
        <v>15.456410256410251</v>
      </c>
      <c r="N2796" t="s">
        <v>91</v>
      </c>
    </row>
    <row r="2797" spans="1:14">
      <c r="A2797">
        <v>2796</v>
      </c>
      <c r="B2797">
        <v>32</v>
      </c>
      <c r="C2797" t="s">
        <v>11</v>
      </c>
      <c r="D2797" t="s">
        <v>20</v>
      </c>
      <c r="E2797" t="s">
        <v>39</v>
      </c>
      <c r="F2797">
        <v>65.040000000000006</v>
      </c>
      <c r="G2797" t="s">
        <v>31</v>
      </c>
      <c r="H2797" t="s">
        <v>37</v>
      </c>
      <c r="I2797">
        <v>4.9000000000000004</v>
      </c>
      <c r="J2797">
        <v>15</v>
      </c>
      <c r="K2797">
        <v>5</v>
      </c>
      <c r="L2797" s="4">
        <v>76.517647058823542</v>
      </c>
      <c r="M2797" s="4">
        <v>11.477647058823536</v>
      </c>
      <c r="N2797" t="s">
        <v>91</v>
      </c>
    </row>
    <row r="2798" spans="1:14">
      <c r="A2798">
        <v>2797</v>
      </c>
      <c r="B2798">
        <v>29</v>
      </c>
      <c r="C2798" t="s">
        <v>16</v>
      </c>
      <c r="D2798" t="s">
        <v>20</v>
      </c>
      <c r="E2798" t="s">
        <v>36</v>
      </c>
      <c r="F2798">
        <v>121.15</v>
      </c>
      <c r="G2798" t="s">
        <v>19</v>
      </c>
      <c r="H2798" t="s">
        <v>15</v>
      </c>
      <c r="I2798">
        <v>3.4</v>
      </c>
      <c r="J2798">
        <v>4</v>
      </c>
      <c r="K2798">
        <v>2</v>
      </c>
      <c r="L2798" s="4">
        <v>126.19791666666667</v>
      </c>
      <c r="M2798" s="4">
        <v>5.0479166666666657</v>
      </c>
      <c r="N2798" t="s">
        <v>91</v>
      </c>
    </row>
    <row r="2799" spans="1:14">
      <c r="A2799">
        <v>2798</v>
      </c>
      <c r="B2799">
        <v>37</v>
      </c>
      <c r="C2799" t="s">
        <v>11</v>
      </c>
      <c r="D2799" t="s">
        <v>29</v>
      </c>
      <c r="E2799" t="s">
        <v>30</v>
      </c>
      <c r="F2799">
        <v>111.74</v>
      </c>
      <c r="G2799" t="s">
        <v>19</v>
      </c>
      <c r="H2799" t="s">
        <v>15</v>
      </c>
      <c r="I2799">
        <v>4.5999999999999996</v>
      </c>
      <c r="J2799">
        <v>11</v>
      </c>
      <c r="K2799">
        <v>3</v>
      </c>
      <c r="L2799" s="4">
        <v>125.55056179775281</v>
      </c>
      <c r="M2799" s="4">
        <v>13.810561797752811</v>
      </c>
      <c r="N2799" t="s">
        <v>92</v>
      </c>
    </row>
    <row r="2800" spans="1:14">
      <c r="A2800">
        <v>2799</v>
      </c>
      <c r="B2800">
        <v>38</v>
      </c>
      <c r="C2800" t="s">
        <v>11</v>
      </c>
      <c r="D2800" t="s">
        <v>29</v>
      </c>
      <c r="E2800" t="s">
        <v>51</v>
      </c>
      <c r="F2800">
        <v>142.9</v>
      </c>
      <c r="G2800" t="s">
        <v>14</v>
      </c>
      <c r="H2800" t="s">
        <v>15</v>
      </c>
      <c r="I2800">
        <v>3.8</v>
      </c>
      <c r="J2800">
        <v>7</v>
      </c>
      <c r="K2800">
        <v>1</v>
      </c>
      <c r="L2800" s="4">
        <v>153.65591397849465</v>
      </c>
      <c r="M2800" s="4">
        <v>10.755913978494647</v>
      </c>
      <c r="N2800" t="s">
        <v>92</v>
      </c>
    </row>
    <row r="2801" spans="1:14">
      <c r="A2801">
        <v>2800</v>
      </c>
      <c r="B2801">
        <v>61</v>
      </c>
      <c r="C2801" t="s">
        <v>16</v>
      </c>
      <c r="D2801" t="s">
        <v>20</v>
      </c>
      <c r="E2801" t="s">
        <v>39</v>
      </c>
      <c r="F2801">
        <v>85.18</v>
      </c>
      <c r="G2801" t="s">
        <v>24</v>
      </c>
      <c r="H2801" t="s">
        <v>37</v>
      </c>
      <c r="I2801">
        <v>2.7</v>
      </c>
      <c r="J2801">
        <v>4</v>
      </c>
      <c r="K2801">
        <v>2</v>
      </c>
      <c r="L2801" s="4">
        <v>88.729166666666671</v>
      </c>
      <c r="M2801" s="4">
        <v>3.5491666666666646</v>
      </c>
      <c r="N2801" t="s">
        <v>94</v>
      </c>
    </row>
    <row r="2802" spans="1:14">
      <c r="A2802">
        <v>2801</v>
      </c>
      <c r="B2802">
        <v>25</v>
      </c>
      <c r="C2802" t="s">
        <v>11</v>
      </c>
      <c r="D2802" t="s">
        <v>12</v>
      </c>
      <c r="E2802" t="s">
        <v>56</v>
      </c>
      <c r="F2802">
        <v>137.33000000000001</v>
      </c>
      <c r="G2802" t="s">
        <v>31</v>
      </c>
      <c r="H2802" t="s">
        <v>15</v>
      </c>
      <c r="I2802">
        <v>4.7</v>
      </c>
      <c r="J2802">
        <v>20</v>
      </c>
      <c r="K2802">
        <v>10</v>
      </c>
      <c r="L2802" s="4">
        <v>171.66249999999999</v>
      </c>
      <c r="M2802" s="4">
        <v>34.332499999999982</v>
      </c>
      <c r="N2802" t="s">
        <v>91</v>
      </c>
    </row>
    <row r="2803" spans="1:14">
      <c r="A2803">
        <v>2802</v>
      </c>
      <c r="B2803">
        <v>60</v>
      </c>
      <c r="C2803" t="s">
        <v>16</v>
      </c>
      <c r="D2803" t="s">
        <v>33</v>
      </c>
      <c r="E2803" t="s">
        <v>38</v>
      </c>
      <c r="F2803">
        <v>82.73</v>
      </c>
      <c r="G2803" t="s">
        <v>19</v>
      </c>
      <c r="H2803" t="s">
        <v>37</v>
      </c>
      <c r="I2803">
        <v>3.6</v>
      </c>
      <c r="J2803">
        <v>8</v>
      </c>
      <c r="K2803">
        <v>4</v>
      </c>
      <c r="L2803" s="4">
        <v>89.923913043478265</v>
      </c>
      <c r="M2803" s="4">
        <v>7.1939130434782612</v>
      </c>
      <c r="N2803" t="s">
        <v>94</v>
      </c>
    </row>
    <row r="2804" spans="1:14">
      <c r="A2804">
        <v>2803</v>
      </c>
      <c r="B2804">
        <v>25</v>
      </c>
      <c r="C2804" t="s">
        <v>16</v>
      </c>
      <c r="D2804" t="s">
        <v>17</v>
      </c>
      <c r="E2804" t="s">
        <v>48</v>
      </c>
      <c r="F2804">
        <v>186.21</v>
      </c>
      <c r="G2804" t="s">
        <v>14</v>
      </c>
      <c r="H2804" t="s">
        <v>15</v>
      </c>
      <c r="I2804">
        <v>3.8</v>
      </c>
      <c r="J2804">
        <v>9</v>
      </c>
      <c r="K2804">
        <v>2</v>
      </c>
      <c r="L2804" s="4">
        <v>204.62637362637363</v>
      </c>
      <c r="M2804" s="4">
        <v>18.416373626373627</v>
      </c>
      <c r="N2804" t="s">
        <v>91</v>
      </c>
    </row>
    <row r="2805" spans="1:14">
      <c r="A2805">
        <v>2804</v>
      </c>
      <c r="B2805">
        <v>23</v>
      </c>
      <c r="C2805" t="s">
        <v>11</v>
      </c>
      <c r="D2805" t="s">
        <v>33</v>
      </c>
      <c r="E2805" t="s">
        <v>34</v>
      </c>
      <c r="F2805">
        <v>211.98</v>
      </c>
      <c r="G2805" t="s">
        <v>14</v>
      </c>
      <c r="H2805" t="s">
        <v>15</v>
      </c>
      <c r="I2805">
        <v>3.8</v>
      </c>
      <c r="J2805">
        <v>15</v>
      </c>
      <c r="K2805">
        <v>5</v>
      </c>
      <c r="L2805" s="4">
        <v>249.38823529411764</v>
      </c>
      <c r="M2805" s="4">
        <v>37.408235294117645</v>
      </c>
      <c r="N2805" t="s">
        <v>100</v>
      </c>
    </row>
    <row r="2806" spans="1:14">
      <c r="A2806">
        <v>2805</v>
      </c>
      <c r="B2806">
        <v>48</v>
      </c>
      <c r="C2806" t="s">
        <v>11</v>
      </c>
      <c r="D2806" t="s">
        <v>29</v>
      </c>
      <c r="E2806" t="s">
        <v>30</v>
      </c>
      <c r="F2806">
        <v>36.46</v>
      </c>
      <c r="G2806" t="s">
        <v>24</v>
      </c>
      <c r="H2806" t="s">
        <v>15</v>
      </c>
      <c r="I2806">
        <v>4.5999999999999996</v>
      </c>
      <c r="J2806">
        <v>18</v>
      </c>
      <c r="K2806">
        <v>4</v>
      </c>
      <c r="L2806" s="4">
        <v>44.463414634146339</v>
      </c>
      <c r="M2806" s="4">
        <v>8.0034146341463384</v>
      </c>
      <c r="N2806" t="s">
        <v>93</v>
      </c>
    </row>
    <row r="2807" spans="1:14">
      <c r="A2807">
        <v>2806</v>
      </c>
      <c r="B2807">
        <v>41</v>
      </c>
      <c r="C2807" t="s">
        <v>11</v>
      </c>
      <c r="D2807" t="s">
        <v>29</v>
      </c>
      <c r="E2807" t="s">
        <v>51</v>
      </c>
      <c r="F2807">
        <v>120.18</v>
      </c>
      <c r="G2807" t="s">
        <v>19</v>
      </c>
      <c r="H2807" t="s">
        <v>15</v>
      </c>
      <c r="I2807">
        <v>4</v>
      </c>
      <c r="J2807">
        <v>14</v>
      </c>
      <c r="K2807">
        <v>7</v>
      </c>
      <c r="L2807" s="4">
        <v>139.74418604651163</v>
      </c>
      <c r="M2807" s="4">
        <v>19.564186046511622</v>
      </c>
      <c r="N2807" t="s">
        <v>92</v>
      </c>
    </row>
    <row r="2808" spans="1:14">
      <c r="A2808">
        <v>2807</v>
      </c>
      <c r="B2808">
        <v>44</v>
      </c>
      <c r="C2808" t="s">
        <v>16</v>
      </c>
      <c r="D2808" t="s">
        <v>17</v>
      </c>
      <c r="E2808" t="s">
        <v>42</v>
      </c>
      <c r="F2808">
        <v>133.57</v>
      </c>
      <c r="G2808" t="s">
        <v>19</v>
      </c>
      <c r="H2808" t="s">
        <v>15</v>
      </c>
      <c r="I2808">
        <v>4.0999999999999996</v>
      </c>
      <c r="J2808">
        <v>24</v>
      </c>
      <c r="K2808">
        <v>7</v>
      </c>
      <c r="L2808" s="4">
        <v>175.75</v>
      </c>
      <c r="M2808" s="4">
        <v>42.180000000000007</v>
      </c>
      <c r="N2808" t="s">
        <v>92</v>
      </c>
    </row>
    <row r="2809" spans="1:14">
      <c r="A2809">
        <v>2808</v>
      </c>
      <c r="B2809">
        <v>22</v>
      </c>
      <c r="C2809" t="s">
        <v>16</v>
      </c>
      <c r="D2809" t="s">
        <v>33</v>
      </c>
      <c r="E2809" t="s">
        <v>38</v>
      </c>
      <c r="F2809">
        <v>156.66</v>
      </c>
      <c r="G2809" t="s">
        <v>24</v>
      </c>
      <c r="H2809" t="s">
        <v>15</v>
      </c>
      <c r="I2809">
        <v>4</v>
      </c>
      <c r="J2809">
        <v>13</v>
      </c>
      <c r="K2809">
        <v>4</v>
      </c>
      <c r="L2809" s="4">
        <v>180.06896551724137</v>
      </c>
      <c r="M2809" s="4">
        <v>23.40896551724137</v>
      </c>
      <c r="N2809" t="s">
        <v>100</v>
      </c>
    </row>
    <row r="2810" spans="1:14">
      <c r="A2810">
        <v>2809</v>
      </c>
      <c r="B2810">
        <v>28</v>
      </c>
      <c r="C2810" t="s">
        <v>11</v>
      </c>
      <c r="D2810" t="s">
        <v>12</v>
      </c>
      <c r="E2810" t="s">
        <v>13</v>
      </c>
      <c r="F2810">
        <v>28.16</v>
      </c>
      <c r="G2810" t="s">
        <v>24</v>
      </c>
      <c r="H2810" t="s">
        <v>37</v>
      </c>
      <c r="I2810">
        <v>4.4000000000000004</v>
      </c>
      <c r="J2810">
        <v>22</v>
      </c>
      <c r="K2810">
        <v>6</v>
      </c>
      <c r="L2810" s="4">
        <v>36.102564102564102</v>
      </c>
      <c r="M2810" s="4">
        <v>7.9425641025641021</v>
      </c>
      <c r="N2810" t="s">
        <v>91</v>
      </c>
    </row>
    <row r="2811" spans="1:14">
      <c r="A2811">
        <v>2810</v>
      </c>
      <c r="B2811">
        <v>27</v>
      </c>
      <c r="C2811" t="s">
        <v>16</v>
      </c>
      <c r="D2811" t="s">
        <v>17</v>
      </c>
      <c r="E2811" t="s">
        <v>18</v>
      </c>
      <c r="F2811">
        <v>143.88999999999999</v>
      </c>
      <c r="G2811" t="s">
        <v>31</v>
      </c>
      <c r="H2811" t="s">
        <v>15</v>
      </c>
      <c r="I2811">
        <v>3.9</v>
      </c>
      <c r="J2811">
        <v>19</v>
      </c>
      <c r="K2811">
        <v>7</v>
      </c>
      <c r="L2811" s="4">
        <v>177.64197530864195</v>
      </c>
      <c r="M2811" s="4">
        <v>33.75197530864196</v>
      </c>
      <c r="N2811" t="s">
        <v>91</v>
      </c>
    </row>
    <row r="2812" spans="1:14">
      <c r="A2812">
        <v>2811</v>
      </c>
      <c r="B2812">
        <v>55</v>
      </c>
      <c r="C2812" t="s">
        <v>16</v>
      </c>
      <c r="D2812" t="s">
        <v>33</v>
      </c>
      <c r="E2812" t="s">
        <v>38</v>
      </c>
      <c r="F2812">
        <v>70.59</v>
      </c>
      <c r="G2812" t="s">
        <v>14</v>
      </c>
      <c r="H2812" t="s">
        <v>15</v>
      </c>
      <c r="I2812">
        <v>4.4000000000000004</v>
      </c>
      <c r="J2812">
        <v>16</v>
      </c>
      <c r="K2812">
        <v>3</v>
      </c>
      <c r="L2812" s="4">
        <v>84.035714285714292</v>
      </c>
      <c r="M2812" s="4">
        <v>13.445714285714288</v>
      </c>
      <c r="N2812" t="s">
        <v>94</v>
      </c>
    </row>
    <row r="2813" spans="1:14">
      <c r="A2813">
        <v>2812</v>
      </c>
      <c r="B2813">
        <v>52</v>
      </c>
      <c r="C2813" t="s">
        <v>11</v>
      </c>
      <c r="D2813" t="s">
        <v>20</v>
      </c>
      <c r="E2813" t="s">
        <v>21</v>
      </c>
      <c r="F2813">
        <v>172.51</v>
      </c>
      <c r="G2813" t="s">
        <v>19</v>
      </c>
      <c r="H2813" t="s">
        <v>15</v>
      </c>
      <c r="I2813">
        <v>3.3</v>
      </c>
      <c r="J2813">
        <v>12</v>
      </c>
      <c r="K2813">
        <v>6</v>
      </c>
      <c r="L2813" s="4">
        <v>196.03409090909091</v>
      </c>
      <c r="M2813" s="4">
        <v>23.524090909090916</v>
      </c>
      <c r="N2813" t="s">
        <v>93</v>
      </c>
    </row>
    <row r="2814" spans="1:14">
      <c r="A2814">
        <v>2813</v>
      </c>
      <c r="B2814">
        <v>49</v>
      </c>
      <c r="C2814" t="s">
        <v>11</v>
      </c>
      <c r="D2814" t="s">
        <v>29</v>
      </c>
      <c r="E2814" t="s">
        <v>51</v>
      </c>
      <c r="F2814">
        <v>67.349999999999994</v>
      </c>
      <c r="G2814" t="s">
        <v>24</v>
      </c>
      <c r="H2814" t="s">
        <v>37</v>
      </c>
      <c r="I2814">
        <v>4.0999999999999996</v>
      </c>
      <c r="J2814">
        <v>4</v>
      </c>
      <c r="K2814">
        <v>2</v>
      </c>
      <c r="L2814" s="4">
        <v>70.15625</v>
      </c>
      <c r="M2814" s="4">
        <v>2.8062500000000057</v>
      </c>
      <c r="N2814" t="s">
        <v>93</v>
      </c>
    </row>
    <row r="2815" spans="1:14">
      <c r="A2815">
        <v>2814</v>
      </c>
      <c r="B2815">
        <v>40</v>
      </c>
      <c r="C2815" t="s">
        <v>16</v>
      </c>
      <c r="D2815" t="s">
        <v>25</v>
      </c>
      <c r="E2815" t="s">
        <v>26</v>
      </c>
      <c r="F2815">
        <v>21.13</v>
      </c>
      <c r="G2815" t="s">
        <v>31</v>
      </c>
      <c r="H2815" t="s">
        <v>37</v>
      </c>
      <c r="I2815">
        <v>3</v>
      </c>
      <c r="J2815">
        <v>6</v>
      </c>
      <c r="K2815">
        <v>3</v>
      </c>
      <c r="L2815" s="4">
        <v>22.478723404255319</v>
      </c>
      <c r="M2815" s="4">
        <v>1.3487234042553204</v>
      </c>
      <c r="N2815" t="s">
        <v>92</v>
      </c>
    </row>
    <row r="2816" spans="1:14">
      <c r="A2816">
        <v>2815</v>
      </c>
      <c r="B2816">
        <v>39</v>
      </c>
      <c r="C2816" t="s">
        <v>11</v>
      </c>
      <c r="D2816" t="s">
        <v>29</v>
      </c>
      <c r="E2816" t="s">
        <v>30</v>
      </c>
      <c r="F2816">
        <v>63.42</v>
      </c>
      <c r="G2816" t="s">
        <v>14</v>
      </c>
      <c r="H2816" t="s">
        <v>15</v>
      </c>
      <c r="I2816">
        <v>3.7</v>
      </c>
      <c r="J2816">
        <v>13</v>
      </c>
      <c r="K2816">
        <v>4</v>
      </c>
      <c r="L2816" s="4">
        <v>72.896551724137936</v>
      </c>
      <c r="M2816" s="4">
        <v>9.4765517241379342</v>
      </c>
      <c r="N2816" t="s">
        <v>92</v>
      </c>
    </row>
    <row r="2817" spans="1:14">
      <c r="A2817">
        <v>2816</v>
      </c>
      <c r="B2817">
        <v>32</v>
      </c>
      <c r="C2817" t="s">
        <v>11</v>
      </c>
      <c r="D2817" t="s">
        <v>41</v>
      </c>
      <c r="E2817" t="s">
        <v>46</v>
      </c>
      <c r="F2817">
        <v>39.659999999999997</v>
      </c>
      <c r="G2817" t="s">
        <v>24</v>
      </c>
      <c r="H2817" t="s">
        <v>15</v>
      </c>
      <c r="I2817">
        <v>3.5</v>
      </c>
      <c r="J2817">
        <v>15</v>
      </c>
      <c r="K2817">
        <v>5</v>
      </c>
      <c r="L2817" s="4">
        <v>46.658823529411762</v>
      </c>
      <c r="M2817" s="4">
        <v>6.9988235294117658</v>
      </c>
      <c r="N2817" t="s">
        <v>91</v>
      </c>
    </row>
    <row r="2818" spans="1:14">
      <c r="A2818">
        <v>2817</v>
      </c>
      <c r="B2818">
        <v>63</v>
      </c>
      <c r="C2818" t="s">
        <v>11</v>
      </c>
      <c r="D2818" t="s">
        <v>41</v>
      </c>
      <c r="E2818" t="s">
        <v>44</v>
      </c>
      <c r="F2818">
        <v>81.34</v>
      </c>
      <c r="G2818" t="s">
        <v>31</v>
      </c>
      <c r="H2818" t="s">
        <v>15</v>
      </c>
      <c r="I2818">
        <v>5</v>
      </c>
      <c r="J2818">
        <v>24</v>
      </c>
      <c r="K2818">
        <v>7</v>
      </c>
      <c r="L2818" s="4">
        <v>107.02631578947368</v>
      </c>
      <c r="M2818" s="4">
        <v>25.686315789473682</v>
      </c>
      <c r="N2818" t="s">
        <v>94</v>
      </c>
    </row>
    <row r="2819" spans="1:14">
      <c r="A2819">
        <v>2818</v>
      </c>
      <c r="B2819">
        <v>43</v>
      </c>
      <c r="C2819" t="s">
        <v>16</v>
      </c>
      <c r="D2819" t="s">
        <v>25</v>
      </c>
      <c r="E2819" t="s">
        <v>54</v>
      </c>
      <c r="F2819">
        <v>41.52</v>
      </c>
      <c r="G2819" t="s">
        <v>19</v>
      </c>
      <c r="H2819" t="s">
        <v>15</v>
      </c>
      <c r="I2819">
        <v>4</v>
      </c>
      <c r="J2819">
        <v>16</v>
      </c>
      <c r="K2819">
        <v>3</v>
      </c>
      <c r="L2819" s="4">
        <v>49.428571428571431</v>
      </c>
      <c r="M2819" s="4">
        <v>7.9085714285714275</v>
      </c>
      <c r="N2819" t="s">
        <v>92</v>
      </c>
    </row>
    <row r="2820" spans="1:14">
      <c r="A2820">
        <v>2819</v>
      </c>
      <c r="B2820">
        <v>22</v>
      </c>
      <c r="C2820" t="s">
        <v>16</v>
      </c>
      <c r="D2820" t="s">
        <v>17</v>
      </c>
      <c r="E2820" t="s">
        <v>18</v>
      </c>
      <c r="F2820">
        <v>148.99</v>
      </c>
      <c r="G2820" t="s">
        <v>14</v>
      </c>
      <c r="H2820" t="s">
        <v>15</v>
      </c>
      <c r="I2820">
        <v>3.8</v>
      </c>
      <c r="J2820">
        <v>0</v>
      </c>
      <c r="K2820">
        <v>0</v>
      </c>
      <c r="L2820" s="4">
        <v>148.99</v>
      </c>
      <c r="M2820" s="4">
        <v>0</v>
      </c>
      <c r="N2820" t="s">
        <v>100</v>
      </c>
    </row>
    <row r="2821" spans="1:14">
      <c r="A2821">
        <v>2820</v>
      </c>
      <c r="B2821">
        <v>39</v>
      </c>
      <c r="C2821" t="s">
        <v>16</v>
      </c>
      <c r="D2821" t="s">
        <v>20</v>
      </c>
      <c r="E2821" t="s">
        <v>36</v>
      </c>
      <c r="F2821">
        <v>72.52</v>
      </c>
      <c r="G2821" t="s">
        <v>14</v>
      </c>
      <c r="H2821" t="s">
        <v>15</v>
      </c>
      <c r="I2821">
        <v>4.0999999999999996</v>
      </c>
      <c r="J2821">
        <v>32</v>
      </c>
      <c r="K2821">
        <v>11</v>
      </c>
      <c r="L2821" s="4">
        <v>106.64705882352942</v>
      </c>
      <c r="M2821" s="4">
        <v>34.127058823529424</v>
      </c>
      <c r="N2821" t="s">
        <v>92</v>
      </c>
    </row>
    <row r="2822" spans="1:14">
      <c r="A2822">
        <v>2821</v>
      </c>
      <c r="B2822">
        <v>50</v>
      </c>
      <c r="C2822" t="s">
        <v>16</v>
      </c>
      <c r="D2822" t="s">
        <v>20</v>
      </c>
      <c r="E2822" t="s">
        <v>36</v>
      </c>
      <c r="F2822">
        <v>51.45</v>
      </c>
      <c r="G2822" t="s">
        <v>31</v>
      </c>
      <c r="H2822" t="s">
        <v>15</v>
      </c>
      <c r="I2822">
        <v>4.8</v>
      </c>
      <c r="J2822">
        <v>21</v>
      </c>
      <c r="K2822">
        <v>8</v>
      </c>
      <c r="L2822" s="4">
        <v>65.12658227848101</v>
      </c>
      <c r="M2822" s="4">
        <v>13.676582278481007</v>
      </c>
      <c r="N2822" t="s">
        <v>93</v>
      </c>
    </row>
    <row r="2823" spans="1:14">
      <c r="A2823">
        <v>2822</v>
      </c>
      <c r="B2823">
        <v>62</v>
      </c>
      <c r="C2823" t="s">
        <v>11</v>
      </c>
      <c r="D2823" t="s">
        <v>22</v>
      </c>
      <c r="E2823" t="s">
        <v>23</v>
      </c>
      <c r="F2823">
        <v>267.63</v>
      </c>
      <c r="G2823" t="s">
        <v>31</v>
      </c>
      <c r="H2823" t="s">
        <v>15</v>
      </c>
      <c r="I2823">
        <v>4</v>
      </c>
      <c r="J2823">
        <v>15</v>
      </c>
      <c r="K2823">
        <v>5</v>
      </c>
      <c r="L2823" s="4">
        <v>314.85882352941178</v>
      </c>
      <c r="M2823" s="4">
        <v>47.228823529411784</v>
      </c>
      <c r="N2823" t="s">
        <v>94</v>
      </c>
    </row>
    <row r="2824" spans="1:14">
      <c r="A2824">
        <v>2823</v>
      </c>
      <c r="B2824">
        <v>34</v>
      </c>
      <c r="C2824" t="s">
        <v>16</v>
      </c>
      <c r="D2824" t="s">
        <v>17</v>
      </c>
      <c r="E2824" t="s">
        <v>35</v>
      </c>
      <c r="F2824">
        <v>173.49</v>
      </c>
      <c r="G2824" t="s">
        <v>31</v>
      </c>
      <c r="H2824" t="s">
        <v>15</v>
      </c>
      <c r="I2824">
        <v>3.6</v>
      </c>
      <c r="J2824">
        <v>16</v>
      </c>
      <c r="K2824">
        <v>8</v>
      </c>
      <c r="L2824" s="4">
        <v>206.53571428571431</v>
      </c>
      <c r="M2824" s="4">
        <v>33.045714285714297</v>
      </c>
      <c r="N2824" t="s">
        <v>91</v>
      </c>
    </row>
    <row r="2825" spans="1:14">
      <c r="A2825">
        <v>2824</v>
      </c>
      <c r="B2825">
        <v>58</v>
      </c>
      <c r="C2825" t="s">
        <v>16</v>
      </c>
      <c r="D2825" t="s">
        <v>25</v>
      </c>
      <c r="E2825" t="s">
        <v>26</v>
      </c>
      <c r="F2825">
        <v>27.45</v>
      </c>
      <c r="G2825" t="s">
        <v>14</v>
      </c>
      <c r="H2825" t="s">
        <v>15</v>
      </c>
      <c r="I2825">
        <v>3.3</v>
      </c>
      <c r="J2825">
        <v>18</v>
      </c>
      <c r="K2825">
        <v>4</v>
      </c>
      <c r="L2825" s="4">
        <v>33.475609756097555</v>
      </c>
      <c r="M2825" s="4">
        <v>6.0256097560975554</v>
      </c>
      <c r="N2825" t="s">
        <v>94</v>
      </c>
    </row>
    <row r="2826" spans="1:14">
      <c r="A2826">
        <v>2825</v>
      </c>
      <c r="B2826">
        <v>36</v>
      </c>
      <c r="C2826" t="s">
        <v>11</v>
      </c>
      <c r="D2826" t="s">
        <v>12</v>
      </c>
      <c r="E2826" t="s">
        <v>50</v>
      </c>
      <c r="F2826">
        <v>112.43</v>
      </c>
      <c r="G2826" t="s">
        <v>31</v>
      </c>
      <c r="H2826" t="s">
        <v>15</v>
      </c>
      <c r="I2826">
        <v>4.5</v>
      </c>
      <c r="J2826">
        <v>14</v>
      </c>
      <c r="K2826">
        <v>2</v>
      </c>
      <c r="L2826" s="4">
        <v>130.73255813953489</v>
      </c>
      <c r="M2826" s="4">
        <v>18.302558139534881</v>
      </c>
      <c r="N2826" t="s">
        <v>92</v>
      </c>
    </row>
    <row r="2827" spans="1:14">
      <c r="A2827">
        <v>2826</v>
      </c>
      <c r="B2827">
        <v>30</v>
      </c>
      <c r="C2827" t="s">
        <v>16</v>
      </c>
      <c r="D2827" t="s">
        <v>20</v>
      </c>
      <c r="E2827" t="s">
        <v>21</v>
      </c>
      <c r="F2827">
        <v>78.09</v>
      </c>
      <c r="G2827" t="s">
        <v>24</v>
      </c>
      <c r="H2827" t="s">
        <v>15</v>
      </c>
      <c r="I2827">
        <v>4.7</v>
      </c>
      <c r="J2827">
        <v>15</v>
      </c>
      <c r="K2827">
        <v>5</v>
      </c>
      <c r="L2827" s="4">
        <v>91.870588235294122</v>
      </c>
      <c r="M2827" s="4">
        <v>13.780588235294118</v>
      </c>
      <c r="N2827" t="s">
        <v>91</v>
      </c>
    </row>
    <row r="2828" spans="1:14">
      <c r="A2828">
        <v>2827</v>
      </c>
      <c r="B2828">
        <v>42</v>
      </c>
      <c r="C2828" t="s">
        <v>11</v>
      </c>
      <c r="D2828" t="s">
        <v>33</v>
      </c>
      <c r="E2828" t="s">
        <v>34</v>
      </c>
      <c r="F2828">
        <v>169.66</v>
      </c>
      <c r="G2828" t="s">
        <v>19</v>
      </c>
      <c r="H2828" t="s">
        <v>15</v>
      </c>
      <c r="I2828">
        <v>3.8</v>
      </c>
      <c r="J2828">
        <v>11</v>
      </c>
      <c r="K2828">
        <v>3</v>
      </c>
      <c r="L2828" s="4">
        <v>190.62921348314606</v>
      </c>
      <c r="M2828" s="4">
        <v>20.969213483146063</v>
      </c>
      <c r="N2828" t="s">
        <v>92</v>
      </c>
    </row>
    <row r="2829" spans="1:14">
      <c r="A2829">
        <v>2828</v>
      </c>
      <c r="B2829">
        <v>50</v>
      </c>
      <c r="C2829" t="s">
        <v>16</v>
      </c>
      <c r="D2829" t="s">
        <v>17</v>
      </c>
      <c r="E2829" t="s">
        <v>48</v>
      </c>
      <c r="F2829">
        <v>163.03</v>
      </c>
      <c r="G2829" t="s">
        <v>19</v>
      </c>
      <c r="H2829" t="s">
        <v>15</v>
      </c>
      <c r="I2829">
        <v>4.5999999999999996</v>
      </c>
      <c r="J2829">
        <v>14</v>
      </c>
      <c r="K2829">
        <v>2</v>
      </c>
      <c r="L2829" s="4">
        <v>189.56976744186048</v>
      </c>
      <c r="M2829" s="4">
        <v>26.539767441860477</v>
      </c>
      <c r="N2829" t="s">
        <v>93</v>
      </c>
    </row>
    <row r="2830" spans="1:14">
      <c r="A2830">
        <v>2829</v>
      </c>
      <c r="B2830">
        <v>63</v>
      </c>
      <c r="C2830" t="s">
        <v>11</v>
      </c>
      <c r="D2830" t="s">
        <v>20</v>
      </c>
      <c r="E2830" t="s">
        <v>21</v>
      </c>
      <c r="F2830">
        <v>194.67</v>
      </c>
      <c r="G2830" t="s">
        <v>24</v>
      </c>
      <c r="H2830" t="s">
        <v>15</v>
      </c>
      <c r="I2830">
        <v>3.8</v>
      </c>
      <c r="J2830">
        <v>15</v>
      </c>
      <c r="K2830">
        <v>5</v>
      </c>
      <c r="L2830" s="4">
        <v>229.02352941176468</v>
      </c>
      <c r="M2830" s="4">
        <v>34.353529411764697</v>
      </c>
      <c r="N2830" t="s">
        <v>94</v>
      </c>
    </row>
    <row r="2831" spans="1:14">
      <c r="A2831">
        <v>2830</v>
      </c>
      <c r="B2831">
        <v>50</v>
      </c>
      <c r="C2831" t="s">
        <v>11</v>
      </c>
      <c r="D2831" t="s">
        <v>20</v>
      </c>
      <c r="E2831" t="s">
        <v>21</v>
      </c>
      <c r="F2831">
        <v>82.53</v>
      </c>
      <c r="G2831" t="s">
        <v>19</v>
      </c>
      <c r="H2831" t="s">
        <v>15</v>
      </c>
      <c r="I2831">
        <v>3.7</v>
      </c>
      <c r="J2831">
        <v>16</v>
      </c>
      <c r="K2831">
        <v>3</v>
      </c>
      <c r="L2831" s="4">
        <v>98.25</v>
      </c>
      <c r="M2831" s="4">
        <v>15.719999999999999</v>
      </c>
      <c r="N2831" t="s">
        <v>93</v>
      </c>
    </row>
    <row r="2832" spans="1:14">
      <c r="A2832">
        <v>2831</v>
      </c>
      <c r="B2832">
        <v>49</v>
      </c>
      <c r="C2832" t="s">
        <v>11</v>
      </c>
      <c r="D2832" t="s">
        <v>41</v>
      </c>
      <c r="E2832" t="s">
        <v>45</v>
      </c>
      <c r="F2832">
        <v>146.27000000000001</v>
      </c>
      <c r="G2832" t="s">
        <v>24</v>
      </c>
      <c r="H2832" t="s">
        <v>15</v>
      </c>
      <c r="I2832">
        <v>2.9</v>
      </c>
      <c r="J2832">
        <v>10</v>
      </c>
      <c r="K2832">
        <v>5</v>
      </c>
      <c r="L2832" s="4">
        <v>162.52222222222224</v>
      </c>
      <c r="M2832" s="4">
        <v>16.25222222222223</v>
      </c>
      <c r="N2832" t="s">
        <v>93</v>
      </c>
    </row>
    <row r="2833" spans="1:14">
      <c r="A2833">
        <v>2832</v>
      </c>
      <c r="B2833">
        <v>27</v>
      </c>
      <c r="C2833" t="s">
        <v>11</v>
      </c>
      <c r="D2833" t="s">
        <v>20</v>
      </c>
      <c r="E2833" t="s">
        <v>39</v>
      </c>
      <c r="F2833">
        <v>175.05</v>
      </c>
      <c r="G2833" t="s">
        <v>19</v>
      </c>
      <c r="H2833" t="s">
        <v>15</v>
      </c>
      <c r="I2833">
        <v>2.7</v>
      </c>
      <c r="J2833">
        <v>18</v>
      </c>
      <c r="K2833">
        <v>9</v>
      </c>
      <c r="L2833" s="4">
        <v>213.47560975609755</v>
      </c>
      <c r="M2833" s="4">
        <v>38.425609756097543</v>
      </c>
      <c r="N2833" t="s">
        <v>91</v>
      </c>
    </row>
    <row r="2834" spans="1:14">
      <c r="A2834">
        <v>2833</v>
      </c>
      <c r="B2834">
        <v>21</v>
      </c>
      <c r="C2834" t="s">
        <v>11</v>
      </c>
      <c r="D2834" t="s">
        <v>41</v>
      </c>
      <c r="E2834" t="s">
        <v>46</v>
      </c>
      <c r="F2834">
        <v>170.15</v>
      </c>
      <c r="G2834" t="s">
        <v>19</v>
      </c>
      <c r="H2834" t="s">
        <v>15</v>
      </c>
      <c r="I2834">
        <v>3.3</v>
      </c>
      <c r="J2834">
        <v>14</v>
      </c>
      <c r="K2834">
        <v>7</v>
      </c>
      <c r="L2834" s="4">
        <v>197.84883720930233</v>
      </c>
      <c r="M2834" s="4">
        <v>27.698837209302326</v>
      </c>
      <c r="N2834" t="s">
        <v>100</v>
      </c>
    </row>
    <row r="2835" spans="1:14">
      <c r="A2835">
        <v>2834</v>
      </c>
      <c r="B2835">
        <v>42</v>
      </c>
      <c r="C2835" t="s">
        <v>11</v>
      </c>
      <c r="D2835" t="s">
        <v>22</v>
      </c>
      <c r="E2835" t="s">
        <v>43</v>
      </c>
      <c r="F2835">
        <v>91.56</v>
      </c>
      <c r="G2835" t="s">
        <v>31</v>
      </c>
      <c r="H2835" t="s">
        <v>37</v>
      </c>
      <c r="I2835">
        <v>5</v>
      </c>
      <c r="J2835">
        <v>15</v>
      </c>
      <c r="K2835">
        <v>5</v>
      </c>
      <c r="L2835" s="4">
        <v>107.71764705882353</v>
      </c>
      <c r="M2835" s="4">
        <v>16.157647058823528</v>
      </c>
      <c r="N2835" t="s">
        <v>92</v>
      </c>
    </row>
    <row r="2836" spans="1:14">
      <c r="A2836">
        <v>2835</v>
      </c>
      <c r="B2836">
        <v>54</v>
      </c>
      <c r="C2836" t="s">
        <v>16</v>
      </c>
      <c r="D2836" t="s">
        <v>20</v>
      </c>
      <c r="E2836" t="s">
        <v>36</v>
      </c>
      <c r="F2836">
        <v>188.44</v>
      </c>
      <c r="G2836" t="s">
        <v>19</v>
      </c>
      <c r="H2836" t="s">
        <v>15</v>
      </c>
      <c r="I2836">
        <v>4.8</v>
      </c>
      <c r="J2836">
        <v>24</v>
      </c>
      <c r="K2836">
        <v>7</v>
      </c>
      <c r="L2836" s="4">
        <v>247.94736842105263</v>
      </c>
      <c r="M2836" s="4">
        <v>59.507368421052632</v>
      </c>
      <c r="N2836" t="s">
        <v>93</v>
      </c>
    </row>
    <row r="2837" spans="1:14">
      <c r="A2837">
        <v>2836</v>
      </c>
      <c r="B2837">
        <v>47</v>
      </c>
      <c r="C2837" t="s">
        <v>16</v>
      </c>
      <c r="D2837" t="s">
        <v>27</v>
      </c>
      <c r="E2837" t="s">
        <v>49</v>
      </c>
      <c r="F2837">
        <v>585.1</v>
      </c>
      <c r="G2837" t="s">
        <v>14</v>
      </c>
      <c r="H2837" t="s">
        <v>15</v>
      </c>
      <c r="I2837">
        <v>3.6</v>
      </c>
      <c r="J2837">
        <v>14</v>
      </c>
      <c r="K2837">
        <v>2</v>
      </c>
      <c r="L2837" s="4">
        <v>680.34883720930236</v>
      </c>
      <c r="M2837" s="4">
        <v>95.248837209302337</v>
      </c>
      <c r="N2837" t="s">
        <v>93</v>
      </c>
    </row>
    <row r="2838" spans="1:14">
      <c r="A2838">
        <v>2837</v>
      </c>
      <c r="B2838">
        <v>62</v>
      </c>
      <c r="C2838" t="s">
        <v>16</v>
      </c>
      <c r="D2838" t="s">
        <v>25</v>
      </c>
      <c r="E2838" t="s">
        <v>47</v>
      </c>
      <c r="F2838">
        <v>72.41</v>
      </c>
      <c r="G2838" t="s">
        <v>31</v>
      </c>
      <c r="H2838" t="s">
        <v>37</v>
      </c>
      <c r="I2838">
        <v>2.8</v>
      </c>
      <c r="J2838">
        <v>14</v>
      </c>
      <c r="K2838">
        <v>7</v>
      </c>
      <c r="L2838" s="4">
        <v>84.197674418604649</v>
      </c>
      <c r="M2838" s="4">
        <v>11.787674418604652</v>
      </c>
      <c r="N2838" t="s">
        <v>94</v>
      </c>
    </row>
    <row r="2839" spans="1:14">
      <c r="A2839">
        <v>2838</v>
      </c>
      <c r="B2839">
        <v>55</v>
      </c>
      <c r="C2839" t="s">
        <v>11</v>
      </c>
      <c r="D2839" t="s">
        <v>41</v>
      </c>
      <c r="E2839" t="s">
        <v>45</v>
      </c>
      <c r="F2839">
        <v>148.16</v>
      </c>
      <c r="G2839" t="s">
        <v>14</v>
      </c>
      <c r="H2839" t="s">
        <v>15</v>
      </c>
      <c r="I2839">
        <v>3.8</v>
      </c>
      <c r="J2839">
        <v>14</v>
      </c>
      <c r="K2839">
        <v>7</v>
      </c>
      <c r="L2839" s="4">
        <v>172.27906976744185</v>
      </c>
      <c r="M2839" s="4">
        <v>24.119069767441857</v>
      </c>
      <c r="N2839" t="s">
        <v>94</v>
      </c>
    </row>
    <row r="2840" spans="1:14">
      <c r="A2840">
        <v>2839</v>
      </c>
      <c r="B2840">
        <v>65</v>
      </c>
      <c r="C2840" t="s">
        <v>16</v>
      </c>
      <c r="D2840" t="s">
        <v>17</v>
      </c>
      <c r="E2840" t="s">
        <v>35</v>
      </c>
      <c r="F2840">
        <v>30.58</v>
      </c>
      <c r="G2840" t="s">
        <v>24</v>
      </c>
      <c r="H2840" t="s">
        <v>37</v>
      </c>
      <c r="I2840">
        <v>2.5</v>
      </c>
      <c r="J2840">
        <v>11</v>
      </c>
      <c r="K2840">
        <v>3</v>
      </c>
      <c r="L2840" s="4">
        <v>34.359550561797754</v>
      </c>
      <c r="M2840" s="4">
        <v>3.7795505617977554</v>
      </c>
      <c r="N2840" t="s">
        <v>95</v>
      </c>
    </row>
    <row r="2841" spans="1:14">
      <c r="A2841">
        <v>2840</v>
      </c>
      <c r="B2841">
        <v>23</v>
      </c>
      <c r="C2841" t="s">
        <v>11</v>
      </c>
      <c r="D2841" t="s">
        <v>12</v>
      </c>
      <c r="E2841" t="s">
        <v>50</v>
      </c>
      <c r="F2841">
        <v>48.53</v>
      </c>
      <c r="G2841" t="s">
        <v>24</v>
      </c>
      <c r="H2841" t="s">
        <v>37</v>
      </c>
      <c r="I2841">
        <v>3.1</v>
      </c>
      <c r="J2841">
        <v>10</v>
      </c>
      <c r="K2841">
        <v>5</v>
      </c>
      <c r="L2841" s="4">
        <v>53.922222222222224</v>
      </c>
      <c r="M2841" s="4">
        <v>5.3922222222222231</v>
      </c>
      <c r="N2841" t="s">
        <v>100</v>
      </c>
    </row>
    <row r="2842" spans="1:14">
      <c r="A2842">
        <v>2841</v>
      </c>
      <c r="B2842">
        <v>49</v>
      </c>
      <c r="C2842" t="s">
        <v>11</v>
      </c>
      <c r="D2842" t="s">
        <v>41</v>
      </c>
      <c r="E2842" t="s">
        <v>44</v>
      </c>
      <c r="F2842">
        <v>72.069999999999993</v>
      </c>
      <c r="G2842" t="s">
        <v>19</v>
      </c>
      <c r="H2842" t="s">
        <v>37</v>
      </c>
      <c r="I2842">
        <v>2.7</v>
      </c>
      <c r="J2842">
        <v>6</v>
      </c>
      <c r="K2842">
        <v>3</v>
      </c>
      <c r="L2842" s="4">
        <v>76.670212765957444</v>
      </c>
      <c r="M2842" s="4">
        <v>4.6002127659574512</v>
      </c>
      <c r="N2842" t="s">
        <v>93</v>
      </c>
    </row>
    <row r="2843" spans="1:14">
      <c r="A2843">
        <v>2842</v>
      </c>
      <c r="B2843">
        <v>64</v>
      </c>
      <c r="C2843" t="s">
        <v>11</v>
      </c>
      <c r="D2843" t="s">
        <v>33</v>
      </c>
      <c r="E2843" t="s">
        <v>34</v>
      </c>
      <c r="F2843">
        <v>173.87</v>
      </c>
      <c r="G2843" t="s">
        <v>24</v>
      </c>
      <c r="H2843" t="s">
        <v>15</v>
      </c>
      <c r="I2843">
        <v>3.1</v>
      </c>
      <c r="J2843">
        <v>15</v>
      </c>
      <c r="K2843">
        <v>5</v>
      </c>
      <c r="L2843" s="4">
        <v>204.5529411764706</v>
      </c>
      <c r="M2843" s="4">
        <v>30.682941176470592</v>
      </c>
      <c r="N2843" t="s">
        <v>94</v>
      </c>
    </row>
    <row r="2844" spans="1:14">
      <c r="A2844">
        <v>2843</v>
      </c>
      <c r="B2844">
        <v>20</v>
      </c>
      <c r="C2844" t="s">
        <v>11</v>
      </c>
      <c r="D2844" t="s">
        <v>41</v>
      </c>
      <c r="E2844" t="s">
        <v>45</v>
      </c>
      <c r="F2844">
        <v>167.76</v>
      </c>
      <c r="G2844" t="s">
        <v>19</v>
      </c>
      <c r="H2844" t="s">
        <v>15</v>
      </c>
      <c r="I2844">
        <v>4.2</v>
      </c>
      <c r="J2844">
        <v>20</v>
      </c>
      <c r="K2844">
        <v>5</v>
      </c>
      <c r="L2844" s="4">
        <v>209.7</v>
      </c>
      <c r="M2844" s="4">
        <v>41.94</v>
      </c>
      <c r="N2844" t="s">
        <v>100</v>
      </c>
    </row>
    <row r="2845" spans="1:14">
      <c r="A2845">
        <v>2844</v>
      </c>
      <c r="B2845">
        <v>28</v>
      </c>
      <c r="C2845" t="s">
        <v>16</v>
      </c>
      <c r="D2845" t="s">
        <v>27</v>
      </c>
      <c r="E2845" t="s">
        <v>32</v>
      </c>
      <c r="F2845">
        <v>581.89</v>
      </c>
      <c r="G2845" t="s">
        <v>31</v>
      </c>
      <c r="H2845" t="s">
        <v>15</v>
      </c>
      <c r="I2845">
        <v>3</v>
      </c>
      <c r="J2845">
        <v>10</v>
      </c>
      <c r="K2845">
        <v>5</v>
      </c>
      <c r="L2845" s="4">
        <v>646.54444444444437</v>
      </c>
      <c r="M2845" s="4">
        <v>64.65444444444438</v>
      </c>
      <c r="N2845" t="s">
        <v>91</v>
      </c>
    </row>
    <row r="2846" spans="1:14">
      <c r="A2846">
        <v>2845</v>
      </c>
      <c r="B2846">
        <v>66</v>
      </c>
      <c r="C2846" t="s">
        <v>11</v>
      </c>
      <c r="D2846" t="s">
        <v>33</v>
      </c>
      <c r="E2846" t="s">
        <v>38</v>
      </c>
      <c r="F2846">
        <v>100.1</v>
      </c>
      <c r="G2846" t="s">
        <v>14</v>
      </c>
      <c r="H2846" t="s">
        <v>15</v>
      </c>
      <c r="I2846">
        <v>3.6</v>
      </c>
      <c r="J2846">
        <v>11</v>
      </c>
      <c r="K2846">
        <v>3</v>
      </c>
      <c r="L2846" s="4">
        <v>112.47191011235954</v>
      </c>
      <c r="M2846" s="4">
        <v>12.371910112359544</v>
      </c>
      <c r="N2846" t="s">
        <v>95</v>
      </c>
    </row>
    <row r="2847" spans="1:14">
      <c r="A2847">
        <v>2846</v>
      </c>
      <c r="B2847">
        <v>57</v>
      </c>
      <c r="C2847" t="s">
        <v>11</v>
      </c>
      <c r="D2847" t="s">
        <v>29</v>
      </c>
      <c r="E2847" t="s">
        <v>51</v>
      </c>
      <c r="F2847">
        <v>28.82</v>
      </c>
      <c r="G2847" t="s">
        <v>24</v>
      </c>
      <c r="H2847" t="s">
        <v>37</v>
      </c>
      <c r="I2847">
        <v>3.3</v>
      </c>
      <c r="J2847">
        <v>16</v>
      </c>
      <c r="K2847">
        <v>3</v>
      </c>
      <c r="L2847" s="4">
        <v>34.30952380952381</v>
      </c>
      <c r="M2847" s="4">
        <v>5.4895238095238099</v>
      </c>
      <c r="N2847" t="s">
        <v>94</v>
      </c>
    </row>
    <row r="2848" spans="1:14">
      <c r="A2848">
        <v>2847</v>
      </c>
      <c r="B2848">
        <v>48</v>
      </c>
      <c r="C2848" t="s">
        <v>16</v>
      </c>
      <c r="D2848" t="s">
        <v>17</v>
      </c>
      <c r="E2848" t="s">
        <v>35</v>
      </c>
      <c r="F2848">
        <v>150.38</v>
      </c>
      <c r="G2848" t="s">
        <v>24</v>
      </c>
      <c r="H2848" t="s">
        <v>15</v>
      </c>
      <c r="I2848">
        <v>3.7</v>
      </c>
      <c r="J2848">
        <v>24</v>
      </c>
      <c r="K2848">
        <v>7</v>
      </c>
      <c r="L2848" s="4">
        <v>197.86842105263156</v>
      </c>
      <c r="M2848" s="4">
        <v>47.488421052631566</v>
      </c>
      <c r="N2848" t="s">
        <v>93</v>
      </c>
    </row>
    <row r="2849" spans="1:14">
      <c r="A2849">
        <v>2848</v>
      </c>
      <c r="B2849">
        <v>39</v>
      </c>
      <c r="C2849" t="s">
        <v>11</v>
      </c>
      <c r="D2849" t="s">
        <v>41</v>
      </c>
      <c r="E2849" t="s">
        <v>42</v>
      </c>
      <c r="F2849">
        <v>193.29</v>
      </c>
      <c r="G2849" t="s">
        <v>19</v>
      </c>
      <c r="H2849" t="s">
        <v>15</v>
      </c>
      <c r="I2849">
        <v>2.9</v>
      </c>
      <c r="J2849">
        <v>15</v>
      </c>
      <c r="K2849">
        <v>5</v>
      </c>
      <c r="L2849" s="4">
        <v>227.4</v>
      </c>
      <c r="M2849" s="4">
        <v>34.110000000000014</v>
      </c>
      <c r="N2849" t="s">
        <v>92</v>
      </c>
    </row>
    <row r="2850" spans="1:14">
      <c r="A2850">
        <v>2849</v>
      </c>
      <c r="B2850">
        <v>58</v>
      </c>
      <c r="C2850" t="s">
        <v>16</v>
      </c>
      <c r="D2850" t="s">
        <v>33</v>
      </c>
      <c r="E2850" t="s">
        <v>40</v>
      </c>
      <c r="F2850">
        <v>80.52</v>
      </c>
      <c r="G2850" t="s">
        <v>31</v>
      </c>
      <c r="H2850" t="s">
        <v>37</v>
      </c>
      <c r="I2850">
        <v>3.7</v>
      </c>
      <c r="J2850">
        <v>15</v>
      </c>
      <c r="K2850">
        <v>5</v>
      </c>
      <c r="L2850" s="4">
        <v>94.729411764705887</v>
      </c>
      <c r="M2850" s="4">
        <v>14.209411764705891</v>
      </c>
      <c r="N2850" t="s">
        <v>94</v>
      </c>
    </row>
    <row r="2851" spans="1:14">
      <c r="A2851">
        <v>2850</v>
      </c>
      <c r="B2851">
        <v>64</v>
      </c>
      <c r="C2851" t="s">
        <v>11</v>
      </c>
      <c r="D2851" t="s">
        <v>25</v>
      </c>
      <c r="E2851" t="s">
        <v>57</v>
      </c>
      <c r="F2851">
        <v>19.96</v>
      </c>
      <c r="G2851" t="s">
        <v>14</v>
      </c>
      <c r="H2851" t="s">
        <v>37</v>
      </c>
      <c r="I2851">
        <v>3</v>
      </c>
      <c r="J2851">
        <v>6</v>
      </c>
      <c r="K2851">
        <v>3</v>
      </c>
      <c r="L2851" s="4">
        <v>21.234042553191493</v>
      </c>
      <c r="M2851" s="4">
        <v>1.2740425531914923</v>
      </c>
      <c r="N2851" t="s">
        <v>94</v>
      </c>
    </row>
    <row r="2852" spans="1:14">
      <c r="A2852">
        <v>2851</v>
      </c>
      <c r="B2852">
        <v>38</v>
      </c>
      <c r="C2852" t="s">
        <v>11</v>
      </c>
      <c r="D2852" t="s">
        <v>29</v>
      </c>
      <c r="E2852" t="s">
        <v>55</v>
      </c>
      <c r="F2852">
        <v>81.760000000000005</v>
      </c>
      <c r="G2852" t="s">
        <v>31</v>
      </c>
      <c r="H2852" t="s">
        <v>37</v>
      </c>
      <c r="I2852">
        <v>4.0999999999999996</v>
      </c>
      <c r="J2852">
        <v>8</v>
      </c>
      <c r="K2852">
        <v>4</v>
      </c>
      <c r="L2852" s="4">
        <v>88.869565217391312</v>
      </c>
      <c r="M2852" s="4">
        <v>7.1095652173913066</v>
      </c>
      <c r="N2852" t="s">
        <v>92</v>
      </c>
    </row>
    <row r="2853" spans="1:14">
      <c r="A2853">
        <v>2852</v>
      </c>
      <c r="B2853">
        <v>47</v>
      </c>
      <c r="C2853" t="s">
        <v>16</v>
      </c>
      <c r="D2853" t="s">
        <v>25</v>
      </c>
      <c r="E2853" t="s">
        <v>47</v>
      </c>
      <c r="F2853">
        <v>19.760000000000002</v>
      </c>
      <c r="G2853" t="s">
        <v>31</v>
      </c>
      <c r="H2853" t="s">
        <v>37</v>
      </c>
      <c r="I2853">
        <v>3.8</v>
      </c>
      <c r="J2853">
        <v>9</v>
      </c>
      <c r="K2853">
        <v>2</v>
      </c>
      <c r="L2853" s="4">
        <v>21.714285714285715</v>
      </c>
      <c r="M2853" s="4">
        <v>1.9542857142857137</v>
      </c>
      <c r="N2853" t="s">
        <v>93</v>
      </c>
    </row>
    <row r="2854" spans="1:14">
      <c r="A2854">
        <v>2853</v>
      </c>
      <c r="B2854">
        <v>49</v>
      </c>
      <c r="C2854" t="s">
        <v>11</v>
      </c>
      <c r="D2854" t="s">
        <v>41</v>
      </c>
      <c r="E2854" t="s">
        <v>46</v>
      </c>
      <c r="F2854">
        <v>73.31</v>
      </c>
      <c r="G2854" t="s">
        <v>19</v>
      </c>
      <c r="H2854" t="s">
        <v>37</v>
      </c>
      <c r="I2854">
        <v>3.5</v>
      </c>
      <c r="J2854">
        <v>20</v>
      </c>
      <c r="K2854">
        <v>5</v>
      </c>
      <c r="L2854" s="4">
        <v>91.637500000000003</v>
      </c>
      <c r="M2854" s="4">
        <v>18.327500000000001</v>
      </c>
      <c r="N2854" t="s">
        <v>93</v>
      </c>
    </row>
    <row r="2855" spans="1:14">
      <c r="A2855">
        <v>2854</v>
      </c>
      <c r="B2855">
        <v>30</v>
      </c>
      <c r="C2855" t="s">
        <v>16</v>
      </c>
      <c r="D2855" t="s">
        <v>20</v>
      </c>
      <c r="E2855" t="s">
        <v>36</v>
      </c>
      <c r="F2855">
        <v>95.37</v>
      </c>
      <c r="G2855" t="s">
        <v>31</v>
      </c>
      <c r="H2855" t="s">
        <v>37</v>
      </c>
      <c r="I2855">
        <v>4.2</v>
      </c>
      <c r="J2855">
        <v>17</v>
      </c>
      <c r="K2855">
        <v>6</v>
      </c>
      <c r="L2855" s="4">
        <v>114.90361445783134</v>
      </c>
      <c r="M2855" s="4">
        <v>19.533614457831334</v>
      </c>
      <c r="N2855" t="s">
        <v>91</v>
      </c>
    </row>
    <row r="2856" spans="1:14">
      <c r="A2856">
        <v>2855</v>
      </c>
      <c r="B2856">
        <v>24</v>
      </c>
      <c r="C2856" t="s">
        <v>11</v>
      </c>
      <c r="D2856" t="s">
        <v>12</v>
      </c>
      <c r="E2856" t="s">
        <v>13</v>
      </c>
      <c r="F2856">
        <v>105.91</v>
      </c>
      <c r="G2856" t="s">
        <v>14</v>
      </c>
      <c r="H2856" t="s">
        <v>15</v>
      </c>
      <c r="I2856">
        <v>3.9</v>
      </c>
      <c r="J2856">
        <v>19</v>
      </c>
      <c r="K2856">
        <v>7</v>
      </c>
      <c r="L2856" s="4">
        <v>130.75308641975306</v>
      </c>
      <c r="M2856" s="4">
        <v>24.843086419753064</v>
      </c>
      <c r="N2856" t="s">
        <v>100</v>
      </c>
    </row>
    <row r="2857" spans="1:14">
      <c r="A2857">
        <v>2856</v>
      </c>
      <c r="B2857">
        <v>68</v>
      </c>
      <c r="C2857" t="s">
        <v>16</v>
      </c>
      <c r="D2857" t="s">
        <v>17</v>
      </c>
      <c r="E2857" t="s">
        <v>18</v>
      </c>
      <c r="F2857">
        <v>82.8</v>
      </c>
      <c r="G2857" t="s">
        <v>24</v>
      </c>
      <c r="H2857" t="s">
        <v>15</v>
      </c>
      <c r="I2857">
        <v>3.6</v>
      </c>
      <c r="J2857">
        <v>8</v>
      </c>
      <c r="K2857">
        <v>4</v>
      </c>
      <c r="L2857" s="4">
        <v>90</v>
      </c>
      <c r="M2857" s="4">
        <v>7.2000000000000028</v>
      </c>
      <c r="N2857" t="s">
        <v>95</v>
      </c>
    </row>
    <row r="2858" spans="1:14">
      <c r="A2858">
        <v>2857</v>
      </c>
      <c r="B2858">
        <v>68</v>
      </c>
      <c r="C2858" t="s">
        <v>16</v>
      </c>
      <c r="D2858" t="s">
        <v>22</v>
      </c>
      <c r="E2858" t="s">
        <v>23</v>
      </c>
      <c r="F2858">
        <v>260.13</v>
      </c>
      <c r="G2858" t="s">
        <v>31</v>
      </c>
      <c r="H2858" t="s">
        <v>15</v>
      </c>
      <c r="I2858">
        <v>4</v>
      </c>
      <c r="J2858">
        <v>24</v>
      </c>
      <c r="K2858">
        <v>7</v>
      </c>
      <c r="L2858" s="4">
        <v>342.2763157894737</v>
      </c>
      <c r="M2858" s="4">
        <v>82.146315789473704</v>
      </c>
      <c r="N2858" t="s">
        <v>95</v>
      </c>
    </row>
    <row r="2859" spans="1:14">
      <c r="A2859">
        <v>2858</v>
      </c>
      <c r="B2859">
        <v>55</v>
      </c>
      <c r="C2859" t="s">
        <v>11</v>
      </c>
      <c r="D2859" t="s">
        <v>33</v>
      </c>
      <c r="E2859" t="s">
        <v>40</v>
      </c>
      <c r="F2859">
        <v>196.79</v>
      </c>
      <c r="G2859" t="s">
        <v>31</v>
      </c>
      <c r="H2859" t="s">
        <v>15</v>
      </c>
      <c r="I2859">
        <v>3.7</v>
      </c>
      <c r="J2859">
        <v>10</v>
      </c>
      <c r="K2859">
        <v>5</v>
      </c>
      <c r="L2859" s="4">
        <v>218.65555555555554</v>
      </c>
      <c r="M2859" s="4">
        <v>21.865555555555545</v>
      </c>
      <c r="N2859" t="s">
        <v>94</v>
      </c>
    </row>
    <row r="2860" spans="1:14">
      <c r="A2860">
        <v>2859</v>
      </c>
      <c r="B2860">
        <v>47</v>
      </c>
      <c r="C2860" t="s">
        <v>11</v>
      </c>
      <c r="D2860" t="s">
        <v>29</v>
      </c>
      <c r="E2860" t="s">
        <v>30</v>
      </c>
      <c r="F2860">
        <v>137.02000000000001</v>
      </c>
      <c r="G2860" t="s">
        <v>31</v>
      </c>
      <c r="H2860" t="s">
        <v>15</v>
      </c>
      <c r="I2860">
        <v>3.7</v>
      </c>
      <c r="J2860">
        <v>14</v>
      </c>
      <c r="K2860">
        <v>7</v>
      </c>
      <c r="L2860" s="4">
        <v>159.32558139534885</v>
      </c>
      <c r="M2860" s="4">
        <v>22.305581395348838</v>
      </c>
      <c r="N2860" t="s">
        <v>93</v>
      </c>
    </row>
    <row r="2861" spans="1:14">
      <c r="A2861">
        <v>2860</v>
      </c>
      <c r="B2861">
        <v>31</v>
      </c>
      <c r="C2861" t="s">
        <v>16</v>
      </c>
      <c r="D2861" t="s">
        <v>25</v>
      </c>
      <c r="E2861" t="s">
        <v>47</v>
      </c>
      <c r="F2861">
        <v>61.33</v>
      </c>
      <c r="G2861" t="s">
        <v>19</v>
      </c>
      <c r="H2861" t="s">
        <v>15</v>
      </c>
      <c r="I2861">
        <v>3.6</v>
      </c>
      <c r="J2861">
        <v>16</v>
      </c>
      <c r="K2861">
        <v>3</v>
      </c>
      <c r="L2861" s="4">
        <v>73.011904761904759</v>
      </c>
      <c r="M2861" s="4">
        <v>11.681904761904761</v>
      </c>
      <c r="N2861" t="s">
        <v>91</v>
      </c>
    </row>
    <row r="2862" spans="1:14">
      <c r="A2862">
        <v>2861</v>
      </c>
      <c r="B2862">
        <v>38</v>
      </c>
      <c r="C2862" t="s">
        <v>16</v>
      </c>
      <c r="D2862" t="s">
        <v>20</v>
      </c>
      <c r="E2862" t="s">
        <v>21</v>
      </c>
      <c r="F2862">
        <v>152.38999999999999</v>
      </c>
      <c r="G2862" t="s">
        <v>24</v>
      </c>
      <c r="H2862" t="s">
        <v>15</v>
      </c>
      <c r="I2862">
        <v>5</v>
      </c>
      <c r="J2862">
        <v>18</v>
      </c>
      <c r="K2862">
        <v>9</v>
      </c>
      <c r="L2862" s="4">
        <v>185.84146341463412</v>
      </c>
      <c r="M2862" s="4">
        <v>33.451463414634134</v>
      </c>
      <c r="N2862" t="s">
        <v>92</v>
      </c>
    </row>
    <row r="2863" spans="1:14">
      <c r="A2863">
        <v>2862</v>
      </c>
      <c r="B2863">
        <v>50</v>
      </c>
      <c r="C2863" t="s">
        <v>11</v>
      </c>
      <c r="D2863" t="s">
        <v>41</v>
      </c>
      <c r="E2863" t="s">
        <v>46</v>
      </c>
      <c r="F2863">
        <v>35.770000000000003</v>
      </c>
      <c r="G2863" t="s">
        <v>14</v>
      </c>
      <c r="H2863" t="s">
        <v>37</v>
      </c>
      <c r="I2863">
        <v>3.8</v>
      </c>
      <c r="J2863">
        <v>10</v>
      </c>
      <c r="K2863">
        <v>5</v>
      </c>
      <c r="L2863" s="4">
        <v>39.744444444444447</v>
      </c>
      <c r="M2863" s="4">
        <v>3.974444444444444</v>
      </c>
      <c r="N2863" t="s">
        <v>93</v>
      </c>
    </row>
    <row r="2864" spans="1:14">
      <c r="A2864">
        <v>2863</v>
      </c>
      <c r="B2864">
        <v>33</v>
      </c>
      <c r="C2864" t="s">
        <v>11</v>
      </c>
      <c r="D2864" t="s">
        <v>25</v>
      </c>
      <c r="E2864" t="s">
        <v>57</v>
      </c>
      <c r="F2864">
        <v>46.73</v>
      </c>
      <c r="G2864" t="s">
        <v>31</v>
      </c>
      <c r="H2864" t="s">
        <v>15</v>
      </c>
      <c r="I2864">
        <v>3.5</v>
      </c>
      <c r="J2864">
        <v>11</v>
      </c>
      <c r="K2864">
        <v>3</v>
      </c>
      <c r="L2864" s="4">
        <v>52.505617977528082</v>
      </c>
      <c r="M2864" s="4">
        <v>5.7756179775280856</v>
      </c>
      <c r="N2864" t="s">
        <v>91</v>
      </c>
    </row>
    <row r="2865" spans="1:14">
      <c r="A2865">
        <v>2864</v>
      </c>
      <c r="B2865">
        <v>35</v>
      </c>
      <c r="C2865" t="s">
        <v>16</v>
      </c>
      <c r="D2865" t="s">
        <v>17</v>
      </c>
      <c r="E2865" t="s">
        <v>18</v>
      </c>
      <c r="F2865">
        <v>129.83000000000001</v>
      </c>
      <c r="G2865" t="s">
        <v>19</v>
      </c>
      <c r="H2865" t="s">
        <v>15</v>
      </c>
      <c r="I2865">
        <v>4</v>
      </c>
      <c r="J2865">
        <v>21</v>
      </c>
      <c r="K2865">
        <v>8</v>
      </c>
      <c r="L2865" s="4">
        <v>164.34177215189874</v>
      </c>
      <c r="M2865" s="4">
        <v>34.511772151898725</v>
      </c>
      <c r="N2865" t="s">
        <v>92</v>
      </c>
    </row>
    <row r="2866" spans="1:14">
      <c r="A2866">
        <v>2865</v>
      </c>
      <c r="B2866">
        <v>47</v>
      </c>
      <c r="C2866" t="s">
        <v>16</v>
      </c>
      <c r="D2866" t="s">
        <v>20</v>
      </c>
      <c r="E2866" t="s">
        <v>36</v>
      </c>
      <c r="F2866">
        <v>223.95</v>
      </c>
      <c r="G2866" t="s">
        <v>24</v>
      </c>
      <c r="H2866" t="s">
        <v>15</v>
      </c>
      <c r="I2866">
        <v>4.8</v>
      </c>
      <c r="J2866">
        <v>24</v>
      </c>
      <c r="K2866">
        <v>7</v>
      </c>
      <c r="L2866" s="4">
        <v>294.6710526315789</v>
      </c>
      <c r="M2866" s="4">
        <v>70.721052631578914</v>
      </c>
      <c r="N2866" t="s">
        <v>93</v>
      </c>
    </row>
    <row r="2867" spans="1:14">
      <c r="A2867">
        <v>2866</v>
      </c>
      <c r="B2867">
        <v>28</v>
      </c>
      <c r="C2867" t="s">
        <v>11</v>
      </c>
      <c r="D2867" t="s">
        <v>29</v>
      </c>
      <c r="E2867" t="s">
        <v>55</v>
      </c>
      <c r="F2867">
        <v>30.28</v>
      </c>
      <c r="G2867" t="s">
        <v>19</v>
      </c>
      <c r="H2867" t="s">
        <v>37</v>
      </c>
      <c r="I2867">
        <v>5</v>
      </c>
      <c r="J2867">
        <v>17</v>
      </c>
      <c r="K2867">
        <v>6</v>
      </c>
      <c r="L2867" s="4">
        <v>36.481927710843379</v>
      </c>
      <c r="M2867" s="4">
        <v>6.2019277108433783</v>
      </c>
      <c r="N2867" t="s">
        <v>91</v>
      </c>
    </row>
    <row r="2868" spans="1:14">
      <c r="A2868">
        <v>2867</v>
      </c>
      <c r="B2868">
        <v>55</v>
      </c>
      <c r="C2868" t="s">
        <v>16</v>
      </c>
      <c r="D2868" t="s">
        <v>20</v>
      </c>
      <c r="E2868" t="s">
        <v>39</v>
      </c>
      <c r="F2868">
        <v>228.55</v>
      </c>
      <c r="G2868" t="s">
        <v>31</v>
      </c>
      <c r="H2868" t="s">
        <v>15</v>
      </c>
      <c r="I2868">
        <v>4.9000000000000004</v>
      </c>
      <c r="J2868">
        <v>28</v>
      </c>
      <c r="K2868">
        <v>9</v>
      </c>
      <c r="L2868" s="4">
        <v>317.4305555555556</v>
      </c>
      <c r="M2868" s="4">
        <v>88.880555555555588</v>
      </c>
      <c r="N2868" t="s">
        <v>94</v>
      </c>
    </row>
    <row r="2869" spans="1:14">
      <c r="A2869">
        <v>2868</v>
      </c>
      <c r="B2869">
        <v>57</v>
      </c>
      <c r="C2869" t="s">
        <v>16</v>
      </c>
      <c r="D2869" t="s">
        <v>20</v>
      </c>
      <c r="E2869" t="s">
        <v>39</v>
      </c>
      <c r="F2869">
        <v>195.53</v>
      </c>
      <c r="G2869" t="s">
        <v>24</v>
      </c>
      <c r="H2869" t="s">
        <v>15</v>
      </c>
      <c r="I2869">
        <v>3.4</v>
      </c>
      <c r="J2869">
        <v>10</v>
      </c>
      <c r="K2869">
        <v>5</v>
      </c>
      <c r="L2869" s="4">
        <v>217.25555555555556</v>
      </c>
      <c r="M2869" s="4">
        <v>21.725555555555559</v>
      </c>
      <c r="N2869" t="s">
        <v>94</v>
      </c>
    </row>
    <row r="2870" spans="1:14">
      <c r="A2870">
        <v>2869</v>
      </c>
      <c r="B2870">
        <v>59</v>
      </c>
      <c r="C2870" t="s">
        <v>16</v>
      </c>
      <c r="D2870" t="s">
        <v>33</v>
      </c>
      <c r="E2870" t="s">
        <v>34</v>
      </c>
      <c r="F2870">
        <v>131.44</v>
      </c>
      <c r="G2870" t="s">
        <v>14</v>
      </c>
      <c r="H2870" t="s">
        <v>15</v>
      </c>
      <c r="I2870">
        <v>3.2</v>
      </c>
      <c r="J2870">
        <v>15</v>
      </c>
      <c r="K2870">
        <v>5</v>
      </c>
      <c r="L2870" s="4">
        <v>154.63529411764705</v>
      </c>
      <c r="M2870" s="4">
        <v>23.195294117647052</v>
      </c>
      <c r="N2870" t="s">
        <v>94</v>
      </c>
    </row>
    <row r="2871" spans="1:14">
      <c r="A2871">
        <v>2870</v>
      </c>
      <c r="B2871">
        <v>27</v>
      </c>
      <c r="C2871" t="s">
        <v>16</v>
      </c>
      <c r="D2871" t="s">
        <v>20</v>
      </c>
      <c r="E2871" t="s">
        <v>36</v>
      </c>
      <c r="F2871">
        <v>118.81</v>
      </c>
      <c r="G2871" t="s">
        <v>14</v>
      </c>
      <c r="H2871" t="s">
        <v>15</v>
      </c>
      <c r="I2871">
        <v>2.2000000000000002</v>
      </c>
      <c r="J2871">
        <v>8</v>
      </c>
      <c r="K2871">
        <v>4</v>
      </c>
      <c r="L2871" s="4">
        <v>129.14130434782609</v>
      </c>
      <c r="M2871" s="4">
        <v>10.331304347826091</v>
      </c>
      <c r="N2871" t="s">
        <v>91</v>
      </c>
    </row>
    <row r="2872" spans="1:14">
      <c r="A2872">
        <v>2871</v>
      </c>
      <c r="B2872">
        <v>62</v>
      </c>
      <c r="C2872" t="s">
        <v>11</v>
      </c>
      <c r="D2872" t="s">
        <v>41</v>
      </c>
      <c r="E2872" t="s">
        <v>45</v>
      </c>
      <c r="F2872">
        <v>117.38</v>
      </c>
      <c r="G2872" t="s">
        <v>24</v>
      </c>
      <c r="H2872" t="s">
        <v>15</v>
      </c>
      <c r="I2872">
        <v>4.5</v>
      </c>
      <c r="J2872">
        <v>10</v>
      </c>
      <c r="K2872">
        <v>5</v>
      </c>
      <c r="L2872" s="4">
        <v>130.42222222222222</v>
      </c>
      <c r="M2872" s="4">
        <v>13.042222222222222</v>
      </c>
      <c r="N2872" t="s">
        <v>94</v>
      </c>
    </row>
    <row r="2873" spans="1:14">
      <c r="A2873">
        <v>2872</v>
      </c>
      <c r="B2873">
        <v>58</v>
      </c>
      <c r="C2873" t="s">
        <v>11</v>
      </c>
      <c r="D2873" t="s">
        <v>33</v>
      </c>
      <c r="E2873" t="s">
        <v>34</v>
      </c>
      <c r="F2873">
        <v>143.71</v>
      </c>
      <c r="G2873" t="s">
        <v>24</v>
      </c>
      <c r="H2873" t="s">
        <v>15</v>
      </c>
      <c r="I2873">
        <v>2.8</v>
      </c>
      <c r="J2873">
        <v>14</v>
      </c>
      <c r="K2873">
        <v>2</v>
      </c>
      <c r="L2873" s="4">
        <v>167.1046511627907</v>
      </c>
      <c r="M2873" s="4">
        <v>23.394651162790694</v>
      </c>
      <c r="N2873" t="s">
        <v>94</v>
      </c>
    </row>
    <row r="2874" spans="1:14">
      <c r="A2874">
        <v>2873</v>
      </c>
      <c r="B2874">
        <v>21</v>
      </c>
      <c r="C2874" t="s">
        <v>16</v>
      </c>
      <c r="D2874" t="s">
        <v>20</v>
      </c>
      <c r="E2874" t="s">
        <v>21</v>
      </c>
      <c r="F2874">
        <v>85.22</v>
      </c>
      <c r="G2874" t="s">
        <v>19</v>
      </c>
      <c r="H2874" t="s">
        <v>37</v>
      </c>
      <c r="I2874">
        <v>4.5999999999999996</v>
      </c>
      <c r="J2874">
        <v>28</v>
      </c>
      <c r="K2874">
        <v>9</v>
      </c>
      <c r="L2874" s="4">
        <v>118.36111111111111</v>
      </c>
      <c r="M2874" s="4">
        <v>33.141111111111115</v>
      </c>
      <c r="N2874" t="s">
        <v>100</v>
      </c>
    </row>
    <row r="2875" spans="1:14">
      <c r="A2875">
        <v>2874</v>
      </c>
      <c r="B2875">
        <v>48</v>
      </c>
      <c r="C2875" t="s">
        <v>11</v>
      </c>
      <c r="D2875" t="s">
        <v>41</v>
      </c>
      <c r="E2875" t="s">
        <v>46</v>
      </c>
      <c r="F2875">
        <v>135.59</v>
      </c>
      <c r="G2875" t="s">
        <v>19</v>
      </c>
      <c r="H2875" t="s">
        <v>15</v>
      </c>
      <c r="I2875">
        <v>4.2</v>
      </c>
      <c r="J2875">
        <v>21</v>
      </c>
      <c r="K2875">
        <v>8</v>
      </c>
      <c r="L2875" s="4">
        <v>171.63291139240505</v>
      </c>
      <c r="M2875" s="4">
        <v>36.042911392405045</v>
      </c>
      <c r="N2875" t="s">
        <v>93</v>
      </c>
    </row>
    <row r="2876" spans="1:14">
      <c r="A2876">
        <v>2875</v>
      </c>
      <c r="B2876">
        <v>33</v>
      </c>
      <c r="C2876" t="s">
        <v>11</v>
      </c>
      <c r="D2876" t="s">
        <v>20</v>
      </c>
      <c r="E2876" t="s">
        <v>39</v>
      </c>
      <c r="F2876">
        <v>249.24</v>
      </c>
      <c r="G2876" t="s">
        <v>24</v>
      </c>
      <c r="H2876" t="s">
        <v>15</v>
      </c>
      <c r="I2876">
        <v>4.3</v>
      </c>
      <c r="J2876">
        <v>6</v>
      </c>
      <c r="K2876">
        <v>3</v>
      </c>
      <c r="L2876" s="4">
        <v>265.14893617021278</v>
      </c>
      <c r="M2876" s="4">
        <v>15.908936170212769</v>
      </c>
      <c r="N2876" t="s">
        <v>91</v>
      </c>
    </row>
    <row r="2877" spans="1:14">
      <c r="A2877">
        <v>2876</v>
      </c>
      <c r="B2877">
        <v>41</v>
      </c>
      <c r="C2877" t="s">
        <v>16</v>
      </c>
      <c r="D2877" t="s">
        <v>17</v>
      </c>
      <c r="E2877" t="s">
        <v>35</v>
      </c>
      <c r="F2877">
        <v>127.61</v>
      </c>
      <c r="G2877" t="s">
        <v>31</v>
      </c>
      <c r="H2877" t="s">
        <v>15</v>
      </c>
      <c r="I2877">
        <v>4</v>
      </c>
      <c r="J2877">
        <v>14</v>
      </c>
      <c r="K2877">
        <v>2</v>
      </c>
      <c r="L2877" s="4">
        <v>148.38372093023256</v>
      </c>
      <c r="M2877" s="4">
        <v>20.773720930232557</v>
      </c>
      <c r="N2877" t="s">
        <v>92</v>
      </c>
    </row>
    <row r="2878" spans="1:14">
      <c r="A2878">
        <v>2877</v>
      </c>
      <c r="B2878">
        <v>68</v>
      </c>
      <c r="C2878" t="s">
        <v>16</v>
      </c>
      <c r="D2878" t="s">
        <v>27</v>
      </c>
      <c r="E2878" t="s">
        <v>28</v>
      </c>
      <c r="F2878">
        <v>2121.4</v>
      </c>
      <c r="G2878" t="s">
        <v>19</v>
      </c>
      <c r="H2878" t="s">
        <v>15</v>
      </c>
      <c r="I2878">
        <v>3.6</v>
      </c>
      <c r="J2878">
        <v>4</v>
      </c>
      <c r="K2878">
        <v>2</v>
      </c>
      <c r="L2878" s="4">
        <v>2209.791666666667</v>
      </c>
      <c r="M2878" s="4">
        <v>88.391666666666879</v>
      </c>
      <c r="N2878" t="s">
        <v>95</v>
      </c>
    </row>
    <row r="2879" spans="1:14">
      <c r="A2879">
        <v>2878</v>
      </c>
      <c r="B2879">
        <v>64</v>
      </c>
      <c r="C2879" t="s">
        <v>16</v>
      </c>
      <c r="D2879" t="s">
        <v>17</v>
      </c>
      <c r="E2879" t="s">
        <v>42</v>
      </c>
      <c r="F2879">
        <v>129.65</v>
      </c>
      <c r="G2879" t="s">
        <v>31</v>
      </c>
      <c r="H2879" t="s">
        <v>15</v>
      </c>
      <c r="I2879">
        <v>3.5</v>
      </c>
      <c r="J2879">
        <v>16</v>
      </c>
      <c r="K2879">
        <v>3</v>
      </c>
      <c r="L2879" s="4">
        <v>154.3452380952381</v>
      </c>
      <c r="M2879" s="4">
        <v>24.695238095238096</v>
      </c>
      <c r="N2879" t="s">
        <v>94</v>
      </c>
    </row>
    <row r="2880" spans="1:14">
      <c r="A2880">
        <v>2879</v>
      </c>
      <c r="B2880">
        <v>54</v>
      </c>
      <c r="C2880" t="s">
        <v>16</v>
      </c>
      <c r="D2880" t="s">
        <v>33</v>
      </c>
      <c r="E2880" t="s">
        <v>34</v>
      </c>
      <c r="F2880">
        <v>67.94</v>
      </c>
      <c r="G2880" t="s">
        <v>14</v>
      </c>
      <c r="H2880" t="s">
        <v>37</v>
      </c>
      <c r="I2880">
        <v>3.7</v>
      </c>
      <c r="J2880">
        <v>18</v>
      </c>
      <c r="K2880">
        <v>9</v>
      </c>
      <c r="L2880" s="4">
        <v>82.853658536585357</v>
      </c>
      <c r="M2880" s="4">
        <v>14.913658536585359</v>
      </c>
      <c r="N2880" t="s">
        <v>93</v>
      </c>
    </row>
    <row r="2881" spans="1:14">
      <c r="A2881">
        <v>2880</v>
      </c>
      <c r="B2881">
        <v>55</v>
      </c>
      <c r="C2881" t="s">
        <v>16</v>
      </c>
      <c r="D2881" t="s">
        <v>20</v>
      </c>
      <c r="E2881" t="s">
        <v>21</v>
      </c>
      <c r="F2881">
        <v>236.33</v>
      </c>
      <c r="G2881" t="s">
        <v>31</v>
      </c>
      <c r="H2881" t="s">
        <v>15</v>
      </c>
      <c r="I2881">
        <v>2.6</v>
      </c>
      <c r="J2881">
        <v>13</v>
      </c>
      <c r="K2881">
        <v>4</v>
      </c>
      <c r="L2881" s="4">
        <v>271.64367816091954</v>
      </c>
      <c r="M2881" s="4">
        <v>35.313678160919522</v>
      </c>
      <c r="N2881" t="s">
        <v>94</v>
      </c>
    </row>
    <row r="2882" spans="1:14">
      <c r="A2882">
        <v>2881</v>
      </c>
      <c r="B2882">
        <v>49</v>
      </c>
      <c r="C2882" t="s">
        <v>16</v>
      </c>
      <c r="D2882" t="s">
        <v>27</v>
      </c>
      <c r="E2882" t="s">
        <v>53</v>
      </c>
      <c r="F2882">
        <v>2447.8000000000002</v>
      </c>
      <c r="G2882" t="s">
        <v>14</v>
      </c>
      <c r="H2882" t="s">
        <v>15</v>
      </c>
      <c r="I2882">
        <v>2.8</v>
      </c>
      <c r="J2882">
        <v>13</v>
      </c>
      <c r="K2882">
        <v>4</v>
      </c>
      <c r="L2882" s="4">
        <v>2813.5632183908046</v>
      </c>
      <c r="M2882" s="4">
        <v>365.76321839080447</v>
      </c>
      <c r="N2882" t="s">
        <v>93</v>
      </c>
    </row>
    <row r="2883" spans="1:14">
      <c r="A2883">
        <v>2882</v>
      </c>
      <c r="B2883">
        <v>26</v>
      </c>
      <c r="C2883" t="s">
        <v>16</v>
      </c>
      <c r="D2883" t="s">
        <v>27</v>
      </c>
      <c r="E2883" t="s">
        <v>28</v>
      </c>
      <c r="F2883">
        <v>1922.9</v>
      </c>
      <c r="G2883" t="s">
        <v>14</v>
      </c>
      <c r="H2883" t="s">
        <v>15</v>
      </c>
      <c r="I2883">
        <v>2.9</v>
      </c>
      <c r="J2883">
        <v>8</v>
      </c>
      <c r="K2883">
        <v>4</v>
      </c>
      <c r="L2883" s="4">
        <v>2090.108695652174</v>
      </c>
      <c r="M2883" s="4">
        <v>167.2086956521739</v>
      </c>
      <c r="N2883" t="s">
        <v>91</v>
      </c>
    </row>
    <row r="2884" spans="1:14">
      <c r="A2884">
        <v>2883</v>
      </c>
      <c r="B2884">
        <v>54</v>
      </c>
      <c r="C2884" t="s">
        <v>16</v>
      </c>
      <c r="D2884" t="s">
        <v>27</v>
      </c>
      <c r="E2884" t="s">
        <v>32</v>
      </c>
      <c r="F2884">
        <v>1252.53</v>
      </c>
      <c r="G2884" t="s">
        <v>31</v>
      </c>
      <c r="H2884" t="s">
        <v>15</v>
      </c>
      <c r="I2884">
        <v>3.9</v>
      </c>
      <c r="J2884">
        <v>2</v>
      </c>
      <c r="K2884">
        <v>1</v>
      </c>
      <c r="L2884" s="4">
        <v>1278.091836734694</v>
      </c>
      <c r="M2884" s="4">
        <v>25.561836734693998</v>
      </c>
      <c r="N2884" t="s">
        <v>93</v>
      </c>
    </row>
    <row r="2885" spans="1:14">
      <c r="A2885">
        <v>2884</v>
      </c>
      <c r="B2885">
        <v>40</v>
      </c>
      <c r="C2885" t="s">
        <v>11</v>
      </c>
      <c r="D2885" t="s">
        <v>41</v>
      </c>
      <c r="E2885" t="s">
        <v>46</v>
      </c>
      <c r="F2885">
        <v>144.26</v>
      </c>
      <c r="G2885" t="s">
        <v>31</v>
      </c>
      <c r="H2885" t="s">
        <v>15</v>
      </c>
      <c r="I2885">
        <v>3.9</v>
      </c>
      <c r="J2885">
        <v>10</v>
      </c>
      <c r="K2885">
        <v>5</v>
      </c>
      <c r="L2885" s="4">
        <v>160.28888888888886</v>
      </c>
      <c r="M2885" s="4">
        <v>16.028888888888872</v>
      </c>
      <c r="N2885" t="s">
        <v>92</v>
      </c>
    </row>
    <row r="2886" spans="1:14">
      <c r="A2886">
        <v>2885</v>
      </c>
      <c r="B2886">
        <v>42</v>
      </c>
      <c r="C2886" t="s">
        <v>16</v>
      </c>
      <c r="D2886" t="s">
        <v>33</v>
      </c>
      <c r="E2886" t="s">
        <v>40</v>
      </c>
      <c r="F2886">
        <v>227.07</v>
      </c>
      <c r="G2886" t="s">
        <v>14</v>
      </c>
      <c r="H2886" t="s">
        <v>15</v>
      </c>
      <c r="I2886">
        <v>2.8</v>
      </c>
      <c r="J2886">
        <v>13</v>
      </c>
      <c r="K2886">
        <v>4</v>
      </c>
      <c r="L2886" s="4">
        <v>261</v>
      </c>
      <c r="M2886" s="4">
        <v>33.930000000000007</v>
      </c>
      <c r="N2886" t="s">
        <v>92</v>
      </c>
    </row>
    <row r="2887" spans="1:14">
      <c r="A2887">
        <v>2886</v>
      </c>
      <c r="B2887">
        <v>20</v>
      </c>
      <c r="C2887" t="s">
        <v>11</v>
      </c>
      <c r="D2887" t="s">
        <v>12</v>
      </c>
      <c r="E2887" t="s">
        <v>50</v>
      </c>
      <c r="F2887">
        <v>104.38</v>
      </c>
      <c r="G2887" t="s">
        <v>31</v>
      </c>
      <c r="H2887" t="s">
        <v>15</v>
      </c>
      <c r="I2887">
        <v>5</v>
      </c>
      <c r="J2887">
        <v>21</v>
      </c>
      <c r="K2887">
        <v>8</v>
      </c>
      <c r="L2887" s="4">
        <v>132.12658227848101</v>
      </c>
      <c r="M2887" s="4">
        <v>27.746582278481014</v>
      </c>
      <c r="N2887" t="s">
        <v>100</v>
      </c>
    </row>
    <row r="2888" spans="1:14">
      <c r="A2888">
        <v>2887</v>
      </c>
      <c r="B2888">
        <v>51</v>
      </c>
      <c r="C2888" t="s">
        <v>16</v>
      </c>
      <c r="D2888" t="s">
        <v>17</v>
      </c>
      <c r="E2888" t="s">
        <v>18</v>
      </c>
      <c r="F2888">
        <v>168.21</v>
      </c>
      <c r="G2888" t="s">
        <v>19</v>
      </c>
      <c r="H2888" t="s">
        <v>15</v>
      </c>
      <c r="I2888">
        <v>3.3</v>
      </c>
      <c r="J2888">
        <v>13</v>
      </c>
      <c r="K2888">
        <v>4</v>
      </c>
      <c r="L2888" s="4">
        <v>193.34482758620692</v>
      </c>
      <c r="M2888" s="4">
        <v>25.13482758620691</v>
      </c>
      <c r="N2888" t="s">
        <v>93</v>
      </c>
    </row>
    <row r="2889" spans="1:14">
      <c r="A2889">
        <v>2888</v>
      </c>
      <c r="B2889">
        <v>37</v>
      </c>
      <c r="C2889" t="s">
        <v>11</v>
      </c>
      <c r="D2889" t="s">
        <v>29</v>
      </c>
      <c r="E2889" t="s">
        <v>30</v>
      </c>
      <c r="F2889">
        <v>95.35</v>
      </c>
      <c r="G2889" t="s">
        <v>14</v>
      </c>
      <c r="H2889" t="s">
        <v>15</v>
      </c>
      <c r="I2889">
        <v>4.4000000000000004</v>
      </c>
      <c r="J2889">
        <v>12</v>
      </c>
      <c r="K2889">
        <v>6</v>
      </c>
      <c r="L2889" s="4">
        <v>108.35227272727272</v>
      </c>
      <c r="M2889" s="4">
        <v>13.002272727272725</v>
      </c>
      <c r="N2889" t="s">
        <v>92</v>
      </c>
    </row>
    <row r="2890" spans="1:14">
      <c r="A2890">
        <v>2889</v>
      </c>
      <c r="B2890">
        <v>45</v>
      </c>
      <c r="C2890" t="s">
        <v>11</v>
      </c>
      <c r="D2890" t="s">
        <v>41</v>
      </c>
      <c r="E2890" t="s">
        <v>45</v>
      </c>
      <c r="F2890">
        <v>30.38</v>
      </c>
      <c r="G2890" t="s">
        <v>19</v>
      </c>
      <c r="H2890" t="s">
        <v>37</v>
      </c>
      <c r="I2890">
        <v>4.2</v>
      </c>
      <c r="J2890">
        <v>30</v>
      </c>
      <c r="K2890">
        <v>10</v>
      </c>
      <c r="L2890" s="4">
        <v>43.4</v>
      </c>
      <c r="M2890" s="4">
        <v>13.02</v>
      </c>
      <c r="N2890" t="s">
        <v>93</v>
      </c>
    </row>
    <row r="2891" spans="1:14">
      <c r="A2891">
        <v>2890</v>
      </c>
      <c r="B2891">
        <v>57</v>
      </c>
      <c r="C2891" t="s">
        <v>16</v>
      </c>
      <c r="D2891" t="s">
        <v>20</v>
      </c>
      <c r="E2891" t="s">
        <v>36</v>
      </c>
      <c r="F2891">
        <v>197.01</v>
      </c>
      <c r="G2891" t="s">
        <v>14</v>
      </c>
      <c r="H2891" t="s">
        <v>15</v>
      </c>
      <c r="I2891">
        <v>3.8</v>
      </c>
      <c r="J2891">
        <v>11</v>
      </c>
      <c r="K2891">
        <v>3</v>
      </c>
      <c r="L2891" s="4">
        <v>221.35955056179773</v>
      </c>
      <c r="M2891" s="4">
        <v>24.349550561797741</v>
      </c>
      <c r="N2891" t="s">
        <v>94</v>
      </c>
    </row>
    <row r="2892" spans="1:14">
      <c r="A2892">
        <v>2891</v>
      </c>
      <c r="B2892">
        <v>33</v>
      </c>
      <c r="C2892" t="s">
        <v>11</v>
      </c>
      <c r="D2892" t="s">
        <v>12</v>
      </c>
      <c r="E2892" t="s">
        <v>50</v>
      </c>
      <c r="F2892">
        <v>136.04</v>
      </c>
      <c r="G2892" t="s">
        <v>19</v>
      </c>
      <c r="H2892" t="s">
        <v>15</v>
      </c>
      <c r="I2892">
        <v>3.6</v>
      </c>
      <c r="J2892">
        <v>12</v>
      </c>
      <c r="K2892">
        <v>1</v>
      </c>
      <c r="L2892" s="4">
        <v>154.59090909090909</v>
      </c>
      <c r="M2892" s="4">
        <v>18.550909090909101</v>
      </c>
      <c r="N2892" t="s">
        <v>91</v>
      </c>
    </row>
    <row r="2893" spans="1:14">
      <c r="A2893">
        <v>2892</v>
      </c>
      <c r="B2893">
        <v>41</v>
      </c>
      <c r="C2893" t="s">
        <v>11</v>
      </c>
      <c r="D2893" t="s">
        <v>29</v>
      </c>
      <c r="E2893" t="s">
        <v>55</v>
      </c>
      <c r="F2893">
        <v>110.69</v>
      </c>
      <c r="G2893" t="s">
        <v>31</v>
      </c>
      <c r="H2893" t="s">
        <v>15</v>
      </c>
      <c r="I2893">
        <v>3.6</v>
      </c>
      <c r="J2893">
        <v>13</v>
      </c>
      <c r="K2893">
        <v>4</v>
      </c>
      <c r="L2893" s="4">
        <v>127.22988505747126</v>
      </c>
      <c r="M2893" s="4">
        <v>16.539885057471267</v>
      </c>
      <c r="N2893" t="s">
        <v>92</v>
      </c>
    </row>
    <row r="2894" spans="1:14">
      <c r="A2894">
        <v>2893</v>
      </c>
      <c r="B2894">
        <v>21</v>
      </c>
      <c r="C2894" t="s">
        <v>11</v>
      </c>
      <c r="D2894" t="s">
        <v>12</v>
      </c>
      <c r="E2894" t="s">
        <v>50</v>
      </c>
      <c r="F2894">
        <v>49.93</v>
      </c>
      <c r="G2894" t="s">
        <v>14</v>
      </c>
      <c r="H2894" t="s">
        <v>37</v>
      </c>
      <c r="I2894">
        <v>4.3</v>
      </c>
      <c r="J2894">
        <v>14</v>
      </c>
      <c r="K2894">
        <v>2</v>
      </c>
      <c r="L2894" s="4">
        <v>58.058139534883722</v>
      </c>
      <c r="M2894" s="4">
        <v>8.1281395348837222</v>
      </c>
      <c r="N2894" t="s">
        <v>100</v>
      </c>
    </row>
    <row r="2895" spans="1:14">
      <c r="A2895">
        <v>2894</v>
      </c>
      <c r="B2895">
        <v>49</v>
      </c>
      <c r="C2895" t="s">
        <v>11</v>
      </c>
      <c r="D2895" t="s">
        <v>12</v>
      </c>
      <c r="E2895" t="s">
        <v>13</v>
      </c>
      <c r="F2895">
        <v>143.66999999999999</v>
      </c>
      <c r="G2895" t="s">
        <v>24</v>
      </c>
      <c r="H2895" t="s">
        <v>15</v>
      </c>
      <c r="I2895">
        <v>3.2</v>
      </c>
      <c r="J2895">
        <v>6</v>
      </c>
      <c r="K2895">
        <v>3</v>
      </c>
      <c r="L2895" s="4">
        <v>152.84042553191489</v>
      </c>
      <c r="M2895" s="4">
        <v>9.1704255319149013</v>
      </c>
      <c r="N2895" t="s">
        <v>93</v>
      </c>
    </row>
    <row r="2896" spans="1:14">
      <c r="A2896">
        <v>2895</v>
      </c>
      <c r="B2896">
        <v>65</v>
      </c>
      <c r="C2896" t="s">
        <v>16</v>
      </c>
      <c r="D2896" t="s">
        <v>22</v>
      </c>
      <c r="E2896" t="s">
        <v>23</v>
      </c>
      <c r="F2896">
        <v>107.46</v>
      </c>
      <c r="G2896" t="s">
        <v>31</v>
      </c>
      <c r="H2896" t="s">
        <v>15</v>
      </c>
      <c r="I2896">
        <v>3.7</v>
      </c>
      <c r="J2896">
        <v>10</v>
      </c>
      <c r="K2896">
        <v>5</v>
      </c>
      <c r="L2896" s="4">
        <v>119.39999999999999</v>
      </c>
      <c r="M2896" s="4">
        <v>11.939999999999998</v>
      </c>
      <c r="N2896" t="s">
        <v>95</v>
      </c>
    </row>
    <row r="2897" spans="1:14">
      <c r="A2897">
        <v>2896</v>
      </c>
      <c r="B2897">
        <v>55</v>
      </c>
      <c r="C2897" t="s">
        <v>16</v>
      </c>
      <c r="D2897" t="s">
        <v>20</v>
      </c>
      <c r="E2897" t="s">
        <v>36</v>
      </c>
      <c r="F2897">
        <v>206.53</v>
      </c>
      <c r="G2897" t="s">
        <v>14</v>
      </c>
      <c r="H2897" t="s">
        <v>15</v>
      </c>
      <c r="I2897">
        <v>4.8</v>
      </c>
      <c r="J2897">
        <v>16</v>
      </c>
      <c r="K2897">
        <v>3</v>
      </c>
      <c r="L2897" s="4">
        <v>245.86904761904762</v>
      </c>
      <c r="M2897" s="4">
        <v>39.339047619047619</v>
      </c>
      <c r="N2897" t="s">
        <v>94</v>
      </c>
    </row>
    <row r="2898" spans="1:14">
      <c r="A2898">
        <v>2897</v>
      </c>
      <c r="B2898">
        <v>59</v>
      </c>
      <c r="C2898" t="s">
        <v>16</v>
      </c>
      <c r="D2898" t="s">
        <v>27</v>
      </c>
      <c r="E2898" t="s">
        <v>32</v>
      </c>
      <c r="F2898">
        <v>1202.92</v>
      </c>
      <c r="G2898" t="s">
        <v>24</v>
      </c>
      <c r="H2898" t="s">
        <v>15</v>
      </c>
      <c r="I2898">
        <v>3.1</v>
      </c>
      <c r="J2898">
        <v>18</v>
      </c>
      <c r="K2898">
        <v>4</v>
      </c>
      <c r="L2898" s="4">
        <v>1466.9756097560976</v>
      </c>
      <c r="M2898" s="4">
        <v>264.05560975609751</v>
      </c>
      <c r="N2898" t="s">
        <v>94</v>
      </c>
    </row>
    <row r="2899" spans="1:14">
      <c r="A2899">
        <v>2898</v>
      </c>
      <c r="B2899">
        <v>56</v>
      </c>
      <c r="C2899" t="s">
        <v>11</v>
      </c>
      <c r="D2899" t="s">
        <v>29</v>
      </c>
      <c r="E2899" t="s">
        <v>30</v>
      </c>
      <c r="F2899">
        <v>137.71</v>
      </c>
      <c r="G2899" t="s">
        <v>24</v>
      </c>
      <c r="H2899" t="s">
        <v>15</v>
      </c>
      <c r="I2899">
        <v>3.7</v>
      </c>
      <c r="J2899">
        <v>7</v>
      </c>
      <c r="K2899">
        <v>1</v>
      </c>
      <c r="L2899" s="4">
        <v>148.07526881720432</v>
      </c>
      <c r="M2899" s="4">
        <v>10.36526881720431</v>
      </c>
      <c r="N2899" t="s">
        <v>94</v>
      </c>
    </row>
    <row r="2900" spans="1:14">
      <c r="A2900">
        <v>2899</v>
      </c>
      <c r="B2900">
        <v>40</v>
      </c>
      <c r="C2900" t="s">
        <v>11</v>
      </c>
      <c r="D2900" t="s">
        <v>33</v>
      </c>
      <c r="E2900" t="s">
        <v>34</v>
      </c>
      <c r="F2900">
        <v>208.5</v>
      </c>
      <c r="G2900" t="s">
        <v>31</v>
      </c>
      <c r="H2900" t="s">
        <v>15</v>
      </c>
      <c r="I2900">
        <v>4.3</v>
      </c>
      <c r="J2900">
        <v>30</v>
      </c>
      <c r="K2900">
        <v>10</v>
      </c>
      <c r="L2900" s="4">
        <v>297.85714285714289</v>
      </c>
      <c r="M2900" s="4">
        <v>89.35714285714289</v>
      </c>
      <c r="N2900" t="s">
        <v>92</v>
      </c>
    </row>
    <row r="2901" spans="1:14">
      <c r="A2901">
        <v>2900</v>
      </c>
      <c r="B2901">
        <v>48</v>
      </c>
      <c r="C2901" t="s">
        <v>16</v>
      </c>
      <c r="D2901" t="s">
        <v>17</v>
      </c>
      <c r="E2901" t="s">
        <v>48</v>
      </c>
      <c r="F2901">
        <v>188.32</v>
      </c>
      <c r="G2901" t="s">
        <v>14</v>
      </c>
      <c r="H2901" t="s">
        <v>15</v>
      </c>
      <c r="I2901">
        <v>4.0999999999999996</v>
      </c>
      <c r="J2901">
        <v>24</v>
      </c>
      <c r="K2901">
        <v>12</v>
      </c>
      <c r="L2901" s="4">
        <v>247.78947368421052</v>
      </c>
      <c r="M2901" s="4">
        <v>59.469473684210527</v>
      </c>
      <c r="N2901" t="s">
        <v>93</v>
      </c>
    </row>
    <row r="2902" spans="1:14">
      <c r="A2902">
        <v>2901</v>
      </c>
      <c r="B2902">
        <v>30</v>
      </c>
      <c r="C2902" t="s">
        <v>16</v>
      </c>
      <c r="D2902" t="s">
        <v>22</v>
      </c>
      <c r="E2902" t="s">
        <v>52</v>
      </c>
      <c r="F2902">
        <v>38.31</v>
      </c>
      <c r="G2902" t="s">
        <v>31</v>
      </c>
      <c r="H2902" t="s">
        <v>15</v>
      </c>
      <c r="I2902">
        <v>3.2</v>
      </c>
      <c r="J2902">
        <v>14</v>
      </c>
      <c r="K2902">
        <v>7</v>
      </c>
      <c r="L2902" s="4">
        <v>44.54651162790698</v>
      </c>
      <c r="M2902" s="4">
        <v>6.2365116279069781</v>
      </c>
      <c r="N2902" t="s">
        <v>91</v>
      </c>
    </row>
    <row r="2903" spans="1:14">
      <c r="A2903">
        <v>2902</v>
      </c>
      <c r="B2903">
        <v>41</v>
      </c>
      <c r="C2903" t="s">
        <v>11</v>
      </c>
      <c r="D2903" t="s">
        <v>25</v>
      </c>
      <c r="E2903" t="s">
        <v>54</v>
      </c>
      <c r="F2903">
        <v>58.38</v>
      </c>
      <c r="G2903" t="s">
        <v>31</v>
      </c>
      <c r="H2903" t="s">
        <v>37</v>
      </c>
      <c r="I2903">
        <v>2.2999999999999998</v>
      </c>
      <c r="J2903">
        <v>10</v>
      </c>
      <c r="K2903">
        <v>5</v>
      </c>
      <c r="L2903" s="4">
        <v>64.866666666666674</v>
      </c>
      <c r="M2903" s="4">
        <v>6.4866666666666717</v>
      </c>
      <c r="N2903" t="s">
        <v>92</v>
      </c>
    </row>
    <row r="2904" spans="1:14">
      <c r="A2904">
        <v>2903</v>
      </c>
      <c r="B2904">
        <v>58</v>
      </c>
      <c r="C2904" t="s">
        <v>16</v>
      </c>
      <c r="D2904" t="s">
        <v>27</v>
      </c>
      <c r="E2904" t="s">
        <v>53</v>
      </c>
      <c r="F2904">
        <v>824.07</v>
      </c>
      <c r="G2904" t="s">
        <v>19</v>
      </c>
      <c r="H2904" t="s">
        <v>15</v>
      </c>
      <c r="I2904">
        <v>3.8</v>
      </c>
      <c r="J2904">
        <v>10</v>
      </c>
      <c r="K2904">
        <v>5</v>
      </c>
      <c r="L2904" s="4">
        <v>915.63333333333333</v>
      </c>
      <c r="M2904" s="4">
        <v>91.563333333333276</v>
      </c>
      <c r="N2904" t="s">
        <v>94</v>
      </c>
    </row>
    <row r="2905" spans="1:14">
      <c r="A2905">
        <v>2904</v>
      </c>
      <c r="B2905">
        <v>47</v>
      </c>
      <c r="C2905" t="s">
        <v>11</v>
      </c>
      <c r="D2905" t="s">
        <v>22</v>
      </c>
      <c r="E2905" t="s">
        <v>23</v>
      </c>
      <c r="F2905">
        <v>123.62</v>
      </c>
      <c r="G2905" t="s">
        <v>14</v>
      </c>
      <c r="H2905" t="s">
        <v>15</v>
      </c>
      <c r="I2905">
        <v>3</v>
      </c>
      <c r="J2905">
        <v>6</v>
      </c>
      <c r="K2905">
        <v>3</v>
      </c>
      <c r="L2905" s="4">
        <v>131.51063829787236</v>
      </c>
      <c r="M2905" s="4">
        <v>7.890638297872357</v>
      </c>
      <c r="N2905" t="s">
        <v>93</v>
      </c>
    </row>
    <row r="2906" spans="1:14">
      <c r="A2906">
        <v>2905</v>
      </c>
      <c r="B2906">
        <v>61</v>
      </c>
      <c r="C2906" t="s">
        <v>16</v>
      </c>
      <c r="D2906" t="s">
        <v>27</v>
      </c>
      <c r="E2906" t="s">
        <v>53</v>
      </c>
      <c r="F2906">
        <v>1368.88</v>
      </c>
      <c r="G2906" t="s">
        <v>24</v>
      </c>
      <c r="H2906" t="s">
        <v>15</v>
      </c>
      <c r="I2906">
        <v>2.8</v>
      </c>
      <c r="J2906">
        <v>4</v>
      </c>
      <c r="K2906">
        <v>2</v>
      </c>
      <c r="L2906" s="4">
        <v>1425.9166666666667</v>
      </c>
      <c r="M2906" s="4">
        <v>57.036666666666633</v>
      </c>
      <c r="N2906" t="s">
        <v>94</v>
      </c>
    </row>
    <row r="2907" spans="1:14">
      <c r="A2907">
        <v>2906</v>
      </c>
      <c r="B2907">
        <v>50</v>
      </c>
      <c r="C2907" t="s">
        <v>16</v>
      </c>
      <c r="D2907" t="s">
        <v>25</v>
      </c>
      <c r="E2907" t="s">
        <v>54</v>
      </c>
      <c r="F2907">
        <v>58.24</v>
      </c>
      <c r="G2907" t="s">
        <v>19</v>
      </c>
      <c r="H2907" t="s">
        <v>15</v>
      </c>
      <c r="I2907">
        <v>3.1</v>
      </c>
      <c r="J2907">
        <v>16</v>
      </c>
      <c r="K2907">
        <v>3</v>
      </c>
      <c r="L2907" s="4">
        <v>69.333333333333343</v>
      </c>
      <c r="M2907" s="4">
        <v>11.093333333333341</v>
      </c>
      <c r="N2907" t="s">
        <v>93</v>
      </c>
    </row>
    <row r="2908" spans="1:14">
      <c r="A2908">
        <v>2907</v>
      </c>
      <c r="B2908">
        <v>69</v>
      </c>
      <c r="C2908" t="s">
        <v>16</v>
      </c>
      <c r="D2908" t="s">
        <v>20</v>
      </c>
      <c r="E2908" t="s">
        <v>39</v>
      </c>
      <c r="F2908">
        <v>168.81</v>
      </c>
      <c r="G2908" t="s">
        <v>19</v>
      </c>
      <c r="H2908" t="s">
        <v>15</v>
      </c>
      <c r="I2908">
        <v>3.2</v>
      </c>
      <c r="J2908">
        <v>36</v>
      </c>
      <c r="K2908">
        <v>13</v>
      </c>
      <c r="L2908" s="4">
        <v>263.765625</v>
      </c>
      <c r="M2908" s="4">
        <v>94.955624999999998</v>
      </c>
      <c r="N2908" t="s">
        <v>95</v>
      </c>
    </row>
    <row r="2909" spans="1:14">
      <c r="A2909">
        <v>2908</v>
      </c>
      <c r="B2909">
        <v>48</v>
      </c>
      <c r="C2909" t="s">
        <v>11</v>
      </c>
      <c r="D2909" t="s">
        <v>41</v>
      </c>
      <c r="E2909" t="s">
        <v>42</v>
      </c>
      <c r="F2909">
        <v>146.69</v>
      </c>
      <c r="G2909" t="s">
        <v>24</v>
      </c>
      <c r="H2909" t="s">
        <v>15</v>
      </c>
      <c r="I2909">
        <v>3.5</v>
      </c>
      <c r="J2909">
        <v>20</v>
      </c>
      <c r="K2909">
        <v>5</v>
      </c>
      <c r="L2909" s="4">
        <v>183.36249999999998</v>
      </c>
      <c r="M2909" s="4">
        <v>36.672499999999985</v>
      </c>
      <c r="N2909" t="s">
        <v>93</v>
      </c>
    </row>
    <row r="2910" spans="1:14">
      <c r="A2910">
        <v>2909</v>
      </c>
      <c r="B2910">
        <v>40</v>
      </c>
      <c r="C2910" t="s">
        <v>16</v>
      </c>
      <c r="D2910" t="s">
        <v>22</v>
      </c>
      <c r="E2910" t="s">
        <v>43</v>
      </c>
      <c r="F2910">
        <v>155.94999999999999</v>
      </c>
      <c r="G2910" t="s">
        <v>24</v>
      </c>
      <c r="H2910" t="s">
        <v>15</v>
      </c>
      <c r="I2910">
        <v>3.3</v>
      </c>
      <c r="J2910">
        <v>16</v>
      </c>
      <c r="K2910">
        <v>3</v>
      </c>
      <c r="L2910" s="4">
        <v>185.6547619047619</v>
      </c>
      <c r="M2910" s="4">
        <v>29.704761904761909</v>
      </c>
      <c r="N2910" t="s">
        <v>92</v>
      </c>
    </row>
    <row r="2911" spans="1:14">
      <c r="A2911">
        <v>2910</v>
      </c>
      <c r="B2911">
        <v>29</v>
      </c>
      <c r="C2911" t="s">
        <v>11</v>
      </c>
      <c r="D2911" t="s">
        <v>22</v>
      </c>
      <c r="E2911" t="s">
        <v>43</v>
      </c>
      <c r="F2911">
        <v>243.83</v>
      </c>
      <c r="G2911" t="s">
        <v>19</v>
      </c>
      <c r="H2911" t="s">
        <v>15</v>
      </c>
      <c r="I2911">
        <v>4.5</v>
      </c>
      <c r="J2911">
        <v>12</v>
      </c>
      <c r="K2911">
        <v>6</v>
      </c>
      <c r="L2911" s="4">
        <v>277.07954545454544</v>
      </c>
      <c r="M2911" s="4">
        <v>33.249545454545427</v>
      </c>
      <c r="N2911" t="s">
        <v>91</v>
      </c>
    </row>
    <row r="2912" spans="1:14">
      <c r="A2912">
        <v>2911</v>
      </c>
      <c r="B2912">
        <v>67</v>
      </c>
      <c r="C2912" t="s">
        <v>16</v>
      </c>
      <c r="D2912" t="s">
        <v>27</v>
      </c>
      <c r="E2912" t="s">
        <v>53</v>
      </c>
      <c r="F2912">
        <v>1908.28</v>
      </c>
      <c r="G2912" t="s">
        <v>19</v>
      </c>
      <c r="H2912" t="s">
        <v>15</v>
      </c>
      <c r="I2912">
        <v>4</v>
      </c>
      <c r="J2912">
        <v>24</v>
      </c>
      <c r="K2912">
        <v>7</v>
      </c>
      <c r="L2912" s="4">
        <v>2510.894736842105</v>
      </c>
      <c r="M2912" s="4">
        <v>602.614736842105</v>
      </c>
      <c r="N2912" t="s">
        <v>95</v>
      </c>
    </row>
    <row r="2913" spans="1:14">
      <c r="A2913">
        <v>2912</v>
      </c>
      <c r="B2913">
        <v>70</v>
      </c>
      <c r="C2913" t="s">
        <v>16</v>
      </c>
      <c r="D2913" t="s">
        <v>33</v>
      </c>
      <c r="E2913" t="s">
        <v>38</v>
      </c>
      <c r="F2913">
        <v>73.739999999999995</v>
      </c>
      <c r="G2913" t="s">
        <v>31</v>
      </c>
      <c r="H2913" t="s">
        <v>15</v>
      </c>
      <c r="I2913">
        <v>3.4</v>
      </c>
      <c r="J2913">
        <v>20</v>
      </c>
      <c r="K2913">
        <v>5</v>
      </c>
      <c r="L2913" s="4">
        <v>92.174999999999983</v>
      </c>
      <c r="M2913" s="4">
        <v>18.434999999999988</v>
      </c>
      <c r="N2913" t="s">
        <v>95</v>
      </c>
    </row>
    <row r="2914" spans="1:14">
      <c r="A2914">
        <v>2913</v>
      </c>
      <c r="B2914">
        <v>38</v>
      </c>
      <c r="C2914" t="s">
        <v>11</v>
      </c>
      <c r="D2914" t="s">
        <v>41</v>
      </c>
      <c r="E2914" t="s">
        <v>44</v>
      </c>
      <c r="F2914">
        <v>74.12</v>
      </c>
      <c r="G2914" t="s">
        <v>31</v>
      </c>
      <c r="H2914" t="s">
        <v>37</v>
      </c>
      <c r="I2914">
        <v>4.3</v>
      </c>
      <c r="J2914">
        <v>18</v>
      </c>
      <c r="K2914">
        <v>4</v>
      </c>
      <c r="L2914" s="4">
        <v>90.390243902439025</v>
      </c>
      <c r="M2914" s="4">
        <v>16.27024390243902</v>
      </c>
      <c r="N2914" t="s">
        <v>92</v>
      </c>
    </row>
    <row r="2915" spans="1:14">
      <c r="A2915">
        <v>2914</v>
      </c>
      <c r="B2915">
        <v>23</v>
      </c>
      <c r="C2915" t="s">
        <v>11</v>
      </c>
      <c r="D2915" t="s">
        <v>41</v>
      </c>
      <c r="E2915" t="s">
        <v>45</v>
      </c>
      <c r="F2915">
        <v>44.28</v>
      </c>
      <c r="G2915" t="s">
        <v>31</v>
      </c>
      <c r="H2915" t="s">
        <v>37</v>
      </c>
      <c r="I2915">
        <v>4.9000000000000004</v>
      </c>
      <c r="J2915">
        <v>15</v>
      </c>
      <c r="K2915">
        <v>5</v>
      </c>
      <c r="L2915" s="4">
        <v>52.094117647058823</v>
      </c>
      <c r="M2915" s="4">
        <v>7.8141176470588221</v>
      </c>
      <c r="N2915" t="s">
        <v>100</v>
      </c>
    </row>
    <row r="2916" spans="1:14">
      <c r="A2916">
        <v>2915</v>
      </c>
      <c r="B2916">
        <v>47</v>
      </c>
      <c r="C2916" t="s">
        <v>16</v>
      </c>
      <c r="D2916" t="s">
        <v>33</v>
      </c>
      <c r="E2916" t="s">
        <v>34</v>
      </c>
      <c r="F2916">
        <v>174.96</v>
      </c>
      <c r="G2916" t="s">
        <v>14</v>
      </c>
      <c r="H2916" t="s">
        <v>15</v>
      </c>
      <c r="I2916">
        <v>5</v>
      </c>
      <c r="J2916">
        <v>9</v>
      </c>
      <c r="K2916">
        <v>2</v>
      </c>
      <c r="L2916" s="4">
        <v>192.26373626373626</v>
      </c>
      <c r="M2916" s="4">
        <v>17.303736263736255</v>
      </c>
      <c r="N2916" t="s">
        <v>93</v>
      </c>
    </row>
    <row r="2917" spans="1:14">
      <c r="A2917">
        <v>2916</v>
      </c>
      <c r="B2917">
        <v>42</v>
      </c>
      <c r="C2917" t="s">
        <v>11</v>
      </c>
      <c r="D2917" t="s">
        <v>12</v>
      </c>
      <c r="E2917" t="s">
        <v>50</v>
      </c>
      <c r="F2917">
        <v>137.86000000000001</v>
      </c>
      <c r="G2917" t="s">
        <v>31</v>
      </c>
      <c r="H2917" t="s">
        <v>15</v>
      </c>
      <c r="I2917">
        <v>5</v>
      </c>
      <c r="J2917">
        <v>12</v>
      </c>
      <c r="K2917">
        <v>1</v>
      </c>
      <c r="L2917" s="4">
        <v>156.65909090909093</v>
      </c>
      <c r="M2917" s="4">
        <v>18.799090909090921</v>
      </c>
      <c r="N2917" t="s">
        <v>92</v>
      </c>
    </row>
    <row r="2918" spans="1:14">
      <c r="A2918">
        <v>2917</v>
      </c>
      <c r="B2918">
        <v>69</v>
      </c>
      <c r="C2918" t="s">
        <v>16</v>
      </c>
      <c r="D2918" t="s">
        <v>17</v>
      </c>
      <c r="E2918" t="s">
        <v>35</v>
      </c>
      <c r="F2918">
        <v>172.24</v>
      </c>
      <c r="G2918" t="s">
        <v>14</v>
      </c>
      <c r="H2918" t="s">
        <v>15</v>
      </c>
      <c r="I2918">
        <v>4.3</v>
      </c>
      <c r="J2918">
        <v>18</v>
      </c>
      <c r="K2918">
        <v>9</v>
      </c>
      <c r="L2918" s="4">
        <v>210.04878048780486</v>
      </c>
      <c r="M2918" s="4">
        <v>37.808780487804853</v>
      </c>
      <c r="N2918" t="s">
        <v>95</v>
      </c>
    </row>
    <row r="2919" spans="1:14">
      <c r="A2919">
        <v>2918</v>
      </c>
      <c r="B2919">
        <v>59</v>
      </c>
      <c r="C2919" t="s">
        <v>11</v>
      </c>
      <c r="D2919" t="s">
        <v>12</v>
      </c>
      <c r="E2919" t="s">
        <v>56</v>
      </c>
      <c r="F2919">
        <v>99.13</v>
      </c>
      <c r="G2919" t="s">
        <v>24</v>
      </c>
      <c r="H2919" t="s">
        <v>15</v>
      </c>
      <c r="I2919">
        <v>3.5</v>
      </c>
      <c r="J2919">
        <v>18</v>
      </c>
      <c r="K2919">
        <v>4</v>
      </c>
      <c r="L2919" s="4">
        <v>120.89024390243901</v>
      </c>
      <c r="M2919" s="4">
        <v>21.760243902439015</v>
      </c>
      <c r="N2919" t="s">
        <v>94</v>
      </c>
    </row>
    <row r="2920" spans="1:14">
      <c r="A2920">
        <v>2919</v>
      </c>
      <c r="B2920">
        <v>67</v>
      </c>
      <c r="C2920" t="s">
        <v>11</v>
      </c>
      <c r="D2920" t="s">
        <v>41</v>
      </c>
      <c r="E2920" t="s">
        <v>44</v>
      </c>
      <c r="F2920">
        <v>149.36000000000001</v>
      </c>
      <c r="G2920" t="s">
        <v>14</v>
      </c>
      <c r="H2920" t="s">
        <v>15</v>
      </c>
      <c r="I2920">
        <v>3.8</v>
      </c>
      <c r="J2920">
        <v>20</v>
      </c>
      <c r="K2920">
        <v>10</v>
      </c>
      <c r="L2920" s="4">
        <v>186.70000000000002</v>
      </c>
      <c r="M2920" s="4">
        <v>37.340000000000003</v>
      </c>
      <c r="N2920" t="s">
        <v>95</v>
      </c>
    </row>
    <row r="2921" spans="1:14">
      <c r="A2921">
        <v>2920</v>
      </c>
      <c r="B2921">
        <v>47</v>
      </c>
      <c r="C2921" t="s">
        <v>11</v>
      </c>
      <c r="D2921" t="s">
        <v>33</v>
      </c>
      <c r="E2921" t="s">
        <v>34</v>
      </c>
      <c r="F2921">
        <v>58.36</v>
      </c>
      <c r="G2921" t="s">
        <v>14</v>
      </c>
      <c r="H2921" t="s">
        <v>37</v>
      </c>
      <c r="I2921">
        <v>3.1</v>
      </c>
      <c r="J2921">
        <v>16</v>
      </c>
      <c r="K2921">
        <v>3</v>
      </c>
      <c r="L2921" s="4">
        <v>69.476190476190482</v>
      </c>
      <c r="M2921" s="4">
        <v>11.116190476190482</v>
      </c>
      <c r="N2921" t="s">
        <v>93</v>
      </c>
    </row>
    <row r="2922" spans="1:14">
      <c r="A2922">
        <v>2921</v>
      </c>
      <c r="B2922">
        <v>40</v>
      </c>
      <c r="C2922" t="s">
        <v>16</v>
      </c>
      <c r="D2922" t="s">
        <v>20</v>
      </c>
      <c r="E2922" t="s">
        <v>36</v>
      </c>
      <c r="F2922">
        <v>108.91</v>
      </c>
      <c r="G2922" t="s">
        <v>19</v>
      </c>
      <c r="H2922" t="s">
        <v>15</v>
      </c>
      <c r="I2922">
        <v>3.6</v>
      </c>
      <c r="J2922">
        <v>12</v>
      </c>
      <c r="K2922">
        <v>6</v>
      </c>
      <c r="L2922" s="4">
        <v>123.76136363636363</v>
      </c>
      <c r="M2922" s="4">
        <v>14.851363636363629</v>
      </c>
      <c r="N2922" t="s">
        <v>92</v>
      </c>
    </row>
    <row r="2923" spans="1:14">
      <c r="A2923">
        <v>2922</v>
      </c>
      <c r="B2923">
        <v>42</v>
      </c>
      <c r="C2923" t="s">
        <v>16</v>
      </c>
      <c r="D2923" t="s">
        <v>20</v>
      </c>
      <c r="E2923" t="s">
        <v>39</v>
      </c>
      <c r="F2923">
        <v>74.2</v>
      </c>
      <c r="G2923" t="s">
        <v>19</v>
      </c>
      <c r="H2923" t="s">
        <v>15</v>
      </c>
      <c r="I2923">
        <v>2.7</v>
      </c>
      <c r="J2923">
        <v>8</v>
      </c>
      <c r="K2923">
        <v>4</v>
      </c>
      <c r="L2923" s="4">
        <v>80.652173913043484</v>
      </c>
      <c r="M2923" s="4">
        <v>6.452173913043481</v>
      </c>
      <c r="N2923" t="s">
        <v>92</v>
      </c>
    </row>
    <row r="2924" spans="1:14">
      <c r="A2924">
        <v>2923</v>
      </c>
      <c r="B2924">
        <v>63</v>
      </c>
      <c r="C2924" t="s">
        <v>11</v>
      </c>
      <c r="D2924" t="s">
        <v>25</v>
      </c>
      <c r="E2924" t="s">
        <v>26</v>
      </c>
      <c r="F2924">
        <v>35.58</v>
      </c>
      <c r="G2924" t="s">
        <v>14</v>
      </c>
      <c r="H2924" t="s">
        <v>15</v>
      </c>
      <c r="I2924">
        <v>2.9</v>
      </c>
      <c r="J2924">
        <v>19</v>
      </c>
      <c r="K2924">
        <v>7</v>
      </c>
      <c r="L2924" s="4">
        <v>43.925925925925924</v>
      </c>
      <c r="M2924" s="4">
        <v>8.3459259259259255</v>
      </c>
      <c r="N2924" t="s">
        <v>94</v>
      </c>
    </row>
    <row r="2925" spans="1:14">
      <c r="A2925">
        <v>2924</v>
      </c>
      <c r="B2925">
        <v>45</v>
      </c>
      <c r="C2925" t="s">
        <v>16</v>
      </c>
      <c r="D2925" t="s">
        <v>20</v>
      </c>
      <c r="E2925" t="s">
        <v>39</v>
      </c>
      <c r="F2925">
        <v>56.1</v>
      </c>
      <c r="G2925" t="s">
        <v>24</v>
      </c>
      <c r="H2925" t="s">
        <v>15</v>
      </c>
      <c r="I2925">
        <v>3.4</v>
      </c>
      <c r="J2925">
        <v>15</v>
      </c>
      <c r="K2925">
        <v>5</v>
      </c>
      <c r="L2925" s="4">
        <v>66</v>
      </c>
      <c r="M2925" s="4">
        <v>9.8999999999999986</v>
      </c>
      <c r="N2925" t="s">
        <v>93</v>
      </c>
    </row>
    <row r="2926" spans="1:14">
      <c r="A2926">
        <v>2925</v>
      </c>
      <c r="B2926">
        <v>51</v>
      </c>
      <c r="C2926" t="s">
        <v>16</v>
      </c>
      <c r="D2926" t="s">
        <v>33</v>
      </c>
      <c r="E2926" t="s">
        <v>34</v>
      </c>
      <c r="F2926">
        <v>67.650000000000006</v>
      </c>
      <c r="G2926" t="s">
        <v>24</v>
      </c>
      <c r="H2926" t="s">
        <v>15</v>
      </c>
      <c r="I2926">
        <v>4.3</v>
      </c>
      <c r="J2926">
        <v>13</v>
      </c>
      <c r="K2926">
        <v>4</v>
      </c>
      <c r="L2926" s="4">
        <v>77.758620689655174</v>
      </c>
      <c r="M2926" s="4">
        <v>10.108620689655169</v>
      </c>
      <c r="N2926" t="s">
        <v>93</v>
      </c>
    </row>
    <row r="2927" spans="1:14">
      <c r="A2927">
        <v>2926</v>
      </c>
      <c r="B2927">
        <v>66</v>
      </c>
      <c r="C2927" t="s">
        <v>16</v>
      </c>
      <c r="D2927" t="s">
        <v>27</v>
      </c>
      <c r="E2927" t="s">
        <v>28</v>
      </c>
      <c r="F2927">
        <v>2242.8000000000002</v>
      </c>
      <c r="G2927" t="s">
        <v>19</v>
      </c>
      <c r="H2927" t="s">
        <v>15</v>
      </c>
      <c r="I2927">
        <v>4.4000000000000004</v>
      </c>
      <c r="J2927">
        <v>12</v>
      </c>
      <c r="K2927">
        <v>1</v>
      </c>
      <c r="L2927" s="4">
        <v>2548.636363636364</v>
      </c>
      <c r="M2927" s="4">
        <v>305.83636363636379</v>
      </c>
      <c r="N2927" t="s">
        <v>95</v>
      </c>
    </row>
    <row r="2928" spans="1:14">
      <c r="A2928">
        <v>2927</v>
      </c>
      <c r="B2928">
        <v>25</v>
      </c>
      <c r="C2928" t="s">
        <v>16</v>
      </c>
      <c r="D2928" t="s">
        <v>17</v>
      </c>
      <c r="E2928" t="s">
        <v>42</v>
      </c>
      <c r="F2928">
        <v>135.66999999999999</v>
      </c>
      <c r="G2928" t="s">
        <v>19</v>
      </c>
      <c r="H2928" t="s">
        <v>15</v>
      </c>
      <c r="I2928">
        <v>4.5</v>
      </c>
      <c r="J2928">
        <v>8</v>
      </c>
      <c r="K2928">
        <v>4</v>
      </c>
      <c r="L2928" s="4">
        <v>147.46739130434781</v>
      </c>
      <c r="M2928" s="4">
        <v>11.797391304347826</v>
      </c>
      <c r="N2928" t="s">
        <v>91</v>
      </c>
    </row>
    <row r="2929" spans="1:14">
      <c r="A2929">
        <v>2928</v>
      </c>
      <c r="B2929">
        <v>55</v>
      </c>
      <c r="C2929" t="s">
        <v>16</v>
      </c>
      <c r="D2929" t="s">
        <v>20</v>
      </c>
      <c r="E2929" t="s">
        <v>21</v>
      </c>
      <c r="F2929">
        <v>96.63</v>
      </c>
      <c r="G2929" t="s">
        <v>24</v>
      </c>
      <c r="H2929" t="s">
        <v>15</v>
      </c>
      <c r="I2929">
        <v>3.9</v>
      </c>
      <c r="J2929">
        <v>6</v>
      </c>
      <c r="K2929">
        <v>3</v>
      </c>
      <c r="L2929" s="4">
        <v>102.79787234042553</v>
      </c>
      <c r="M2929" s="4">
        <v>6.1678723404255322</v>
      </c>
      <c r="N2929" t="s">
        <v>94</v>
      </c>
    </row>
    <row r="2930" spans="1:14">
      <c r="A2930">
        <v>2929</v>
      </c>
      <c r="B2930">
        <v>41</v>
      </c>
      <c r="C2930" t="s">
        <v>11</v>
      </c>
      <c r="D2930" t="s">
        <v>29</v>
      </c>
      <c r="E2930" t="s">
        <v>30</v>
      </c>
      <c r="F2930">
        <v>34.42</v>
      </c>
      <c r="G2930" t="s">
        <v>19</v>
      </c>
      <c r="H2930" t="s">
        <v>37</v>
      </c>
      <c r="I2930">
        <v>4.3</v>
      </c>
      <c r="J2930">
        <v>26</v>
      </c>
      <c r="K2930">
        <v>8</v>
      </c>
      <c r="L2930" s="4">
        <v>46.513513513513516</v>
      </c>
      <c r="M2930" s="4">
        <v>12.093513513513514</v>
      </c>
      <c r="N2930" t="s">
        <v>92</v>
      </c>
    </row>
    <row r="2931" spans="1:14">
      <c r="A2931">
        <v>2930</v>
      </c>
      <c r="B2931">
        <v>64</v>
      </c>
      <c r="C2931" t="s">
        <v>11</v>
      </c>
      <c r="D2931" t="s">
        <v>12</v>
      </c>
      <c r="E2931" t="s">
        <v>56</v>
      </c>
      <c r="F2931">
        <v>108.39</v>
      </c>
      <c r="G2931" t="s">
        <v>24</v>
      </c>
      <c r="H2931" t="s">
        <v>15</v>
      </c>
      <c r="I2931">
        <v>3.3</v>
      </c>
      <c r="J2931">
        <v>10</v>
      </c>
      <c r="K2931">
        <v>5</v>
      </c>
      <c r="L2931" s="4">
        <v>120.43333333333334</v>
      </c>
      <c r="M2931" s="4">
        <v>12.043333333333337</v>
      </c>
      <c r="N2931" t="s">
        <v>94</v>
      </c>
    </row>
    <row r="2932" spans="1:14">
      <c r="A2932">
        <v>2931</v>
      </c>
      <c r="B2932">
        <v>67</v>
      </c>
      <c r="C2932" t="s">
        <v>16</v>
      </c>
      <c r="D2932" t="s">
        <v>33</v>
      </c>
      <c r="E2932" t="s">
        <v>38</v>
      </c>
      <c r="F2932">
        <v>96.2</v>
      </c>
      <c r="G2932" t="s">
        <v>19</v>
      </c>
      <c r="H2932" t="s">
        <v>15</v>
      </c>
      <c r="I2932">
        <v>3.1</v>
      </c>
      <c r="J2932">
        <v>5</v>
      </c>
      <c r="K2932">
        <v>0</v>
      </c>
      <c r="L2932" s="4">
        <v>101.26315789473685</v>
      </c>
      <c r="M2932" s="4">
        <v>5.0631578947368467</v>
      </c>
      <c r="N2932" t="s">
        <v>95</v>
      </c>
    </row>
    <row r="2933" spans="1:14">
      <c r="A2933">
        <v>2932</v>
      </c>
      <c r="B2933">
        <v>23</v>
      </c>
      <c r="C2933" t="s">
        <v>11</v>
      </c>
      <c r="D2933" t="s">
        <v>29</v>
      </c>
      <c r="E2933" t="s">
        <v>55</v>
      </c>
      <c r="F2933">
        <v>50.94</v>
      </c>
      <c r="G2933" t="s">
        <v>14</v>
      </c>
      <c r="H2933" t="s">
        <v>37</v>
      </c>
      <c r="I2933">
        <v>1.9</v>
      </c>
      <c r="J2933">
        <v>14</v>
      </c>
      <c r="K2933">
        <v>2</v>
      </c>
      <c r="L2933" s="4">
        <v>59.232558139534881</v>
      </c>
      <c r="M2933" s="4">
        <v>8.2925581395348829</v>
      </c>
      <c r="N2933" t="s">
        <v>100</v>
      </c>
    </row>
    <row r="2934" spans="1:14">
      <c r="A2934">
        <v>2933</v>
      </c>
      <c r="B2934">
        <v>49</v>
      </c>
      <c r="C2934" t="s">
        <v>16</v>
      </c>
      <c r="D2934" t="s">
        <v>33</v>
      </c>
      <c r="E2934" t="s">
        <v>40</v>
      </c>
      <c r="F2934">
        <v>122.8</v>
      </c>
      <c r="G2934" t="s">
        <v>19</v>
      </c>
      <c r="H2934" t="s">
        <v>15</v>
      </c>
      <c r="I2934">
        <v>2.8</v>
      </c>
      <c r="J2934">
        <v>21</v>
      </c>
      <c r="K2934">
        <v>8</v>
      </c>
      <c r="L2934" s="4">
        <v>155.44303797468353</v>
      </c>
      <c r="M2934" s="4">
        <v>32.643037974683537</v>
      </c>
      <c r="N2934" t="s">
        <v>93</v>
      </c>
    </row>
    <row r="2935" spans="1:14">
      <c r="A2935">
        <v>2934</v>
      </c>
      <c r="B2935">
        <v>53</v>
      </c>
      <c r="C2935" t="s">
        <v>16</v>
      </c>
      <c r="D2935" t="s">
        <v>17</v>
      </c>
      <c r="E2935" t="s">
        <v>48</v>
      </c>
      <c r="F2935">
        <v>198.47</v>
      </c>
      <c r="G2935" t="s">
        <v>19</v>
      </c>
      <c r="H2935" t="s">
        <v>15</v>
      </c>
      <c r="I2935">
        <v>3.4</v>
      </c>
      <c r="J2935">
        <v>9</v>
      </c>
      <c r="K2935">
        <v>2</v>
      </c>
      <c r="L2935" s="4">
        <v>218.09890109890108</v>
      </c>
      <c r="M2935" s="4">
        <v>19.628901098901082</v>
      </c>
      <c r="N2935" t="s">
        <v>93</v>
      </c>
    </row>
    <row r="2936" spans="1:14">
      <c r="A2936">
        <v>2935</v>
      </c>
      <c r="B2936">
        <v>58</v>
      </c>
      <c r="C2936" t="s">
        <v>16</v>
      </c>
      <c r="D2936" t="s">
        <v>27</v>
      </c>
      <c r="E2936" t="s">
        <v>53</v>
      </c>
      <c r="F2936">
        <v>1495.44</v>
      </c>
      <c r="G2936" t="s">
        <v>14</v>
      </c>
      <c r="H2936" t="s">
        <v>15</v>
      </c>
      <c r="I2936">
        <v>3.8</v>
      </c>
      <c r="J2936">
        <v>6</v>
      </c>
      <c r="K2936">
        <v>3</v>
      </c>
      <c r="L2936" s="4">
        <v>1590.8936170212767</v>
      </c>
      <c r="M2936" s="4">
        <v>95.453617021276614</v>
      </c>
      <c r="N2936" t="s">
        <v>94</v>
      </c>
    </row>
    <row r="2937" spans="1:14">
      <c r="A2937">
        <v>2936</v>
      </c>
      <c r="B2937">
        <v>37</v>
      </c>
      <c r="C2937" t="s">
        <v>11</v>
      </c>
      <c r="D2937" t="s">
        <v>29</v>
      </c>
      <c r="E2937" t="s">
        <v>30</v>
      </c>
      <c r="F2937">
        <v>91.16</v>
      </c>
      <c r="G2937" t="s">
        <v>14</v>
      </c>
      <c r="H2937" t="s">
        <v>37</v>
      </c>
      <c r="I2937">
        <v>4.5</v>
      </c>
      <c r="J2937">
        <v>12</v>
      </c>
      <c r="K2937">
        <v>6</v>
      </c>
      <c r="L2937" s="4">
        <v>103.59090909090909</v>
      </c>
      <c r="M2937" s="4">
        <v>12.430909090909097</v>
      </c>
      <c r="N2937" t="s">
        <v>92</v>
      </c>
    </row>
    <row r="2938" spans="1:14">
      <c r="A2938">
        <v>2937</v>
      </c>
      <c r="B2938">
        <v>64</v>
      </c>
      <c r="C2938" t="s">
        <v>16</v>
      </c>
      <c r="D2938" t="s">
        <v>22</v>
      </c>
      <c r="E2938" t="s">
        <v>52</v>
      </c>
      <c r="F2938">
        <v>145.24</v>
      </c>
      <c r="G2938" t="s">
        <v>19</v>
      </c>
      <c r="H2938" t="s">
        <v>15</v>
      </c>
      <c r="I2938">
        <v>3.4</v>
      </c>
      <c r="J2938">
        <v>19</v>
      </c>
      <c r="K2938">
        <v>7</v>
      </c>
      <c r="L2938" s="4">
        <v>179.30864197530863</v>
      </c>
      <c r="M2938" s="4">
        <v>34.068641975308623</v>
      </c>
      <c r="N2938" t="s">
        <v>94</v>
      </c>
    </row>
    <row r="2939" spans="1:14">
      <c r="A2939">
        <v>2938</v>
      </c>
      <c r="B2939">
        <v>21</v>
      </c>
      <c r="C2939" t="s">
        <v>11</v>
      </c>
      <c r="D2939" t="s">
        <v>29</v>
      </c>
      <c r="E2939" t="s">
        <v>51</v>
      </c>
      <c r="F2939">
        <v>31.76</v>
      </c>
      <c r="G2939" t="s">
        <v>14</v>
      </c>
      <c r="H2939" t="s">
        <v>37</v>
      </c>
      <c r="I2939">
        <v>4.0999999999999996</v>
      </c>
      <c r="J2939">
        <v>19</v>
      </c>
      <c r="K2939">
        <v>7</v>
      </c>
      <c r="L2939" s="4">
        <v>39.209876543209873</v>
      </c>
      <c r="M2939" s="4">
        <v>7.4498765432098715</v>
      </c>
      <c r="N2939" t="s">
        <v>100</v>
      </c>
    </row>
    <row r="2940" spans="1:14">
      <c r="A2940">
        <v>2939</v>
      </c>
      <c r="B2940">
        <v>50</v>
      </c>
      <c r="C2940" t="s">
        <v>16</v>
      </c>
      <c r="D2940" t="s">
        <v>27</v>
      </c>
      <c r="E2940" t="s">
        <v>28</v>
      </c>
      <c r="F2940">
        <v>1363.84</v>
      </c>
      <c r="G2940" t="s">
        <v>14</v>
      </c>
      <c r="H2940" t="s">
        <v>15</v>
      </c>
      <c r="I2940">
        <v>4.2</v>
      </c>
      <c r="J2940">
        <v>20</v>
      </c>
      <c r="K2940">
        <v>10</v>
      </c>
      <c r="L2940" s="4">
        <v>1704.7999999999997</v>
      </c>
      <c r="M2940" s="4">
        <v>340.95999999999981</v>
      </c>
      <c r="N2940" t="s">
        <v>93</v>
      </c>
    </row>
    <row r="2941" spans="1:14">
      <c r="A2941">
        <v>2940</v>
      </c>
      <c r="B2941">
        <v>27</v>
      </c>
      <c r="C2941" t="s">
        <v>11</v>
      </c>
      <c r="D2941" t="s">
        <v>41</v>
      </c>
      <c r="E2941" t="s">
        <v>45</v>
      </c>
      <c r="F2941">
        <v>49.97</v>
      </c>
      <c r="G2941" t="s">
        <v>14</v>
      </c>
      <c r="H2941" t="s">
        <v>37</v>
      </c>
      <c r="I2941">
        <v>3.7</v>
      </c>
      <c r="J2941">
        <v>13</v>
      </c>
      <c r="K2941">
        <v>4</v>
      </c>
      <c r="L2941" s="4">
        <v>57.4367816091954</v>
      </c>
      <c r="M2941" s="4">
        <v>7.4667816091954009</v>
      </c>
      <c r="N2941" t="s">
        <v>91</v>
      </c>
    </row>
    <row r="2942" spans="1:14">
      <c r="A2942">
        <v>2941</v>
      </c>
      <c r="B2942">
        <v>22</v>
      </c>
      <c r="C2942" t="s">
        <v>16</v>
      </c>
      <c r="D2942" t="s">
        <v>27</v>
      </c>
      <c r="E2942" t="s">
        <v>28</v>
      </c>
      <c r="F2942">
        <v>1428.39</v>
      </c>
      <c r="G2942" t="s">
        <v>31</v>
      </c>
      <c r="H2942" t="s">
        <v>15</v>
      </c>
      <c r="I2942">
        <v>3.6</v>
      </c>
      <c r="J2942">
        <v>24</v>
      </c>
      <c r="K2942">
        <v>7</v>
      </c>
      <c r="L2942" s="4">
        <v>1879.4605263157896</v>
      </c>
      <c r="M2942" s="4">
        <v>451.07052631578949</v>
      </c>
      <c r="N2942" t="s">
        <v>100</v>
      </c>
    </row>
    <row r="2943" spans="1:14">
      <c r="A2943">
        <v>2942</v>
      </c>
      <c r="B2943">
        <v>63</v>
      </c>
      <c r="C2943" t="s">
        <v>16</v>
      </c>
      <c r="D2943" t="s">
        <v>22</v>
      </c>
      <c r="E2943" t="s">
        <v>23</v>
      </c>
      <c r="F2943">
        <v>208.41</v>
      </c>
      <c r="G2943" t="s">
        <v>14</v>
      </c>
      <c r="H2943" t="s">
        <v>15</v>
      </c>
      <c r="I2943">
        <v>4.2</v>
      </c>
      <c r="J2943">
        <v>30</v>
      </c>
      <c r="K2943">
        <v>10</v>
      </c>
      <c r="L2943" s="4">
        <v>297.72857142857146</v>
      </c>
      <c r="M2943" s="4">
        <v>89.31857142857146</v>
      </c>
      <c r="N2943" t="s">
        <v>94</v>
      </c>
    </row>
    <row r="2944" spans="1:14">
      <c r="A2944">
        <v>2943</v>
      </c>
      <c r="B2944">
        <v>28</v>
      </c>
      <c r="C2944" t="s">
        <v>11</v>
      </c>
      <c r="D2944" t="s">
        <v>33</v>
      </c>
      <c r="E2944" t="s">
        <v>40</v>
      </c>
      <c r="F2944">
        <v>220.01</v>
      </c>
      <c r="G2944" t="s">
        <v>19</v>
      </c>
      <c r="H2944" t="s">
        <v>15</v>
      </c>
      <c r="I2944">
        <v>2.7</v>
      </c>
      <c r="J2944">
        <v>15</v>
      </c>
      <c r="K2944">
        <v>5</v>
      </c>
      <c r="L2944" s="4">
        <v>258.83529411764704</v>
      </c>
      <c r="M2944" s="4">
        <v>38.825294117647047</v>
      </c>
      <c r="N2944" t="s">
        <v>91</v>
      </c>
    </row>
    <row r="2945" spans="1:14">
      <c r="A2945">
        <v>2944</v>
      </c>
      <c r="B2945">
        <v>48</v>
      </c>
      <c r="C2945" t="s">
        <v>16</v>
      </c>
      <c r="D2945" t="s">
        <v>27</v>
      </c>
      <c r="E2945" t="s">
        <v>28</v>
      </c>
      <c r="F2945">
        <v>1710.27</v>
      </c>
      <c r="G2945" t="s">
        <v>24</v>
      </c>
      <c r="H2945" t="s">
        <v>15</v>
      </c>
      <c r="I2945">
        <v>3.9</v>
      </c>
      <c r="J2945">
        <v>11</v>
      </c>
      <c r="K2945">
        <v>3</v>
      </c>
      <c r="L2945" s="4">
        <v>1921.6516853932583</v>
      </c>
      <c r="M2945" s="4">
        <v>211.38168539325829</v>
      </c>
      <c r="N2945" t="s">
        <v>93</v>
      </c>
    </row>
    <row r="2946" spans="1:14">
      <c r="A2946">
        <v>2945</v>
      </c>
      <c r="B2946">
        <v>31</v>
      </c>
      <c r="C2946" t="s">
        <v>16</v>
      </c>
      <c r="D2946" t="s">
        <v>20</v>
      </c>
      <c r="E2946" t="s">
        <v>36</v>
      </c>
      <c r="F2946">
        <v>234.56</v>
      </c>
      <c r="G2946" t="s">
        <v>24</v>
      </c>
      <c r="H2946" t="s">
        <v>15</v>
      </c>
      <c r="I2946">
        <v>4.3</v>
      </c>
      <c r="J2946">
        <v>18</v>
      </c>
      <c r="K2946">
        <v>4</v>
      </c>
      <c r="L2946" s="4">
        <v>286.04878048780483</v>
      </c>
      <c r="M2946" s="4">
        <v>51.488780487804831</v>
      </c>
      <c r="N2946" t="s">
        <v>91</v>
      </c>
    </row>
    <row r="2947" spans="1:14">
      <c r="A2947">
        <v>2946</v>
      </c>
      <c r="B2947">
        <v>29</v>
      </c>
      <c r="C2947" t="s">
        <v>11</v>
      </c>
      <c r="D2947" t="s">
        <v>33</v>
      </c>
      <c r="E2947" t="s">
        <v>34</v>
      </c>
      <c r="F2947">
        <v>146.87</v>
      </c>
      <c r="G2947" t="s">
        <v>14</v>
      </c>
      <c r="H2947" t="s">
        <v>15</v>
      </c>
      <c r="I2947">
        <v>3.4</v>
      </c>
      <c r="J2947">
        <v>6</v>
      </c>
      <c r="K2947">
        <v>3</v>
      </c>
      <c r="L2947" s="4">
        <v>156.24468085106383</v>
      </c>
      <c r="M2947" s="4">
        <v>9.3746808510638289</v>
      </c>
      <c r="N2947" t="s">
        <v>91</v>
      </c>
    </row>
    <row r="2948" spans="1:14">
      <c r="A2948">
        <v>2947</v>
      </c>
      <c r="B2948">
        <v>62</v>
      </c>
      <c r="C2948" t="s">
        <v>11</v>
      </c>
      <c r="D2948" t="s">
        <v>12</v>
      </c>
      <c r="E2948" t="s">
        <v>13</v>
      </c>
      <c r="F2948">
        <v>20.66</v>
      </c>
      <c r="G2948" t="s">
        <v>19</v>
      </c>
      <c r="H2948" t="s">
        <v>15</v>
      </c>
      <c r="I2948">
        <v>4.7</v>
      </c>
      <c r="J2948">
        <v>10</v>
      </c>
      <c r="K2948">
        <v>5</v>
      </c>
      <c r="L2948" s="4">
        <v>22.955555555555556</v>
      </c>
      <c r="M2948" s="4">
        <v>2.2955555555555556</v>
      </c>
      <c r="N2948" t="s">
        <v>94</v>
      </c>
    </row>
    <row r="2949" spans="1:14">
      <c r="A2949">
        <v>2948</v>
      </c>
      <c r="B2949">
        <v>37</v>
      </c>
      <c r="C2949" t="s">
        <v>11</v>
      </c>
      <c r="D2949" t="s">
        <v>29</v>
      </c>
      <c r="E2949" t="s">
        <v>30</v>
      </c>
      <c r="F2949">
        <v>97.9</v>
      </c>
      <c r="G2949" t="s">
        <v>14</v>
      </c>
      <c r="H2949" t="s">
        <v>15</v>
      </c>
      <c r="I2949">
        <v>4.2</v>
      </c>
      <c r="J2949">
        <v>14</v>
      </c>
      <c r="K2949">
        <v>7</v>
      </c>
      <c r="L2949" s="4">
        <v>113.83720930232559</v>
      </c>
      <c r="M2949" s="4">
        <v>15.937209302325584</v>
      </c>
      <c r="N2949" t="s">
        <v>92</v>
      </c>
    </row>
    <row r="2950" spans="1:14">
      <c r="A2950">
        <v>2949</v>
      </c>
      <c r="B2950">
        <v>51</v>
      </c>
      <c r="C2950" t="s">
        <v>16</v>
      </c>
      <c r="D2950" t="s">
        <v>27</v>
      </c>
      <c r="E2950" t="s">
        <v>28</v>
      </c>
      <c r="F2950">
        <v>1172.28</v>
      </c>
      <c r="G2950" t="s">
        <v>24</v>
      </c>
      <c r="H2950" t="s">
        <v>15</v>
      </c>
      <c r="I2950">
        <v>4.0999999999999996</v>
      </c>
      <c r="J2950">
        <v>6</v>
      </c>
      <c r="K2950">
        <v>3</v>
      </c>
      <c r="L2950" s="4">
        <v>1247.1063829787236</v>
      </c>
      <c r="M2950" s="4">
        <v>74.826382978723586</v>
      </c>
      <c r="N2950" t="s">
        <v>93</v>
      </c>
    </row>
    <row r="2951" spans="1:14">
      <c r="A2951">
        <v>2950</v>
      </c>
      <c r="B2951">
        <v>52</v>
      </c>
      <c r="C2951" t="s">
        <v>11</v>
      </c>
      <c r="D2951" t="s">
        <v>12</v>
      </c>
      <c r="E2951" t="s">
        <v>56</v>
      </c>
      <c r="F2951">
        <v>48.23</v>
      </c>
      <c r="G2951" t="s">
        <v>31</v>
      </c>
      <c r="H2951" t="s">
        <v>15</v>
      </c>
      <c r="I2951">
        <v>3.4</v>
      </c>
      <c r="J2951">
        <v>4</v>
      </c>
      <c r="K2951">
        <v>2</v>
      </c>
      <c r="L2951" s="4">
        <v>50.239583333333329</v>
      </c>
      <c r="M2951" s="4">
        <v>2.0095833333333317</v>
      </c>
      <c r="N2951" t="s">
        <v>93</v>
      </c>
    </row>
    <row r="2952" spans="1:14">
      <c r="A2952">
        <v>2951</v>
      </c>
      <c r="B2952">
        <v>53</v>
      </c>
      <c r="C2952" t="s">
        <v>11</v>
      </c>
      <c r="D2952" t="s">
        <v>12</v>
      </c>
      <c r="E2952" t="s">
        <v>56</v>
      </c>
      <c r="F2952">
        <v>60.58</v>
      </c>
      <c r="G2952" t="s">
        <v>31</v>
      </c>
      <c r="H2952" t="s">
        <v>15</v>
      </c>
      <c r="I2952">
        <v>4.5999999999999996</v>
      </c>
      <c r="J2952">
        <v>11</v>
      </c>
      <c r="K2952">
        <v>3</v>
      </c>
      <c r="L2952" s="4">
        <v>68.067415730337075</v>
      </c>
      <c r="M2952" s="4">
        <v>7.4874157303370765</v>
      </c>
      <c r="N2952" t="s">
        <v>93</v>
      </c>
    </row>
    <row r="2953" spans="1:14">
      <c r="A2953">
        <v>2952</v>
      </c>
      <c r="B2953">
        <v>67</v>
      </c>
      <c r="C2953" t="s">
        <v>11</v>
      </c>
      <c r="D2953" t="s">
        <v>41</v>
      </c>
      <c r="E2953" t="s">
        <v>46</v>
      </c>
      <c r="F2953">
        <v>153.51</v>
      </c>
      <c r="G2953" t="s">
        <v>24</v>
      </c>
      <c r="H2953" t="s">
        <v>15</v>
      </c>
      <c r="I2953">
        <v>4</v>
      </c>
      <c r="J2953">
        <v>8</v>
      </c>
      <c r="K2953">
        <v>4</v>
      </c>
      <c r="L2953" s="4">
        <v>166.85869565217391</v>
      </c>
      <c r="M2953" s="4">
        <v>13.348695652173916</v>
      </c>
      <c r="N2953" t="s">
        <v>95</v>
      </c>
    </row>
    <row r="2954" spans="1:14">
      <c r="A2954">
        <v>2953</v>
      </c>
      <c r="B2954">
        <v>70</v>
      </c>
      <c r="C2954" t="s">
        <v>11</v>
      </c>
      <c r="D2954" t="s">
        <v>33</v>
      </c>
      <c r="E2954" t="s">
        <v>40</v>
      </c>
      <c r="F2954">
        <v>116.7</v>
      </c>
      <c r="G2954" t="s">
        <v>19</v>
      </c>
      <c r="H2954" t="s">
        <v>15</v>
      </c>
      <c r="I2954">
        <v>4.5999999999999996</v>
      </c>
      <c r="J2954">
        <v>18</v>
      </c>
      <c r="K2954">
        <v>4</v>
      </c>
      <c r="L2954" s="4">
        <v>142.3170731707317</v>
      </c>
      <c r="M2954" s="4">
        <v>25.6170731707317</v>
      </c>
      <c r="N2954" t="s">
        <v>95</v>
      </c>
    </row>
    <row r="2955" spans="1:14">
      <c r="A2955">
        <v>2954</v>
      </c>
      <c r="B2955">
        <v>37</v>
      </c>
      <c r="C2955" t="s">
        <v>16</v>
      </c>
      <c r="D2955" t="s">
        <v>20</v>
      </c>
      <c r="E2955" t="s">
        <v>36</v>
      </c>
      <c r="F2955">
        <v>41.88</v>
      </c>
      <c r="G2955" t="s">
        <v>31</v>
      </c>
      <c r="H2955" t="s">
        <v>37</v>
      </c>
      <c r="I2955">
        <v>3.6</v>
      </c>
      <c r="J2955">
        <v>15</v>
      </c>
      <c r="K2955">
        <v>5</v>
      </c>
      <c r="L2955" s="4">
        <v>49.27058823529412</v>
      </c>
      <c r="M2955" s="4">
        <v>7.3905882352941177</v>
      </c>
      <c r="N2955" t="s">
        <v>92</v>
      </c>
    </row>
    <row r="2956" spans="1:14">
      <c r="A2956">
        <v>2955</v>
      </c>
      <c r="B2956">
        <v>44</v>
      </c>
      <c r="C2956" t="s">
        <v>11</v>
      </c>
      <c r="D2956" t="s">
        <v>25</v>
      </c>
      <c r="E2956" t="s">
        <v>47</v>
      </c>
      <c r="F2956">
        <v>43.31</v>
      </c>
      <c r="G2956" t="s">
        <v>14</v>
      </c>
      <c r="H2956" t="s">
        <v>37</v>
      </c>
      <c r="I2956">
        <v>3.9</v>
      </c>
      <c r="J2956">
        <v>20</v>
      </c>
      <c r="K2956">
        <v>10</v>
      </c>
      <c r="L2956" s="4">
        <v>54.137500000000003</v>
      </c>
      <c r="M2956" s="4">
        <v>10.827500000000001</v>
      </c>
      <c r="N2956" t="s">
        <v>92</v>
      </c>
    </row>
    <row r="2957" spans="1:14">
      <c r="A2957">
        <v>2956</v>
      </c>
      <c r="B2957">
        <v>57</v>
      </c>
      <c r="C2957" t="s">
        <v>11</v>
      </c>
      <c r="D2957" t="s">
        <v>41</v>
      </c>
      <c r="E2957" t="s">
        <v>46</v>
      </c>
      <c r="F2957">
        <v>186.86</v>
      </c>
      <c r="G2957" t="s">
        <v>14</v>
      </c>
      <c r="H2957" t="s">
        <v>15</v>
      </c>
      <c r="I2957">
        <v>2.9</v>
      </c>
      <c r="J2957">
        <v>9</v>
      </c>
      <c r="K2957">
        <v>2</v>
      </c>
      <c r="L2957" s="4">
        <v>205.34065934065936</v>
      </c>
      <c r="M2957" s="4">
        <v>18.480659340659344</v>
      </c>
      <c r="N2957" t="s">
        <v>94</v>
      </c>
    </row>
    <row r="2958" spans="1:14">
      <c r="A2958">
        <v>2957</v>
      </c>
      <c r="B2958">
        <v>61</v>
      </c>
      <c r="C2958" t="s">
        <v>16</v>
      </c>
      <c r="D2958" t="s">
        <v>22</v>
      </c>
      <c r="E2958" t="s">
        <v>23</v>
      </c>
      <c r="F2958">
        <v>151.26</v>
      </c>
      <c r="G2958" t="s">
        <v>24</v>
      </c>
      <c r="H2958" t="s">
        <v>15</v>
      </c>
      <c r="I2958">
        <v>4.4000000000000004</v>
      </c>
      <c r="J2958">
        <v>11</v>
      </c>
      <c r="K2958">
        <v>3</v>
      </c>
      <c r="L2958" s="4">
        <v>169.95505617977526</v>
      </c>
      <c r="M2958" s="4">
        <v>18.695056179775264</v>
      </c>
      <c r="N2958" t="s">
        <v>94</v>
      </c>
    </row>
    <row r="2959" spans="1:14">
      <c r="A2959">
        <v>2958</v>
      </c>
      <c r="B2959">
        <v>66</v>
      </c>
      <c r="C2959" t="s">
        <v>11</v>
      </c>
      <c r="D2959" t="s">
        <v>29</v>
      </c>
      <c r="E2959" t="s">
        <v>30</v>
      </c>
      <c r="F2959">
        <v>130.44999999999999</v>
      </c>
      <c r="G2959" t="s">
        <v>14</v>
      </c>
      <c r="H2959" t="s">
        <v>15</v>
      </c>
      <c r="I2959">
        <v>3.5</v>
      </c>
      <c r="J2959">
        <v>14</v>
      </c>
      <c r="K2959">
        <v>7</v>
      </c>
      <c r="L2959" s="4">
        <v>151.68604651162789</v>
      </c>
      <c r="M2959" s="4">
        <v>21.236046511627904</v>
      </c>
      <c r="N2959" t="s">
        <v>95</v>
      </c>
    </row>
    <row r="2960" spans="1:14">
      <c r="A2960">
        <v>2959</v>
      </c>
      <c r="B2960">
        <v>28</v>
      </c>
      <c r="C2960" t="s">
        <v>16</v>
      </c>
      <c r="D2960" t="s">
        <v>17</v>
      </c>
      <c r="E2960" t="s">
        <v>48</v>
      </c>
      <c r="F2960">
        <v>172.56</v>
      </c>
      <c r="G2960" t="s">
        <v>24</v>
      </c>
      <c r="H2960" t="s">
        <v>15</v>
      </c>
      <c r="I2960">
        <v>4.2</v>
      </c>
      <c r="J2960">
        <v>20</v>
      </c>
      <c r="K2960">
        <v>5</v>
      </c>
      <c r="L2960" s="4">
        <v>215.7</v>
      </c>
      <c r="M2960" s="4">
        <v>43.139999999999986</v>
      </c>
      <c r="N2960" t="s">
        <v>91</v>
      </c>
    </row>
    <row r="2961" spans="1:14">
      <c r="A2961">
        <v>2960</v>
      </c>
      <c r="B2961">
        <v>44</v>
      </c>
      <c r="C2961" t="s">
        <v>11</v>
      </c>
      <c r="D2961" t="s">
        <v>25</v>
      </c>
      <c r="E2961" t="s">
        <v>47</v>
      </c>
      <c r="F2961">
        <v>65.95</v>
      </c>
      <c r="G2961" t="s">
        <v>19</v>
      </c>
      <c r="H2961" t="s">
        <v>37</v>
      </c>
      <c r="I2961">
        <v>2.7</v>
      </c>
      <c r="J2961">
        <v>10</v>
      </c>
      <c r="K2961">
        <v>5</v>
      </c>
      <c r="L2961" s="4">
        <v>73.277777777777786</v>
      </c>
      <c r="M2961" s="4">
        <v>7.3277777777777828</v>
      </c>
      <c r="N2961" t="s">
        <v>92</v>
      </c>
    </row>
    <row r="2962" spans="1:14">
      <c r="A2962">
        <v>2961</v>
      </c>
      <c r="B2962">
        <v>61</v>
      </c>
      <c r="C2962" t="s">
        <v>11</v>
      </c>
      <c r="D2962" t="s">
        <v>41</v>
      </c>
      <c r="E2962" t="s">
        <v>46</v>
      </c>
      <c r="F2962">
        <v>87.4</v>
      </c>
      <c r="G2962" t="s">
        <v>31</v>
      </c>
      <c r="H2962" t="s">
        <v>37</v>
      </c>
      <c r="I2962">
        <v>3</v>
      </c>
      <c r="J2962">
        <v>20</v>
      </c>
      <c r="K2962">
        <v>5</v>
      </c>
      <c r="L2962" s="4">
        <v>109.25</v>
      </c>
      <c r="M2962" s="4">
        <v>21.849999999999994</v>
      </c>
      <c r="N2962" t="s">
        <v>94</v>
      </c>
    </row>
    <row r="2963" spans="1:14">
      <c r="A2963">
        <v>2962</v>
      </c>
      <c r="B2963">
        <v>38</v>
      </c>
      <c r="C2963" t="s">
        <v>16</v>
      </c>
      <c r="D2963" t="s">
        <v>17</v>
      </c>
      <c r="E2963" t="s">
        <v>18</v>
      </c>
      <c r="F2963">
        <v>186.66</v>
      </c>
      <c r="G2963" t="s">
        <v>31</v>
      </c>
      <c r="H2963" t="s">
        <v>15</v>
      </c>
      <c r="I2963">
        <v>4.5999999999999996</v>
      </c>
      <c r="J2963">
        <v>16</v>
      </c>
      <c r="K2963">
        <v>3</v>
      </c>
      <c r="L2963" s="4">
        <v>222.21428571428572</v>
      </c>
      <c r="M2963" s="4">
        <v>35.554285714285726</v>
      </c>
      <c r="N2963" t="s">
        <v>92</v>
      </c>
    </row>
    <row r="2964" spans="1:14">
      <c r="A2964">
        <v>2963</v>
      </c>
      <c r="B2964">
        <v>40</v>
      </c>
      <c r="C2964" t="s">
        <v>11</v>
      </c>
      <c r="D2964" t="s">
        <v>12</v>
      </c>
      <c r="E2964" t="s">
        <v>13</v>
      </c>
      <c r="F2964">
        <v>41.27</v>
      </c>
      <c r="G2964" t="s">
        <v>24</v>
      </c>
      <c r="H2964" t="s">
        <v>15</v>
      </c>
      <c r="I2964">
        <v>3.4</v>
      </c>
      <c r="J2964">
        <v>4</v>
      </c>
      <c r="K2964">
        <v>2</v>
      </c>
      <c r="L2964" s="4">
        <v>42.989583333333336</v>
      </c>
      <c r="M2964" s="4">
        <v>1.7195833333333326</v>
      </c>
      <c r="N2964" t="s">
        <v>92</v>
      </c>
    </row>
    <row r="2965" spans="1:14">
      <c r="A2965">
        <v>2964</v>
      </c>
      <c r="B2965">
        <v>36</v>
      </c>
      <c r="C2965" t="s">
        <v>11</v>
      </c>
      <c r="D2965" t="s">
        <v>29</v>
      </c>
      <c r="E2965" t="s">
        <v>30</v>
      </c>
      <c r="F2965">
        <v>131.26</v>
      </c>
      <c r="G2965" t="s">
        <v>24</v>
      </c>
      <c r="H2965" t="s">
        <v>15</v>
      </c>
      <c r="I2965">
        <v>2.9</v>
      </c>
      <c r="J2965">
        <v>16</v>
      </c>
      <c r="K2965">
        <v>3</v>
      </c>
      <c r="L2965" s="4">
        <v>156.26190476190476</v>
      </c>
      <c r="M2965" s="4">
        <v>25.001904761904768</v>
      </c>
      <c r="N2965" t="s">
        <v>92</v>
      </c>
    </row>
    <row r="2966" spans="1:14">
      <c r="A2966">
        <v>2965</v>
      </c>
      <c r="B2966">
        <v>68</v>
      </c>
      <c r="C2966" t="s">
        <v>11</v>
      </c>
      <c r="D2966" t="s">
        <v>29</v>
      </c>
      <c r="E2966" t="s">
        <v>51</v>
      </c>
      <c r="F2966">
        <v>57.54</v>
      </c>
      <c r="G2966" t="s">
        <v>14</v>
      </c>
      <c r="H2966" t="s">
        <v>15</v>
      </c>
      <c r="I2966">
        <v>4</v>
      </c>
      <c r="J2966">
        <v>22</v>
      </c>
      <c r="K2966">
        <v>6</v>
      </c>
      <c r="L2966" s="4">
        <v>73.769230769230759</v>
      </c>
      <c r="M2966" s="4">
        <v>16.22923076923076</v>
      </c>
      <c r="N2966" t="s">
        <v>95</v>
      </c>
    </row>
    <row r="2967" spans="1:14">
      <c r="A2967">
        <v>2966</v>
      </c>
      <c r="B2967">
        <v>59</v>
      </c>
      <c r="C2967" t="s">
        <v>16</v>
      </c>
      <c r="D2967" t="s">
        <v>20</v>
      </c>
      <c r="E2967" t="s">
        <v>39</v>
      </c>
      <c r="F2967">
        <v>51.46</v>
      </c>
      <c r="G2967" t="s">
        <v>31</v>
      </c>
      <c r="H2967" t="s">
        <v>15</v>
      </c>
      <c r="I2967">
        <v>4.4000000000000004</v>
      </c>
      <c r="J2967">
        <v>11</v>
      </c>
      <c r="K2967">
        <v>3</v>
      </c>
      <c r="L2967" s="4">
        <v>57.820224719101127</v>
      </c>
      <c r="M2967" s="4">
        <v>6.3602247191011259</v>
      </c>
      <c r="N2967" t="s">
        <v>94</v>
      </c>
    </row>
    <row r="2968" spans="1:14">
      <c r="A2968">
        <v>2967</v>
      </c>
      <c r="B2968">
        <v>34</v>
      </c>
      <c r="C2968" t="s">
        <v>16</v>
      </c>
      <c r="D2968" t="s">
        <v>20</v>
      </c>
      <c r="E2968" t="s">
        <v>21</v>
      </c>
      <c r="F2968">
        <v>73.63</v>
      </c>
      <c r="G2968" t="s">
        <v>19</v>
      </c>
      <c r="H2968" t="s">
        <v>37</v>
      </c>
      <c r="I2968">
        <v>4.5</v>
      </c>
      <c r="J2968">
        <v>34</v>
      </c>
      <c r="K2968">
        <v>12</v>
      </c>
      <c r="L2968" s="4">
        <v>111.56060606060606</v>
      </c>
      <c r="M2968" s="4">
        <v>37.930606060606067</v>
      </c>
      <c r="N2968" t="s">
        <v>91</v>
      </c>
    </row>
    <row r="2969" spans="1:14">
      <c r="A2969">
        <v>2968</v>
      </c>
      <c r="B2969">
        <v>40</v>
      </c>
      <c r="C2969" t="s">
        <v>11</v>
      </c>
      <c r="D2969" t="s">
        <v>33</v>
      </c>
      <c r="E2969" t="s">
        <v>38</v>
      </c>
      <c r="F2969">
        <v>169.28</v>
      </c>
      <c r="G2969" t="s">
        <v>19</v>
      </c>
      <c r="H2969" t="s">
        <v>15</v>
      </c>
      <c r="I2969">
        <v>4.7</v>
      </c>
      <c r="J2969">
        <v>11</v>
      </c>
      <c r="K2969">
        <v>3</v>
      </c>
      <c r="L2969" s="4">
        <v>190.20224719101122</v>
      </c>
      <c r="M2969" s="4">
        <v>20.922247191011223</v>
      </c>
      <c r="N2969" t="s">
        <v>92</v>
      </c>
    </row>
    <row r="2970" spans="1:14">
      <c r="A2970">
        <v>2969</v>
      </c>
      <c r="B2970">
        <v>67</v>
      </c>
      <c r="C2970" t="s">
        <v>16</v>
      </c>
      <c r="D2970" t="s">
        <v>17</v>
      </c>
      <c r="E2970" t="s">
        <v>42</v>
      </c>
      <c r="F2970">
        <v>168.33</v>
      </c>
      <c r="G2970" t="s">
        <v>14</v>
      </c>
      <c r="H2970" t="s">
        <v>15</v>
      </c>
      <c r="I2970">
        <v>3.3</v>
      </c>
      <c r="J2970">
        <v>20</v>
      </c>
      <c r="K2970">
        <v>5</v>
      </c>
      <c r="L2970" s="4">
        <v>210.41249999999999</v>
      </c>
      <c r="M2970" s="4">
        <v>42.082499999999982</v>
      </c>
      <c r="N2970" t="s">
        <v>95</v>
      </c>
    </row>
    <row r="2971" spans="1:14">
      <c r="A2971">
        <v>2970</v>
      </c>
      <c r="B2971">
        <v>63</v>
      </c>
      <c r="C2971" t="s">
        <v>11</v>
      </c>
      <c r="D2971" t="s">
        <v>12</v>
      </c>
      <c r="E2971" t="s">
        <v>13</v>
      </c>
      <c r="F2971">
        <v>45.25</v>
      </c>
      <c r="G2971" t="s">
        <v>31</v>
      </c>
      <c r="H2971" t="s">
        <v>37</v>
      </c>
      <c r="I2971">
        <v>4.4000000000000004</v>
      </c>
      <c r="J2971">
        <v>13</v>
      </c>
      <c r="K2971">
        <v>4</v>
      </c>
      <c r="L2971" s="4">
        <v>52.011494252873561</v>
      </c>
      <c r="M2971" s="4">
        <v>6.7614942528735611</v>
      </c>
      <c r="N2971" t="s">
        <v>94</v>
      </c>
    </row>
    <row r="2972" spans="1:14">
      <c r="A2972">
        <v>2971</v>
      </c>
      <c r="B2972">
        <v>39</v>
      </c>
      <c r="C2972" t="s">
        <v>16</v>
      </c>
      <c r="D2972" t="s">
        <v>33</v>
      </c>
      <c r="E2972" t="s">
        <v>40</v>
      </c>
      <c r="F2972">
        <v>213.65</v>
      </c>
      <c r="G2972" t="s">
        <v>19</v>
      </c>
      <c r="H2972" t="s">
        <v>15</v>
      </c>
      <c r="I2972">
        <v>3.3</v>
      </c>
      <c r="J2972">
        <v>8</v>
      </c>
      <c r="K2972">
        <v>4</v>
      </c>
      <c r="L2972" s="4">
        <v>232.22826086956522</v>
      </c>
      <c r="M2972" s="4">
        <v>18.578260869565213</v>
      </c>
      <c r="N2972" t="s">
        <v>92</v>
      </c>
    </row>
    <row r="2973" spans="1:14">
      <c r="A2973">
        <v>2972</v>
      </c>
      <c r="B2973">
        <v>55</v>
      </c>
      <c r="C2973" t="s">
        <v>11</v>
      </c>
      <c r="D2973" t="s">
        <v>12</v>
      </c>
      <c r="E2973" t="s">
        <v>50</v>
      </c>
      <c r="F2973">
        <v>33.590000000000003</v>
      </c>
      <c r="G2973" t="s">
        <v>31</v>
      </c>
      <c r="H2973" t="s">
        <v>15</v>
      </c>
      <c r="I2973">
        <v>3.1</v>
      </c>
      <c r="J2973">
        <v>20</v>
      </c>
      <c r="K2973">
        <v>5</v>
      </c>
      <c r="L2973" s="4">
        <v>41.987500000000004</v>
      </c>
      <c r="M2973" s="4">
        <v>8.3975000000000009</v>
      </c>
      <c r="N2973" t="s">
        <v>94</v>
      </c>
    </row>
    <row r="2974" spans="1:14">
      <c r="A2974">
        <v>2973</v>
      </c>
      <c r="B2974">
        <v>27</v>
      </c>
      <c r="C2974" t="s">
        <v>16</v>
      </c>
      <c r="D2974" t="s">
        <v>17</v>
      </c>
      <c r="E2974" t="s">
        <v>48</v>
      </c>
      <c r="F2974">
        <v>163.62</v>
      </c>
      <c r="G2974" t="s">
        <v>24</v>
      </c>
      <c r="H2974" t="s">
        <v>15</v>
      </c>
      <c r="I2974">
        <v>4.0999999999999996</v>
      </c>
      <c r="J2974">
        <v>10</v>
      </c>
      <c r="K2974">
        <v>5</v>
      </c>
      <c r="L2974" s="4">
        <v>181.8</v>
      </c>
      <c r="M2974" s="4">
        <v>18.180000000000007</v>
      </c>
      <c r="N2974" t="s">
        <v>91</v>
      </c>
    </row>
    <row r="2975" spans="1:14">
      <c r="A2975">
        <v>2974</v>
      </c>
      <c r="B2975">
        <v>49</v>
      </c>
      <c r="C2975" t="s">
        <v>11</v>
      </c>
      <c r="D2975" t="s">
        <v>29</v>
      </c>
      <c r="E2975" t="s">
        <v>51</v>
      </c>
      <c r="F2975">
        <v>56.06</v>
      </c>
      <c r="G2975" t="s">
        <v>24</v>
      </c>
      <c r="H2975" t="s">
        <v>15</v>
      </c>
      <c r="I2975">
        <v>2.8</v>
      </c>
      <c r="J2975">
        <v>18</v>
      </c>
      <c r="K2975">
        <v>4</v>
      </c>
      <c r="L2975" s="4">
        <v>68.365853658536579</v>
      </c>
      <c r="M2975" s="4">
        <v>12.305853658536577</v>
      </c>
      <c r="N2975" t="s">
        <v>93</v>
      </c>
    </row>
    <row r="2976" spans="1:14">
      <c r="A2976">
        <v>2975</v>
      </c>
      <c r="B2976">
        <v>54</v>
      </c>
      <c r="C2976" t="s">
        <v>11</v>
      </c>
      <c r="D2976" t="s">
        <v>41</v>
      </c>
      <c r="E2976" t="s">
        <v>45</v>
      </c>
      <c r="F2976">
        <v>131.24</v>
      </c>
      <c r="G2976" t="s">
        <v>24</v>
      </c>
      <c r="H2976" t="s">
        <v>15</v>
      </c>
      <c r="I2976">
        <v>3.5</v>
      </c>
      <c r="J2976">
        <v>24</v>
      </c>
      <c r="K2976">
        <v>7</v>
      </c>
      <c r="L2976" s="4">
        <v>172.68421052631581</v>
      </c>
      <c r="M2976" s="4">
        <v>41.4442105263158</v>
      </c>
      <c r="N2976" t="s">
        <v>93</v>
      </c>
    </row>
    <row r="2977" spans="1:14">
      <c r="A2977">
        <v>2976</v>
      </c>
      <c r="B2977">
        <v>64</v>
      </c>
      <c r="C2977" t="s">
        <v>16</v>
      </c>
      <c r="D2977" t="s">
        <v>20</v>
      </c>
      <c r="E2977" t="s">
        <v>36</v>
      </c>
      <c r="F2977">
        <v>118.46</v>
      </c>
      <c r="G2977" t="s">
        <v>14</v>
      </c>
      <c r="H2977" t="s">
        <v>15</v>
      </c>
      <c r="I2977">
        <v>2.9</v>
      </c>
      <c r="J2977">
        <v>13</v>
      </c>
      <c r="K2977">
        <v>4</v>
      </c>
      <c r="L2977" s="4">
        <v>136.16091954022988</v>
      </c>
      <c r="M2977" s="4">
        <v>17.70091954022989</v>
      </c>
      <c r="N2977" t="s">
        <v>94</v>
      </c>
    </row>
    <row r="2978" spans="1:14">
      <c r="A2978">
        <v>2977</v>
      </c>
      <c r="B2978">
        <v>24</v>
      </c>
      <c r="C2978" t="s">
        <v>16</v>
      </c>
      <c r="D2978" t="s">
        <v>20</v>
      </c>
      <c r="E2978" t="s">
        <v>36</v>
      </c>
      <c r="F2978">
        <v>153.78</v>
      </c>
      <c r="G2978" t="s">
        <v>14</v>
      </c>
      <c r="H2978" t="s">
        <v>15</v>
      </c>
      <c r="I2978">
        <v>3.5</v>
      </c>
      <c r="J2978">
        <v>24</v>
      </c>
      <c r="K2978">
        <v>7</v>
      </c>
      <c r="L2978" s="4">
        <v>202.34210526315789</v>
      </c>
      <c r="M2978" s="4">
        <v>48.562105263157889</v>
      </c>
      <c r="N2978" t="s">
        <v>100</v>
      </c>
    </row>
    <row r="2979" spans="1:14">
      <c r="A2979">
        <v>2978</v>
      </c>
      <c r="B2979">
        <v>58</v>
      </c>
      <c r="C2979" t="s">
        <v>16</v>
      </c>
      <c r="D2979" t="s">
        <v>27</v>
      </c>
      <c r="E2979" t="s">
        <v>53</v>
      </c>
      <c r="F2979">
        <v>2236.23</v>
      </c>
      <c r="G2979" t="s">
        <v>19</v>
      </c>
      <c r="H2979" t="s">
        <v>15</v>
      </c>
      <c r="I2979">
        <v>3.1</v>
      </c>
      <c r="J2979">
        <v>22</v>
      </c>
      <c r="K2979">
        <v>6</v>
      </c>
      <c r="L2979" s="4">
        <v>2866.9615384615386</v>
      </c>
      <c r="M2979" s="4">
        <v>630.73153846153855</v>
      </c>
      <c r="N2979" t="s">
        <v>94</v>
      </c>
    </row>
    <row r="2980" spans="1:14">
      <c r="A2980">
        <v>2979</v>
      </c>
      <c r="B2980">
        <v>33</v>
      </c>
      <c r="C2980" t="s">
        <v>11</v>
      </c>
      <c r="D2980" t="s">
        <v>33</v>
      </c>
      <c r="E2980" t="s">
        <v>38</v>
      </c>
      <c r="F2980">
        <v>64.489999999999995</v>
      </c>
      <c r="G2980" t="s">
        <v>31</v>
      </c>
      <c r="H2980" t="s">
        <v>37</v>
      </c>
      <c r="I2980">
        <v>4.2</v>
      </c>
      <c r="J2980">
        <v>2</v>
      </c>
      <c r="K2980">
        <v>1</v>
      </c>
      <c r="L2980" s="4">
        <v>65.806122448979593</v>
      </c>
      <c r="M2980" s="4">
        <v>1.3161224489795984</v>
      </c>
      <c r="N2980" t="s">
        <v>91</v>
      </c>
    </row>
    <row r="2981" spans="1:14">
      <c r="A2981">
        <v>2980</v>
      </c>
      <c r="B2981">
        <v>66</v>
      </c>
      <c r="C2981" t="s">
        <v>11</v>
      </c>
      <c r="D2981" t="s">
        <v>33</v>
      </c>
      <c r="E2981" t="s">
        <v>38</v>
      </c>
      <c r="F2981">
        <v>228.23</v>
      </c>
      <c r="G2981" t="s">
        <v>24</v>
      </c>
      <c r="H2981" t="s">
        <v>15</v>
      </c>
      <c r="I2981">
        <v>3.3</v>
      </c>
      <c r="J2981">
        <v>26</v>
      </c>
      <c r="K2981">
        <v>8</v>
      </c>
      <c r="L2981" s="4">
        <v>308.41891891891891</v>
      </c>
      <c r="M2981" s="4">
        <v>80.188918918918915</v>
      </c>
      <c r="N2981" t="s">
        <v>95</v>
      </c>
    </row>
    <row r="2982" spans="1:14">
      <c r="A2982">
        <v>2981</v>
      </c>
      <c r="B2982">
        <v>50</v>
      </c>
      <c r="C2982" t="s">
        <v>11</v>
      </c>
      <c r="D2982" t="s">
        <v>12</v>
      </c>
      <c r="E2982" t="s">
        <v>13</v>
      </c>
      <c r="F2982">
        <v>30.91</v>
      </c>
      <c r="G2982" t="s">
        <v>31</v>
      </c>
      <c r="H2982" t="s">
        <v>15</v>
      </c>
      <c r="I2982">
        <v>3.9</v>
      </c>
      <c r="J2982">
        <v>26</v>
      </c>
      <c r="K2982">
        <v>8</v>
      </c>
      <c r="L2982" s="4">
        <v>41.770270270270274</v>
      </c>
      <c r="M2982" s="4">
        <v>10.860270270270274</v>
      </c>
      <c r="N2982" t="s">
        <v>93</v>
      </c>
    </row>
    <row r="2983" spans="1:14">
      <c r="A2983">
        <v>2982</v>
      </c>
      <c r="B2983">
        <v>39</v>
      </c>
      <c r="C2983" t="s">
        <v>11</v>
      </c>
      <c r="D2983" t="s">
        <v>33</v>
      </c>
      <c r="E2983" t="s">
        <v>34</v>
      </c>
      <c r="F2983">
        <v>113.51</v>
      </c>
      <c r="G2983" t="s">
        <v>19</v>
      </c>
      <c r="H2983" t="s">
        <v>15</v>
      </c>
      <c r="I2983">
        <v>3.4</v>
      </c>
      <c r="J2983">
        <v>8</v>
      </c>
      <c r="K2983">
        <v>4</v>
      </c>
      <c r="L2983" s="4">
        <v>123.3804347826087</v>
      </c>
      <c r="M2983" s="4">
        <v>9.8704347826086973</v>
      </c>
      <c r="N2983" t="s">
        <v>92</v>
      </c>
    </row>
    <row r="2984" spans="1:14">
      <c r="A2984">
        <v>2983</v>
      </c>
      <c r="B2984">
        <v>43</v>
      </c>
      <c r="C2984" t="s">
        <v>16</v>
      </c>
      <c r="D2984" t="s">
        <v>17</v>
      </c>
      <c r="E2984" t="s">
        <v>42</v>
      </c>
      <c r="F2984">
        <v>144.69999999999999</v>
      </c>
      <c r="G2984" t="s">
        <v>24</v>
      </c>
      <c r="H2984" t="s">
        <v>15</v>
      </c>
      <c r="I2984">
        <v>5</v>
      </c>
      <c r="J2984">
        <v>16</v>
      </c>
      <c r="K2984">
        <v>3</v>
      </c>
      <c r="L2984" s="4">
        <v>172.26190476190476</v>
      </c>
      <c r="M2984" s="4">
        <v>27.561904761904771</v>
      </c>
      <c r="N2984" t="s">
        <v>92</v>
      </c>
    </row>
    <row r="2985" spans="1:14">
      <c r="A2985">
        <v>2984</v>
      </c>
      <c r="B2985">
        <v>64</v>
      </c>
      <c r="C2985" t="s">
        <v>16</v>
      </c>
      <c r="D2985" t="s">
        <v>33</v>
      </c>
      <c r="E2985" t="s">
        <v>40</v>
      </c>
      <c r="F2985">
        <v>52.88</v>
      </c>
      <c r="G2985" t="s">
        <v>24</v>
      </c>
      <c r="H2985" t="s">
        <v>15</v>
      </c>
      <c r="I2985">
        <v>3.1</v>
      </c>
      <c r="J2985">
        <v>6</v>
      </c>
      <c r="K2985">
        <v>3</v>
      </c>
      <c r="L2985" s="4">
        <v>56.255319148936174</v>
      </c>
      <c r="M2985" s="4">
        <v>3.3753191489361711</v>
      </c>
      <c r="N2985" t="s">
        <v>94</v>
      </c>
    </row>
    <row r="2986" spans="1:14">
      <c r="A2986">
        <v>2985</v>
      </c>
      <c r="B2986">
        <v>47</v>
      </c>
      <c r="C2986" t="s">
        <v>11</v>
      </c>
      <c r="D2986" t="s">
        <v>33</v>
      </c>
      <c r="E2986" t="s">
        <v>40</v>
      </c>
      <c r="F2986">
        <v>68.52</v>
      </c>
      <c r="G2986" t="s">
        <v>14</v>
      </c>
      <c r="H2986" t="s">
        <v>37</v>
      </c>
      <c r="I2986">
        <v>3.4</v>
      </c>
      <c r="J2986">
        <v>21</v>
      </c>
      <c r="K2986">
        <v>8</v>
      </c>
      <c r="L2986" s="4">
        <v>86.73417721518986</v>
      </c>
      <c r="M2986" s="4">
        <v>18.214177215189864</v>
      </c>
      <c r="N2986" t="s">
        <v>93</v>
      </c>
    </row>
    <row r="2987" spans="1:14">
      <c r="A2987">
        <v>2986</v>
      </c>
      <c r="B2987">
        <v>26</v>
      </c>
      <c r="C2987" t="s">
        <v>16</v>
      </c>
      <c r="D2987" t="s">
        <v>25</v>
      </c>
      <c r="E2987" t="s">
        <v>54</v>
      </c>
      <c r="F2987">
        <v>48.19</v>
      </c>
      <c r="G2987" t="s">
        <v>19</v>
      </c>
      <c r="H2987" t="s">
        <v>37</v>
      </c>
      <c r="I2987">
        <v>3.5</v>
      </c>
      <c r="J2987">
        <v>12</v>
      </c>
      <c r="K2987">
        <v>6</v>
      </c>
      <c r="L2987" s="4">
        <v>54.761363636363633</v>
      </c>
      <c r="M2987" s="4">
        <v>6.5713636363636354</v>
      </c>
      <c r="N2987" t="s">
        <v>91</v>
      </c>
    </row>
    <row r="2988" spans="1:14">
      <c r="A2988">
        <v>2987</v>
      </c>
      <c r="B2988">
        <v>60</v>
      </c>
      <c r="C2988" t="s">
        <v>16</v>
      </c>
      <c r="D2988" t="s">
        <v>17</v>
      </c>
      <c r="E2988" t="s">
        <v>35</v>
      </c>
      <c r="F2988">
        <v>33.909999999999997</v>
      </c>
      <c r="G2988" t="s">
        <v>24</v>
      </c>
      <c r="H2988" t="s">
        <v>15</v>
      </c>
      <c r="I2988">
        <v>4.5999999999999996</v>
      </c>
      <c r="J2988">
        <v>26</v>
      </c>
      <c r="K2988">
        <v>8</v>
      </c>
      <c r="L2988" s="4">
        <v>45.824324324324323</v>
      </c>
      <c r="M2988" s="4">
        <v>11.914324324324326</v>
      </c>
      <c r="N2988" t="s">
        <v>94</v>
      </c>
    </row>
    <row r="2989" spans="1:14">
      <c r="A2989">
        <v>2988</v>
      </c>
      <c r="B2989">
        <v>35</v>
      </c>
      <c r="C2989" t="s">
        <v>11</v>
      </c>
      <c r="D2989" t="s">
        <v>41</v>
      </c>
      <c r="E2989" t="s">
        <v>42</v>
      </c>
      <c r="F2989">
        <v>59.43</v>
      </c>
      <c r="G2989" t="s">
        <v>14</v>
      </c>
      <c r="H2989" t="s">
        <v>37</v>
      </c>
      <c r="I2989">
        <v>2.9</v>
      </c>
      <c r="J2989">
        <v>10</v>
      </c>
      <c r="K2989">
        <v>5</v>
      </c>
      <c r="L2989" s="4">
        <v>66.033333333333331</v>
      </c>
      <c r="M2989" s="4">
        <v>6.6033333333333317</v>
      </c>
      <c r="N2989" t="s">
        <v>92</v>
      </c>
    </row>
    <row r="2990" spans="1:14">
      <c r="A2990">
        <v>2989</v>
      </c>
      <c r="B2990">
        <v>32</v>
      </c>
      <c r="C2990" t="s">
        <v>11</v>
      </c>
      <c r="D2990" t="s">
        <v>12</v>
      </c>
      <c r="E2990" t="s">
        <v>50</v>
      </c>
      <c r="F2990">
        <v>65.63</v>
      </c>
      <c r="G2990" t="s">
        <v>24</v>
      </c>
      <c r="H2990" t="s">
        <v>15</v>
      </c>
      <c r="I2990">
        <v>3.7</v>
      </c>
      <c r="J2990">
        <v>15</v>
      </c>
      <c r="K2990">
        <v>5</v>
      </c>
      <c r="L2990" s="4">
        <v>77.211764705882345</v>
      </c>
      <c r="M2990" s="4">
        <v>11.58176470588235</v>
      </c>
      <c r="N2990" t="s">
        <v>91</v>
      </c>
    </row>
    <row r="2991" spans="1:14">
      <c r="A2991">
        <v>2990</v>
      </c>
      <c r="B2991">
        <v>33</v>
      </c>
      <c r="C2991" t="s">
        <v>11</v>
      </c>
      <c r="D2991" t="s">
        <v>41</v>
      </c>
      <c r="E2991" t="s">
        <v>46</v>
      </c>
      <c r="F2991">
        <v>57.6</v>
      </c>
      <c r="G2991" t="s">
        <v>24</v>
      </c>
      <c r="H2991" t="s">
        <v>15</v>
      </c>
      <c r="I2991">
        <v>3.6</v>
      </c>
      <c r="J2991">
        <v>6</v>
      </c>
      <c r="K2991">
        <v>3</v>
      </c>
      <c r="L2991" s="4">
        <v>61.276595744680854</v>
      </c>
      <c r="M2991" s="4">
        <v>3.6765957446808528</v>
      </c>
      <c r="N2991" t="s">
        <v>91</v>
      </c>
    </row>
    <row r="2992" spans="1:14">
      <c r="A2992">
        <v>2991</v>
      </c>
      <c r="B2992">
        <v>36</v>
      </c>
      <c r="C2992" t="s">
        <v>11</v>
      </c>
      <c r="D2992" t="s">
        <v>12</v>
      </c>
      <c r="E2992" t="s">
        <v>13</v>
      </c>
      <c r="F2992">
        <v>128.58000000000001</v>
      </c>
      <c r="G2992" t="s">
        <v>14</v>
      </c>
      <c r="H2992" t="s">
        <v>15</v>
      </c>
      <c r="I2992">
        <v>3.6</v>
      </c>
      <c r="J2992">
        <v>8</v>
      </c>
      <c r="K2992">
        <v>4</v>
      </c>
      <c r="L2992" s="4">
        <v>139.7608695652174</v>
      </c>
      <c r="M2992" s="4">
        <v>11.180869565217392</v>
      </c>
      <c r="N2992" t="s">
        <v>92</v>
      </c>
    </row>
    <row r="2993" spans="1:14">
      <c r="A2993">
        <v>2992</v>
      </c>
      <c r="B2993">
        <v>31</v>
      </c>
      <c r="C2993" t="s">
        <v>16</v>
      </c>
      <c r="D2993" t="s">
        <v>33</v>
      </c>
      <c r="E2993" t="s">
        <v>38</v>
      </c>
      <c r="F2993">
        <v>162.09</v>
      </c>
      <c r="G2993" t="s">
        <v>14</v>
      </c>
      <c r="H2993" t="s">
        <v>15</v>
      </c>
      <c r="I2993">
        <v>4.0999999999999996</v>
      </c>
      <c r="J2993">
        <v>12</v>
      </c>
      <c r="K2993">
        <v>6</v>
      </c>
      <c r="L2993" s="4">
        <v>184.19318181818181</v>
      </c>
      <c r="M2993" s="4">
        <v>22.10318181818181</v>
      </c>
      <c r="N2993" t="s">
        <v>91</v>
      </c>
    </row>
    <row r="2994" spans="1:14">
      <c r="A2994">
        <v>2993</v>
      </c>
      <c r="B2994">
        <v>38</v>
      </c>
      <c r="C2994" t="s">
        <v>11</v>
      </c>
      <c r="D2994" t="s">
        <v>12</v>
      </c>
      <c r="E2994" t="s">
        <v>50</v>
      </c>
      <c r="F2994">
        <v>43.25</v>
      </c>
      <c r="G2994" t="s">
        <v>24</v>
      </c>
      <c r="H2994" t="s">
        <v>15</v>
      </c>
      <c r="I2994">
        <v>5</v>
      </c>
      <c r="J2994">
        <v>10</v>
      </c>
      <c r="K2994">
        <v>5</v>
      </c>
      <c r="L2994" s="4">
        <v>48.055555555555557</v>
      </c>
      <c r="M2994" s="4">
        <v>4.8055555555555571</v>
      </c>
      <c r="N2994" t="s">
        <v>92</v>
      </c>
    </row>
    <row r="2995" spans="1:14">
      <c r="A2995">
        <v>2994</v>
      </c>
      <c r="B2995">
        <v>42</v>
      </c>
      <c r="C2995" t="s">
        <v>11</v>
      </c>
      <c r="D2995" t="s">
        <v>41</v>
      </c>
      <c r="E2995" t="s">
        <v>45</v>
      </c>
      <c r="F2995">
        <v>181.64</v>
      </c>
      <c r="G2995" t="s">
        <v>14</v>
      </c>
      <c r="H2995" t="s">
        <v>15</v>
      </c>
      <c r="I2995">
        <v>2.8</v>
      </c>
      <c r="J2995">
        <v>26</v>
      </c>
      <c r="K2995">
        <v>8</v>
      </c>
      <c r="L2995" s="4">
        <v>245.45945945945945</v>
      </c>
      <c r="M2995" s="4">
        <v>63.819459459459466</v>
      </c>
      <c r="N2995" t="s">
        <v>92</v>
      </c>
    </row>
    <row r="2996" spans="1:14">
      <c r="A2996">
        <v>2995</v>
      </c>
      <c r="B2996">
        <v>48</v>
      </c>
      <c r="C2996" t="s">
        <v>16</v>
      </c>
      <c r="D2996" t="s">
        <v>27</v>
      </c>
      <c r="E2996" t="s">
        <v>53</v>
      </c>
      <c r="F2996">
        <v>1720.89</v>
      </c>
      <c r="G2996" t="s">
        <v>19</v>
      </c>
      <c r="H2996" t="s">
        <v>15</v>
      </c>
      <c r="I2996">
        <v>3.5</v>
      </c>
      <c r="J2996">
        <v>16</v>
      </c>
      <c r="K2996">
        <v>3</v>
      </c>
      <c r="L2996" s="4">
        <v>2048.6785714285716</v>
      </c>
      <c r="M2996" s="4">
        <v>327.78857142857146</v>
      </c>
      <c r="N2996" t="s">
        <v>93</v>
      </c>
    </row>
    <row r="2997" spans="1:14">
      <c r="A2997">
        <v>2996</v>
      </c>
      <c r="B2997">
        <v>53</v>
      </c>
      <c r="C2997" t="s">
        <v>16</v>
      </c>
      <c r="D2997" t="s">
        <v>20</v>
      </c>
      <c r="E2997" t="s">
        <v>21</v>
      </c>
      <c r="F2997">
        <v>239.85</v>
      </c>
      <c r="G2997" t="s">
        <v>24</v>
      </c>
      <c r="H2997" t="s">
        <v>15</v>
      </c>
      <c r="I2997">
        <v>4.0999999999999996</v>
      </c>
      <c r="J2997">
        <v>17</v>
      </c>
      <c r="K2997">
        <v>6</v>
      </c>
      <c r="L2997" s="4">
        <v>288.97590361445782</v>
      </c>
      <c r="M2997" s="4">
        <v>49.125903614457826</v>
      </c>
      <c r="N2997" t="s">
        <v>93</v>
      </c>
    </row>
    <row r="2998" spans="1:14">
      <c r="A2998">
        <v>2997</v>
      </c>
      <c r="B2998">
        <v>26</v>
      </c>
      <c r="C2998" t="s">
        <v>11</v>
      </c>
      <c r="D2998" t="s">
        <v>29</v>
      </c>
      <c r="E2998" t="s">
        <v>55</v>
      </c>
      <c r="F2998">
        <v>66.38</v>
      </c>
      <c r="G2998" t="s">
        <v>19</v>
      </c>
      <c r="H2998" t="s">
        <v>37</v>
      </c>
      <c r="I2998">
        <v>3.8</v>
      </c>
      <c r="J2998">
        <v>10</v>
      </c>
      <c r="K2998">
        <v>5</v>
      </c>
      <c r="L2998" s="4">
        <v>73.755555555555546</v>
      </c>
      <c r="M2998" s="4">
        <v>7.3755555555555503</v>
      </c>
      <c r="N2998" t="s">
        <v>91</v>
      </c>
    </row>
    <row r="2999" spans="1:14">
      <c r="A2999">
        <v>2998</v>
      </c>
      <c r="B2999">
        <v>22</v>
      </c>
      <c r="C2999" t="s">
        <v>11</v>
      </c>
      <c r="D2999" t="s">
        <v>29</v>
      </c>
      <c r="E2999" t="s">
        <v>55</v>
      </c>
      <c r="F2999">
        <v>47.67</v>
      </c>
      <c r="G2999" t="s">
        <v>24</v>
      </c>
      <c r="H2999" t="s">
        <v>37</v>
      </c>
      <c r="I2999">
        <v>3</v>
      </c>
      <c r="J2999">
        <v>15</v>
      </c>
      <c r="K2999">
        <v>5</v>
      </c>
      <c r="L2999" s="4">
        <v>56.082352941176474</v>
      </c>
      <c r="M2999" s="4">
        <v>8.4123529411764721</v>
      </c>
      <c r="N2999" t="s">
        <v>100</v>
      </c>
    </row>
    <row r="3000" spans="1:14">
      <c r="A3000">
        <v>2999</v>
      </c>
      <c r="B3000">
        <v>52</v>
      </c>
      <c r="C3000" t="s">
        <v>16</v>
      </c>
      <c r="D3000" t="s">
        <v>33</v>
      </c>
      <c r="E3000" t="s">
        <v>34</v>
      </c>
      <c r="F3000">
        <v>156.88</v>
      </c>
      <c r="G3000" t="s">
        <v>14</v>
      </c>
      <c r="H3000" t="s">
        <v>15</v>
      </c>
      <c r="I3000">
        <v>3.5</v>
      </c>
      <c r="J3000">
        <v>15</v>
      </c>
      <c r="K3000">
        <v>5</v>
      </c>
      <c r="L3000" s="4">
        <v>184.56470588235294</v>
      </c>
      <c r="M3000" s="4">
        <v>27.684705882352944</v>
      </c>
      <c r="N3000" t="s">
        <v>93</v>
      </c>
    </row>
    <row r="3001" spans="1:14">
      <c r="A3001">
        <v>3000</v>
      </c>
      <c r="B3001">
        <v>37</v>
      </c>
      <c r="C3001" t="s">
        <v>11</v>
      </c>
      <c r="D3001" t="s">
        <v>33</v>
      </c>
      <c r="E3001" t="s">
        <v>40</v>
      </c>
      <c r="F3001">
        <v>176.28</v>
      </c>
      <c r="G3001" t="s">
        <v>19</v>
      </c>
      <c r="H3001" t="s">
        <v>15</v>
      </c>
      <c r="I3001">
        <v>4.7</v>
      </c>
      <c r="J3001">
        <v>20</v>
      </c>
      <c r="K3001">
        <v>5</v>
      </c>
      <c r="L3001" s="4">
        <v>220.35</v>
      </c>
      <c r="M3001" s="4">
        <v>44.069999999999993</v>
      </c>
      <c r="N3001" t="s">
        <v>92</v>
      </c>
    </row>
    <row r="3002" spans="1:14">
      <c r="A3002">
        <v>3001</v>
      </c>
      <c r="B3002">
        <v>35</v>
      </c>
      <c r="C3002" t="s">
        <v>11</v>
      </c>
      <c r="D3002" t="s">
        <v>29</v>
      </c>
      <c r="E3002" t="s">
        <v>55</v>
      </c>
      <c r="F3002">
        <v>46.97</v>
      </c>
      <c r="G3002" t="s">
        <v>14</v>
      </c>
      <c r="H3002" t="s">
        <v>15</v>
      </c>
      <c r="I3002">
        <v>4.2</v>
      </c>
      <c r="J3002">
        <v>12</v>
      </c>
      <c r="K3002">
        <v>6</v>
      </c>
      <c r="L3002" s="4">
        <v>53.375</v>
      </c>
      <c r="M3002" s="4">
        <v>6.4050000000000011</v>
      </c>
      <c r="N3002" t="s">
        <v>92</v>
      </c>
    </row>
    <row r="3003" spans="1:14">
      <c r="A3003">
        <v>3002</v>
      </c>
      <c r="B3003">
        <v>69</v>
      </c>
      <c r="C3003" t="s">
        <v>16</v>
      </c>
      <c r="D3003" t="s">
        <v>27</v>
      </c>
      <c r="E3003" t="s">
        <v>49</v>
      </c>
      <c r="F3003">
        <v>1404.38</v>
      </c>
      <c r="G3003" t="s">
        <v>24</v>
      </c>
      <c r="H3003" t="s">
        <v>15</v>
      </c>
      <c r="I3003">
        <v>2.5</v>
      </c>
      <c r="J3003">
        <v>13</v>
      </c>
      <c r="K3003">
        <v>4</v>
      </c>
      <c r="L3003" s="4">
        <v>1614.2298850574714</v>
      </c>
      <c r="M3003" s="4">
        <v>209.84988505747128</v>
      </c>
      <c r="N3003" t="s">
        <v>95</v>
      </c>
    </row>
    <row r="3004" spans="1:14">
      <c r="A3004">
        <v>3003</v>
      </c>
      <c r="B3004">
        <v>59</v>
      </c>
      <c r="C3004" t="s">
        <v>11</v>
      </c>
      <c r="D3004" t="s">
        <v>33</v>
      </c>
      <c r="E3004" t="s">
        <v>34</v>
      </c>
      <c r="F3004">
        <v>112.23</v>
      </c>
      <c r="G3004" t="s">
        <v>19</v>
      </c>
      <c r="H3004" t="s">
        <v>15</v>
      </c>
      <c r="I3004">
        <v>3.6</v>
      </c>
      <c r="J3004">
        <v>10</v>
      </c>
      <c r="K3004">
        <v>5</v>
      </c>
      <c r="L3004" s="4">
        <v>124.7</v>
      </c>
      <c r="M3004" s="4">
        <v>12.469999999999999</v>
      </c>
      <c r="N3004" t="s">
        <v>94</v>
      </c>
    </row>
    <row r="3005" spans="1:14">
      <c r="A3005">
        <v>3004</v>
      </c>
      <c r="B3005">
        <v>44</v>
      </c>
      <c r="C3005" t="s">
        <v>11</v>
      </c>
      <c r="D3005" t="s">
        <v>12</v>
      </c>
      <c r="E3005" t="s">
        <v>56</v>
      </c>
      <c r="F3005">
        <v>124.3</v>
      </c>
      <c r="G3005" t="s">
        <v>19</v>
      </c>
      <c r="H3005" t="s">
        <v>15</v>
      </c>
      <c r="I3005">
        <v>3.7</v>
      </c>
      <c r="J3005">
        <v>21</v>
      </c>
      <c r="K3005">
        <v>8</v>
      </c>
      <c r="L3005" s="4">
        <v>157.34177215189871</v>
      </c>
      <c r="M3005" s="4">
        <v>33.041772151898712</v>
      </c>
      <c r="N3005" t="s">
        <v>92</v>
      </c>
    </row>
    <row r="3006" spans="1:14">
      <c r="A3006">
        <v>3005</v>
      </c>
      <c r="B3006">
        <v>37</v>
      </c>
      <c r="C3006" t="s">
        <v>16</v>
      </c>
      <c r="D3006" t="s">
        <v>20</v>
      </c>
      <c r="E3006" t="s">
        <v>36</v>
      </c>
      <c r="F3006">
        <v>145.11000000000001</v>
      </c>
      <c r="G3006" t="s">
        <v>19</v>
      </c>
      <c r="H3006" t="s">
        <v>15</v>
      </c>
      <c r="I3006">
        <v>2.4</v>
      </c>
      <c r="J3006">
        <v>20</v>
      </c>
      <c r="K3006">
        <v>5</v>
      </c>
      <c r="L3006" s="4">
        <v>181.38750000000002</v>
      </c>
      <c r="M3006" s="4">
        <v>36.277500000000003</v>
      </c>
      <c r="N3006" t="s">
        <v>92</v>
      </c>
    </row>
    <row r="3007" spans="1:14">
      <c r="A3007">
        <v>3006</v>
      </c>
      <c r="B3007">
        <v>63</v>
      </c>
      <c r="C3007" t="s">
        <v>16</v>
      </c>
      <c r="D3007" t="s">
        <v>33</v>
      </c>
      <c r="E3007" t="s">
        <v>40</v>
      </c>
      <c r="F3007">
        <v>214.22</v>
      </c>
      <c r="G3007" t="s">
        <v>14</v>
      </c>
      <c r="H3007" t="s">
        <v>15</v>
      </c>
      <c r="I3007">
        <v>3.3</v>
      </c>
      <c r="J3007">
        <v>19</v>
      </c>
      <c r="K3007">
        <v>7</v>
      </c>
      <c r="L3007" s="4">
        <v>264.46913580246911</v>
      </c>
      <c r="M3007" s="4">
        <v>50.249135802469112</v>
      </c>
      <c r="N3007" t="s">
        <v>94</v>
      </c>
    </row>
    <row r="3008" spans="1:14">
      <c r="A3008">
        <v>3007</v>
      </c>
      <c r="B3008">
        <v>42</v>
      </c>
      <c r="C3008" t="s">
        <v>11</v>
      </c>
      <c r="D3008" t="s">
        <v>29</v>
      </c>
      <c r="E3008" t="s">
        <v>51</v>
      </c>
      <c r="F3008">
        <v>24.73</v>
      </c>
      <c r="G3008" t="s">
        <v>19</v>
      </c>
      <c r="H3008" t="s">
        <v>15</v>
      </c>
      <c r="I3008">
        <v>3.6</v>
      </c>
      <c r="J3008">
        <v>15</v>
      </c>
      <c r="K3008">
        <v>5</v>
      </c>
      <c r="L3008" s="4">
        <v>29.094117647058823</v>
      </c>
      <c r="M3008" s="4">
        <v>4.3641176470588228</v>
      </c>
      <c r="N3008" t="s">
        <v>92</v>
      </c>
    </row>
    <row r="3009" spans="1:14">
      <c r="A3009">
        <v>3008</v>
      </c>
      <c r="B3009">
        <v>38</v>
      </c>
      <c r="C3009" t="s">
        <v>16</v>
      </c>
      <c r="D3009" t="s">
        <v>20</v>
      </c>
      <c r="E3009" t="s">
        <v>36</v>
      </c>
      <c r="F3009">
        <v>158.99</v>
      </c>
      <c r="G3009" t="s">
        <v>24</v>
      </c>
      <c r="H3009" t="s">
        <v>15</v>
      </c>
      <c r="I3009">
        <v>3.4</v>
      </c>
      <c r="J3009">
        <v>13</v>
      </c>
      <c r="K3009">
        <v>4</v>
      </c>
      <c r="L3009" s="4">
        <v>182.74712643678163</v>
      </c>
      <c r="M3009" s="4">
        <v>23.757126436781618</v>
      </c>
      <c r="N3009" t="s">
        <v>92</v>
      </c>
    </row>
    <row r="3010" spans="1:14">
      <c r="A3010">
        <v>3009</v>
      </c>
      <c r="B3010">
        <v>46</v>
      </c>
      <c r="C3010" t="s">
        <v>11</v>
      </c>
      <c r="D3010" t="s">
        <v>20</v>
      </c>
      <c r="E3010" t="s">
        <v>36</v>
      </c>
      <c r="F3010">
        <v>234.34</v>
      </c>
      <c r="G3010" t="s">
        <v>19</v>
      </c>
      <c r="H3010" t="s">
        <v>15</v>
      </c>
      <c r="I3010">
        <v>3.4</v>
      </c>
      <c r="J3010">
        <v>6</v>
      </c>
      <c r="K3010">
        <v>3</v>
      </c>
      <c r="L3010" s="4">
        <v>249.29787234042556</v>
      </c>
      <c r="M3010" s="4">
        <v>14.957872340425553</v>
      </c>
      <c r="N3010" t="s">
        <v>93</v>
      </c>
    </row>
    <row r="3011" spans="1:14">
      <c r="A3011">
        <v>3010</v>
      </c>
      <c r="B3011">
        <v>42</v>
      </c>
      <c r="C3011" t="s">
        <v>11</v>
      </c>
      <c r="D3011" t="s">
        <v>41</v>
      </c>
      <c r="E3011" t="s">
        <v>42</v>
      </c>
      <c r="F3011">
        <v>31.48</v>
      </c>
      <c r="G3011" t="s">
        <v>24</v>
      </c>
      <c r="H3011" t="s">
        <v>37</v>
      </c>
      <c r="I3011">
        <v>3.1</v>
      </c>
      <c r="J3011">
        <v>10</v>
      </c>
      <c r="K3011">
        <v>5</v>
      </c>
      <c r="L3011" s="4">
        <v>34.977777777777774</v>
      </c>
      <c r="M3011" s="4">
        <v>3.4977777777777739</v>
      </c>
      <c r="N3011" t="s">
        <v>92</v>
      </c>
    </row>
    <row r="3012" spans="1:14">
      <c r="A3012">
        <v>3011</v>
      </c>
      <c r="B3012">
        <v>23</v>
      </c>
      <c r="C3012" t="s">
        <v>11</v>
      </c>
      <c r="D3012" t="s">
        <v>41</v>
      </c>
      <c r="E3012" t="s">
        <v>42</v>
      </c>
      <c r="F3012">
        <v>134.30000000000001</v>
      </c>
      <c r="G3012" t="s">
        <v>14</v>
      </c>
      <c r="H3012" t="s">
        <v>15</v>
      </c>
      <c r="I3012">
        <v>3.9</v>
      </c>
      <c r="J3012">
        <v>22</v>
      </c>
      <c r="K3012">
        <v>6</v>
      </c>
      <c r="L3012" s="4">
        <v>172.17948717948718</v>
      </c>
      <c r="M3012" s="4">
        <v>37.879487179487171</v>
      </c>
      <c r="N3012" t="s">
        <v>100</v>
      </c>
    </row>
    <row r="3013" spans="1:14">
      <c r="A3013">
        <v>3012</v>
      </c>
      <c r="B3013">
        <v>48</v>
      </c>
      <c r="C3013" t="s">
        <v>16</v>
      </c>
      <c r="D3013" t="s">
        <v>17</v>
      </c>
      <c r="E3013" t="s">
        <v>48</v>
      </c>
      <c r="F3013">
        <v>51.38</v>
      </c>
      <c r="G3013" t="s">
        <v>24</v>
      </c>
      <c r="H3013" t="s">
        <v>15</v>
      </c>
      <c r="I3013">
        <v>5</v>
      </c>
      <c r="J3013">
        <v>2</v>
      </c>
      <c r="K3013">
        <v>1</v>
      </c>
      <c r="L3013" s="4">
        <v>52.428571428571431</v>
      </c>
      <c r="M3013" s="4">
        <v>1.048571428571428</v>
      </c>
      <c r="N3013" t="s">
        <v>93</v>
      </c>
    </row>
    <row r="3014" spans="1:14">
      <c r="A3014">
        <v>3013</v>
      </c>
      <c r="B3014">
        <v>51</v>
      </c>
      <c r="C3014" t="s">
        <v>16</v>
      </c>
      <c r="D3014" t="s">
        <v>27</v>
      </c>
      <c r="E3014" t="s">
        <v>49</v>
      </c>
      <c r="F3014">
        <v>2375.0300000000002</v>
      </c>
      <c r="G3014" t="s">
        <v>24</v>
      </c>
      <c r="H3014" t="s">
        <v>15</v>
      </c>
      <c r="I3014">
        <v>2.5</v>
      </c>
      <c r="J3014">
        <v>8</v>
      </c>
      <c r="K3014">
        <v>4</v>
      </c>
      <c r="L3014" s="4">
        <v>2581.554347826087</v>
      </c>
      <c r="M3014" s="4">
        <v>206.5243478260868</v>
      </c>
      <c r="N3014" t="s">
        <v>93</v>
      </c>
    </row>
    <row r="3015" spans="1:14">
      <c r="A3015">
        <v>3014</v>
      </c>
      <c r="B3015">
        <v>53</v>
      </c>
      <c r="C3015" t="s">
        <v>16</v>
      </c>
      <c r="D3015" t="s">
        <v>20</v>
      </c>
      <c r="E3015" t="s">
        <v>36</v>
      </c>
      <c r="F3015">
        <v>52.21</v>
      </c>
      <c r="G3015" t="s">
        <v>14</v>
      </c>
      <c r="H3015" t="s">
        <v>15</v>
      </c>
      <c r="I3015">
        <v>3.6</v>
      </c>
      <c r="J3015">
        <v>6</v>
      </c>
      <c r="K3015">
        <v>3</v>
      </c>
      <c r="L3015" s="4">
        <v>55.542553191489368</v>
      </c>
      <c r="M3015" s="4">
        <v>3.3325531914893674</v>
      </c>
      <c r="N3015" t="s">
        <v>93</v>
      </c>
    </row>
    <row r="3016" spans="1:14">
      <c r="A3016">
        <v>3015</v>
      </c>
      <c r="B3016">
        <v>38</v>
      </c>
      <c r="C3016" t="s">
        <v>11</v>
      </c>
      <c r="D3016" t="s">
        <v>33</v>
      </c>
      <c r="E3016" t="s">
        <v>34</v>
      </c>
      <c r="F3016">
        <v>241.96</v>
      </c>
      <c r="G3016" t="s">
        <v>31</v>
      </c>
      <c r="H3016" t="s">
        <v>15</v>
      </c>
      <c r="I3016">
        <v>2.6</v>
      </c>
      <c r="J3016">
        <v>18</v>
      </c>
      <c r="K3016">
        <v>4</v>
      </c>
      <c r="L3016" s="4">
        <v>295.07317073170731</v>
      </c>
      <c r="M3016" s="4">
        <v>53.113170731707299</v>
      </c>
      <c r="N3016" t="s">
        <v>92</v>
      </c>
    </row>
    <row r="3017" spans="1:14">
      <c r="A3017">
        <v>3016</v>
      </c>
      <c r="B3017">
        <v>23</v>
      </c>
      <c r="C3017" t="s">
        <v>11</v>
      </c>
      <c r="D3017" t="s">
        <v>12</v>
      </c>
      <c r="E3017" t="s">
        <v>56</v>
      </c>
      <c r="F3017">
        <v>64.06</v>
      </c>
      <c r="G3017" t="s">
        <v>19</v>
      </c>
      <c r="H3017" t="s">
        <v>37</v>
      </c>
      <c r="I3017">
        <v>3.7</v>
      </c>
      <c r="J3017">
        <v>9</v>
      </c>
      <c r="K3017">
        <v>2</v>
      </c>
      <c r="L3017" s="4">
        <v>70.395604395604394</v>
      </c>
      <c r="M3017" s="4">
        <v>6.3356043956043919</v>
      </c>
      <c r="N3017" t="s">
        <v>100</v>
      </c>
    </row>
    <row r="3018" spans="1:14">
      <c r="A3018">
        <v>3017</v>
      </c>
      <c r="B3018">
        <v>25</v>
      </c>
      <c r="C3018" t="s">
        <v>11</v>
      </c>
      <c r="D3018" t="s">
        <v>41</v>
      </c>
      <c r="E3018" t="s">
        <v>42</v>
      </c>
      <c r="F3018">
        <v>59.55</v>
      </c>
      <c r="G3018" t="s">
        <v>19</v>
      </c>
      <c r="H3018" t="s">
        <v>15</v>
      </c>
      <c r="I3018">
        <v>4.0999999999999996</v>
      </c>
      <c r="J3018">
        <v>22</v>
      </c>
      <c r="K3018">
        <v>6</v>
      </c>
      <c r="L3018" s="4">
        <v>76.34615384615384</v>
      </c>
      <c r="M3018" s="4">
        <v>16.796153846153842</v>
      </c>
      <c r="N3018" t="s">
        <v>91</v>
      </c>
    </row>
    <row r="3019" spans="1:14">
      <c r="A3019">
        <v>3018</v>
      </c>
      <c r="B3019">
        <v>63</v>
      </c>
      <c r="C3019" t="s">
        <v>16</v>
      </c>
      <c r="D3019" t="s">
        <v>33</v>
      </c>
      <c r="E3019" t="s">
        <v>38</v>
      </c>
      <c r="F3019">
        <v>91.21</v>
      </c>
      <c r="G3019" t="s">
        <v>24</v>
      </c>
      <c r="H3019" t="s">
        <v>15</v>
      </c>
      <c r="I3019">
        <v>4.0999999999999996</v>
      </c>
      <c r="J3019">
        <v>32</v>
      </c>
      <c r="K3019">
        <v>11</v>
      </c>
      <c r="L3019" s="4">
        <v>134.13235294117646</v>
      </c>
      <c r="M3019" s="4">
        <v>42.92235294117647</v>
      </c>
      <c r="N3019" t="s">
        <v>94</v>
      </c>
    </row>
    <row r="3020" spans="1:14">
      <c r="A3020">
        <v>3019</v>
      </c>
      <c r="B3020">
        <v>63</v>
      </c>
      <c r="C3020" t="s">
        <v>16</v>
      </c>
      <c r="D3020" t="s">
        <v>17</v>
      </c>
      <c r="E3020" t="s">
        <v>48</v>
      </c>
      <c r="F3020">
        <v>112.01</v>
      </c>
      <c r="G3020" t="s">
        <v>14</v>
      </c>
      <c r="H3020" t="s">
        <v>15</v>
      </c>
      <c r="I3020">
        <v>4</v>
      </c>
      <c r="J3020">
        <v>8</v>
      </c>
      <c r="K3020">
        <v>4</v>
      </c>
      <c r="L3020" s="4">
        <v>121.75</v>
      </c>
      <c r="M3020" s="4">
        <v>9.7399999999999949</v>
      </c>
      <c r="N3020" t="s">
        <v>94</v>
      </c>
    </row>
    <row r="3021" spans="1:14">
      <c r="A3021">
        <v>3020</v>
      </c>
      <c r="B3021">
        <v>47</v>
      </c>
      <c r="C3021" t="s">
        <v>16</v>
      </c>
      <c r="D3021" t="s">
        <v>27</v>
      </c>
      <c r="E3021" t="s">
        <v>49</v>
      </c>
      <c r="F3021">
        <v>2830.66</v>
      </c>
      <c r="G3021" t="s">
        <v>31</v>
      </c>
      <c r="H3021" t="s">
        <v>15</v>
      </c>
      <c r="I3021">
        <v>3.5</v>
      </c>
      <c r="J3021">
        <v>16</v>
      </c>
      <c r="K3021">
        <v>3</v>
      </c>
      <c r="L3021" s="4">
        <v>3369.8333333333335</v>
      </c>
      <c r="M3021" s="4">
        <v>539.17333333333363</v>
      </c>
      <c r="N3021" t="s">
        <v>93</v>
      </c>
    </row>
    <row r="3022" spans="1:14">
      <c r="A3022">
        <v>3021</v>
      </c>
      <c r="B3022">
        <v>67</v>
      </c>
      <c r="C3022" t="s">
        <v>16</v>
      </c>
      <c r="D3022" t="s">
        <v>27</v>
      </c>
      <c r="E3022" t="s">
        <v>28</v>
      </c>
      <c r="F3022">
        <v>804.82</v>
      </c>
      <c r="G3022" t="s">
        <v>24</v>
      </c>
      <c r="H3022" t="s">
        <v>15</v>
      </c>
      <c r="I3022">
        <v>3.8</v>
      </c>
      <c r="J3022">
        <v>9</v>
      </c>
      <c r="K3022">
        <v>2</v>
      </c>
      <c r="L3022" s="4">
        <v>884.41758241758248</v>
      </c>
      <c r="M3022" s="4">
        <v>79.59758241758243</v>
      </c>
      <c r="N3022" t="s">
        <v>95</v>
      </c>
    </row>
    <row r="3023" spans="1:14">
      <c r="A3023">
        <v>3022</v>
      </c>
      <c r="B3023">
        <v>35</v>
      </c>
      <c r="C3023" t="s">
        <v>16</v>
      </c>
      <c r="D3023" t="s">
        <v>17</v>
      </c>
      <c r="E3023" t="s">
        <v>48</v>
      </c>
      <c r="F3023">
        <v>62.73</v>
      </c>
      <c r="G3023" t="s">
        <v>31</v>
      </c>
      <c r="H3023" t="s">
        <v>37</v>
      </c>
      <c r="I3023">
        <v>3.6</v>
      </c>
      <c r="J3023">
        <v>15</v>
      </c>
      <c r="K3023">
        <v>5</v>
      </c>
      <c r="L3023" s="4">
        <v>73.8</v>
      </c>
      <c r="M3023" s="4">
        <v>11.07</v>
      </c>
      <c r="N3023" t="s">
        <v>92</v>
      </c>
    </row>
    <row r="3024" spans="1:14">
      <c r="A3024">
        <v>3023</v>
      </c>
      <c r="B3024">
        <v>43</v>
      </c>
      <c r="C3024" t="s">
        <v>11</v>
      </c>
      <c r="D3024" t="s">
        <v>29</v>
      </c>
      <c r="E3024" t="s">
        <v>51</v>
      </c>
      <c r="F3024">
        <v>20.09</v>
      </c>
      <c r="G3024" t="s">
        <v>24</v>
      </c>
      <c r="H3024" t="s">
        <v>37</v>
      </c>
      <c r="I3024">
        <v>2.7</v>
      </c>
      <c r="J3024">
        <v>20</v>
      </c>
      <c r="K3024">
        <v>5</v>
      </c>
      <c r="L3024" s="4">
        <v>25.112499999999997</v>
      </c>
      <c r="M3024" s="4">
        <v>5.0224999999999973</v>
      </c>
      <c r="N3024" t="s">
        <v>92</v>
      </c>
    </row>
    <row r="3025" spans="1:14">
      <c r="A3025">
        <v>3024</v>
      </c>
      <c r="B3025">
        <v>60</v>
      </c>
      <c r="C3025" t="s">
        <v>11</v>
      </c>
      <c r="D3025" t="s">
        <v>33</v>
      </c>
      <c r="E3025" t="s">
        <v>38</v>
      </c>
      <c r="F3025">
        <v>52.98</v>
      </c>
      <c r="G3025" t="s">
        <v>19</v>
      </c>
      <c r="H3025" t="s">
        <v>15</v>
      </c>
      <c r="I3025">
        <v>4.2</v>
      </c>
      <c r="J3025">
        <v>4</v>
      </c>
      <c r="K3025">
        <v>2</v>
      </c>
      <c r="L3025" s="4">
        <v>55.1875</v>
      </c>
      <c r="M3025" s="4">
        <v>2.2075000000000031</v>
      </c>
      <c r="N3025" t="s">
        <v>94</v>
      </c>
    </row>
    <row r="3026" spans="1:14">
      <c r="A3026">
        <v>3025</v>
      </c>
      <c r="B3026">
        <v>56</v>
      </c>
      <c r="C3026" t="s">
        <v>11</v>
      </c>
      <c r="D3026" t="s">
        <v>41</v>
      </c>
      <c r="E3026" t="s">
        <v>45</v>
      </c>
      <c r="F3026">
        <v>80.959999999999994</v>
      </c>
      <c r="G3026" t="s">
        <v>19</v>
      </c>
      <c r="H3026" t="s">
        <v>15</v>
      </c>
      <c r="I3026">
        <v>3.4</v>
      </c>
      <c r="J3026">
        <v>12</v>
      </c>
      <c r="K3026">
        <v>6</v>
      </c>
      <c r="L3026" s="4">
        <v>91.999999999999986</v>
      </c>
      <c r="M3026" s="4">
        <v>11.039999999999992</v>
      </c>
      <c r="N3026" t="s">
        <v>94</v>
      </c>
    </row>
    <row r="3027" spans="1:14">
      <c r="A3027">
        <v>3026</v>
      </c>
      <c r="B3027">
        <v>46</v>
      </c>
      <c r="C3027" t="s">
        <v>16</v>
      </c>
      <c r="D3027" t="s">
        <v>17</v>
      </c>
      <c r="E3027" t="s">
        <v>48</v>
      </c>
      <c r="F3027">
        <v>173.68</v>
      </c>
      <c r="G3027" t="s">
        <v>19</v>
      </c>
      <c r="H3027" t="s">
        <v>15</v>
      </c>
      <c r="I3027">
        <v>5</v>
      </c>
      <c r="J3027">
        <v>17</v>
      </c>
      <c r="K3027">
        <v>6</v>
      </c>
      <c r="L3027" s="4">
        <v>209.2530120481928</v>
      </c>
      <c r="M3027" s="4">
        <v>35.573012048192794</v>
      </c>
      <c r="N3027" t="s">
        <v>93</v>
      </c>
    </row>
    <row r="3028" spans="1:14">
      <c r="A3028">
        <v>3027</v>
      </c>
      <c r="B3028">
        <v>63</v>
      </c>
      <c r="C3028" t="s">
        <v>16</v>
      </c>
      <c r="D3028" t="s">
        <v>17</v>
      </c>
      <c r="E3028" t="s">
        <v>48</v>
      </c>
      <c r="F3028">
        <v>116.37</v>
      </c>
      <c r="G3028" t="s">
        <v>24</v>
      </c>
      <c r="H3028" t="s">
        <v>15</v>
      </c>
      <c r="I3028">
        <v>3.3</v>
      </c>
      <c r="J3028">
        <v>26</v>
      </c>
      <c r="K3028">
        <v>8</v>
      </c>
      <c r="L3028" s="4">
        <v>157.25675675675677</v>
      </c>
      <c r="M3028" s="4">
        <v>40.886756756756768</v>
      </c>
      <c r="N3028" t="s">
        <v>94</v>
      </c>
    </row>
    <row r="3029" spans="1:14">
      <c r="A3029">
        <v>3028</v>
      </c>
      <c r="B3029">
        <v>44</v>
      </c>
      <c r="C3029" t="s">
        <v>11</v>
      </c>
      <c r="D3029" t="s">
        <v>41</v>
      </c>
      <c r="E3029" t="s">
        <v>44</v>
      </c>
      <c r="F3029">
        <v>139.86000000000001</v>
      </c>
      <c r="G3029" t="s">
        <v>31</v>
      </c>
      <c r="H3029" t="s">
        <v>15</v>
      </c>
      <c r="I3029">
        <v>3.5</v>
      </c>
      <c r="J3029">
        <v>11</v>
      </c>
      <c r="K3029">
        <v>3</v>
      </c>
      <c r="L3029" s="4">
        <v>157.14606741573036</v>
      </c>
      <c r="M3029" s="4">
        <v>17.286067415730344</v>
      </c>
      <c r="N3029" t="s">
        <v>92</v>
      </c>
    </row>
    <row r="3030" spans="1:14">
      <c r="A3030">
        <v>3029</v>
      </c>
      <c r="B3030">
        <v>46</v>
      </c>
      <c r="C3030" t="s">
        <v>11</v>
      </c>
      <c r="D3030" t="s">
        <v>12</v>
      </c>
      <c r="E3030" t="s">
        <v>56</v>
      </c>
      <c r="F3030">
        <v>169.04</v>
      </c>
      <c r="G3030" t="s">
        <v>24</v>
      </c>
      <c r="H3030" t="s">
        <v>15</v>
      </c>
      <c r="I3030">
        <v>3</v>
      </c>
      <c r="J3030">
        <v>15</v>
      </c>
      <c r="K3030">
        <v>5</v>
      </c>
      <c r="L3030" s="4">
        <v>198.87058823529412</v>
      </c>
      <c r="M3030" s="4">
        <v>29.83058823529413</v>
      </c>
      <c r="N3030" t="s">
        <v>93</v>
      </c>
    </row>
    <row r="3031" spans="1:14">
      <c r="A3031">
        <v>3030</v>
      </c>
      <c r="B3031">
        <v>44</v>
      </c>
      <c r="C3031" t="s">
        <v>16</v>
      </c>
      <c r="D3031" t="s">
        <v>27</v>
      </c>
      <c r="E3031" t="s">
        <v>32</v>
      </c>
      <c r="F3031">
        <v>2810.41</v>
      </c>
      <c r="G3031" t="s">
        <v>24</v>
      </c>
      <c r="H3031" t="s">
        <v>15</v>
      </c>
      <c r="I3031">
        <v>4.4000000000000004</v>
      </c>
      <c r="J3031">
        <v>8</v>
      </c>
      <c r="K3031">
        <v>4</v>
      </c>
      <c r="L3031" s="4">
        <v>3054.7934782608691</v>
      </c>
      <c r="M3031" s="4">
        <v>244.3834782608692</v>
      </c>
      <c r="N3031" t="s">
        <v>92</v>
      </c>
    </row>
    <row r="3032" spans="1:14">
      <c r="A3032">
        <v>3031</v>
      </c>
      <c r="B3032">
        <v>46</v>
      </c>
      <c r="C3032" t="s">
        <v>11</v>
      </c>
      <c r="D3032" t="s">
        <v>41</v>
      </c>
      <c r="E3032" t="s">
        <v>44</v>
      </c>
      <c r="F3032">
        <v>152.01</v>
      </c>
      <c r="G3032" t="s">
        <v>31</v>
      </c>
      <c r="H3032" t="s">
        <v>15</v>
      </c>
      <c r="I3032">
        <v>2.6</v>
      </c>
      <c r="J3032">
        <v>11</v>
      </c>
      <c r="K3032">
        <v>3</v>
      </c>
      <c r="L3032" s="4">
        <v>170.79775280898875</v>
      </c>
      <c r="M3032" s="4">
        <v>18.787752808988756</v>
      </c>
      <c r="N3032" t="s">
        <v>93</v>
      </c>
    </row>
    <row r="3033" spans="1:14">
      <c r="A3033">
        <v>3032</v>
      </c>
      <c r="B3033">
        <v>50</v>
      </c>
      <c r="C3033" t="s">
        <v>16</v>
      </c>
      <c r="D3033" t="s">
        <v>27</v>
      </c>
      <c r="E3033" t="s">
        <v>53</v>
      </c>
      <c r="F3033">
        <v>908.32</v>
      </c>
      <c r="G3033" t="s">
        <v>14</v>
      </c>
      <c r="H3033" t="s">
        <v>15</v>
      </c>
      <c r="I3033">
        <v>2.8</v>
      </c>
      <c r="J3033">
        <v>8</v>
      </c>
      <c r="K3033">
        <v>4</v>
      </c>
      <c r="L3033" s="4">
        <v>987.304347826087</v>
      </c>
      <c r="M3033" s="4">
        <v>78.984347826086946</v>
      </c>
      <c r="N3033" t="s">
        <v>93</v>
      </c>
    </row>
    <row r="3034" spans="1:14">
      <c r="A3034">
        <v>3033</v>
      </c>
      <c r="B3034">
        <v>57</v>
      </c>
      <c r="C3034" t="s">
        <v>11</v>
      </c>
      <c r="D3034" t="s">
        <v>41</v>
      </c>
      <c r="E3034" t="s">
        <v>44</v>
      </c>
      <c r="F3034">
        <v>194</v>
      </c>
      <c r="G3034" t="s">
        <v>24</v>
      </c>
      <c r="H3034" t="s">
        <v>15</v>
      </c>
      <c r="I3034">
        <v>2.9</v>
      </c>
      <c r="J3034">
        <v>2</v>
      </c>
      <c r="K3034">
        <v>1</v>
      </c>
      <c r="L3034" s="4">
        <v>197.9591836734694</v>
      </c>
      <c r="M3034" s="4">
        <v>3.959183673469397</v>
      </c>
      <c r="N3034" t="s">
        <v>94</v>
      </c>
    </row>
    <row r="3035" spans="1:14">
      <c r="A3035">
        <v>3034</v>
      </c>
      <c r="B3035">
        <v>28</v>
      </c>
      <c r="C3035" t="s">
        <v>16</v>
      </c>
      <c r="D3035" t="s">
        <v>33</v>
      </c>
      <c r="E3035" t="s">
        <v>34</v>
      </c>
      <c r="F3035">
        <v>239.55</v>
      </c>
      <c r="G3035" t="s">
        <v>19</v>
      </c>
      <c r="H3035" t="s">
        <v>15</v>
      </c>
      <c r="I3035">
        <v>4.5999999999999996</v>
      </c>
      <c r="J3035">
        <v>20</v>
      </c>
      <c r="K3035">
        <v>5</v>
      </c>
      <c r="L3035" s="4">
        <v>299.4375</v>
      </c>
      <c r="M3035" s="4">
        <v>59.887499999999989</v>
      </c>
      <c r="N3035" t="s">
        <v>91</v>
      </c>
    </row>
    <row r="3036" spans="1:14">
      <c r="A3036">
        <v>3035</v>
      </c>
      <c r="B3036">
        <v>38</v>
      </c>
      <c r="C3036" t="s">
        <v>16</v>
      </c>
      <c r="D3036" t="s">
        <v>27</v>
      </c>
      <c r="E3036" t="s">
        <v>49</v>
      </c>
      <c r="F3036">
        <v>2591.6999999999998</v>
      </c>
      <c r="G3036" t="s">
        <v>14</v>
      </c>
      <c r="H3036" t="s">
        <v>15</v>
      </c>
      <c r="I3036">
        <v>3.3</v>
      </c>
      <c r="J3036">
        <v>26</v>
      </c>
      <c r="K3036">
        <v>8</v>
      </c>
      <c r="L3036" s="4">
        <v>3502.2972972972971</v>
      </c>
      <c r="M3036" s="4">
        <v>910.59729729729725</v>
      </c>
      <c r="N3036" t="s">
        <v>92</v>
      </c>
    </row>
    <row r="3037" spans="1:14">
      <c r="A3037">
        <v>3036</v>
      </c>
      <c r="B3037">
        <v>57</v>
      </c>
      <c r="C3037" t="s">
        <v>11</v>
      </c>
      <c r="D3037" t="s">
        <v>41</v>
      </c>
      <c r="E3037" t="s">
        <v>45</v>
      </c>
      <c r="F3037">
        <v>165.49</v>
      </c>
      <c r="G3037" t="s">
        <v>31</v>
      </c>
      <c r="H3037" t="s">
        <v>15</v>
      </c>
      <c r="I3037">
        <v>4.7</v>
      </c>
      <c r="J3037">
        <v>13</v>
      </c>
      <c r="K3037">
        <v>4</v>
      </c>
      <c r="L3037" s="4">
        <v>190.2183908045977</v>
      </c>
      <c r="M3037" s="4">
        <v>24.728390804597694</v>
      </c>
      <c r="N3037" t="s">
        <v>94</v>
      </c>
    </row>
    <row r="3038" spans="1:14">
      <c r="A3038">
        <v>3037</v>
      </c>
      <c r="B3038">
        <v>22</v>
      </c>
      <c r="C3038" t="s">
        <v>16</v>
      </c>
      <c r="D3038" t="s">
        <v>33</v>
      </c>
      <c r="E3038" t="s">
        <v>38</v>
      </c>
      <c r="F3038">
        <v>41.92</v>
      </c>
      <c r="G3038" t="s">
        <v>24</v>
      </c>
      <c r="H3038" t="s">
        <v>15</v>
      </c>
      <c r="I3038">
        <v>3.9</v>
      </c>
      <c r="J3038">
        <v>11</v>
      </c>
      <c r="K3038">
        <v>3</v>
      </c>
      <c r="L3038" s="4">
        <v>47.101123595505619</v>
      </c>
      <c r="M3038" s="4">
        <v>5.1811235955056176</v>
      </c>
      <c r="N3038" t="s">
        <v>100</v>
      </c>
    </row>
    <row r="3039" spans="1:14">
      <c r="A3039">
        <v>3038</v>
      </c>
      <c r="B3039">
        <v>29</v>
      </c>
      <c r="C3039" t="s">
        <v>16</v>
      </c>
      <c r="D3039" t="s">
        <v>20</v>
      </c>
      <c r="E3039" t="s">
        <v>39</v>
      </c>
      <c r="F3039">
        <v>236.09</v>
      </c>
      <c r="G3039" t="s">
        <v>31</v>
      </c>
      <c r="H3039" t="s">
        <v>15</v>
      </c>
      <c r="I3039">
        <v>2.7</v>
      </c>
      <c r="J3039">
        <v>13</v>
      </c>
      <c r="K3039">
        <v>4</v>
      </c>
      <c r="L3039" s="4">
        <v>271.36781609195401</v>
      </c>
      <c r="M3039" s="4">
        <v>35.277816091954008</v>
      </c>
      <c r="N3039" t="s">
        <v>91</v>
      </c>
    </row>
    <row r="3040" spans="1:14">
      <c r="A3040">
        <v>3039</v>
      </c>
      <c r="B3040">
        <v>26</v>
      </c>
      <c r="C3040" t="s">
        <v>16</v>
      </c>
      <c r="D3040" t="s">
        <v>27</v>
      </c>
      <c r="E3040" t="s">
        <v>49</v>
      </c>
      <c r="F3040">
        <v>1687.69</v>
      </c>
      <c r="G3040" t="s">
        <v>31</v>
      </c>
      <c r="H3040" t="s">
        <v>15</v>
      </c>
      <c r="I3040">
        <v>2.4</v>
      </c>
      <c r="J3040">
        <v>12</v>
      </c>
      <c r="K3040">
        <v>6</v>
      </c>
      <c r="L3040" s="4">
        <v>1917.8295454545455</v>
      </c>
      <c r="M3040" s="4">
        <v>230.13954545454544</v>
      </c>
      <c r="N3040" t="s">
        <v>91</v>
      </c>
    </row>
    <row r="3041" spans="1:14">
      <c r="A3041">
        <v>3040</v>
      </c>
      <c r="B3041">
        <v>40</v>
      </c>
      <c r="C3041" t="s">
        <v>16</v>
      </c>
      <c r="D3041" t="s">
        <v>17</v>
      </c>
      <c r="E3041" t="s">
        <v>35</v>
      </c>
      <c r="F3041">
        <v>144.61000000000001</v>
      </c>
      <c r="G3041" t="s">
        <v>14</v>
      </c>
      <c r="H3041" t="s">
        <v>15</v>
      </c>
      <c r="I3041">
        <v>3.6</v>
      </c>
      <c r="J3041">
        <v>22</v>
      </c>
      <c r="K3041">
        <v>6</v>
      </c>
      <c r="L3041" s="4">
        <v>185.39743589743591</v>
      </c>
      <c r="M3041" s="4">
        <v>40.787435897435898</v>
      </c>
      <c r="N3041" t="s">
        <v>92</v>
      </c>
    </row>
    <row r="3042" spans="1:14">
      <c r="A3042">
        <v>3041</v>
      </c>
      <c r="B3042">
        <v>59</v>
      </c>
      <c r="C3042" t="s">
        <v>16</v>
      </c>
      <c r="D3042" t="s">
        <v>25</v>
      </c>
      <c r="E3042" t="s">
        <v>57</v>
      </c>
      <c r="F3042">
        <v>60.41</v>
      </c>
      <c r="G3042" t="s">
        <v>14</v>
      </c>
      <c r="H3042" t="s">
        <v>37</v>
      </c>
      <c r="I3042">
        <v>3.7</v>
      </c>
      <c r="J3042">
        <v>13</v>
      </c>
      <c r="K3042">
        <v>4</v>
      </c>
      <c r="L3042" s="4">
        <v>69.436781609195393</v>
      </c>
      <c r="M3042" s="4">
        <v>9.0267816091953961</v>
      </c>
      <c r="N3042" t="s">
        <v>94</v>
      </c>
    </row>
    <row r="3043" spans="1:14">
      <c r="A3043">
        <v>3042</v>
      </c>
      <c r="B3043">
        <v>42</v>
      </c>
      <c r="C3043" t="s">
        <v>11</v>
      </c>
      <c r="D3043" t="s">
        <v>33</v>
      </c>
      <c r="E3043" t="s">
        <v>40</v>
      </c>
      <c r="F3043">
        <v>176.41</v>
      </c>
      <c r="G3043" t="s">
        <v>19</v>
      </c>
      <c r="H3043" t="s">
        <v>15</v>
      </c>
      <c r="I3043">
        <v>4.2</v>
      </c>
      <c r="J3043">
        <v>16</v>
      </c>
      <c r="K3043">
        <v>3</v>
      </c>
      <c r="L3043" s="4">
        <v>210.01190476190476</v>
      </c>
      <c r="M3043" s="4">
        <v>33.601904761904763</v>
      </c>
      <c r="N3043" t="s">
        <v>92</v>
      </c>
    </row>
    <row r="3044" spans="1:14">
      <c r="A3044">
        <v>3043</v>
      </c>
      <c r="B3044">
        <v>66</v>
      </c>
      <c r="C3044" t="s">
        <v>11</v>
      </c>
      <c r="D3044" t="s">
        <v>29</v>
      </c>
      <c r="E3044" t="s">
        <v>55</v>
      </c>
      <c r="F3044">
        <v>46.02</v>
      </c>
      <c r="G3044" t="s">
        <v>19</v>
      </c>
      <c r="H3044" t="s">
        <v>15</v>
      </c>
      <c r="I3044">
        <v>3.2</v>
      </c>
      <c r="J3044">
        <v>26</v>
      </c>
      <c r="K3044">
        <v>8</v>
      </c>
      <c r="L3044" s="4">
        <v>62.189189189189193</v>
      </c>
      <c r="M3044" s="4">
        <v>16.16918918918919</v>
      </c>
      <c r="N3044" t="s">
        <v>95</v>
      </c>
    </row>
    <row r="3045" spans="1:14">
      <c r="A3045">
        <v>3044</v>
      </c>
      <c r="B3045">
        <v>50</v>
      </c>
      <c r="C3045" t="s">
        <v>16</v>
      </c>
      <c r="D3045" t="s">
        <v>27</v>
      </c>
      <c r="E3045" t="s">
        <v>49</v>
      </c>
      <c r="F3045">
        <v>1517.4</v>
      </c>
      <c r="G3045" t="s">
        <v>31</v>
      </c>
      <c r="H3045" t="s">
        <v>15</v>
      </c>
      <c r="I3045">
        <v>3.6</v>
      </c>
      <c r="J3045">
        <v>18</v>
      </c>
      <c r="K3045">
        <v>9</v>
      </c>
      <c r="L3045" s="4">
        <v>1850.4878048780488</v>
      </c>
      <c r="M3045" s="4">
        <v>333.0878048780487</v>
      </c>
      <c r="N3045" t="s">
        <v>93</v>
      </c>
    </row>
    <row r="3046" spans="1:14">
      <c r="A3046">
        <v>3045</v>
      </c>
      <c r="B3046">
        <v>51</v>
      </c>
      <c r="C3046" t="s">
        <v>11</v>
      </c>
      <c r="D3046" t="s">
        <v>29</v>
      </c>
      <c r="E3046" t="s">
        <v>55</v>
      </c>
      <c r="F3046">
        <v>86.79</v>
      </c>
      <c r="G3046" t="s">
        <v>19</v>
      </c>
      <c r="H3046" t="s">
        <v>37</v>
      </c>
      <c r="I3046">
        <v>3.5</v>
      </c>
      <c r="J3046">
        <v>19</v>
      </c>
      <c r="K3046">
        <v>7</v>
      </c>
      <c r="L3046" s="4">
        <v>107.14814814814815</v>
      </c>
      <c r="M3046" s="4">
        <v>20.358148148148146</v>
      </c>
      <c r="N3046" t="s">
        <v>93</v>
      </c>
    </row>
    <row r="3047" spans="1:14">
      <c r="A3047">
        <v>3046</v>
      </c>
      <c r="B3047">
        <v>40</v>
      </c>
      <c r="C3047" t="s">
        <v>11</v>
      </c>
      <c r="D3047" t="s">
        <v>41</v>
      </c>
      <c r="E3047" t="s">
        <v>46</v>
      </c>
      <c r="F3047">
        <v>41.97</v>
      </c>
      <c r="G3047" t="s">
        <v>31</v>
      </c>
      <c r="H3047" t="s">
        <v>15</v>
      </c>
      <c r="I3047">
        <v>3.5</v>
      </c>
      <c r="J3047">
        <v>10</v>
      </c>
      <c r="K3047">
        <v>5</v>
      </c>
      <c r="L3047" s="4">
        <v>46.633333333333333</v>
      </c>
      <c r="M3047" s="4">
        <v>4.663333333333334</v>
      </c>
      <c r="N3047" t="s">
        <v>92</v>
      </c>
    </row>
    <row r="3048" spans="1:14">
      <c r="A3048">
        <v>3047</v>
      </c>
      <c r="B3048">
        <v>35</v>
      </c>
      <c r="C3048" t="s">
        <v>11</v>
      </c>
      <c r="D3048" t="s">
        <v>29</v>
      </c>
      <c r="E3048" t="s">
        <v>55</v>
      </c>
      <c r="F3048">
        <v>149.18</v>
      </c>
      <c r="G3048" t="s">
        <v>19</v>
      </c>
      <c r="H3048" t="s">
        <v>15</v>
      </c>
      <c r="I3048">
        <v>4.7</v>
      </c>
      <c r="J3048">
        <v>28</v>
      </c>
      <c r="K3048">
        <v>9</v>
      </c>
      <c r="L3048" s="4">
        <v>207.19444444444446</v>
      </c>
      <c r="M3048" s="4">
        <v>58.01444444444445</v>
      </c>
      <c r="N3048" t="s">
        <v>92</v>
      </c>
    </row>
    <row r="3049" spans="1:14">
      <c r="A3049">
        <v>3048</v>
      </c>
      <c r="B3049">
        <v>30</v>
      </c>
      <c r="C3049" t="s">
        <v>11</v>
      </c>
      <c r="D3049" t="s">
        <v>41</v>
      </c>
      <c r="E3049" t="s">
        <v>45</v>
      </c>
      <c r="F3049">
        <v>142.34</v>
      </c>
      <c r="G3049" t="s">
        <v>24</v>
      </c>
      <c r="H3049" t="s">
        <v>15</v>
      </c>
      <c r="I3049">
        <v>2.9</v>
      </c>
      <c r="J3049">
        <v>19</v>
      </c>
      <c r="K3049">
        <v>7</v>
      </c>
      <c r="L3049" s="4">
        <v>175.72839506172838</v>
      </c>
      <c r="M3049" s="4">
        <v>33.388395061728374</v>
      </c>
      <c r="N3049" t="s">
        <v>91</v>
      </c>
    </row>
    <row r="3050" spans="1:14">
      <c r="A3050">
        <v>3049</v>
      </c>
      <c r="B3050">
        <v>68</v>
      </c>
      <c r="C3050" t="s">
        <v>16</v>
      </c>
      <c r="D3050" t="s">
        <v>20</v>
      </c>
      <c r="E3050" t="s">
        <v>39</v>
      </c>
      <c r="F3050">
        <v>149.12</v>
      </c>
      <c r="G3050" t="s">
        <v>14</v>
      </c>
      <c r="H3050" t="s">
        <v>15</v>
      </c>
      <c r="I3050">
        <v>4.7</v>
      </c>
      <c r="J3050">
        <v>30</v>
      </c>
      <c r="K3050">
        <v>10</v>
      </c>
      <c r="L3050" s="4">
        <v>213.02857142857144</v>
      </c>
      <c r="M3050" s="4">
        <v>63.908571428571435</v>
      </c>
      <c r="N3050" t="s">
        <v>95</v>
      </c>
    </row>
    <row r="3051" spans="1:14">
      <c r="A3051">
        <v>3050</v>
      </c>
      <c r="B3051">
        <v>34</v>
      </c>
      <c r="C3051" t="s">
        <v>11</v>
      </c>
      <c r="D3051" t="s">
        <v>33</v>
      </c>
      <c r="E3051" t="s">
        <v>34</v>
      </c>
      <c r="F3051">
        <v>222.74</v>
      </c>
      <c r="G3051" t="s">
        <v>24</v>
      </c>
      <c r="H3051" t="s">
        <v>15</v>
      </c>
      <c r="I3051">
        <v>4</v>
      </c>
      <c r="J3051">
        <v>18</v>
      </c>
      <c r="K3051">
        <v>4</v>
      </c>
      <c r="L3051" s="4">
        <v>271.63414634146341</v>
      </c>
      <c r="M3051" s="4">
        <v>48.894146341463397</v>
      </c>
      <c r="N3051" t="s">
        <v>91</v>
      </c>
    </row>
    <row r="3052" spans="1:14">
      <c r="A3052">
        <v>3051</v>
      </c>
      <c r="B3052">
        <v>37</v>
      </c>
      <c r="C3052" t="s">
        <v>11</v>
      </c>
      <c r="D3052" t="s">
        <v>12</v>
      </c>
      <c r="E3052" t="s">
        <v>56</v>
      </c>
      <c r="F3052">
        <v>23.58</v>
      </c>
      <c r="G3052" t="s">
        <v>24</v>
      </c>
      <c r="H3052" t="s">
        <v>15</v>
      </c>
      <c r="I3052">
        <v>3.2</v>
      </c>
      <c r="J3052">
        <v>18</v>
      </c>
      <c r="K3052">
        <v>4</v>
      </c>
      <c r="L3052" s="4">
        <v>28.756097560975604</v>
      </c>
      <c r="M3052" s="4">
        <v>5.1760975609756059</v>
      </c>
      <c r="N3052" t="s">
        <v>92</v>
      </c>
    </row>
    <row r="3053" spans="1:14">
      <c r="A3053">
        <v>3052</v>
      </c>
      <c r="B3053">
        <v>48</v>
      </c>
      <c r="C3053" t="s">
        <v>16</v>
      </c>
      <c r="D3053" t="s">
        <v>27</v>
      </c>
      <c r="E3053" t="s">
        <v>49</v>
      </c>
      <c r="F3053">
        <v>1298.54</v>
      </c>
      <c r="G3053" t="s">
        <v>24</v>
      </c>
      <c r="H3053" t="s">
        <v>15</v>
      </c>
      <c r="I3053">
        <v>3.5</v>
      </c>
      <c r="J3053">
        <v>10</v>
      </c>
      <c r="K3053">
        <v>0</v>
      </c>
      <c r="L3053" s="4">
        <v>1442.8222222222221</v>
      </c>
      <c r="M3053" s="4">
        <v>144.28222222222212</v>
      </c>
      <c r="N3053" t="s">
        <v>93</v>
      </c>
    </row>
    <row r="3054" spans="1:14">
      <c r="A3054">
        <v>3053</v>
      </c>
      <c r="B3054">
        <v>57</v>
      </c>
      <c r="C3054" t="s">
        <v>11</v>
      </c>
      <c r="D3054" t="s">
        <v>12</v>
      </c>
      <c r="E3054" t="s">
        <v>50</v>
      </c>
      <c r="F3054">
        <v>147.6</v>
      </c>
      <c r="G3054" t="s">
        <v>31</v>
      </c>
      <c r="H3054" t="s">
        <v>15</v>
      </c>
      <c r="I3054">
        <v>4</v>
      </c>
      <c r="J3054">
        <v>24</v>
      </c>
      <c r="K3054">
        <v>7</v>
      </c>
      <c r="L3054" s="4">
        <v>194.21052631578945</v>
      </c>
      <c r="M3054" s="4">
        <v>46.610526315789457</v>
      </c>
      <c r="N3054" t="s">
        <v>94</v>
      </c>
    </row>
    <row r="3055" spans="1:14">
      <c r="A3055">
        <v>3054</v>
      </c>
      <c r="B3055">
        <v>46</v>
      </c>
      <c r="C3055" t="s">
        <v>16</v>
      </c>
      <c r="D3055" t="s">
        <v>27</v>
      </c>
      <c r="E3055" t="s">
        <v>28</v>
      </c>
      <c r="F3055">
        <v>1161.0899999999999</v>
      </c>
      <c r="G3055" t="s">
        <v>14</v>
      </c>
      <c r="H3055" t="s">
        <v>15</v>
      </c>
      <c r="I3055">
        <v>4.8</v>
      </c>
      <c r="J3055">
        <v>10</v>
      </c>
      <c r="K3055">
        <v>5</v>
      </c>
      <c r="L3055" s="4">
        <v>1290.0999999999999</v>
      </c>
      <c r="M3055" s="4">
        <v>129.01</v>
      </c>
      <c r="N3055" t="s">
        <v>93</v>
      </c>
    </row>
    <row r="3056" spans="1:14">
      <c r="A3056">
        <v>3055</v>
      </c>
      <c r="B3056">
        <v>51</v>
      </c>
      <c r="C3056" t="s">
        <v>11</v>
      </c>
      <c r="D3056" t="s">
        <v>33</v>
      </c>
      <c r="E3056" t="s">
        <v>40</v>
      </c>
      <c r="F3056">
        <v>203.75</v>
      </c>
      <c r="G3056" t="s">
        <v>14</v>
      </c>
      <c r="H3056" t="s">
        <v>15</v>
      </c>
      <c r="I3056">
        <v>3.4</v>
      </c>
      <c r="J3056">
        <v>11</v>
      </c>
      <c r="K3056">
        <v>3</v>
      </c>
      <c r="L3056" s="4">
        <v>228.93258426966293</v>
      </c>
      <c r="M3056" s="4">
        <v>25.182584269662925</v>
      </c>
      <c r="N3056" t="s">
        <v>93</v>
      </c>
    </row>
    <row r="3057" spans="1:14">
      <c r="A3057">
        <v>3056</v>
      </c>
      <c r="B3057">
        <v>57</v>
      </c>
      <c r="C3057" t="s">
        <v>11</v>
      </c>
      <c r="D3057" t="s">
        <v>22</v>
      </c>
      <c r="E3057" t="s">
        <v>43</v>
      </c>
      <c r="F3057">
        <v>145.76</v>
      </c>
      <c r="G3057" t="s">
        <v>31</v>
      </c>
      <c r="H3057" t="s">
        <v>15</v>
      </c>
      <c r="I3057">
        <v>3.2</v>
      </c>
      <c r="J3057">
        <v>14</v>
      </c>
      <c r="K3057">
        <v>7</v>
      </c>
      <c r="L3057" s="4">
        <v>169.48837209302326</v>
      </c>
      <c r="M3057" s="4">
        <v>23.728372093023268</v>
      </c>
      <c r="N3057" t="s">
        <v>94</v>
      </c>
    </row>
    <row r="3058" spans="1:14">
      <c r="A3058">
        <v>3057</v>
      </c>
      <c r="B3058">
        <v>70</v>
      </c>
      <c r="C3058" t="s">
        <v>11</v>
      </c>
      <c r="D3058" t="s">
        <v>33</v>
      </c>
      <c r="E3058" t="s">
        <v>34</v>
      </c>
      <c r="F3058">
        <v>221.59</v>
      </c>
      <c r="G3058" t="s">
        <v>19</v>
      </c>
      <c r="H3058" t="s">
        <v>15</v>
      </c>
      <c r="I3058">
        <v>3.8</v>
      </c>
      <c r="J3058">
        <v>13</v>
      </c>
      <c r="K3058">
        <v>4</v>
      </c>
      <c r="L3058" s="4">
        <v>254.70114942528735</v>
      </c>
      <c r="M3058" s="4">
        <v>33.111149425287351</v>
      </c>
      <c r="N3058" t="s">
        <v>95</v>
      </c>
    </row>
    <row r="3059" spans="1:14">
      <c r="A3059">
        <v>3058</v>
      </c>
      <c r="B3059">
        <v>22</v>
      </c>
      <c r="C3059" t="s">
        <v>11</v>
      </c>
      <c r="D3059" t="s">
        <v>41</v>
      </c>
      <c r="E3059" t="s">
        <v>42</v>
      </c>
      <c r="F3059">
        <v>142.09</v>
      </c>
      <c r="G3059" t="s">
        <v>31</v>
      </c>
      <c r="H3059" t="s">
        <v>15</v>
      </c>
      <c r="I3059">
        <v>3.7</v>
      </c>
      <c r="J3059">
        <v>14</v>
      </c>
      <c r="K3059">
        <v>2</v>
      </c>
      <c r="L3059" s="4">
        <v>165.22093023255815</v>
      </c>
      <c r="M3059" s="4">
        <v>23.130930232558143</v>
      </c>
      <c r="N3059" t="s">
        <v>100</v>
      </c>
    </row>
    <row r="3060" spans="1:14">
      <c r="A3060">
        <v>3059</v>
      </c>
      <c r="B3060">
        <v>46</v>
      </c>
      <c r="C3060" t="s">
        <v>16</v>
      </c>
      <c r="D3060" t="s">
        <v>17</v>
      </c>
      <c r="E3060" t="s">
        <v>42</v>
      </c>
      <c r="F3060">
        <v>149.84</v>
      </c>
      <c r="G3060" t="s">
        <v>24</v>
      </c>
      <c r="H3060" t="s">
        <v>15</v>
      </c>
      <c r="I3060">
        <v>3.9</v>
      </c>
      <c r="J3060">
        <v>8</v>
      </c>
      <c r="K3060">
        <v>4</v>
      </c>
      <c r="L3060" s="4">
        <v>162.86956521739131</v>
      </c>
      <c r="M3060" s="4">
        <v>13.029565217391308</v>
      </c>
      <c r="N3060" t="s">
        <v>93</v>
      </c>
    </row>
    <row r="3061" spans="1:14">
      <c r="A3061">
        <v>3060</v>
      </c>
      <c r="B3061">
        <v>33</v>
      </c>
      <c r="C3061" t="s">
        <v>11</v>
      </c>
      <c r="D3061" t="s">
        <v>29</v>
      </c>
      <c r="E3061" t="s">
        <v>30</v>
      </c>
      <c r="F3061">
        <v>47.94</v>
      </c>
      <c r="G3061" t="s">
        <v>14</v>
      </c>
      <c r="H3061" t="s">
        <v>37</v>
      </c>
      <c r="I3061">
        <v>3.8</v>
      </c>
      <c r="J3061">
        <v>12</v>
      </c>
      <c r="K3061">
        <v>6</v>
      </c>
      <c r="L3061" s="4">
        <v>54.477272727272727</v>
      </c>
      <c r="M3061" s="4">
        <v>6.5372727272727289</v>
      </c>
      <c r="N3061" t="s">
        <v>91</v>
      </c>
    </row>
    <row r="3062" spans="1:14">
      <c r="A3062">
        <v>3061</v>
      </c>
      <c r="B3062">
        <v>28</v>
      </c>
      <c r="C3062" t="s">
        <v>16</v>
      </c>
      <c r="D3062" t="s">
        <v>25</v>
      </c>
      <c r="E3062" t="s">
        <v>54</v>
      </c>
      <c r="F3062">
        <v>11.62</v>
      </c>
      <c r="G3062" t="s">
        <v>14</v>
      </c>
      <c r="H3062" t="s">
        <v>15</v>
      </c>
      <c r="I3062">
        <v>3.7</v>
      </c>
      <c r="J3062">
        <v>9</v>
      </c>
      <c r="K3062">
        <v>2</v>
      </c>
      <c r="L3062" s="4">
        <v>12.769230769230768</v>
      </c>
      <c r="M3062" s="4">
        <v>1.1492307692307691</v>
      </c>
      <c r="N3062" t="s">
        <v>91</v>
      </c>
    </row>
    <row r="3063" spans="1:14">
      <c r="A3063">
        <v>3062</v>
      </c>
      <c r="B3063">
        <v>39</v>
      </c>
      <c r="C3063" t="s">
        <v>11</v>
      </c>
      <c r="D3063" t="s">
        <v>41</v>
      </c>
      <c r="E3063" t="s">
        <v>46</v>
      </c>
      <c r="F3063">
        <v>119.77</v>
      </c>
      <c r="G3063" t="s">
        <v>24</v>
      </c>
      <c r="H3063" t="s">
        <v>15</v>
      </c>
      <c r="I3063">
        <v>4</v>
      </c>
      <c r="J3063">
        <v>24</v>
      </c>
      <c r="K3063">
        <v>7</v>
      </c>
      <c r="L3063" s="4">
        <v>157.59210526315789</v>
      </c>
      <c r="M3063" s="4">
        <v>37.822105263157894</v>
      </c>
      <c r="N3063" t="s">
        <v>92</v>
      </c>
    </row>
    <row r="3064" spans="1:14">
      <c r="A3064">
        <v>3063</v>
      </c>
      <c r="B3064">
        <v>60</v>
      </c>
      <c r="C3064" t="s">
        <v>16</v>
      </c>
      <c r="D3064" t="s">
        <v>17</v>
      </c>
      <c r="E3064" t="s">
        <v>35</v>
      </c>
      <c r="F3064">
        <v>188.39</v>
      </c>
      <c r="G3064" t="s">
        <v>31</v>
      </c>
      <c r="H3064" t="s">
        <v>15</v>
      </c>
      <c r="I3064">
        <v>3.4</v>
      </c>
      <c r="J3064">
        <v>23</v>
      </c>
      <c r="K3064">
        <v>9</v>
      </c>
      <c r="L3064" s="4">
        <v>244.66233766233765</v>
      </c>
      <c r="M3064" s="4">
        <v>56.272337662337662</v>
      </c>
      <c r="N3064" t="s">
        <v>94</v>
      </c>
    </row>
    <row r="3065" spans="1:14">
      <c r="A3065">
        <v>3064</v>
      </c>
      <c r="B3065">
        <v>37</v>
      </c>
      <c r="C3065" t="s">
        <v>16</v>
      </c>
      <c r="D3065" t="s">
        <v>25</v>
      </c>
      <c r="E3065" t="s">
        <v>54</v>
      </c>
      <c r="F3065">
        <v>70.239999999999995</v>
      </c>
      <c r="G3065" t="s">
        <v>14</v>
      </c>
      <c r="H3065" t="s">
        <v>37</v>
      </c>
      <c r="I3065">
        <v>4.3</v>
      </c>
      <c r="J3065">
        <v>28</v>
      </c>
      <c r="K3065">
        <v>9</v>
      </c>
      <c r="L3065" s="4">
        <v>97.555555555555557</v>
      </c>
      <c r="M3065" s="4">
        <v>27.315555555555562</v>
      </c>
      <c r="N3065" t="s">
        <v>92</v>
      </c>
    </row>
    <row r="3066" spans="1:14">
      <c r="A3066">
        <v>3065</v>
      </c>
      <c r="B3066">
        <v>40</v>
      </c>
      <c r="C3066" t="s">
        <v>11</v>
      </c>
      <c r="D3066" t="s">
        <v>41</v>
      </c>
      <c r="E3066" t="s">
        <v>45</v>
      </c>
      <c r="F3066">
        <v>167.11</v>
      </c>
      <c r="G3066" t="s">
        <v>24</v>
      </c>
      <c r="H3066" t="s">
        <v>15</v>
      </c>
      <c r="I3066">
        <v>3.9</v>
      </c>
      <c r="J3066">
        <v>20</v>
      </c>
      <c r="K3066">
        <v>5</v>
      </c>
      <c r="L3066" s="4">
        <v>208.88750000000002</v>
      </c>
      <c r="M3066" s="4">
        <v>41.777500000000003</v>
      </c>
      <c r="N3066" t="s">
        <v>92</v>
      </c>
    </row>
    <row r="3067" spans="1:14">
      <c r="A3067">
        <v>3066</v>
      </c>
      <c r="B3067">
        <v>56</v>
      </c>
      <c r="C3067" t="s">
        <v>16</v>
      </c>
      <c r="D3067" t="s">
        <v>17</v>
      </c>
      <c r="E3067" t="s">
        <v>42</v>
      </c>
      <c r="F3067">
        <v>108.75</v>
      </c>
      <c r="G3067" t="s">
        <v>14</v>
      </c>
      <c r="H3067" t="s">
        <v>15</v>
      </c>
      <c r="I3067">
        <v>4.4000000000000004</v>
      </c>
      <c r="J3067">
        <v>22</v>
      </c>
      <c r="K3067">
        <v>6</v>
      </c>
      <c r="L3067" s="4">
        <v>139.42307692307691</v>
      </c>
      <c r="M3067" s="4">
        <v>30.673076923076906</v>
      </c>
      <c r="N3067" t="s">
        <v>94</v>
      </c>
    </row>
    <row r="3068" spans="1:14">
      <c r="A3068">
        <v>3067</v>
      </c>
      <c r="B3068">
        <v>42</v>
      </c>
      <c r="C3068" t="s">
        <v>16</v>
      </c>
      <c r="D3068" t="s">
        <v>33</v>
      </c>
      <c r="E3068" t="s">
        <v>34</v>
      </c>
      <c r="F3068">
        <v>234.89</v>
      </c>
      <c r="G3068" t="s">
        <v>24</v>
      </c>
      <c r="H3068" t="s">
        <v>15</v>
      </c>
      <c r="I3068">
        <v>4.0999999999999996</v>
      </c>
      <c r="J3068">
        <v>4</v>
      </c>
      <c r="K3068">
        <v>2</v>
      </c>
      <c r="L3068" s="4">
        <v>244.67708333333331</v>
      </c>
      <c r="M3068" s="4">
        <v>9.787083333333328</v>
      </c>
      <c r="N3068" t="s">
        <v>92</v>
      </c>
    </row>
    <row r="3069" spans="1:14">
      <c r="A3069">
        <v>3068</v>
      </c>
      <c r="B3069">
        <v>35</v>
      </c>
      <c r="C3069" t="s">
        <v>11</v>
      </c>
      <c r="D3069" t="s">
        <v>33</v>
      </c>
      <c r="E3069" t="s">
        <v>40</v>
      </c>
      <c r="F3069">
        <v>203.24</v>
      </c>
      <c r="G3069" t="s">
        <v>19</v>
      </c>
      <c r="H3069" t="s">
        <v>15</v>
      </c>
      <c r="I3069">
        <v>3.8</v>
      </c>
      <c r="J3069">
        <v>20</v>
      </c>
      <c r="K3069">
        <v>5</v>
      </c>
      <c r="L3069" s="4">
        <v>254.05</v>
      </c>
      <c r="M3069" s="4">
        <v>50.81</v>
      </c>
      <c r="N3069" t="s">
        <v>92</v>
      </c>
    </row>
    <row r="3070" spans="1:14">
      <c r="A3070">
        <v>3069</v>
      </c>
      <c r="B3070">
        <v>31</v>
      </c>
      <c r="C3070" t="s">
        <v>16</v>
      </c>
      <c r="D3070" t="s">
        <v>33</v>
      </c>
      <c r="E3070" t="s">
        <v>34</v>
      </c>
      <c r="F3070">
        <v>118.39</v>
      </c>
      <c r="G3070" t="s">
        <v>24</v>
      </c>
      <c r="H3070" t="s">
        <v>15</v>
      </c>
      <c r="I3070">
        <v>4.4000000000000004</v>
      </c>
      <c r="J3070">
        <v>15</v>
      </c>
      <c r="K3070">
        <v>5</v>
      </c>
      <c r="L3070" s="4">
        <v>139.28235294117647</v>
      </c>
      <c r="M3070" s="4">
        <v>20.892352941176469</v>
      </c>
      <c r="N3070" t="s">
        <v>91</v>
      </c>
    </row>
    <row r="3071" spans="1:14">
      <c r="A3071">
        <v>3070</v>
      </c>
      <c r="B3071">
        <v>66</v>
      </c>
      <c r="C3071" t="s">
        <v>11</v>
      </c>
      <c r="D3071" t="s">
        <v>29</v>
      </c>
      <c r="E3071" t="s">
        <v>30</v>
      </c>
      <c r="F3071">
        <v>105.89</v>
      </c>
      <c r="G3071" t="s">
        <v>19</v>
      </c>
      <c r="H3071" t="s">
        <v>15</v>
      </c>
      <c r="I3071">
        <v>3.5</v>
      </c>
      <c r="J3071">
        <v>26</v>
      </c>
      <c r="K3071">
        <v>8</v>
      </c>
      <c r="L3071" s="4">
        <v>143.09459459459461</v>
      </c>
      <c r="M3071" s="4">
        <v>37.20459459459461</v>
      </c>
      <c r="N3071" t="s">
        <v>95</v>
      </c>
    </row>
    <row r="3072" spans="1:14">
      <c r="A3072">
        <v>3071</v>
      </c>
      <c r="B3072">
        <v>59</v>
      </c>
      <c r="C3072" t="s">
        <v>16</v>
      </c>
      <c r="D3072" t="s">
        <v>27</v>
      </c>
      <c r="E3072" t="s">
        <v>28</v>
      </c>
      <c r="F3072">
        <v>2313.37</v>
      </c>
      <c r="G3072" t="s">
        <v>31</v>
      </c>
      <c r="H3072" t="s">
        <v>15</v>
      </c>
      <c r="I3072">
        <v>3</v>
      </c>
      <c r="J3072">
        <v>18</v>
      </c>
      <c r="K3072">
        <v>4</v>
      </c>
      <c r="L3072" s="4">
        <v>2821.1829268292681</v>
      </c>
      <c r="M3072" s="4">
        <v>507.81292682926824</v>
      </c>
      <c r="N3072" t="s">
        <v>94</v>
      </c>
    </row>
    <row r="3073" spans="1:14">
      <c r="A3073">
        <v>3072</v>
      </c>
      <c r="B3073">
        <v>34</v>
      </c>
      <c r="C3073" t="s">
        <v>11</v>
      </c>
      <c r="D3073" t="s">
        <v>22</v>
      </c>
      <c r="E3073" t="s">
        <v>23</v>
      </c>
      <c r="F3073">
        <v>158.41999999999999</v>
      </c>
      <c r="G3073" t="s">
        <v>24</v>
      </c>
      <c r="H3073" t="s">
        <v>15</v>
      </c>
      <c r="I3073">
        <v>4.7</v>
      </c>
      <c r="J3073">
        <v>17</v>
      </c>
      <c r="K3073">
        <v>6</v>
      </c>
      <c r="L3073" s="4">
        <v>190.86746987951807</v>
      </c>
      <c r="M3073" s="4">
        <v>32.447469879518081</v>
      </c>
      <c r="N3073" t="s">
        <v>91</v>
      </c>
    </row>
    <row r="3074" spans="1:14">
      <c r="A3074">
        <v>3073</v>
      </c>
      <c r="B3074">
        <v>33</v>
      </c>
      <c r="C3074" t="s">
        <v>16</v>
      </c>
      <c r="D3074" t="s">
        <v>20</v>
      </c>
      <c r="E3074" t="s">
        <v>36</v>
      </c>
      <c r="F3074">
        <v>59.3</v>
      </c>
      <c r="G3074" t="s">
        <v>19</v>
      </c>
      <c r="H3074" t="s">
        <v>15</v>
      </c>
      <c r="I3074">
        <v>3</v>
      </c>
      <c r="J3074">
        <v>18</v>
      </c>
      <c r="K3074">
        <v>4</v>
      </c>
      <c r="L3074" s="4">
        <v>72.317073170731703</v>
      </c>
      <c r="M3074" s="4">
        <v>13.017073170731706</v>
      </c>
      <c r="N3074" t="s">
        <v>91</v>
      </c>
    </row>
    <row r="3075" spans="1:14">
      <c r="A3075">
        <v>3074</v>
      </c>
      <c r="B3075">
        <v>40</v>
      </c>
      <c r="C3075" t="s">
        <v>16</v>
      </c>
      <c r="D3075" t="s">
        <v>17</v>
      </c>
      <c r="E3075" t="s">
        <v>18</v>
      </c>
      <c r="F3075">
        <v>191.84</v>
      </c>
      <c r="G3075" t="s">
        <v>31</v>
      </c>
      <c r="H3075" t="s">
        <v>15</v>
      </c>
      <c r="I3075">
        <v>3.5</v>
      </c>
      <c r="J3075">
        <v>21</v>
      </c>
      <c r="K3075">
        <v>8</v>
      </c>
      <c r="L3075" s="4">
        <v>242.83544303797467</v>
      </c>
      <c r="M3075" s="4">
        <v>50.995443037974667</v>
      </c>
      <c r="N3075" t="s">
        <v>92</v>
      </c>
    </row>
    <row r="3076" spans="1:14">
      <c r="A3076">
        <v>3075</v>
      </c>
      <c r="B3076">
        <v>38</v>
      </c>
      <c r="C3076" t="s">
        <v>11</v>
      </c>
      <c r="D3076" t="s">
        <v>22</v>
      </c>
      <c r="E3076" t="s">
        <v>52</v>
      </c>
      <c r="F3076">
        <v>164.04</v>
      </c>
      <c r="G3076" t="s">
        <v>31</v>
      </c>
      <c r="H3076" t="s">
        <v>15</v>
      </c>
      <c r="I3076">
        <v>3.9</v>
      </c>
      <c r="J3076">
        <v>12</v>
      </c>
      <c r="K3076">
        <v>6</v>
      </c>
      <c r="L3076" s="4">
        <v>186.40909090909091</v>
      </c>
      <c r="M3076" s="4">
        <v>22.369090909090914</v>
      </c>
      <c r="N3076" t="s">
        <v>92</v>
      </c>
    </row>
    <row r="3077" spans="1:14">
      <c r="A3077">
        <v>3076</v>
      </c>
      <c r="B3077">
        <v>65</v>
      </c>
      <c r="C3077" t="s">
        <v>16</v>
      </c>
      <c r="D3077" t="s">
        <v>33</v>
      </c>
      <c r="E3077" t="s">
        <v>40</v>
      </c>
      <c r="F3077">
        <v>84.56</v>
      </c>
      <c r="G3077" t="s">
        <v>31</v>
      </c>
      <c r="H3077" t="s">
        <v>15</v>
      </c>
      <c r="I3077">
        <v>3.3</v>
      </c>
      <c r="J3077">
        <v>15</v>
      </c>
      <c r="K3077">
        <v>5</v>
      </c>
      <c r="L3077" s="4">
        <v>99.482352941176472</v>
      </c>
      <c r="M3077" s="4">
        <v>14.92235294117647</v>
      </c>
      <c r="N3077" t="s">
        <v>95</v>
      </c>
    </row>
    <row r="3078" spans="1:14">
      <c r="A3078">
        <v>3077</v>
      </c>
      <c r="B3078">
        <v>37</v>
      </c>
      <c r="C3078" t="s">
        <v>11</v>
      </c>
      <c r="D3078" t="s">
        <v>41</v>
      </c>
      <c r="E3078" t="s">
        <v>44</v>
      </c>
      <c r="F3078">
        <v>54.47</v>
      </c>
      <c r="G3078" t="s">
        <v>14</v>
      </c>
      <c r="H3078" t="s">
        <v>37</v>
      </c>
      <c r="I3078">
        <v>3.9</v>
      </c>
      <c r="J3078">
        <v>15</v>
      </c>
      <c r="K3078">
        <v>5</v>
      </c>
      <c r="L3078" s="4">
        <v>64.082352941176467</v>
      </c>
      <c r="M3078" s="4">
        <v>9.6123529411764679</v>
      </c>
      <c r="N3078" t="s">
        <v>92</v>
      </c>
    </row>
    <row r="3079" spans="1:14">
      <c r="A3079">
        <v>3078</v>
      </c>
      <c r="B3079">
        <v>37</v>
      </c>
      <c r="C3079" t="s">
        <v>11</v>
      </c>
      <c r="D3079" t="s">
        <v>29</v>
      </c>
      <c r="E3079" t="s">
        <v>51</v>
      </c>
      <c r="F3079">
        <v>52.5</v>
      </c>
      <c r="G3079" t="s">
        <v>24</v>
      </c>
      <c r="H3079" t="s">
        <v>15</v>
      </c>
      <c r="I3079">
        <v>4.3</v>
      </c>
      <c r="J3079">
        <v>21</v>
      </c>
      <c r="K3079">
        <v>8</v>
      </c>
      <c r="L3079" s="4">
        <v>66.455696202531641</v>
      </c>
      <c r="M3079" s="4">
        <v>13.955696202531641</v>
      </c>
      <c r="N3079" t="s">
        <v>92</v>
      </c>
    </row>
    <row r="3080" spans="1:14">
      <c r="A3080">
        <v>3079</v>
      </c>
      <c r="B3080">
        <v>46</v>
      </c>
      <c r="C3080" t="s">
        <v>16</v>
      </c>
      <c r="D3080" t="s">
        <v>27</v>
      </c>
      <c r="E3080" t="s">
        <v>49</v>
      </c>
      <c r="F3080">
        <v>1239.45</v>
      </c>
      <c r="G3080" t="s">
        <v>19</v>
      </c>
      <c r="H3080" t="s">
        <v>15</v>
      </c>
      <c r="I3080">
        <v>4.0999999999999996</v>
      </c>
      <c r="J3080">
        <v>13</v>
      </c>
      <c r="K3080">
        <v>4</v>
      </c>
      <c r="L3080" s="4">
        <v>1424.6551724137933</v>
      </c>
      <c r="M3080" s="4">
        <v>185.20517241379321</v>
      </c>
      <c r="N3080" t="s">
        <v>93</v>
      </c>
    </row>
    <row r="3081" spans="1:14">
      <c r="A3081">
        <v>3080</v>
      </c>
      <c r="B3081">
        <v>30</v>
      </c>
      <c r="C3081" t="s">
        <v>11</v>
      </c>
      <c r="D3081" t="s">
        <v>41</v>
      </c>
      <c r="E3081" t="s">
        <v>44</v>
      </c>
      <c r="F3081">
        <v>99.88</v>
      </c>
      <c r="G3081" t="s">
        <v>24</v>
      </c>
      <c r="H3081" t="s">
        <v>15</v>
      </c>
      <c r="I3081">
        <v>3.3</v>
      </c>
      <c r="J3081">
        <v>14</v>
      </c>
      <c r="K3081">
        <v>2</v>
      </c>
      <c r="L3081" s="4">
        <v>116.13953488372093</v>
      </c>
      <c r="M3081" s="4">
        <v>16.259534883720931</v>
      </c>
      <c r="N3081" t="s">
        <v>91</v>
      </c>
    </row>
    <row r="3082" spans="1:14">
      <c r="A3082">
        <v>3081</v>
      </c>
      <c r="B3082">
        <v>42</v>
      </c>
      <c r="C3082" t="s">
        <v>11</v>
      </c>
      <c r="D3082" t="s">
        <v>33</v>
      </c>
      <c r="E3082" t="s">
        <v>38</v>
      </c>
      <c r="F3082">
        <v>73.33</v>
      </c>
      <c r="G3082" t="s">
        <v>31</v>
      </c>
      <c r="H3082" t="s">
        <v>37</v>
      </c>
      <c r="I3082">
        <v>4.5999999999999996</v>
      </c>
      <c r="J3082">
        <v>22</v>
      </c>
      <c r="K3082">
        <v>6</v>
      </c>
      <c r="L3082" s="4">
        <v>94.012820512820511</v>
      </c>
      <c r="M3082" s="4">
        <v>20.682820512820513</v>
      </c>
      <c r="N3082" t="s">
        <v>92</v>
      </c>
    </row>
    <row r="3083" spans="1:14">
      <c r="A3083">
        <v>3082</v>
      </c>
      <c r="B3083">
        <v>25</v>
      </c>
      <c r="C3083" t="s">
        <v>16</v>
      </c>
      <c r="D3083" t="s">
        <v>27</v>
      </c>
      <c r="E3083" t="s">
        <v>28</v>
      </c>
      <c r="F3083">
        <v>727.7</v>
      </c>
      <c r="G3083" t="s">
        <v>19</v>
      </c>
      <c r="H3083" t="s">
        <v>15</v>
      </c>
      <c r="I3083">
        <v>3.6</v>
      </c>
      <c r="J3083">
        <v>18</v>
      </c>
      <c r="K3083">
        <v>4</v>
      </c>
      <c r="L3083" s="4">
        <v>887.43902439024384</v>
      </c>
      <c r="M3083" s="4">
        <v>159.7390243902438</v>
      </c>
      <c r="N3083" t="s">
        <v>91</v>
      </c>
    </row>
    <row r="3084" spans="1:14">
      <c r="A3084">
        <v>3083</v>
      </c>
      <c r="B3084">
        <v>48</v>
      </c>
      <c r="C3084" t="s">
        <v>11</v>
      </c>
      <c r="D3084" t="s">
        <v>12</v>
      </c>
      <c r="E3084" t="s">
        <v>50</v>
      </c>
      <c r="F3084">
        <v>59.04</v>
      </c>
      <c r="G3084" t="s">
        <v>24</v>
      </c>
      <c r="H3084" t="s">
        <v>15</v>
      </c>
      <c r="I3084">
        <v>4.0999999999999996</v>
      </c>
      <c r="J3084">
        <v>18</v>
      </c>
      <c r="K3084">
        <v>9</v>
      </c>
      <c r="L3084" s="4">
        <v>72</v>
      </c>
      <c r="M3084" s="4">
        <v>12.96</v>
      </c>
      <c r="N3084" t="s">
        <v>93</v>
      </c>
    </row>
    <row r="3085" spans="1:14">
      <c r="A3085">
        <v>3084</v>
      </c>
      <c r="B3085">
        <v>39</v>
      </c>
      <c r="C3085" t="s">
        <v>11</v>
      </c>
      <c r="D3085" t="s">
        <v>20</v>
      </c>
      <c r="E3085" t="s">
        <v>36</v>
      </c>
      <c r="F3085">
        <v>178.47</v>
      </c>
      <c r="G3085" t="s">
        <v>31</v>
      </c>
      <c r="H3085" t="s">
        <v>15</v>
      </c>
      <c r="I3085">
        <v>3.2</v>
      </c>
      <c r="J3085">
        <v>10</v>
      </c>
      <c r="K3085">
        <v>5</v>
      </c>
      <c r="L3085" s="4">
        <v>198.29999999999998</v>
      </c>
      <c r="M3085" s="4">
        <v>19.829999999999984</v>
      </c>
      <c r="N3085" t="s">
        <v>92</v>
      </c>
    </row>
    <row r="3086" spans="1:14">
      <c r="A3086">
        <v>3085</v>
      </c>
      <c r="B3086">
        <v>51</v>
      </c>
      <c r="C3086" t="s">
        <v>11</v>
      </c>
      <c r="D3086" t="s">
        <v>12</v>
      </c>
      <c r="E3086" t="s">
        <v>50</v>
      </c>
      <c r="F3086">
        <v>150.63999999999999</v>
      </c>
      <c r="G3086" t="s">
        <v>19</v>
      </c>
      <c r="H3086" t="s">
        <v>15</v>
      </c>
      <c r="I3086">
        <v>3.6</v>
      </c>
      <c r="J3086">
        <v>17</v>
      </c>
      <c r="K3086">
        <v>6</v>
      </c>
      <c r="L3086" s="4">
        <v>181.49397590361446</v>
      </c>
      <c r="M3086" s="4">
        <v>30.853975903614469</v>
      </c>
      <c r="N3086" t="s">
        <v>93</v>
      </c>
    </row>
    <row r="3087" spans="1:14">
      <c r="A3087">
        <v>3086</v>
      </c>
      <c r="B3087">
        <v>54</v>
      </c>
      <c r="C3087" t="s">
        <v>16</v>
      </c>
      <c r="D3087" t="s">
        <v>33</v>
      </c>
      <c r="E3087" t="s">
        <v>34</v>
      </c>
      <c r="F3087">
        <v>93.5</v>
      </c>
      <c r="G3087" t="s">
        <v>24</v>
      </c>
      <c r="H3087" t="s">
        <v>37</v>
      </c>
      <c r="I3087">
        <v>3</v>
      </c>
      <c r="J3087">
        <v>17</v>
      </c>
      <c r="K3087">
        <v>6</v>
      </c>
      <c r="L3087" s="4">
        <v>112.65060240963857</v>
      </c>
      <c r="M3087" s="4">
        <v>19.150602409638566</v>
      </c>
      <c r="N3087" t="s">
        <v>93</v>
      </c>
    </row>
    <row r="3088" spans="1:14">
      <c r="A3088">
        <v>3087</v>
      </c>
      <c r="B3088">
        <v>52</v>
      </c>
      <c r="C3088" t="s">
        <v>16</v>
      </c>
      <c r="D3088" t="s">
        <v>17</v>
      </c>
      <c r="E3088" t="s">
        <v>35</v>
      </c>
      <c r="F3088">
        <v>37.229999999999997</v>
      </c>
      <c r="G3088" t="s">
        <v>24</v>
      </c>
      <c r="H3088" t="s">
        <v>15</v>
      </c>
      <c r="I3088">
        <v>3.9</v>
      </c>
      <c r="J3088">
        <v>9</v>
      </c>
      <c r="K3088">
        <v>2</v>
      </c>
      <c r="L3088" s="4">
        <v>40.912087912087905</v>
      </c>
      <c r="M3088" s="4">
        <v>3.6820879120879084</v>
      </c>
      <c r="N3088" t="s">
        <v>93</v>
      </c>
    </row>
    <row r="3089" spans="1:14">
      <c r="A3089">
        <v>3088</v>
      </c>
      <c r="B3089">
        <v>52</v>
      </c>
      <c r="C3089" t="s">
        <v>11</v>
      </c>
      <c r="D3089" t="s">
        <v>33</v>
      </c>
      <c r="E3089" t="s">
        <v>38</v>
      </c>
      <c r="F3089">
        <v>203.27</v>
      </c>
      <c r="G3089" t="s">
        <v>31</v>
      </c>
      <c r="H3089" t="s">
        <v>15</v>
      </c>
      <c r="I3089">
        <v>4.5999999999999996</v>
      </c>
      <c r="J3089">
        <v>4</v>
      </c>
      <c r="K3089">
        <v>2</v>
      </c>
      <c r="L3089" s="4">
        <v>211.73958333333334</v>
      </c>
      <c r="M3089" s="4">
        <v>8.4695833333333326</v>
      </c>
      <c r="N3089" t="s">
        <v>93</v>
      </c>
    </row>
    <row r="3090" spans="1:14">
      <c r="A3090">
        <v>3089</v>
      </c>
      <c r="B3090">
        <v>26</v>
      </c>
      <c r="C3090" t="s">
        <v>16</v>
      </c>
      <c r="D3090" t="s">
        <v>20</v>
      </c>
      <c r="E3090" t="s">
        <v>21</v>
      </c>
      <c r="F3090">
        <v>178.08</v>
      </c>
      <c r="G3090" t="s">
        <v>24</v>
      </c>
      <c r="H3090" t="s">
        <v>15</v>
      </c>
      <c r="I3090">
        <v>3.9</v>
      </c>
      <c r="J3090">
        <v>4</v>
      </c>
      <c r="K3090">
        <v>2</v>
      </c>
      <c r="L3090" s="4">
        <v>185.50000000000003</v>
      </c>
      <c r="M3090" s="4">
        <v>7.4200000000000159</v>
      </c>
      <c r="N3090" t="s">
        <v>91</v>
      </c>
    </row>
    <row r="3091" spans="1:14">
      <c r="A3091">
        <v>3090</v>
      </c>
      <c r="B3091">
        <v>66</v>
      </c>
      <c r="C3091" t="s">
        <v>11</v>
      </c>
      <c r="D3091" t="s">
        <v>12</v>
      </c>
      <c r="E3091" t="s">
        <v>56</v>
      </c>
      <c r="F3091">
        <v>110.97</v>
      </c>
      <c r="G3091" t="s">
        <v>24</v>
      </c>
      <c r="H3091" t="s">
        <v>15</v>
      </c>
      <c r="I3091">
        <v>3.7</v>
      </c>
      <c r="J3091">
        <v>13</v>
      </c>
      <c r="K3091">
        <v>4</v>
      </c>
      <c r="L3091" s="4">
        <v>127.55172413793103</v>
      </c>
      <c r="M3091" s="4">
        <v>16.581724137931033</v>
      </c>
      <c r="N3091" t="s">
        <v>95</v>
      </c>
    </row>
    <row r="3092" spans="1:14">
      <c r="A3092">
        <v>3091</v>
      </c>
      <c r="B3092">
        <v>67</v>
      </c>
      <c r="C3092" t="s">
        <v>16</v>
      </c>
      <c r="D3092" t="s">
        <v>27</v>
      </c>
      <c r="E3092" t="s">
        <v>28</v>
      </c>
      <c r="F3092">
        <v>2107.08</v>
      </c>
      <c r="G3092" t="s">
        <v>31</v>
      </c>
      <c r="H3092" t="s">
        <v>15</v>
      </c>
      <c r="I3092">
        <v>4.5</v>
      </c>
      <c r="J3092">
        <v>10</v>
      </c>
      <c r="K3092">
        <v>5</v>
      </c>
      <c r="L3092" s="4">
        <v>2341.1999999999998</v>
      </c>
      <c r="M3092" s="4">
        <v>234.11999999999989</v>
      </c>
      <c r="N3092" t="s">
        <v>95</v>
      </c>
    </row>
    <row r="3093" spans="1:14">
      <c r="A3093">
        <v>3092</v>
      </c>
      <c r="B3093">
        <v>30</v>
      </c>
      <c r="C3093" t="s">
        <v>11</v>
      </c>
      <c r="D3093" t="s">
        <v>12</v>
      </c>
      <c r="E3093" t="s">
        <v>13</v>
      </c>
      <c r="F3093">
        <v>143.83000000000001</v>
      </c>
      <c r="G3093" t="s">
        <v>19</v>
      </c>
      <c r="H3093" t="s">
        <v>15</v>
      </c>
      <c r="I3093">
        <v>3.8</v>
      </c>
      <c r="J3093">
        <v>19</v>
      </c>
      <c r="K3093">
        <v>7</v>
      </c>
      <c r="L3093" s="4">
        <v>177.5679012345679</v>
      </c>
      <c r="M3093" s="4">
        <v>33.737901234567886</v>
      </c>
      <c r="N3093" t="s">
        <v>91</v>
      </c>
    </row>
    <row r="3094" spans="1:14">
      <c r="A3094">
        <v>3093</v>
      </c>
      <c r="B3094">
        <v>37</v>
      </c>
      <c r="C3094" t="s">
        <v>16</v>
      </c>
      <c r="D3094" t="s">
        <v>20</v>
      </c>
      <c r="E3094" t="s">
        <v>39</v>
      </c>
      <c r="F3094">
        <v>140.4</v>
      </c>
      <c r="G3094" t="s">
        <v>19</v>
      </c>
      <c r="H3094" t="s">
        <v>15</v>
      </c>
      <c r="I3094">
        <v>3.8</v>
      </c>
      <c r="J3094">
        <v>15</v>
      </c>
      <c r="K3094">
        <v>5</v>
      </c>
      <c r="L3094" s="4">
        <v>165.1764705882353</v>
      </c>
      <c r="M3094" s="4">
        <v>24.776470588235298</v>
      </c>
      <c r="N3094" t="s">
        <v>92</v>
      </c>
    </row>
    <row r="3095" spans="1:14">
      <c r="A3095">
        <v>3094</v>
      </c>
      <c r="B3095">
        <v>64</v>
      </c>
      <c r="C3095" t="s">
        <v>11</v>
      </c>
      <c r="D3095" t="s">
        <v>29</v>
      </c>
      <c r="E3095" t="s">
        <v>51</v>
      </c>
      <c r="F3095">
        <v>145.84</v>
      </c>
      <c r="G3095" t="s">
        <v>24</v>
      </c>
      <c r="H3095" t="s">
        <v>15</v>
      </c>
      <c r="I3095">
        <v>4</v>
      </c>
      <c r="J3095">
        <v>4</v>
      </c>
      <c r="K3095">
        <v>2</v>
      </c>
      <c r="L3095" s="4">
        <v>151.91666666666669</v>
      </c>
      <c r="M3095" s="4">
        <v>6.0766666666666822</v>
      </c>
      <c r="N3095" t="s">
        <v>94</v>
      </c>
    </row>
    <row r="3096" spans="1:14">
      <c r="A3096">
        <v>3095</v>
      </c>
      <c r="B3096">
        <v>43</v>
      </c>
      <c r="C3096" t="s">
        <v>16</v>
      </c>
      <c r="D3096" t="s">
        <v>22</v>
      </c>
      <c r="E3096" t="s">
        <v>23</v>
      </c>
      <c r="F3096">
        <v>50.1</v>
      </c>
      <c r="G3096" t="s">
        <v>19</v>
      </c>
      <c r="H3096" t="s">
        <v>37</v>
      </c>
      <c r="I3096">
        <v>4.5</v>
      </c>
      <c r="J3096">
        <v>22</v>
      </c>
      <c r="K3096">
        <v>6</v>
      </c>
      <c r="L3096" s="4">
        <v>64.230769230769226</v>
      </c>
      <c r="M3096" s="4">
        <v>14.130769230769225</v>
      </c>
      <c r="N3096" t="s">
        <v>92</v>
      </c>
    </row>
    <row r="3097" spans="1:14">
      <c r="A3097">
        <v>3096</v>
      </c>
      <c r="B3097">
        <v>56</v>
      </c>
      <c r="C3097" t="s">
        <v>16</v>
      </c>
      <c r="D3097" t="s">
        <v>27</v>
      </c>
      <c r="E3097" t="s">
        <v>49</v>
      </c>
      <c r="F3097">
        <v>1390.67</v>
      </c>
      <c r="G3097" t="s">
        <v>19</v>
      </c>
      <c r="H3097" t="s">
        <v>15</v>
      </c>
      <c r="I3097">
        <v>4.4000000000000004</v>
      </c>
      <c r="J3097">
        <v>20</v>
      </c>
      <c r="K3097">
        <v>5</v>
      </c>
      <c r="L3097" s="4">
        <v>1738.3375000000001</v>
      </c>
      <c r="M3097" s="4">
        <v>347.66750000000002</v>
      </c>
      <c r="N3097" t="s">
        <v>94</v>
      </c>
    </row>
    <row r="3098" spans="1:14">
      <c r="A3098">
        <v>3097</v>
      </c>
      <c r="B3098">
        <v>42</v>
      </c>
      <c r="C3098" t="s">
        <v>11</v>
      </c>
      <c r="D3098" t="s">
        <v>20</v>
      </c>
      <c r="E3098" t="s">
        <v>39</v>
      </c>
      <c r="F3098">
        <v>54.94</v>
      </c>
      <c r="G3098" t="s">
        <v>31</v>
      </c>
      <c r="H3098" t="s">
        <v>37</v>
      </c>
      <c r="I3098">
        <v>4</v>
      </c>
      <c r="J3098">
        <v>8</v>
      </c>
      <c r="K3098">
        <v>4</v>
      </c>
      <c r="L3098" s="4">
        <v>59.717391304347821</v>
      </c>
      <c r="M3098" s="4">
        <v>4.7773913043478231</v>
      </c>
      <c r="N3098" t="s">
        <v>92</v>
      </c>
    </row>
    <row r="3099" spans="1:14">
      <c r="A3099">
        <v>3098</v>
      </c>
      <c r="B3099">
        <v>61</v>
      </c>
      <c r="C3099" t="s">
        <v>16</v>
      </c>
      <c r="D3099" t="s">
        <v>33</v>
      </c>
      <c r="E3099" t="s">
        <v>38</v>
      </c>
      <c r="F3099">
        <v>214.2</v>
      </c>
      <c r="G3099" t="s">
        <v>19</v>
      </c>
      <c r="H3099" t="s">
        <v>15</v>
      </c>
      <c r="I3099">
        <v>4.9000000000000004</v>
      </c>
      <c r="J3099">
        <v>20</v>
      </c>
      <c r="K3099">
        <v>5</v>
      </c>
      <c r="L3099" s="4">
        <v>267.74999999999994</v>
      </c>
      <c r="M3099" s="4">
        <v>53.549999999999955</v>
      </c>
      <c r="N3099" t="s">
        <v>94</v>
      </c>
    </row>
    <row r="3100" spans="1:14">
      <c r="A3100">
        <v>3099</v>
      </c>
      <c r="B3100">
        <v>66</v>
      </c>
      <c r="C3100" t="s">
        <v>16</v>
      </c>
      <c r="D3100" t="s">
        <v>17</v>
      </c>
      <c r="E3100" t="s">
        <v>48</v>
      </c>
      <c r="F3100">
        <v>115.35</v>
      </c>
      <c r="G3100" t="s">
        <v>24</v>
      </c>
      <c r="H3100" t="s">
        <v>15</v>
      </c>
      <c r="I3100">
        <v>4.4000000000000004</v>
      </c>
      <c r="J3100">
        <v>8</v>
      </c>
      <c r="K3100">
        <v>4</v>
      </c>
      <c r="L3100" s="4">
        <v>125.38043478260869</v>
      </c>
      <c r="M3100" s="4">
        <v>10.030434782608694</v>
      </c>
      <c r="N3100" t="s">
        <v>95</v>
      </c>
    </row>
    <row r="3101" spans="1:14">
      <c r="A3101">
        <v>3100</v>
      </c>
      <c r="B3101">
        <v>43</v>
      </c>
      <c r="C3101" t="s">
        <v>16</v>
      </c>
      <c r="D3101" t="s">
        <v>20</v>
      </c>
      <c r="E3101" t="s">
        <v>39</v>
      </c>
      <c r="F3101">
        <v>38.090000000000003</v>
      </c>
      <c r="G3101" t="s">
        <v>14</v>
      </c>
      <c r="H3101" t="s">
        <v>37</v>
      </c>
      <c r="I3101">
        <v>4.2</v>
      </c>
      <c r="J3101">
        <v>20</v>
      </c>
      <c r="K3101">
        <v>5</v>
      </c>
      <c r="L3101" s="4">
        <v>47.612500000000004</v>
      </c>
      <c r="M3101" s="4">
        <v>9.5225000000000009</v>
      </c>
      <c r="N3101" t="s">
        <v>92</v>
      </c>
    </row>
    <row r="3102" spans="1:14">
      <c r="A3102">
        <v>3101</v>
      </c>
      <c r="B3102">
        <v>22</v>
      </c>
      <c r="C3102" t="s">
        <v>16</v>
      </c>
      <c r="D3102" t="s">
        <v>27</v>
      </c>
      <c r="E3102" t="s">
        <v>49</v>
      </c>
      <c r="F3102">
        <v>1683.66</v>
      </c>
      <c r="G3102" t="s">
        <v>14</v>
      </c>
      <c r="H3102" t="s">
        <v>15</v>
      </c>
      <c r="I3102">
        <v>4.5</v>
      </c>
      <c r="J3102">
        <v>20</v>
      </c>
      <c r="K3102">
        <v>5</v>
      </c>
      <c r="L3102" s="4">
        <v>2104.5749999999998</v>
      </c>
      <c r="M3102" s="4">
        <v>420.91499999999974</v>
      </c>
      <c r="N3102" t="s">
        <v>100</v>
      </c>
    </row>
    <row r="3103" spans="1:14">
      <c r="A3103">
        <v>3102</v>
      </c>
      <c r="B3103">
        <v>21</v>
      </c>
      <c r="C3103" t="s">
        <v>16</v>
      </c>
      <c r="D3103" t="s">
        <v>27</v>
      </c>
      <c r="E3103" t="s">
        <v>49</v>
      </c>
      <c r="F3103">
        <v>1599.75</v>
      </c>
      <c r="G3103" t="s">
        <v>31</v>
      </c>
      <c r="H3103" t="s">
        <v>15</v>
      </c>
      <c r="I3103">
        <v>4.2</v>
      </c>
      <c r="J3103">
        <v>20</v>
      </c>
      <c r="K3103">
        <v>5</v>
      </c>
      <c r="L3103" s="4">
        <v>1999.6875</v>
      </c>
      <c r="M3103" s="4">
        <v>399.9375</v>
      </c>
      <c r="N3103" t="s">
        <v>100</v>
      </c>
    </row>
    <row r="3104" spans="1:14">
      <c r="A3104">
        <v>3103</v>
      </c>
      <c r="B3104">
        <v>70</v>
      </c>
      <c r="C3104" t="s">
        <v>11</v>
      </c>
      <c r="D3104" t="s">
        <v>12</v>
      </c>
      <c r="E3104" t="s">
        <v>56</v>
      </c>
      <c r="F3104">
        <v>55.1</v>
      </c>
      <c r="G3104" t="s">
        <v>14</v>
      </c>
      <c r="H3104" t="s">
        <v>37</v>
      </c>
      <c r="I3104">
        <v>3.7</v>
      </c>
      <c r="J3104">
        <v>18</v>
      </c>
      <c r="K3104">
        <v>4</v>
      </c>
      <c r="L3104" s="4">
        <v>67.195121951219505</v>
      </c>
      <c r="M3104" s="4">
        <v>12.095121951219504</v>
      </c>
      <c r="N3104" t="s">
        <v>95</v>
      </c>
    </row>
    <row r="3105" spans="1:14">
      <c r="A3105">
        <v>3104</v>
      </c>
      <c r="B3105">
        <v>20</v>
      </c>
      <c r="C3105" t="s">
        <v>11</v>
      </c>
      <c r="D3105" t="s">
        <v>22</v>
      </c>
      <c r="E3105" t="s">
        <v>23</v>
      </c>
      <c r="F3105">
        <v>246.01</v>
      </c>
      <c r="G3105" t="s">
        <v>19</v>
      </c>
      <c r="H3105" t="s">
        <v>15</v>
      </c>
      <c r="I3105">
        <v>4.4000000000000004</v>
      </c>
      <c r="J3105">
        <v>24</v>
      </c>
      <c r="K3105">
        <v>7</v>
      </c>
      <c r="L3105" s="4">
        <v>323.6973684210526</v>
      </c>
      <c r="M3105" s="4">
        <v>77.687368421052611</v>
      </c>
      <c r="N3105" t="s">
        <v>100</v>
      </c>
    </row>
    <row r="3106" spans="1:14">
      <c r="A3106">
        <v>3105</v>
      </c>
      <c r="B3106">
        <v>24</v>
      </c>
      <c r="C3106" t="s">
        <v>11</v>
      </c>
      <c r="D3106" t="s">
        <v>20</v>
      </c>
      <c r="E3106" t="s">
        <v>39</v>
      </c>
      <c r="F3106">
        <v>235.97</v>
      </c>
      <c r="G3106" t="s">
        <v>19</v>
      </c>
      <c r="H3106" t="s">
        <v>15</v>
      </c>
      <c r="I3106">
        <v>3.8</v>
      </c>
      <c r="J3106">
        <v>14</v>
      </c>
      <c r="K3106">
        <v>2</v>
      </c>
      <c r="L3106" s="4">
        <v>274.38372093023258</v>
      </c>
      <c r="M3106" s="4">
        <v>38.413720930232586</v>
      </c>
      <c r="N3106" t="s">
        <v>100</v>
      </c>
    </row>
    <row r="3107" spans="1:14">
      <c r="A3107">
        <v>3106</v>
      </c>
      <c r="B3107">
        <v>53</v>
      </c>
      <c r="C3107" t="s">
        <v>16</v>
      </c>
      <c r="D3107" t="s">
        <v>20</v>
      </c>
      <c r="E3107" t="s">
        <v>36</v>
      </c>
      <c r="F3107">
        <v>249.3</v>
      </c>
      <c r="G3107" t="s">
        <v>24</v>
      </c>
      <c r="H3107" t="s">
        <v>15</v>
      </c>
      <c r="I3107">
        <v>3.9</v>
      </c>
      <c r="J3107">
        <v>18</v>
      </c>
      <c r="K3107">
        <v>4</v>
      </c>
      <c r="L3107" s="4">
        <v>304.02439024390242</v>
      </c>
      <c r="M3107" s="4">
        <v>54.724390243902405</v>
      </c>
      <c r="N3107" t="s">
        <v>93</v>
      </c>
    </row>
    <row r="3108" spans="1:14">
      <c r="A3108">
        <v>3107</v>
      </c>
      <c r="B3108">
        <v>44</v>
      </c>
      <c r="C3108" t="s">
        <v>16</v>
      </c>
      <c r="D3108" t="s">
        <v>17</v>
      </c>
      <c r="E3108" t="s">
        <v>48</v>
      </c>
      <c r="F3108">
        <v>105.92</v>
      </c>
      <c r="G3108" t="s">
        <v>14</v>
      </c>
      <c r="H3108" t="s">
        <v>15</v>
      </c>
      <c r="I3108">
        <v>3.9</v>
      </c>
      <c r="J3108">
        <v>25</v>
      </c>
      <c r="K3108">
        <v>10</v>
      </c>
      <c r="L3108" s="4">
        <v>141.22666666666666</v>
      </c>
      <c r="M3108" s="4">
        <v>35.306666666666658</v>
      </c>
      <c r="N3108" t="s">
        <v>92</v>
      </c>
    </row>
    <row r="3109" spans="1:14">
      <c r="A3109">
        <v>3108</v>
      </c>
      <c r="B3109">
        <v>54</v>
      </c>
      <c r="C3109" t="s">
        <v>11</v>
      </c>
      <c r="D3109" t="s">
        <v>33</v>
      </c>
      <c r="E3109" t="s">
        <v>34</v>
      </c>
      <c r="F3109">
        <v>104.74</v>
      </c>
      <c r="G3109" t="s">
        <v>31</v>
      </c>
      <c r="H3109" t="s">
        <v>15</v>
      </c>
      <c r="I3109">
        <v>3.2</v>
      </c>
      <c r="J3109">
        <v>16</v>
      </c>
      <c r="K3109">
        <v>8</v>
      </c>
      <c r="L3109" s="4">
        <v>124.69047619047619</v>
      </c>
      <c r="M3109" s="4">
        <v>19.950476190476195</v>
      </c>
      <c r="N3109" t="s">
        <v>93</v>
      </c>
    </row>
    <row r="3110" spans="1:14">
      <c r="A3110">
        <v>3109</v>
      </c>
      <c r="B3110">
        <v>62</v>
      </c>
      <c r="C3110" t="s">
        <v>11</v>
      </c>
      <c r="D3110" t="s">
        <v>25</v>
      </c>
      <c r="E3110" t="s">
        <v>57</v>
      </c>
      <c r="F3110">
        <v>41.33</v>
      </c>
      <c r="G3110" t="s">
        <v>31</v>
      </c>
      <c r="H3110" t="s">
        <v>37</v>
      </c>
      <c r="I3110">
        <v>2.1</v>
      </c>
      <c r="J3110">
        <v>10</v>
      </c>
      <c r="K3110">
        <v>5</v>
      </c>
      <c r="L3110" s="4">
        <v>45.922222222222217</v>
      </c>
      <c r="M3110" s="4">
        <v>4.5922222222222189</v>
      </c>
      <c r="N3110" t="s">
        <v>94</v>
      </c>
    </row>
    <row r="3111" spans="1:14">
      <c r="A3111">
        <v>3110</v>
      </c>
      <c r="B3111">
        <v>40</v>
      </c>
      <c r="C3111" t="s">
        <v>11</v>
      </c>
      <c r="D3111" t="s">
        <v>41</v>
      </c>
      <c r="E3111" t="s">
        <v>45</v>
      </c>
      <c r="F3111">
        <v>164.97</v>
      </c>
      <c r="G3111" t="s">
        <v>19</v>
      </c>
      <c r="H3111" t="s">
        <v>15</v>
      </c>
      <c r="I3111">
        <v>4.3</v>
      </c>
      <c r="J3111">
        <v>22</v>
      </c>
      <c r="K3111">
        <v>6</v>
      </c>
      <c r="L3111" s="4">
        <v>211.5</v>
      </c>
      <c r="M3111" s="4">
        <v>46.53</v>
      </c>
      <c r="N3111" t="s">
        <v>92</v>
      </c>
    </row>
    <row r="3112" spans="1:14">
      <c r="A3112">
        <v>3111</v>
      </c>
      <c r="B3112">
        <v>52</v>
      </c>
      <c r="C3112" t="s">
        <v>16</v>
      </c>
      <c r="D3112" t="s">
        <v>27</v>
      </c>
      <c r="E3112" t="s">
        <v>53</v>
      </c>
      <c r="F3112">
        <v>1788.15</v>
      </c>
      <c r="G3112" t="s">
        <v>24</v>
      </c>
      <c r="H3112" t="s">
        <v>15</v>
      </c>
      <c r="I3112">
        <v>4.5999999999999996</v>
      </c>
      <c r="J3112">
        <v>8</v>
      </c>
      <c r="K3112">
        <v>4</v>
      </c>
      <c r="L3112" s="4">
        <v>1943.641304347826</v>
      </c>
      <c r="M3112" s="4">
        <v>155.49130434782592</v>
      </c>
      <c r="N3112" t="s">
        <v>93</v>
      </c>
    </row>
    <row r="3113" spans="1:14">
      <c r="A3113">
        <v>3112</v>
      </c>
      <c r="B3113">
        <v>52</v>
      </c>
      <c r="C3113" t="s">
        <v>16</v>
      </c>
      <c r="D3113" t="s">
        <v>33</v>
      </c>
      <c r="E3113" t="s">
        <v>40</v>
      </c>
      <c r="F3113">
        <v>157.54</v>
      </c>
      <c r="G3113" t="s">
        <v>19</v>
      </c>
      <c r="H3113" t="s">
        <v>15</v>
      </c>
      <c r="I3113">
        <v>3.5</v>
      </c>
      <c r="J3113">
        <v>11</v>
      </c>
      <c r="K3113">
        <v>3</v>
      </c>
      <c r="L3113" s="4">
        <v>177.01123595505618</v>
      </c>
      <c r="M3113" s="4">
        <v>19.471235955056187</v>
      </c>
      <c r="N3113" t="s">
        <v>93</v>
      </c>
    </row>
    <row r="3114" spans="1:14">
      <c r="A3114">
        <v>3113</v>
      </c>
      <c r="B3114">
        <v>44</v>
      </c>
      <c r="C3114" t="s">
        <v>11</v>
      </c>
      <c r="D3114" t="s">
        <v>33</v>
      </c>
      <c r="E3114" t="s">
        <v>38</v>
      </c>
      <c r="F3114">
        <v>222.1</v>
      </c>
      <c r="G3114" t="s">
        <v>19</v>
      </c>
      <c r="H3114" t="s">
        <v>15</v>
      </c>
      <c r="I3114">
        <v>2.6</v>
      </c>
      <c r="J3114">
        <v>10</v>
      </c>
      <c r="K3114">
        <v>5</v>
      </c>
      <c r="L3114" s="4">
        <v>246.77777777777777</v>
      </c>
      <c r="M3114" s="4">
        <v>24.677777777777777</v>
      </c>
      <c r="N3114" t="s">
        <v>92</v>
      </c>
    </row>
    <row r="3115" spans="1:14">
      <c r="A3115">
        <v>3114</v>
      </c>
      <c r="B3115">
        <v>56</v>
      </c>
      <c r="C3115" t="s">
        <v>11</v>
      </c>
      <c r="D3115" t="s">
        <v>33</v>
      </c>
      <c r="E3115" t="s">
        <v>40</v>
      </c>
      <c r="F3115">
        <v>149.21</v>
      </c>
      <c r="G3115" t="s">
        <v>24</v>
      </c>
      <c r="H3115" t="s">
        <v>15</v>
      </c>
      <c r="I3115">
        <v>4.0999999999999996</v>
      </c>
      <c r="J3115">
        <v>17</v>
      </c>
      <c r="K3115">
        <v>6</v>
      </c>
      <c r="L3115" s="4">
        <v>179.77108433734941</v>
      </c>
      <c r="M3115" s="4">
        <v>30.561084337349399</v>
      </c>
      <c r="N3115" t="s">
        <v>94</v>
      </c>
    </row>
    <row r="3116" spans="1:14">
      <c r="A3116">
        <v>3115</v>
      </c>
      <c r="B3116">
        <v>52</v>
      </c>
      <c r="C3116" t="s">
        <v>11</v>
      </c>
      <c r="D3116" t="s">
        <v>41</v>
      </c>
      <c r="E3116" t="s">
        <v>44</v>
      </c>
      <c r="F3116">
        <v>153.09</v>
      </c>
      <c r="G3116" t="s">
        <v>24</v>
      </c>
      <c r="H3116" t="s">
        <v>15</v>
      </c>
      <c r="I3116">
        <v>3.8</v>
      </c>
      <c r="J3116">
        <v>8</v>
      </c>
      <c r="K3116">
        <v>4</v>
      </c>
      <c r="L3116" s="4">
        <v>166.40217391304347</v>
      </c>
      <c r="M3116" s="4">
        <v>13.312173913043466</v>
      </c>
      <c r="N3116" t="s">
        <v>93</v>
      </c>
    </row>
    <row r="3117" spans="1:14">
      <c r="A3117">
        <v>3116</v>
      </c>
      <c r="B3117">
        <v>55</v>
      </c>
      <c r="C3117" t="s">
        <v>11</v>
      </c>
      <c r="D3117" t="s">
        <v>25</v>
      </c>
      <c r="E3117" t="s">
        <v>57</v>
      </c>
      <c r="F3117">
        <v>68.41</v>
      </c>
      <c r="G3117" t="s">
        <v>19</v>
      </c>
      <c r="H3117" t="s">
        <v>37</v>
      </c>
      <c r="I3117">
        <v>4.5999999999999996</v>
      </c>
      <c r="J3117">
        <v>14</v>
      </c>
      <c r="K3117">
        <v>2</v>
      </c>
      <c r="L3117" s="4">
        <v>79.54651162790698</v>
      </c>
      <c r="M3117" s="4">
        <v>11.136511627906984</v>
      </c>
      <c r="N3117" t="s">
        <v>94</v>
      </c>
    </row>
    <row r="3118" spans="1:14">
      <c r="A3118">
        <v>3117</v>
      </c>
      <c r="B3118">
        <v>55</v>
      </c>
      <c r="C3118" t="s">
        <v>11</v>
      </c>
      <c r="D3118" t="s">
        <v>12</v>
      </c>
      <c r="E3118" t="s">
        <v>56</v>
      </c>
      <c r="F3118">
        <v>160.25</v>
      </c>
      <c r="G3118" t="s">
        <v>31</v>
      </c>
      <c r="H3118" t="s">
        <v>15</v>
      </c>
      <c r="I3118">
        <v>3.5</v>
      </c>
      <c r="J3118">
        <v>6</v>
      </c>
      <c r="K3118">
        <v>3</v>
      </c>
      <c r="L3118" s="4">
        <v>170.47872340425533</v>
      </c>
      <c r="M3118" s="4">
        <v>10.228723404255334</v>
      </c>
      <c r="N3118" t="s">
        <v>94</v>
      </c>
    </row>
    <row r="3119" spans="1:14">
      <c r="A3119">
        <v>3118</v>
      </c>
      <c r="B3119">
        <v>70</v>
      </c>
      <c r="C3119" t="s">
        <v>11</v>
      </c>
      <c r="D3119" t="s">
        <v>12</v>
      </c>
      <c r="E3119" t="s">
        <v>13</v>
      </c>
      <c r="F3119">
        <v>63.39</v>
      </c>
      <c r="G3119" t="s">
        <v>14</v>
      </c>
      <c r="H3119" t="s">
        <v>37</v>
      </c>
      <c r="I3119">
        <v>3.3</v>
      </c>
      <c r="J3119">
        <v>14</v>
      </c>
      <c r="K3119">
        <v>2</v>
      </c>
      <c r="L3119" s="4">
        <v>73.70930232558139</v>
      </c>
      <c r="M3119" s="4">
        <v>10.31930232558139</v>
      </c>
      <c r="N3119" t="s">
        <v>95</v>
      </c>
    </row>
    <row r="3120" spans="1:14">
      <c r="A3120">
        <v>3119</v>
      </c>
      <c r="B3120">
        <v>69</v>
      </c>
      <c r="C3120" t="s">
        <v>16</v>
      </c>
      <c r="D3120" t="s">
        <v>20</v>
      </c>
      <c r="E3120" t="s">
        <v>39</v>
      </c>
      <c r="F3120">
        <v>95.03</v>
      </c>
      <c r="G3120" t="s">
        <v>24</v>
      </c>
      <c r="H3120" t="s">
        <v>15</v>
      </c>
      <c r="I3120">
        <v>2.8</v>
      </c>
      <c r="J3120">
        <v>16</v>
      </c>
      <c r="K3120">
        <v>3</v>
      </c>
      <c r="L3120" s="4">
        <v>113.13095238095238</v>
      </c>
      <c r="M3120" s="4">
        <v>18.100952380952378</v>
      </c>
      <c r="N3120" t="s">
        <v>95</v>
      </c>
    </row>
    <row r="3121" spans="1:14">
      <c r="A3121">
        <v>3120</v>
      </c>
      <c r="B3121">
        <v>38</v>
      </c>
      <c r="C3121" t="s">
        <v>11</v>
      </c>
      <c r="D3121" t="s">
        <v>12</v>
      </c>
      <c r="E3121" t="s">
        <v>50</v>
      </c>
      <c r="F3121">
        <v>171.81</v>
      </c>
      <c r="G3121" t="s">
        <v>31</v>
      </c>
      <c r="H3121" t="s">
        <v>15</v>
      </c>
      <c r="I3121">
        <v>4.5999999999999996</v>
      </c>
      <c r="J3121">
        <v>26</v>
      </c>
      <c r="K3121">
        <v>8</v>
      </c>
      <c r="L3121" s="4">
        <v>232.17567567567568</v>
      </c>
      <c r="M3121" s="4">
        <v>60.365675675675675</v>
      </c>
      <c r="N3121" t="s">
        <v>92</v>
      </c>
    </row>
    <row r="3122" spans="1:14">
      <c r="A3122">
        <v>3121</v>
      </c>
      <c r="B3122">
        <v>53</v>
      </c>
      <c r="C3122" t="s">
        <v>11</v>
      </c>
      <c r="D3122" t="s">
        <v>41</v>
      </c>
      <c r="E3122" t="s">
        <v>44</v>
      </c>
      <c r="F3122">
        <v>195</v>
      </c>
      <c r="G3122" t="s">
        <v>24</v>
      </c>
      <c r="H3122" t="s">
        <v>15</v>
      </c>
      <c r="I3122">
        <v>3.6</v>
      </c>
      <c r="J3122">
        <v>14</v>
      </c>
      <c r="K3122">
        <v>7</v>
      </c>
      <c r="L3122" s="4">
        <v>226.74418604651163</v>
      </c>
      <c r="M3122" s="4">
        <v>31.744186046511629</v>
      </c>
      <c r="N3122" t="s">
        <v>93</v>
      </c>
    </row>
    <row r="3123" spans="1:14">
      <c r="A3123">
        <v>3122</v>
      </c>
      <c r="B3123">
        <v>51</v>
      </c>
      <c r="C3123" t="s">
        <v>16</v>
      </c>
      <c r="D3123" t="s">
        <v>27</v>
      </c>
      <c r="E3123" t="s">
        <v>53</v>
      </c>
      <c r="F3123">
        <v>2502.92</v>
      </c>
      <c r="G3123" t="s">
        <v>14</v>
      </c>
      <c r="H3123" t="s">
        <v>15</v>
      </c>
      <c r="I3123">
        <v>1.9</v>
      </c>
      <c r="J3123">
        <v>28</v>
      </c>
      <c r="K3123">
        <v>9</v>
      </c>
      <c r="L3123" s="4">
        <v>3476.2777777777778</v>
      </c>
      <c r="M3123" s="4">
        <v>973.35777777777776</v>
      </c>
      <c r="N3123" t="s">
        <v>93</v>
      </c>
    </row>
    <row r="3124" spans="1:14">
      <c r="A3124">
        <v>3123</v>
      </c>
      <c r="B3124">
        <v>29</v>
      </c>
      <c r="C3124" t="s">
        <v>11</v>
      </c>
      <c r="D3124" t="s">
        <v>33</v>
      </c>
      <c r="E3124" t="s">
        <v>34</v>
      </c>
      <c r="F3124">
        <v>133.44</v>
      </c>
      <c r="G3124" t="s">
        <v>24</v>
      </c>
      <c r="H3124" t="s">
        <v>15</v>
      </c>
      <c r="I3124">
        <v>5</v>
      </c>
      <c r="J3124">
        <v>20</v>
      </c>
      <c r="K3124">
        <v>5</v>
      </c>
      <c r="L3124" s="4">
        <v>166.79999999999998</v>
      </c>
      <c r="M3124" s="4">
        <v>33.359999999999985</v>
      </c>
      <c r="N3124" t="s">
        <v>91</v>
      </c>
    </row>
    <row r="3125" spans="1:14">
      <c r="A3125">
        <v>3124</v>
      </c>
      <c r="B3125">
        <v>20</v>
      </c>
      <c r="C3125" t="s">
        <v>11</v>
      </c>
      <c r="D3125" t="s">
        <v>12</v>
      </c>
      <c r="E3125" t="s">
        <v>50</v>
      </c>
      <c r="F3125">
        <v>142.21</v>
      </c>
      <c r="G3125" t="s">
        <v>31</v>
      </c>
      <c r="H3125" t="s">
        <v>15</v>
      </c>
      <c r="I3125">
        <v>3.8</v>
      </c>
      <c r="J3125">
        <v>13</v>
      </c>
      <c r="K3125">
        <v>4</v>
      </c>
      <c r="L3125" s="4">
        <v>163.45977011494253</v>
      </c>
      <c r="M3125" s="4">
        <v>21.249770114942521</v>
      </c>
      <c r="N3125" t="s">
        <v>100</v>
      </c>
    </row>
    <row r="3126" spans="1:14">
      <c r="A3126">
        <v>3125</v>
      </c>
      <c r="B3126">
        <v>28</v>
      </c>
      <c r="C3126" t="s">
        <v>16</v>
      </c>
      <c r="D3126" t="s">
        <v>20</v>
      </c>
      <c r="E3126" t="s">
        <v>21</v>
      </c>
      <c r="F3126">
        <v>107.86</v>
      </c>
      <c r="G3126" t="s">
        <v>24</v>
      </c>
      <c r="H3126" t="s">
        <v>15</v>
      </c>
      <c r="I3126">
        <v>2.8</v>
      </c>
      <c r="J3126">
        <v>15</v>
      </c>
      <c r="K3126">
        <v>5</v>
      </c>
      <c r="L3126" s="4">
        <v>126.89411764705882</v>
      </c>
      <c r="M3126" s="4">
        <v>19.034117647058821</v>
      </c>
      <c r="N3126" t="s">
        <v>91</v>
      </c>
    </row>
    <row r="3127" spans="1:14">
      <c r="A3127">
        <v>3126</v>
      </c>
      <c r="B3127">
        <v>57</v>
      </c>
      <c r="C3127" t="s">
        <v>16</v>
      </c>
      <c r="D3127" t="s">
        <v>17</v>
      </c>
      <c r="E3127" t="s">
        <v>35</v>
      </c>
      <c r="F3127">
        <v>142.37</v>
      </c>
      <c r="G3127" t="s">
        <v>31</v>
      </c>
      <c r="H3127" t="s">
        <v>15</v>
      </c>
      <c r="I3127">
        <v>4.3</v>
      </c>
      <c r="J3127">
        <v>11</v>
      </c>
      <c r="K3127">
        <v>3</v>
      </c>
      <c r="L3127" s="4">
        <v>159.96629213483146</v>
      </c>
      <c r="M3127" s="4">
        <v>17.596292134831458</v>
      </c>
      <c r="N3127" t="s">
        <v>94</v>
      </c>
    </row>
    <row r="3128" spans="1:14">
      <c r="A3128">
        <v>3127</v>
      </c>
      <c r="B3128">
        <v>56</v>
      </c>
      <c r="C3128" t="s">
        <v>16</v>
      </c>
      <c r="D3128" t="s">
        <v>20</v>
      </c>
      <c r="E3128" t="s">
        <v>36</v>
      </c>
      <c r="F3128">
        <v>198.31</v>
      </c>
      <c r="G3128" t="s">
        <v>31</v>
      </c>
      <c r="H3128" t="s">
        <v>15</v>
      </c>
      <c r="I3128">
        <v>4.3</v>
      </c>
      <c r="J3128">
        <v>25</v>
      </c>
      <c r="K3128">
        <v>10</v>
      </c>
      <c r="L3128" s="4">
        <v>264.41333333333336</v>
      </c>
      <c r="M3128" s="4">
        <v>66.103333333333353</v>
      </c>
      <c r="N3128" t="s">
        <v>94</v>
      </c>
    </row>
    <row r="3129" spans="1:14">
      <c r="A3129">
        <v>3128</v>
      </c>
      <c r="B3129">
        <v>27</v>
      </c>
      <c r="C3129" t="s">
        <v>11</v>
      </c>
      <c r="D3129" t="s">
        <v>29</v>
      </c>
      <c r="E3129" t="s">
        <v>30</v>
      </c>
      <c r="F3129">
        <v>34.44</v>
      </c>
      <c r="G3129" t="s">
        <v>24</v>
      </c>
      <c r="H3129" t="s">
        <v>15</v>
      </c>
      <c r="I3129">
        <v>3.4</v>
      </c>
      <c r="J3129">
        <v>4</v>
      </c>
      <c r="K3129">
        <v>2</v>
      </c>
      <c r="L3129" s="4">
        <v>35.875</v>
      </c>
      <c r="M3129" s="4">
        <v>1.4350000000000023</v>
      </c>
      <c r="N3129" t="s">
        <v>91</v>
      </c>
    </row>
    <row r="3130" spans="1:14">
      <c r="A3130">
        <v>3129</v>
      </c>
      <c r="B3130">
        <v>61</v>
      </c>
      <c r="C3130" t="s">
        <v>11</v>
      </c>
      <c r="D3130" t="s">
        <v>25</v>
      </c>
      <c r="E3130" t="s">
        <v>26</v>
      </c>
      <c r="F3130">
        <v>22.87</v>
      </c>
      <c r="G3130" t="s">
        <v>31</v>
      </c>
      <c r="H3130" t="s">
        <v>37</v>
      </c>
      <c r="I3130">
        <v>3.6</v>
      </c>
      <c r="J3130">
        <v>13</v>
      </c>
      <c r="K3130">
        <v>4</v>
      </c>
      <c r="L3130" s="4">
        <v>26.287356321839081</v>
      </c>
      <c r="M3130" s="4">
        <v>3.4173563218390797</v>
      </c>
      <c r="N3130" t="s">
        <v>94</v>
      </c>
    </row>
    <row r="3131" spans="1:14">
      <c r="A3131">
        <v>3130</v>
      </c>
      <c r="B3131">
        <v>44</v>
      </c>
      <c r="C3131" t="s">
        <v>16</v>
      </c>
      <c r="D3131" t="s">
        <v>33</v>
      </c>
      <c r="E3131" t="s">
        <v>34</v>
      </c>
      <c r="F3131">
        <v>143.16999999999999</v>
      </c>
      <c r="G3131" t="s">
        <v>31</v>
      </c>
      <c r="H3131" t="s">
        <v>15</v>
      </c>
      <c r="I3131">
        <v>5</v>
      </c>
      <c r="J3131">
        <v>15</v>
      </c>
      <c r="K3131">
        <v>5</v>
      </c>
      <c r="L3131" s="4">
        <v>168.43529411764706</v>
      </c>
      <c r="M3131" s="4">
        <v>25.265294117647073</v>
      </c>
      <c r="N3131" t="s">
        <v>92</v>
      </c>
    </row>
    <row r="3132" spans="1:14">
      <c r="A3132">
        <v>3131</v>
      </c>
      <c r="B3132">
        <v>67</v>
      </c>
      <c r="C3132" t="s">
        <v>16</v>
      </c>
      <c r="D3132" t="s">
        <v>27</v>
      </c>
      <c r="E3132" t="s">
        <v>53</v>
      </c>
      <c r="F3132">
        <v>2411.19</v>
      </c>
      <c r="G3132" t="s">
        <v>24</v>
      </c>
      <c r="H3132" t="s">
        <v>15</v>
      </c>
      <c r="I3132">
        <v>3.1</v>
      </c>
      <c r="J3132">
        <v>9</v>
      </c>
      <c r="K3132">
        <v>2</v>
      </c>
      <c r="L3132" s="4">
        <v>2649.6593406593406</v>
      </c>
      <c r="M3132" s="4">
        <v>238.46934065934056</v>
      </c>
      <c r="N3132" t="s">
        <v>95</v>
      </c>
    </row>
    <row r="3133" spans="1:14">
      <c r="A3133">
        <v>3132</v>
      </c>
      <c r="B3133">
        <v>26</v>
      </c>
      <c r="C3133" t="s">
        <v>16</v>
      </c>
      <c r="D3133" t="s">
        <v>33</v>
      </c>
      <c r="E3133" t="s">
        <v>34</v>
      </c>
      <c r="F3133">
        <v>130.13999999999999</v>
      </c>
      <c r="G3133" t="s">
        <v>19</v>
      </c>
      <c r="H3133" t="s">
        <v>15</v>
      </c>
      <c r="I3133">
        <v>4</v>
      </c>
      <c r="J3133">
        <v>29</v>
      </c>
      <c r="K3133">
        <v>12</v>
      </c>
      <c r="L3133" s="4">
        <v>183.29577464788733</v>
      </c>
      <c r="M3133" s="4">
        <v>53.155774647887341</v>
      </c>
      <c r="N3133" t="s">
        <v>91</v>
      </c>
    </row>
    <row r="3134" spans="1:14">
      <c r="A3134">
        <v>3133</v>
      </c>
      <c r="B3134">
        <v>69</v>
      </c>
      <c r="C3134" t="s">
        <v>11</v>
      </c>
      <c r="D3134" t="s">
        <v>29</v>
      </c>
      <c r="E3134" t="s">
        <v>30</v>
      </c>
      <c r="F3134">
        <v>52.81</v>
      </c>
      <c r="G3134" t="s">
        <v>31</v>
      </c>
      <c r="H3134" t="s">
        <v>15</v>
      </c>
      <c r="I3134">
        <v>4.3</v>
      </c>
      <c r="J3134">
        <v>19</v>
      </c>
      <c r="K3134">
        <v>7</v>
      </c>
      <c r="L3134" s="4">
        <v>65.197530864197532</v>
      </c>
      <c r="M3134" s="4">
        <v>12.387530864197529</v>
      </c>
      <c r="N3134" t="s">
        <v>95</v>
      </c>
    </row>
    <row r="3135" spans="1:14">
      <c r="A3135">
        <v>3134</v>
      </c>
      <c r="B3135">
        <v>62</v>
      </c>
      <c r="C3135" t="s">
        <v>16</v>
      </c>
      <c r="D3135" t="s">
        <v>33</v>
      </c>
      <c r="E3135" t="s">
        <v>40</v>
      </c>
      <c r="F3135">
        <v>232.72</v>
      </c>
      <c r="G3135" t="s">
        <v>19</v>
      </c>
      <c r="H3135" t="s">
        <v>15</v>
      </c>
      <c r="I3135">
        <v>3.7</v>
      </c>
      <c r="J3135">
        <v>13</v>
      </c>
      <c r="K3135">
        <v>4</v>
      </c>
      <c r="L3135" s="4">
        <v>267.4942528735632</v>
      </c>
      <c r="M3135" s="4">
        <v>34.774252873563199</v>
      </c>
      <c r="N3135" t="s">
        <v>94</v>
      </c>
    </row>
    <row r="3136" spans="1:14">
      <c r="A3136">
        <v>3135</v>
      </c>
      <c r="B3136">
        <v>47</v>
      </c>
      <c r="C3136" t="s">
        <v>11</v>
      </c>
      <c r="D3136" t="s">
        <v>29</v>
      </c>
      <c r="E3136" t="s">
        <v>51</v>
      </c>
      <c r="F3136">
        <v>38.049999999999997</v>
      </c>
      <c r="G3136" t="s">
        <v>31</v>
      </c>
      <c r="H3136" t="s">
        <v>37</v>
      </c>
      <c r="I3136">
        <v>3.4</v>
      </c>
      <c r="J3136">
        <v>23</v>
      </c>
      <c r="K3136">
        <v>9</v>
      </c>
      <c r="L3136" s="4">
        <v>49.415584415584412</v>
      </c>
      <c r="M3136" s="4">
        <v>11.365584415584415</v>
      </c>
      <c r="N3136" t="s">
        <v>93</v>
      </c>
    </row>
    <row r="3137" spans="1:14">
      <c r="A3137">
        <v>3136</v>
      </c>
      <c r="B3137">
        <v>62</v>
      </c>
      <c r="C3137" t="s">
        <v>16</v>
      </c>
      <c r="D3137" t="s">
        <v>22</v>
      </c>
      <c r="E3137" t="s">
        <v>52</v>
      </c>
      <c r="F3137">
        <v>203.78</v>
      </c>
      <c r="G3137" t="s">
        <v>31</v>
      </c>
      <c r="H3137" t="s">
        <v>15</v>
      </c>
      <c r="I3137">
        <v>3.4</v>
      </c>
      <c r="J3137">
        <v>18</v>
      </c>
      <c r="K3137">
        <v>4</v>
      </c>
      <c r="L3137" s="4">
        <v>248.51219512195121</v>
      </c>
      <c r="M3137" s="4">
        <v>44.732195121951207</v>
      </c>
      <c r="N3137" t="s">
        <v>94</v>
      </c>
    </row>
    <row r="3138" spans="1:14">
      <c r="A3138">
        <v>3137</v>
      </c>
      <c r="B3138">
        <v>49</v>
      </c>
      <c r="C3138" t="s">
        <v>16</v>
      </c>
      <c r="D3138" t="s">
        <v>22</v>
      </c>
      <c r="E3138" t="s">
        <v>23</v>
      </c>
      <c r="F3138">
        <v>73.31</v>
      </c>
      <c r="G3138" t="s">
        <v>19</v>
      </c>
      <c r="H3138" t="s">
        <v>37</v>
      </c>
      <c r="I3138">
        <v>4.5</v>
      </c>
      <c r="J3138">
        <v>22</v>
      </c>
      <c r="K3138">
        <v>6</v>
      </c>
      <c r="L3138" s="4">
        <v>93.987179487179489</v>
      </c>
      <c r="M3138" s="4">
        <v>20.677179487179487</v>
      </c>
      <c r="N3138" t="s">
        <v>93</v>
      </c>
    </row>
    <row r="3139" spans="1:14">
      <c r="A3139">
        <v>3138</v>
      </c>
      <c r="B3139">
        <v>52</v>
      </c>
      <c r="C3139" t="s">
        <v>16</v>
      </c>
      <c r="D3139" t="s">
        <v>33</v>
      </c>
      <c r="E3139" t="s">
        <v>38</v>
      </c>
      <c r="F3139">
        <v>68.930000000000007</v>
      </c>
      <c r="G3139" t="s">
        <v>24</v>
      </c>
      <c r="H3139" t="s">
        <v>37</v>
      </c>
      <c r="I3139">
        <v>2.2999999999999998</v>
      </c>
      <c r="J3139">
        <v>24</v>
      </c>
      <c r="K3139">
        <v>7</v>
      </c>
      <c r="L3139" s="4">
        <v>90.697368421052644</v>
      </c>
      <c r="M3139" s="4">
        <v>21.767368421052637</v>
      </c>
      <c r="N3139" t="s">
        <v>93</v>
      </c>
    </row>
    <row r="3140" spans="1:14">
      <c r="A3140">
        <v>3139</v>
      </c>
      <c r="B3140">
        <v>67</v>
      </c>
      <c r="C3140" t="s">
        <v>16</v>
      </c>
      <c r="D3140" t="s">
        <v>33</v>
      </c>
      <c r="E3140" t="s">
        <v>38</v>
      </c>
      <c r="F3140">
        <v>55.02</v>
      </c>
      <c r="G3140" t="s">
        <v>14</v>
      </c>
      <c r="H3140" t="s">
        <v>37</v>
      </c>
      <c r="I3140">
        <v>3.4</v>
      </c>
      <c r="J3140">
        <v>23</v>
      </c>
      <c r="K3140">
        <v>9</v>
      </c>
      <c r="L3140" s="4">
        <v>71.454545454545453</v>
      </c>
      <c r="M3140" s="4">
        <v>16.43454545454545</v>
      </c>
      <c r="N3140" t="s">
        <v>95</v>
      </c>
    </row>
    <row r="3141" spans="1:14">
      <c r="A3141">
        <v>3140</v>
      </c>
      <c r="B3141">
        <v>34</v>
      </c>
      <c r="C3141" t="s">
        <v>11</v>
      </c>
      <c r="D3141" t="s">
        <v>20</v>
      </c>
      <c r="E3141" t="s">
        <v>36</v>
      </c>
      <c r="F3141">
        <v>199.1</v>
      </c>
      <c r="G3141" t="s">
        <v>14</v>
      </c>
      <c r="H3141" t="s">
        <v>15</v>
      </c>
      <c r="I3141">
        <v>4.3</v>
      </c>
      <c r="J3141">
        <v>11</v>
      </c>
      <c r="K3141">
        <v>3</v>
      </c>
      <c r="L3141" s="4">
        <v>223.70786516853931</v>
      </c>
      <c r="M3141" s="4">
        <v>24.60786516853932</v>
      </c>
      <c r="N3141" t="s">
        <v>91</v>
      </c>
    </row>
    <row r="3142" spans="1:14">
      <c r="A3142">
        <v>3141</v>
      </c>
      <c r="B3142">
        <v>43</v>
      </c>
      <c r="C3142" t="s">
        <v>16</v>
      </c>
      <c r="D3142" t="s">
        <v>27</v>
      </c>
      <c r="E3142" t="s">
        <v>32</v>
      </c>
      <c r="F3142">
        <v>1988.61</v>
      </c>
      <c r="G3142" t="s">
        <v>19</v>
      </c>
      <c r="H3142" t="s">
        <v>15</v>
      </c>
      <c r="I3142">
        <v>3.8</v>
      </c>
      <c r="J3142">
        <v>17</v>
      </c>
      <c r="K3142">
        <v>6</v>
      </c>
      <c r="L3142" s="4">
        <v>2395.9156626506024</v>
      </c>
      <c r="M3142" s="4">
        <v>407.30566265060247</v>
      </c>
      <c r="N3142" t="s">
        <v>92</v>
      </c>
    </row>
    <row r="3143" spans="1:14">
      <c r="A3143">
        <v>3142</v>
      </c>
      <c r="B3143">
        <v>60</v>
      </c>
      <c r="C3143" t="s">
        <v>11</v>
      </c>
      <c r="D3143" t="s">
        <v>41</v>
      </c>
      <c r="E3143" t="s">
        <v>45</v>
      </c>
      <c r="F3143">
        <v>118.52</v>
      </c>
      <c r="G3143" t="s">
        <v>24</v>
      </c>
      <c r="H3143" t="s">
        <v>15</v>
      </c>
      <c r="I3143">
        <v>3.4</v>
      </c>
      <c r="J3143">
        <v>16</v>
      </c>
      <c r="K3143">
        <v>3</v>
      </c>
      <c r="L3143" s="4">
        <v>141.0952380952381</v>
      </c>
      <c r="M3143" s="4">
        <v>22.575238095238106</v>
      </c>
      <c r="N3143" t="s">
        <v>94</v>
      </c>
    </row>
    <row r="3144" spans="1:14">
      <c r="A3144">
        <v>3143</v>
      </c>
      <c r="B3144">
        <v>45</v>
      </c>
      <c r="C3144" t="s">
        <v>11</v>
      </c>
      <c r="D3144" t="s">
        <v>33</v>
      </c>
      <c r="E3144" t="s">
        <v>38</v>
      </c>
      <c r="F3144">
        <v>80.17</v>
      </c>
      <c r="G3144" t="s">
        <v>31</v>
      </c>
      <c r="H3144" t="s">
        <v>37</v>
      </c>
      <c r="I3144">
        <v>3.7</v>
      </c>
      <c r="J3144">
        <v>22</v>
      </c>
      <c r="K3144">
        <v>6</v>
      </c>
      <c r="L3144" s="4">
        <v>102.78205128205128</v>
      </c>
      <c r="M3144" s="4">
        <v>22.612051282051283</v>
      </c>
      <c r="N3144" t="s">
        <v>93</v>
      </c>
    </row>
    <row r="3145" spans="1:14">
      <c r="A3145">
        <v>3144</v>
      </c>
      <c r="B3145">
        <v>53</v>
      </c>
      <c r="C3145" t="s">
        <v>16</v>
      </c>
      <c r="D3145" t="s">
        <v>27</v>
      </c>
      <c r="E3145" t="s">
        <v>49</v>
      </c>
      <c r="F3145">
        <v>2987.4</v>
      </c>
      <c r="G3145" t="s">
        <v>31</v>
      </c>
      <c r="H3145" t="s">
        <v>15</v>
      </c>
      <c r="I3145">
        <v>3.4</v>
      </c>
      <c r="J3145">
        <v>16</v>
      </c>
      <c r="K3145">
        <v>3</v>
      </c>
      <c r="L3145" s="4">
        <v>3556.4285714285716</v>
      </c>
      <c r="M3145" s="4">
        <v>569.02857142857147</v>
      </c>
      <c r="N3145" t="s">
        <v>93</v>
      </c>
    </row>
    <row r="3146" spans="1:14">
      <c r="A3146">
        <v>3145</v>
      </c>
      <c r="B3146">
        <v>58</v>
      </c>
      <c r="C3146" t="s">
        <v>11</v>
      </c>
      <c r="D3146" t="s">
        <v>12</v>
      </c>
      <c r="E3146" t="s">
        <v>13</v>
      </c>
      <c r="F3146">
        <v>101.38</v>
      </c>
      <c r="G3146" t="s">
        <v>14</v>
      </c>
      <c r="H3146" t="s">
        <v>15</v>
      </c>
      <c r="I3146">
        <v>3.3</v>
      </c>
      <c r="J3146">
        <v>18</v>
      </c>
      <c r="K3146">
        <v>4</v>
      </c>
      <c r="L3146" s="4">
        <v>123.63414634146341</v>
      </c>
      <c r="M3146" s="4">
        <v>22.254146341463411</v>
      </c>
      <c r="N3146" t="s">
        <v>94</v>
      </c>
    </row>
    <row r="3147" spans="1:14">
      <c r="A3147">
        <v>3146</v>
      </c>
      <c r="B3147">
        <v>62</v>
      </c>
      <c r="C3147" t="s">
        <v>11</v>
      </c>
      <c r="D3147" t="s">
        <v>33</v>
      </c>
      <c r="E3147" t="s">
        <v>38</v>
      </c>
      <c r="F3147">
        <v>120.82</v>
      </c>
      <c r="G3147" t="s">
        <v>24</v>
      </c>
      <c r="H3147" t="s">
        <v>15</v>
      </c>
      <c r="I3147">
        <v>5</v>
      </c>
      <c r="J3147">
        <v>22</v>
      </c>
      <c r="K3147">
        <v>6</v>
      </c>
      <c r="L3147" s="4">
        <v>154.89743589743588</v>
      </c>
      <c r="M3147" s="4">
        <v>34.07743589743589</v>
      </c>
      <c r="N3147" t="s">
        <v>94</v>
      </c>
    </row>
    <row r="3148" spans="1:14">
      <c r="A3148">
        <v>3147</v>
      </c>
      <c r="B3148">
        <v>45</v>
      </c>
      <c r="C3148" t="s">
        <v>16</v>
      </c>
      <c r="D3148" t="s">
        <v>20</v>
      </c>
      <c r="E3148" t="s">
        <v>36</v>
      </c>
      <c r="F3148">
        <v>152.08000000000001</v>
      </c>
      <c r="G3148" t="s">
        <v>14</v>
      </c>
      <c r="H3148" t="s">
        <v>15</v>
      </c>
      <c r="I3148">
        <v>3.6</v>
      </c>
      <c r="J3148">
        <v>8</v>
      </c>
      <c r="K3148">
        <v>4</v>
      </c>
      <c r="L3148" s="4">
        <v>165.30434782608697</v>
      </c>
      <c r="M3148" s="4">
        <v>13.224347826086955</v>
      </c>
      <c r="N3148" t="s">
        <v>93</v>
      </c>
    </row>
    <row r="3149" spans="1:14">
      <c r="A3149">
        <v>3148</v>
      </c>
      <c r="B3149">
        <v>28</v>
      </c>
      <c r="C3149" t="s">
        <v>11</v>
      </c>
      <c r="D3149" t="s">
        <v>12</v>
      </c>
      <c r="E3149" t="s">
        <v>56</v>
      </c>
      <c r="F3149">
        <v>28.4</v>
      </c>
      <c r="G3149" t="s">
        <v>24</v>
      </c>
      <c r="H3149" t="s">
        <v>15</v>
      </c>
      <c r="I3149">
        <v>3.5</v>
      </c>
      <c r="J3149">
        <v>14</v>
      </c>
      <c r="K3149">
        <v>2</v>
      </c>
      <c r="L3149" s="4">
        <v>33.02325581395349</v>
      </c>
      <c r="M3149" s="4">
        <v>4.6232558139534916</v>
      </c>
      <c r="N3149" t="s">
        <v>91</v>
      </c>
    </row>
    <row r="3150" spans="1:14">
      <c r="A3150">
        <v>3149</v>
      </c>
      <c r="B3150">
        <v>59</v>
      </c>
      <c r="C3150" t="s">
        <v>11</v>
      </c>
      <c r="D3150" t="s">
        <v>20</v>
      </c>
      <c r="E3150" t="s">
        <v>36</v>
      </c>
      <c r="F3150">
        <v>27.33</v>
      </c>
      <c r="G3150" t="s">
        <v>19</v>
      </c>
      <c r="H3150" t="s">
        <v>15</v>
      </c>
      <c r="I3150">
        <v>4.5</v>
      </c>
      <c r="J3150">
        <v>19</v>
      </c>
      <c r="K3150">
        <v>7</v>
      </c>
      <c r="L3150" s="4">
        <v>33.740740740740733</v>
      </c>
      <c r="M3150" s="4">
        <v>6.4107407407407351</v>
      </c>
      <c r="N3150" t="s">
        <v>94</v>
      </c>
    </row>
    <row r="3151" spans="1:14">
      <c r="A3151">
        <v>3150</v>
      </c>
      <c r="B3151">
        <v>70</v>
      </c>
      <c r="C3151" t="s">
        <v>11</v>
      </c>
      <c r="D3151" t="s">
        <v>20</v>
      </c>
      <c r="E3151" t="s">
        <v>36</v>
      </c>
      <c r="F3151">
        <v>62.01</v>
      </c>
      <c r="G3151" t="s">
        <v>14</v>
      </c>
      <c r="H3151" t="s">
        <v>15</v>
      </c>
      <c r="I3151">
        <v>3.2</v>
      </c>
      <c r="J3151">
        <v>11</v>
      </c>
      <c r="K3151">
        <v>3</v>
      </c>
      <c r="L3151" s="4">
        <v>69.674157303370777</v>
      </c>
      <c r="M3151" s="4">
        <v>7.6641573033707786</v>
      </c>
      <c r="N3151" t="s">
        <v>95</v>
      </c>
    </row>
    <row r="3152" spans="1:14">
      <c r="A3152">
        <v>3151</v>
      </c>
      <c r="B3152">
        <v>32</v>
      </c>
      <c r="C3152" t="s">
        <v>16</v>
      </c>
      <c r="D3152" t="s">
        <v>33</v>
      </c>
      <c r="E3152" t="s">
        <v>38</v>
      </c>
      <c r="F3152">
        <v>244.65</v>
      </c>
      <c r="G3152" t="s">
        <v>14</v>
      </c>
      <c r="H3152" t="s">
        <v>15</v>
      </c>
      <c r="I3152">
        <v>3.2</v>
      </c>
      <c r="J3152">
        <v>20</v>
      </c>
      <c r="K3152">
        <v>5</v>
      </c>
      <c r="L3152" s="4">
        <v>305.8125</v>
      </c>
      <c r="M3152" s="4">
        <v>61.162499999999994</v>
      </c>
      <c r="N3152" t="s">
        <v>91</v>
      </c>
    </row>
    <row r="3153" spans="1:14">
      <c r="A3153">
        <v>3152</v>
      </c>
      <c r="B3153">
        <v>30</v>
      </c>
      <c r="C3153" t="s">
        <v>16</v>
      </c>
      <c r="D3153" t="s">
        <v>27</v>
      </c>
      <c r="E3153" t="s">
        <v>49</v>
      </c>
      <c r="F3153">
        <v>1948.26</v>
      </c>
      <c r="G3153" t="s">
        <v>31</v>
      </c>
      <c r="H3153" t="s">
        <v>15</v>
      </c>
      <c r="I3153">
        <v>4.2</v>
      </c>
      <c r="J3153">
        <v>22</v>
      </c>
      <c r="K3153">
        <v>6</v>
      </c>
      <c r="L3153" s="4">
        <v>2497.7692307692305</v>
      </c>
      <c r="M3153" s="4">
        <v>549.5092307692305</v>
      </c>
      <c r="N3153" t="s">
        <v>91</v>
      </c>
    </row>
    <row r="3154" spans="1:14">
      <c r="A3154">
        <v>3153</v>
      </c>
      <c r="B3154">
        <v>41</v>
      </c>
      <c r="C3154" t="s">
        <v>16</v>
      </c>
      <c r="D3154" t="s">
        <v>20</v>
      </c>
      <c r="E3154" t="s">
        <v>39</v>
      </c>
      <c r="F3154">
        <v>125.2</v>
      </c>
      <c r="G3154" t="s">
        <v>24</v>
      </c>
      <c r="H3154" t="s">
        <v>15</v>
      </c>
      <c r="I3154">
        <v>3.7</v>
      </c>
      <c r="J3154">
        <v>8</v>
      </c>
      <c r="K3154">
        <v>4</v>
      </c>
      <c r="L3154" s="4">
        <v>136.08695652173913</v>
      </c>
      <c r="M3154" s="4">
        <v>10.886956521739123</v>
      </c>
      <c r="N3154" t="s">
        <v>92</v>
      </c>
    </row>
    <row r="3155" spans="1:14">
      <c r="A3155">
        <v>3154</v>
      </c>
      <c r="B3155">
        <v>28</v>
      </c>
      <c r="C3155" t="s">
        <v>16</v>
      </c>
      <c r="D3155" t="s">
        <v>20</v>
      </c>
      <c r="E3155" t="s">
        <v>39</v>
      </c>
      <c r="F3155">
        <v>181.02</v>
      </c>
      <c r="G3155" t="s">
        <v>14</v>
      </c>
      <c r="H3155" t="s">
        <v>15</v>
      </c>
      <c r="I3155">
        <v>4.3</v>
      </c>
      <c r="J3155">
        <v>6</v>
      </c>
      <c r="K3155">
        <v>3</v>
      </c>
      <c r="L3155" s="4">
        <v>192.57446808510642</v>
      </c>
      <c r="M3155" s="4">
        <v>11.554468085106407</v>
      </c>
      <c r="N3155" t="s">
        <v>91</v>
      </c>
    </row>
    <row r="3156" spans="1:14">
      <c r="A3156">
        <v>3155</v>
      </c>
      <c r="B3156">
        <v>34</v>
      </c>
      <c r="C3156" t="s">
        <v>11</v>
      </c>
      <c r="D3156" t="s">
        <v>20</v>
      </c>
      <c r="E3156" t="s">
        <v>21</v>
      </c>
      <c r="F3156">
        <v>44.83</v>
      </c>
      <c r="G3156" t="s">
        <v>19</v>
      </c>
      <c r="H3156" t="s">
        <v>37</v>
      </c>
      <c r="I3156">
        <v>3.5</v>
      </c>
      <c r="J3156">
        <v>12</v>
      </c>
      <c r="K3156">
        <v>6</v>
      </c>
      <c r="L3156" s="4">
        <v>50.943181818181813</v>
      </c>
      <c r="M3156" s="4">
        <v>6.1131818181818147</v>
      </c>
      <c r="N3156" t="s">
        <v>91</v>
      </c>
    </row>
    <row r="3157" spans="1:14">
      <c r="A3157">
        <v>3156</v>
      </c>
      <c r="B3157">
        <v>60</v>
      </c>
      <c r="C3157" t="s">
        <v>11</v>
      </c>
      <c r="D3157" t="s">
        <v>29</v>
      </c>
      <c r="E3157" t="s">
        <v>30</v>
      </c>
      <c r="F3157">
        <v>142.97</v>
      </c>
      <c r="G3157" t="s">
        <v>31</v>
      </c>
      <c r="H3157" t="s">
        <v>15</v>
      </c>
      <c r="I3157">
        <v>5</v>
      </c>
      <c r="J3157">
        <v>34</v>
      </c>
      <c r="K3157">
        <v>12</v>
      </c>
      <c r="L3157" s="4">
        <v>216.62121212121215</v>
      </c>
      <c r="M3157" s="4">
        <v>73.651212121212154</v>
      </c>
      <c r="N3157" t="s">
        <v>94</v>
      </c>
    </row>
    <row r="3158" spans="1:14">
      <c r="A3158">
        <v>3157</v>
      </c>
      <c r="B3158">
        <v>25</v>
      </c>
      <c r="C3158" t="s">
        <v>11</v>
      </c>
      <c r="D3158" t="s">
        <v>12</v>
      </c>
      <c r="E3158" t="s">
        <v>13</v>
      </c>
      <c r="F3158">
        <v>147.25</v>
      </c>
      <c r="G3158" t="s">
        <v>31</v>
      </c>
      <c r="H3158" t="s">
        <v>15</v>
      </c>
      <c r="I3158">
        <v>3.3</v>
      </c>
      <c r="J3158">
        <v>6</v>
      </c>
      <c r="K3158">
        <v>3</v>
      </c>
      <c r="L3158" s="4">
        <v>156.64893617021278</v>
      </c>
      <c r="M3158" s="4">
        <v>9.3989361702127781</v>
      </c>
      <c r="N3158" t="s">
        <v>91</v>
      </c>
    </row>
    <row r="3159" spans="1:14">
      <c r="A3159">
        <v>3158</v>
      </c>
      <c r="B3159">
        <v>23</v>
      </c>
      <c r="C3159" t="s">
        <v>16</v>
      </c>
      <c r="D3159" t="s">
        <v>27</v>
      </c>
      <c r="E3159" t="s">
        <v>32</v>
      </c>
      <c r="F3159">
        <v>2464.0300000000002</v>
      </c>
      <c r="G3159" t="s">
        <v>31</v>
      </c>
      <c r="H3159" t="s">
        <v>15</v>
      </c>
      <c r="I3159">
        <v>3</v>
      </c>
      <c r="J3159">
        <v>9</v>
      </c>
      <c r="K3159">
        <v>2</v>
      </c>
      <c r="L3159" s="4">
        <v>2707.7252747252746</v>
      </c>
      <c r="M3159" s="4">
        <v>243.69527472527443</v>
      </c>
      <c r="N3159" t="s">
        <v>100</v>
      </c>
    </row>
    <row r="3160" spans="1:14">
      <c r="A3160">
        <v>3159</v>
      </c>
      <c r="B3160">
        <v>42</v>
      </c>
      <c r="C3160" t="s">
        <v>11</v>
      </c>
      <c r="D3160" t="s">
        <v>41</v>
      </c>
      <c r="E3160" t="s">
        <v>45</v>
      </c>
      <c r="F3160">
        <v>40.69</v>
      </c>
      <c r="G3160" t="s">
        <v>14</v>
      </c>
      <c r="H3160" t="s">
        <v>15</v>
      </c>
      <c r="I3160">
        <v>3.5</v>
      </c>
      <c r="J3160">
        <v>18</v>
      </c>
      <c r="K3160">
        <v>4</v>
      </c>
      <c r="L3160" s="4">
        <v>49.621951219512191</v>
      </c>
      <c r="M3160" s="4">
        <v>8.9319512195121931</v>
      </c>
      <c r="N3160" t="s">
        <v>92</v>
      </c>
    </row>
    <row r="3161" spans="1:14">
      <c r="A3161">
        <v>3160</v>
      </c>
      <c r="B3161">
        <v>70</v>
      </c>
      <c r="C3161" t="s">
        <v>16</v>
      </c>
      <c r="D3161" t="s">
        <v>27</v>
      </c>
      <c r="E3161" t="s">
        <v>53</v>
      </c>
      <c r="F3161">
        <v>2039.35</v>
      </c>
      <c r="G3161" t="s">
        <v>19</v>
      </c>
      <c r="H3161" t="s">
        <v>15</v>
      </c>
      <c r="I3161">
        <v>4.7</v>
      </c>
      <c r="J3161">
        <v>16</v>
      </c>
      <c r="K3161">
        <v>3</v>
      </c>
      <c r="L3161" s="4">
        <v>2427.7976190476188</v>
      </c>
      <c r="M3161" s="4">
        <v>388.4476190476189</v>
      </c>
      <c r="N3161" t="s">
        <v>95</v>
      </c>
    </row>
    <row r="3162" spans="1:14">
      <c r="A3162">
        <v>3161</v>
      </c>
      <c r="B3162">
        <v>43</v>
      </c>
      <c r="C3162" t="s">
        <v>11</v>
      </c>
      <c r="D3162" t="s">
        <v>12</v>
      </c>
      <c r="E3162" t="s">
        <v>13</v>
      </c>
      <c r="F3162">
        <v>140.85</v>
      </c>
      <c r="G3162" t="s">
        <v>31</v>
      </c>
      <c r="H3162" t="s">
        <v>15</v>
      </c>
      <c r="I3162">
        <v>3.9</v>
      </c>
      <c r="J3162">
        <v>8</v>
      </c>
      <c r="K3162">
        <v>4</v>
      </c>
      <c r="L3162" s="4">
        <v>153.0978260869565</v>
      </c>
      <c r="M3162" s="4">
        <v>12.247826086956508</v>
      </c>
      <c r="N3162" t="s">
        <v>92</v>
      </c>
    </row>
    <row r="3163" spans="1:14">
      <c r="A3163">
        <v>3162</v>
      </c>
      <c r="B3163">
        <v>59</v>
      </c>
      <c r="C3163" t="s">
        <v>16</v>
      </c>
      <c r="D3163" t="s">
        <v>17</v>
      </c>
      <c r="E3163" t="s">
        <v>42</v>
      </c>
      <c r="F3163">
        <v>126.38</v>
      </c>
      <c r="G3163" t="s">
        <v>24</v>
      </c>
      <c r="H3163" t="s">
        <v>15</v>
      </c>
      <c r="I3163">
        <v>4</v>
      </c>
      <c r="J3163">
        <v>4</v>
      </c>
      <c r="K3163">
        <v>2</v>
      </c>
      <c r="L3163" s="4">
        <v>131.64583333333334</v>
      </c>
      <c r="M3163" s="4">
        <v>5.2658333333333474</v>
      </c>
      <c r="N3163" t="s">
        <v>94</v>
      </c>
    </row>
    <row r="3164" spans="1:14">
      <c r="A3164">
        <v>3163</v>
      </c>
      <c r="B3164">
        <v>46</v>
      </c>
      <c r="C3164" t="s">
        <v>16</v>
      </c>
      <c r="D3164" t="s">
        <v>33</v>
      </c>
      <c r="E3164" t="s">
        <v>38</v>
      </c>
      <c r="F3164">
        <v>136.72999999999999</v>
      </c>
      <c r="G3164" t="s">
        <v>19</v>
      </c>
      <c r="H3164" t="s">
        <v>15</v>
      </c>
      <c r="I3164">
        <v>4.5999999999999996</v>
      </c>
      <c r="J3164">
        <v>17</v>
      </c>
      <c r="K3164">
        <v>6</v>
      </c>
      <c r="L3164" s="4">
        <v>164.73493975903614</v>
      </c>
      <c r="M3164" s="4">
        <v>28.004939759036148</v>
      </c>
      <c r="N3164" t="s">
        <v>93</v>
      </c>
    </row>
    <row r="3165" spans="1:14">
      <c r="A3165">
        <v>3164</v>
      </c>
      <c r="B3165">
        <v>26</v>
      </c>
      <c r="C3165" t="s">
        <v>11</v>
      </c>
      <c r="D3165" t="s">
        <v>29</v>
      </c>
      <c r="E3165" t="s">
        <v>51</v>
      </c>
      <c r="F3165">
        <v>32.35</v>
      </c>
      <c r="G3165" t="s">
        <v>19</v>
      </c>
      <c r="H3165" t="s">
        <v>15</v>
      </c>
      <c r="I3165">
        <v>4.4000000000000004</v>
      </c>
      <c r="J3165">
        <v>25</v>
      </c>
      <c r="K3165">
        <v>10</v>
      </c>
      <c r="L3165" s="4">
        <v>43.133333333333333</v>
      </c>
      <c r="M3165" s="4">
        <v>10.783333333333331</v>
      </c>
      <c r="N3165" t="s">
        <v>91</v>
      </c>
    </row>
    <row r="3166" spans="1:14">
      <c r="A3166">
        <v>3165</v>
      </c>
      <c r="B3166">
        <v>51</v>
      </c>
      <c r="C3166" t="s">
        <v>11</v>
      </c>
      <c r="D3166" t="s">
        <v>41</v>
      </c>
      <c r="E3166" t="s">
        <v>45</v>
      </c>
      <c r="F3166">
        <v>104</v>
      </c>
      <c r="G3166" t="s">
        <v>14</v>
      </c>
      <c r="H3166" t="s">
        <v>15</v>
      </c>
      <c r="I3166">
        <v>4.2</v>
      </c>
      <c r="J3166">
        <v>14</v>
      </c>
      <c r="K3166">
        <v>2</v>
      </c>
      <c r="L3166" s="4">
        <v>120.93023255813954</v>
      </c>
      <c r="M3166" s="4">
        <v>16.930232558139537</v>
      </c>
      <c r="N3166" t="s">
        <v>93</v>
      </c>
    </row>
    <row r="3167" spans="1:14">
      <c r="A3167">
        <v>3166</v>
      </c>
      <c r="B3167">
        <v>28</v>
      </c>
      <c r="C3167" t="s">
        <v>11</v>
      </c>
      <c r="D3167" t="s">
        <v>29</v>
      </c>
      <c r="E3167" t="s">
        <v>51</v>
      </c>
      <c r="F3167">
        <v>128.02000000000001</v>
      </c>
      <c r="G3167" t="s">
        <v>24</v>
      </c>
      <c r="H3167" t="s">
        <v>15</v>
      </c>
      <c r="I3167">
        <v>3.6</v>
      </c>
      <c r="J3167">
        <v>15</v>
      </c>
      <c r="K3167">
        <v>5</v>
      </c>
      <c r="L3167" s="4">
        <v>150.61176470588236</v>
      </c>
      <c r="M3167" s="4">
        <v>22.591764705882355</v>
      </c>
      <c r="N3167" t="s">
        <v>91</v>
      </c>
    </row>
    <row r="3168" spans="1:14">
      <c r="A3168">
        <v>3167</v>
      </c>
      <c r="B3168">
        <v>31</v>
      </c>
      <c r="C3168" t="s">
        <v>11</v>
      </c>
      <c r="D3168" t="s">
        <v>33</v>
      </c>
      <c r="E3168" t="s">
        <v>34</v>
      </c>
      <c r="F3168">
        <v>59.9</v>
      </c>
      <c r="G3168" t="s">
        <v>31</v>
      </c>
      <c r="H3168" t="s">
        <v>37</v>
      </c>
      <c r="I3168">
        <v>3.4</v>
      </c>
      <c r="J3168">
        <v>22</v>
      </c>
      <c r="K3168">
        <v>6</v>
      </c>
      <c r="L3168" s="4">
        <v>76.794871794871796</v>
      </c>
      <c r="M3168" s="4">
        <v>16.894871794871797</v>
      </c>
      <c r="N3168" t="s">
        <v>91</v>
      </c>
    </row>
    <row r="3169" spans="1:14">
      <c r="A3169">
        <v>3168</v>
      </c>
      <c r="B3169">
        <v>57</v>
      </c>
      <c r="C3169" t="s">
        <v>16</v>
      </c>
      <c r="D3169" t="s">
        <v>27</v>
      </c>
      <c r="E3169" t="s">
        <v>32</v>
      </c>
      <c r="F3169">
        <v>2940.66</v>
      </c>
      <c r="G3169" t="s">
        <v>14</v>
      </c>
      <c r="H3169" t="s">
        <v>15</v>
      </c>
      <c r="I3169">
        <v>3.1</v>
      </c>
      <c r="J3169">
        <v>10</v>
      </c>
      <c r="K3169">
        <v>5</v>
      </c>
      <c r="L3169" s="4">
        <v>3267.3999999999996</v>
      </c>
      <c r="M3169" s="4">
        <v>326.73999999999978</v>
      </c>
      <c r="N3169" t="s">
        <v>94</v>
      </c>
    </row>
    <row r="3170" spans="1:14">
      <c r="A3170">
        <v>3169</v>
      </c>
      <c r="B3170">
        <v>60</v>
      </c>
      <c r="C3170" t="s">
        <v>16</v>
      </c>
      <c r="D3170" t="s">
        <v>20</v>
      </c>
      <c r="E3170" t="s">
        <v>39</v>
      </c>
      <c r="F3170">
        <v>99.99</v>
      </c>
      <c r="G3170" t="s">
        <v>14</v>
      </c>
      <c r="H3170" t="s">
        <v>37</v>
      </c>
      <c r="I3170">
        <v>2.5</v>
      </c>
      <c r="J3170">
        <v>18</v>
      </c>
      <c r="K3170">
        <v>4</v>
      </c>
      <c r="L3170" s="4">
        <v>121.93902439024389</v>
      </c>
      <c r="M3170" s="4">
        <v>21.949024390243892</v>
      </c>
      <c r="N3170" t="s">
        <v>94</v>
      </c>
    </row>
    <row r="3171" spans="1:14">
      <c r="A3171">
        <v>3170</v>
      </c>
      <c r="B3171">
        <v>43</v>
      </c>
      <c r="C3171" t="s">
        <v>11</v>
      </c>
      <c r="D3171" t="s">
        <v>12</v>
      </c>
      <c r="E3171" t="s">
        <v>56</v>
      </c>
      <c r="F3171">
        <v>35.090000000000003</v>
      </c>
      <c r="G3171" t="s">
        <v>19</v>
      </c>
      <c r="H3171" t="s">
        <v>15</v>
      </c>
      <c r="I3171">
        <v>4.5</v>
      </c>
      <c r="J3171">
        <v>20</v>
      </c>
      <c r="K3171">
        <v>5</v>
      </c>
      <c r="L3171" s="4">
        <v>43.862500000000004</v>
      </c>
      <c r="M3171" s="4">
        <v>8.7725000000000009</v>
      </c>
      <c r="N3171" t="s">
        <v>92</v>
      </c>
    </row>
    <row r="3172" spans="1:14">
      <c r="A3172">
        <v>3171</v>
      </c>
      <c r="B3172">
        <v>32</v>
      </c>
      <c r="C3172" t="s">
        <v>16</v>
      </c>
      <c r="D3172" t="s">
        <v>17</v>
      </c>
      <c r="E3172" t="s">
        <v>42</v>
      </c>
      <c r="F3172">
        <v>174.21</v>
      </c>
      <c r="G3172" t="s">
        <v>31</v>
      </c>
      <c r="H3172" t="s">
        <v>15</v>
      </c>
      <c r="I3172">
        <v>3.2</v>
      </c>
      <c r="J3172">
        <v>8</v>
      </c>
      <c r="K3172">
        <v>4</v>
      </c>
      <c r="L3172" s="4">
        <v>189.35869565217391</v>
      </c>
      <c r="M3172" s="4">
        <v>15.148695652173899</v>
      </c>
      <c r="N3172" t="s">
        <v>91</v>
      </c>
    </row>
    <row r="3173" spans="1:14">
      <c r="A3173">
        <v>3172</v>
      </c>
      <c r="B3173">
        <v>52</v>
      </c>
      <c r="C3173" t="s">
        <v>16</v>
      </c>
      <c r="D3173" t="s">
        <v>27</v>
      </c>
      <c r="E3173" t="s">
        <v>49</v>
      </c>
      <c r="F3173">
        <v>1090.05</v>
      </c>
      <c r="G3173" t="s">
        <v>24</v>
      </c>
      <c r="H3173" t="s">
        <v>15</v>
      </c>
      <c r="I3173">
        <v>3.6</v>
      </c>
      <c r="J3173">
        <v>13</v>
      </c>
      <c r="K3173">
        <v>4</v>
      </c>
      <c r="L3173" s="4">
        <v>1252.9310344827586</v>
      </c>
      <c r="M3173" s="4">
        <v>162.88103448275865</v>
      </c>
      <c r="N3173" t="s">
        <v>93</v>
      </c>
    </row>
    <row r="3174" spans="1:14">
      <c r="A3174">
        <v>3173</v>
      </c>
      <c r="B3174">
        <v>69</v>
      </c>
      <c r="C3174" t="s">
        <v>16</v>
      </c>
      <c r="D3174" t="s">
        <v>20</v>
      </c>
      <c r="E3174" t="s">
        <v>36</v>
      </c>
      <c r="F3174">
        <v>36.799999999999997</v>
      </c>
      <c r="G3174" t="s">
        <v>31</v>
      </c>
      <c r="H3174" t="s">
        <v>15</v>
      </c>
      <c r="I3174">
        <v>3.7</v>
      </c>
      <c r="J3174">
        <v>30</v>
      </c>
      <c r="K3174">
        <v>10</v>
      </c>
      <c r="L3174" s="4">
        <v>52.571428571428569</v>
      </c>
      <c r="M3174" s="4">
        <v>15.771428571428572</v>
      </c>
      <c r="N3174" t="s">
        <v>95</v>
      </c>
    </row>
    <row r="3175" spans="1:14">
      <c r="A3175">
        <v>3174</v>
      </c>
      <c r="B3175">
        <v>64</v>
      </c>
      <c r="C3175" t="s">
        <v>16</v>
      </c>
      <c r="D3175" t="s">
        <v>20</v>
      </c>
      <c r="E3175" t="s">
        <v>39</v>
      </c>
      <c r="F3175">
        <v>242.59</v>
      </c>
      <c r="G3175" t="s">
        <v>24</v>
      </c>
      <c r="H3175" t="s">
        <v>15</v>
      </c>
      <c r="I3175">
        <v>4.3</v>
      </c>
      <c r="J3175">
        <v>9</v>
      </c>
      <c r="K3175">
        <v>2</v>
      </c>
      <c r="L3175" s="4">
        <v>266.58241758241758</v>
      </c>
      <c r="M3175" s="4">
        <v>23.992417582417573</v>
      </c>
      <c r="N3175" t="s">
        <v>94</v>
      </c>
    </row>
    <row r="3176" spans="1:14">
      <c r="A3176">
        <v>3175</v>
      </c>
      <c r="B3176">
        <v>68</v>
      </c>
      <c r="C3176" t="s">
        <v>16</v>
      </c>
      <c r="D3176" t="s">
        <v>27</v>
      </c>
      <c r="E3176" t="s">
        <v>32</v>
      </c>
      <c r="F3176">
        <v>1208.17</v>
      </c>
      <c r="G3176" t="s">
        <v>19</v>
      </c>
      <c r="H3176" t="s">
        <v>15</v>
      </c>
      <c r="I3176">
        <v>3.6</v>
      </c>
      <c r="J3176">
        <v>12</v>
      </c>
      <c r="K3176">
        <v>6</v>
      </c>
      <c r="L3176" s="4">
        <v>1372.9204545454547</v>
      </c>
      <c r="M3176" s="4">
        <v>164.75045454545466</v>
      </c>
      <c r="N3176" t="s">
        <v>95</v>
      </c>
    </row>
    <row r="3177" spans="1:14">
      <c r="A3177">
        <v>3176</v>
      </c>
      <c r="B3177">
        <v>24</v>
      </c>
      <c r="C3177" t="s">
        <v>11</v>
      </c>
      <c r="D3177" t="s">
        <v>33</v>
      </c>
      <c r="E3177" t="s">
        <v>38</v>
      </c>
      <c r="F3177">
        <v>144.41999999999999</v>
      </c>
      <c r="G3177" t="s">
        <v>31</v>
      </c>
      <c r="H3177" t="s">
        <v>15</v>
      </c>
      <c r="I3177">
        <v>4.4000000000000004</v>
      </c>
      <c r="J3177">
        <v>4</v>
      </c>
      <c r="K3177">
        <v>2</v>
      </c>
      <c r="L3177" s="4">
        <v>150.4375</v>
      </c>
      <c r="M3177" s="4">
        <v>6.0175000000000125</v>
      </c>
      <c r="N3177" t="s">
        <v>100</v>
      </c>
    </row>
    <row r="3178" spans="1:14">
      <c r="A3178">
        <v>3177</v>
      </c>
      <c r="B3178">
        <v>57</v>
      </c>
      <c r="C3178" t="s">
        <v>16</v>
      </c>
      <c r="D3178" t="s">
        <v>17</v>
      </c>
      <c r="E3178" t="s">
        <v>18</v>
      </c>
      <c r="F3178">
        <v>74.47</v>
      </c>
      <c r="G3178" t="s">
        <v>14</v>
      </c>
      <c r="H3178" t="s">
        <v>37</v>
      </c>
      <c r="I3178">
        <v>3.2</v>
      </c>
      <c r="J3178">
        <v>16</v>
      </c>
      <c r="K3178">
        <v>3</v>
      </c>
      <c r="L3178" s="4">
        <v>88.654761904761912</v>
      </c>
      <c r="M3178" s="4">
        <v>14.184761904761913</v>
      </c>
      <c r="N3178" t="s">
        <v>94</v>
      </c>
    </row>
    <row r="3179" spans="1:14">
      <c r="A3179">
        <v>3178</v>
      </c>
      <c r="B3179">
        <v>22</v>
      </c>
      <c r="C3179" t="s">
        <v>11</v>
      </c>
      <c r="D3179" t="s">
        <v>33</v>
      </c>
      <c r="E3179" t="s">
        <v>34</v>
      </c>
      <c r="F3179">
        <v>248.95</v>
      </c>
      <c r="G3179" t="s">
        <v>19</v>
      </c>
      <c r="H3179" t="s">
        <v>15</v>
      </c>
      <c r="I3179">
        <v>2.7</v>
      </c>
      <c r="J3179">
        <v>10</v>
      </c>
      <c r="K3179">
        <v>5</v>
      </c>
      <c r="L3179" s="4">
        <v>276.61111111111109</v>
      </c>
      <c r="M3179" s="4">
        <v>27.661111111111097</v>
      </c>
      <c r="N3179" t="s">
        <v>100</v>
      </c>
    </row>
    <row r="3180" spans="1:14">
      <c r="A3180">
        <v>3179</v>
      </c>
      <c r="B3180">
        <v>49</v>
      </c>
      <c r="C3180" t="s">
        <v>16</v>
      </c>
      <c r="D3180" t="s">
        <v>20</v>
      </c>
      <c r="E3180" t="s">
        <v>36</v>
      </c>
      <c r="F3180">
        <v>84.57</v>
      </c>
      <c r="G3180" t="s">
        <v>24</v>
      </c>
      <c r="H3180" t="s">
        <v>15</v>
      </c>
      <c r="I3180">
        <v>3.3</v>
      </c>
      <c r="J3180">
        <v>18</v>
      </c>
      <c r="K3180">
        <v>4</v>
      </c>
      <c r="L3180" s="4">
        <v>103.13414634146339</v>
      </c>
      <c r="M3180" s="4">
        <v>18.564146341463399</v>
      </c>
      <c r="N3180" t="s">
        <v>93</v>
      </c>
    </row>
    <row r="3181" spans="1:14">
      <c r="A3181">
        <v>3180</v>
      </c>
      <c r="B3181">
        <v>65</v>
      </c>
      <c r="C3181" t="s">
        <v>11</v>
      </c>
      <c r="D3181" t="s">
        <v>33</v>
      </c>
      <c r="E3181" t="s">
        <v>34</v>
      </c>
      <c r="F3181">
        <v>182.69</v>
      </c>
      <c r="G3181" t="s">
        <v>24</v>
      </c>
      <c r="H3181" t="s">
        <v>15</v>
      </c>
      <c r="I3181">
        <v>4.2</v>
      </c>
      <c r="J3181">
        <v>8</v>
      </c>
      <c r="K3181">
        <v>4</v>
      </c>
      <c r="L3181" s="4">
        <v>198.57608695652172</v>
      </c>
      <c r="M3181" s="4">
        <v>15.886086956521723</v>
      </c>
      <c r="N3181" t="s">
        <v>95</v>
      </c>
    </row>
    <row r="3182" spans="1:14">
      <c r="A3182">
        <v>3181</v>
      </c>
      <c r="B3182">
        <v>63</v>
      </c>
      <c r="C3182" t="s">
        <v>11</v>
      </c>
      <c r="D3182" t="s">
        <v>33</v>
      </c>
      <c r="E3182" t="s">
        <v>38</v>
      </c>
      <c r="F3182">
        <v>95.84</v>
      </c>
      <c r="G3182" t="s">
        <v>24</v>
      </c>
      <c r="H3182" t="s">
        <v>15</v>
      </c>
      <c r="I3182">
        <v>2.5</v>
      </c>
      <c r="J3182">
        <v>11</v>
      </c>
      <c r="K3182">
        <v>3</v>
      </c>
      <c r="L3182" s="4">
        <v>107.68539325842697</v>
      </c>
      <c r="M3182" s="4">
        <v>11.845393258426967</v>
      </c>
      <c r="N3182" t="s">
        <v>94</v>
      </c>
    </row>
    <row r="3183" spans="1:14">
      <c r="A3183">
        <v>3182</v>
      </c>
      <c r="B3183">
        <v>37</v>
      </c>
      <c r="C3183" t="s">
        <v>16</v>
      </c>
      <c r="D3183" t="s">
        <v>17</v>
      </c>
      <c r="E3183" t="s">
        <v>18</v>
      </c>
      <c r="F3183">
        <v>174.37</v>
      </c>
      <c r="G3183" t="s">
        <v>31</v>
      </c>
      <c r="H3183" t="s">
        <v>15</v>
      </c>
      <c r="I3183">
        <v>4.3</v>
      </c>
      <c r="J3183">
        <v>8</v>
      </c>
      <c r="K3183">
        <v>4</v>
      </c>
      <c r="L3183" s="4">
        <v>189.53260869565216</v>
      </c>
      <c r="M3183" s="4">
        <v>15.162608695652153</v>
      </c>
      <c r="N3183" t="s">
        <v>92</v>
      </c>
    </row>
    <row r="3184" spans="1:14">
      <c r="A3184">
        <v>3183</v>
      </c>
      <c r="B3184">
        <v>35</v>
      </c>
      <c r="C3184" t="s">
        <v>16</v>
      </c>
      <c r="D3184" t="s">
        <v>20</v>
      </c>
      <c r="E3184" t="s">
        <v>21</v>
      </c>
      <c r="F3184">
        <v>203.49</v>
      </c>
      <c r="G3184" t="s">
        <v>19</v>
      </c>
      <c r="H3184" t="s">
        <v>15</v>
      </c>
      <c r="I3184">
        <v>2.8</v>
      </c>
      <c r="J3184">
        <v>6</v>
      </c>
      <c r="K3184">
        <v>3</v>
      </c>
      <c r="L3184" s="4">
        <v>216.47872340425533</v>
      </c>
      <c r="M3184" s="4">
        <v>12.988723404255325</v>
      </c>
      <c r="N3184" t="s">
        <v>92</v>
      </c>
    </row>
    <row r="3185" spans="1:14">
      <c r="A3185">
        <v>3184</v>
      </c>
      <c r="B3185">
        <v>22</v>
      </c>
      <c r="C3185" t="s">
        <v>16</v>
      </c>
      <c r="D3185" t="s">
        <v>33</v>
      </c>
      <c r="E3185" t="s">
        <v>34</v>
      </c>
      <c r="F3185">
        <v>125.93</v>
      </c>
      <c r="G3185" t="s">
        <v>31</v>
      </c>
      <c r="H3185" t="s">
        <v>15</v>
      </c>
      <c r="I3185">
        <v>4.8</v>
      </c>
      <c r="J3185">
        <v>10</v>
      </c>
      <c r="K3185">
        <v>5</v>
      </c>
      <c r="L3185" s="4">
        <v>139.92222222222222</v>
      </c>
      <c r="M3185" s="4">
        <v>13.99222222222221</v>
      </c>
      <c r="N3185" t="s">
        <v>100</v>
      </c>
    </row>
    <row r="3186" spans="1:14">
      <c r="A3186">
        <v>3185</v>
      </c>
      <c r="B3186">
        <v>40</v>
      </c>
      <c r="C3186" t="s">
        <v>11</v>
      </c>
      <c r="D3186" t="s">
        <v>12</v>
      </c>
      <c r="E3186" t="s">
        <v>13</v>
      </c>
      <c r="F3186">
        <v>59.58</v>
      </c>
      <c r="G3186" t="s">
        <v>31</v>
      </c>
      <c r="H3186" t="s">
        <v>37</v>
      </c>
      <c r="I3186">
        <v>3.1</v>
      </c>
      <c r="J3186">
        <v>10</v>
      </c>
      <c r="K3186">
        <v>5</v>
      </c>
      <c r="L3186" s="4">
        <v>66.2</v>
      </c>
      <c r="M3186" s="4">
        <v>6.6200000000000045</v>
      </c>
      <c r="N3186" t="s">
        <v>92</v>
      </c>
    </row>
    <row r="3187" spans="1:14">
      <c r="A3187">
        <v>3186</v>
      </c>
      <c r="B3187">
        <v>40</v>
      </c>
      <c r="C3187" t="s">
        <v>16</v>
      </c>
      <c r="D3187" t="s">
        <v>20</v>
      </c>
      <c r="E3187" t="s">
        <v>36</v>
      </c>
      <c r="F3187">
        <v>82.63</v>
      </c>
      <c r="G3187" t="s">
        <v>19</v>
      </c>
      <c r="H3187" t="s">
        <v>15</v>
      </c>
      <c r="I3187">
        <v>2.7</v>
      </c>
      <c r="J3187">
        <v>13</v>
      </c>
      <c r="K3187">
        <v>4</v>
      </c>
      <c r="L3187" s="4">
        <v>94.977011494252864</v>
      </c>
      <c r="M3187" s="4">
        <v>12.347011494252868</v>
      </c>
      <c r="N3187" t="s">
        <v>92</v>
      </c>
    </row>
    <row r="3188" spans="1:14">
      <c r="A3188">
        <v>3187</v>
      </c>
      <c r="B3188">
        <v>68</v>
      </c>
      <c r="C3188" t="s">
        <v>11</v>
      </c>
      <c r="D3188" t="s">
        <v>22</v>
      </c>
      <c r="E3188" t="s">
        <v>43</v>
      </c>
      <c r="F3188">
        <v>178.28</v>
      </c>
      <c r="G3188" t="s">
        <v>19</v>
      </c>
      <c r="H3188" t="s">
        <v>15</v>
      </c>
      <c r="I3188">
        <v>3.2</v>
      </c>
      <c r="J3188">
        <v>15</v>
      </c>
      <c r="K3188">
        <v>5</v>
      </c>
      <c r="L3188" s="4">
        <v>209.74117647058824</v>
      </c>
      <c r="M3188" s="4">
        <v>31.461176470588242</v>
      </c>
      <c r="N3188" t="s">
        <v>95</v>
      </c>
    </row>
    <row r="3189" spans="1:14">
      <c r="A3189">
        <v>3188</v>
      </c>
      <c r="B3189">
        <v>46</v>
      </c>
      <c r="C3189" t="s">
        <v>16</v>
      </c>
      <c r="D3189" t="s">
        <v>20</v>
      </c>
      <c r="E3189" t="s">
        <v>21</v>
      </c>
      <c r="F3189">
        <v>205.44</v>
      </c>
      <c r="G3189" t="s">
        <v>24</v>
      </c>
      <c r="H3189" t="s">
        <v>15</v>
      </c>
      <c r="I3189">
        <v>3.2</v>
      </c>
      <c r="J3189">
        <v>16</v>
      </c>
      <c r="K3189">
        <v>8</v>
      </c>
      <c r="L3189" s="4">
        <v>244.57142857142858</v>
      </c>
      <c r="M3189" s="4">
        <v>39.131428571428586</v>
      </c>
      <c r="N3189" t="s">
        <v>93</v>
      </c>
    </row>
    <row r="3190" spans="1:14">
      <c r="A3190">
        <v>3189</v>
      </c>
      <c r="B3190">
        <v>35</v>
      </c>
      <c r="C3190" t="s">
        <v>16</v>
      </c>
      <c r="D3190" t="s">
        <v>17</v>
      </c>
      <c r="E3190" t="s">
        <v>18</v>
      </c>
      <c r="F3190">
        <v>165.66</v>
      </c>
      <c r="G3190" t="s">
        <v>19</v>
      </c>
      <c r="H3190" t="s">
        <v>15</v>
      </c>
      <c r="I3190">
        <v>2.9</v>
      </c>
      <c r="J3190">
        <v>12</v>
      </c>
      <c r="K3190">
        <v>6</v>
      </c>
      <c r="L3190" s="4">
        <v>188.25</v>
      </c>
      <c r="M3190" s="4">
        <v>22.590000000000003</v>
      </c>
      <c r="N3190" t="s">
        <v>92</v>
      </c>
    </row>
    <row r="3191" spans="1:14">
      <c r="A3191">
        <v>3190</v>
      </c>
      <c r="B3191">
        <v>28</v>
      </c>
      <c r="C3191" t="s">
        <v>16</v>
      </c>
      <c r="D3191" t="s">
        <v>25</v>
      </c>
      <c r="E3191" t="s">
        <v>26</v>
      </c>
      <c r="F3191">
        <v>30.88</v>
      </c>
      <c r="G3191" t="s">
        <v>31</v>
      </c>
      <c r="H3191" t="s">
        <v>37</v>
      </c>
      <c r="I3191">
        <v>4.0999999999999996</v>
      </c>
      <c r="J3191">
        <v>8</v>
      </c>
      <c r="K3191">
        <v>4</v>
      </c>
      <c r="L3191" s="4">
        <v>33.565217391304344</v>
      </c>
      <c r="M3191" s="4">
        <v>2.6852173913043451</v>
      </c>
      <c r="N3191" t="s">
        <v>91</v>
      </c>
    </row>
    <row r="3192" spans="1:14">
      <c r="A3192">
        <v>3191</v>
      </c>
      <c r="B3192">
        <v>66</v>
      </c>
      <c r="C3192" t="s">
        <v>16</v>
      </c>
      <c r="D3192" t="s">
        <v>17</v>
      </c>
      <c r="E3192" t="s">
        <v>48</v>
      </c>
      <c r="F3192">
        <v>38.61</v>
      </c>
      <c r="G3192" t="s">
        <v>31</v>
      </c>
      <c r="H3192" t="s">
        <v>37</v>
      </c>
      <c r="I3192">
        <v>2.9</v>
      </c>
      <c r="J3192">
        <v>15</v>
      </c>
      <c r="K3192">
        <v>5</v>
      </c>
      <c r="L3192" s="4">
        <v>45.423529411764704</v>
      </c>
      <c r="M3192" s="4">
        <v>6.8135294117647049</v>
      </c>
      <c r="N3192" t="s">
        <v>95</v>
      </c>
    </row>
    <row r="3193" spans="1:14">
      <c r="A3193">
        <v>3192</v>
      </c>
      <c r="B3193">
        <v>41</v>
      </c>
      <c r="C3193" t="s">
        <v>11</v>
      </c>
      <c r="D3193" t="s">
        <v>12</v>
      </c>
      <c r="E3193" t="s">
        <v>13</v>
      </c>
      <c r="F3193">
        <v>45.01</v>
      </c>
      <c r="G3193" t="s">
        <v>19</v>
      </c>
      <c r="H3193" t="s">
        <v>37</v>
      </c>
      <c r="I3193">
        <v>4.7</v>
      </c>
      <c r="J3193">
        <v>22</v>
      </c>
      <c r="K3193">
        <v>6</v>
      </c>
      <c r="L3193" s="4">
        <v>57.705128205128197</v>
      </c>
      <c r="M3193" s="4">
        <v>12.695128205128199</v>
      </c>
      <c r="N3193" t="s">
        <v>92</v>
      </c>
    </row>
    <row r="3194" spans="1:14">
      <c r="A3194">
        <v>3193</v>
      </c>
      <c r="B3194">
        <v>57</v>
      </c>
      <c r="C3194" t="s">
        <v>16</v>
      </c>
      <c r="D3194" t="s">
        <v>20</v>
      </c>
      <c r="E3194" t="s">
        <v>39</v>
      </c>
      <c r="F3194">
        <v>175.22</v>
      </c>
      <c r="G3194" t="s">
        <v>14</v>
      </c>
      <c r="H3194" t="s">
        <v>15</v>
      </c>
      <c r="I3194">
        <v>3.6</v>
      </c>
      <c r="J3194">
        <v>22</v>
      </c>
      <c r="K3194">
        <v>6</v>
      </c>
      <c r="L3194" s="4">
        <v>224.64102564102564</v>
      </c>
      <c r="M3194" s="4">
        <v>49.421025641025636</v>
      </c>
      <c r="N3194" t="s">
        <v>94</v>
      </c>
    </row>
    <row r="3195" spans="1:14">
      <c r="A3195">
        <v>3194</v>
      </c>
      <c r="B3195">
        <v>22</v>
      </c>
      <c r="C3195" t="s">
        <v>16</v>
      </c>
      <c r="D3195" t="s">
        <v>33</v>
      </c>
      <c r="E3195" t="s">
        <v>38</v>
      </c>
      <c r="F3195">
        <v>243.43</v>
      </c>
      <c r="G3195" t="s">
        <v>24</v>
      </c>
      <c r="H3195" t="s">
        <v>15</v>
      </c>
      <c r="I3195">
        <v>4</v>
      </c>
      <c r="J3195">
        <v>12</v>
      </c>
      <c r="K3195">
        <v>6</v>
      </c>
      <c r="L3195" s="4">
        <v>276.625</v>
      </c>
      <c r="M3195" s="4">
        <v>33.194999999999993</v>
      </c>
      <c r="N3195" t="s">
        <v>100</v>
      </c>
    </row>
    <row r="3196" spans="1:14">
      <c r="A3196">
        <v>3195</v>
      </c>
      <c r="B3196">
        <v>62</v>
      </c>
      <c r="C3196" t="s">
        <v>11</v>
      </c>
      <c r="D3196" t="s">
        <v>41</v>
      </c>
      <c r="E3196" t="s">
        <v>46</v>
      </c>
      <c r="F3196">
        <v>117.16</v>
      </c>
      <c r="G3196" t="s">
        <v>31</v>
      </c>
      <c r="H3196" t="s">
        <v>15</v>
      </c>
      <c r="I3196">
        <v>3.9</v>
      </c>
      <c r="J3196">
        <v>23</v>
      </c>
      <c r="K3196">
        <v>9</v>
      </c>
      <c r="L3196" s="4">
        <v>152.15584415584414</v>
      </c>
      <c r="M3196" s="4">
        <v>34.995844155844139</v>
      </c>
      <c r="N3196" t="s">
        <v>94</v>
      </c>
    </row>
    <row r="3197" spans="1:14">
      <c r="A3197">
        <v>3196</v>
      </c>
      <c r="B3197">
        <v>56</v>
      </c>
      <c r="C3197" t="s">
        <v>11</v>
      </c>
      <c r="D3197" t="s">
        <v>29</v>
      </c>
      <c r="E3197" t="s">
        <v>55</v>
      </c>
      <c r="F3197">
        <v>58.22</v>
      </c>
      <c r="G3197" t="s">
        <v>24</v>
      </c>
      <c r="H3197" t="s">
        <v>37</v>
      </c>
      <c r="I3197">
        <v>2.8</v>
      </c>
      <c r="J3197">
        <v>20</v>
      </c>
      <c r="K3197">
        <v>5</v>
      </c>
      <c r="L3197" s="4">
        <v>72.774999999999991</v>
      </c>
      <c r="M3197" s="4">
        <v>14.554999999999993</v>
      </c>
      <c r="N3197" t="s">
        <v>94</v>
      </c>
    </row>
    <row r="3198" spans="1:14">
      <c r="A3198">
        <v>3197</v>
      </c>
      <c r="B3198">
        <v>21</v>
      </c>
      <c r="C3198" t="s">
        <v>16</v>
      </c>
      <c r="D3198" t="s">
        <v>33</v>
      </c>
      <c r="E3198" t="s">
        <v>40</v>
      </c>
      <c r="F3198">
        <v>155.55000000000001</v>
      </c>
      <c r="G3198" t="s">
        <v>14</v>
      </c>
      <c r="H3198" t="s">
        <v>15</v>
      </c>
      <c r="I3198">
        <v>5</v>
      </c>
      <c r="J3198">
        <v>30</v>
      </c>
      <c r="K3198">
        <v>10</v>
      </c>
      <c r="L3198" s="4">
        <v>222.21428571428575</v>
      </c>
      <c r="M3198" s="4">
        <v>66.664285714285739</v>
      </c>
      <c r="N3198" t="s">
        <v>100</v>
      </c>
    </row>
    <row r="3199" spans="1:14">
      <c r="A3199">
        <v>3198</v>
      </c>
      <c r="B3199">
        <v>44</v>
      </c>
      <c r="C3199" t="s">
        <v>16</v>
      </c>
      <c r="D3199" t="s">
        <v>17</v>
      </c>
      <c r="E3199" t="s">
        <v>35</v>
      </c>
      <c r="F3199">
        <v>121.79</v>
      </c>
      <c r="G3199" t="s">
        <v>24</v>
      </c>
      <c r="H3199" t="s">
        <v>15</v>
      </c>
      <c r="I3199">
        <v>4.8</v>
      </c>
      <c r="J3199">
        <v>16</v>
      </c>
      <c r="K3199">
        <v>3</v>
      </c>
      <c r="L3199" s="4">
        <v>144.98809523809524</v>
      </c>
      <c r="M3199" s="4">
        <v>23.198095238095235</v>
      </c>
      <c r="N3199" t="s">
        <v>92</v>
      </c>
    </row>
    <row r="3200" spans="1:14">
      <c r="A3200">
        <v>3199</v>
      </c>
      <c r="B3200">
        <v>24</v>
      </c>
      <c r="C3200" t="s">
        <v>16</v>
      </c>
      <c r="D3200" t="s">
        <v>17</v>
      </c>
      <c r="E3200" t="s">
        <v>48</v>
      </c>
      <c r="F3200">
        <v>77.77</v>
      </c>
      <c r="G3200" t="s">
        <v>31</v>
      </c>
      <c r="H3200" t="s">
        <v>37</v>
      </c>
      <c r="I3200">
        <v>3</v>
      </c>
      <c r="J3200">
        <v>25</v>
      </c>
      <c r="K3200">
        <v>10</v>
      </c>
      <c r="L3200" s="4">
        <v>103.69333333333333</v>
      </c>
      <c r="M3200" s="4">
        <v>25.923333333333332</v>
      </c>
      <c r="N3200" t="s">
        <v>100</v>
      </c>
    </row>
    <row r="3201" spans="1:14">
      <c r="A3201">
        <v>3200</v>
      </c>
      <c r="B3201">
        <v>34</v>
      </c>
      <c r="C3201" t="s">
        <v>16</v>
      </c>
      <c r="D3201" t="s">
        <v>20</v>
      </c>
      <c r="E3201" t="s">
        <v>36</v>
      </c>
      <c r="F3201">
        <v>91.22</v>
      </c>
      <c r="G3201" t="s">
        <v>19</v>
      </c>
      <c r="H3201" t="s">
        <v>37</v>
      </c>
      <c r="I3201">
        <v>3.2</v>
      </c>
      <c r="J3201">
        <v>14</v>
      </c>
      <c r="K3201">
        <v>2</v>
      </c>
      <c r="L3201" s="4">
        <v>106.06976744186046</v>
      </c>
      <c r="M3201" s="4">
        <v>14.849767441860465</v>
      </c>
      <c r="N3201" t="s">
        <v>91</v>
      </c>
    </row>
    <row r="3202" spans="1:14">
      <c r="A3202">
        <v>3201</v>
      </c>
      <c r="B3202">
        <v>68</v>
      </c>
      <c r="C3202" t="s">
        <v>11</v>
      </c>
      <c r="D3202" t="s">
        <v>33</v>
      </c>
      <c r="E3202" t="s">
        <v>38</v>
      </c>
      <c r="F3202">
        <v>49.34</v>
      </c>
      <c r="G3202" t="s">
        <v>31</v>
      </c>
      <c r="H3202" t="s">
        <v>37</v>
      </c>
      <c r="I3202">
        <v>3.8</v>
      </c>
      <c r="J3202">
        <v>22</v>
      </c>
      <c r="K3202">
        <v>6</v>
      </c>
      <c r="L3202" s="4">
        <v>63.256410256410255</v>
      </c>
      <c r="M3202" s="4">
        <v>13.916410256410252</v>
      </c>
      <c r="N3202" t="s">
        <v>95</v>
      </c>
    </row>
    <row r="3203" spans="1:14">
      <c r="A3203">
        <v>3202</v>
      </c>
      <c r="B3203">
        <v>59</v>
      </c>
      <c r="C3203" t="s">
        <v>16</v>
      </c>
      <c r="D3203" t="s">
        <v>27</v>
      </c>
      <c r="E3203" t="s">
        <v>32</v>
      </c>
      <c r="F3203">
        <v>1412.35</v>
      </c>
      <c r="G3203" t="s">
        <v>19</v>
      </c>
      <c r="H3203" t="s">
        <v>15</v>
      </c>
      <c r="I3203">
        <v>2.8</v>
      </c>
      <c r="J3203">
        <v>11</v>
      </c>
      <c r="K3203">
        <v>3</v>
      </c>
      <c r="L3203" s="4">
        <v>1586.9101123595503</v>
      </c>
      <c r="M3203" s="4">
        <v>174.56011235955043</v>
      </c>
      <c r="N3203" t="s">
        <v>94</v>
      </c>
    </row>
    <row r="3204" spans="1:14">
      <c r="A3204">
        <v>3203</v>
      </c>
      <c r="B3204">
        <v>70</v>
      </c>
      <c r="C3204" t="s">
        <v>11</v>
      </c>
      <c r="D3204" t="s">
        <v>20</v>
      </c>
      <c r="E3204" t="s">
        <v>39</v>
      </c>
      <c r="F3204">
        <v>191.53</v>
      </c>
      <c r="G3204" t="s">
        <v>14</v>
      </c>
      <c r="H3204" t="s">
        <v>15</v>
      </c>
      <c r="I3204">
        <v>3</v>
      </c>
      <c r="J3204">
        <v>9</v>
      </c>
      <c r="K3204">
        <v>2</v>
      </c>
      <c r="L3204" s="4">
        <v>210.47252747252747</v>
      </c>
      <c r="M3204" s="4">
        <v>18.942527472527473</v>
      </c>
      <c r="N3204" t="s">
        <v>95</v>
      </c>
    </row>
    <row r="3205" spans="1:14">
      <c r="A3205">
        <v>3204</v>
      </c>
      <c r="B3205">
        <v>70</v>
      </c>
      <c r="C3205" t="s">
        <v>11</v>
      </c>
      <c r="D3205" t="s">
        <v>29</v>
      </c>
      <c r="E3205" t="s">
        <v>30</v>
      </c>
      <c r="F3205">
        <v>132.43</v>
      </c>
      <c r="G3205" t="s">
        <v>31</v>
      </c>
      <c r="H3205" t="s">
        <v>15</v>
      </c>
      <c r="I3205">
        <v>4.3</v>
      </c>
      <c r="J3205">
        <v>16</v>
      </c>
      <c r="K3205">
        <v>3</v>
      </c>
      <c r="L3205" s="4">
        <v>157.65476190476193</v>
      </c>
      <c r="M3205" s="4">
        <v>25.22476190476192</v>
      </c>
      <c r="N3205" t="s">
        <v>95</v>
      </c>
    </row>
    <row r="3206" spans="1:14">
      <c r="A3206">
        <v>3205</v>
      </c>
      <c r="B3206">
        <v>48</v>
      </c>
      <c r="C3206" t="s">
        <v>11</v>
      </c>
      <c r="D3206" t="s">
        <v>29</v>
      </c>
      <c r="E3206" t="s">
        <v>55</v>
      </c>
      <c r="F3206">
        <v>69.75</v>
      </c>
      <c r="G3206" t="s">
        <v>24</v>
      </c>
      <c r="H3206" t="s">
        <v>15</v>
      </c>
      <c r="I3206">
        <v>3.7</v>
      </c>
      <c r="J3206">
        <v>2</v>
      </c>
      <c r="K3206">
        <v>1</v>
      </c>
      <c r="L3206" s="4">
        <v>71.173469387755105</v>
      </c>
      <c r="M3206" s="4">
        <v>1.4234693877551052</v>
      </c>
      <c r="N3206" t="s">
        <v>93</v>
      </c>
    </row>
    <row r="3207" spans="1:14">
      <c r="A3207">
        <v>3206</v>
      </c>
      <c r="B3207">
        <v>35</v>
      </c>
      <c r="C3207" t="s">
        <v>16</v>
      </c>
      <c r="D3207" t="s">
        <v>33</v>
      </c>
      <c r="E3207" t="s">
        <v>34</v>
      </c>
      <c r="F3207">
        <v>85.09</v>
      </c>
      <c r="G3207" t="s">
        <v>19</v>
      </c>
      <c r="H3207" t="s">
        <v>15</v>
      </c>
      <c r="I3207">
        <v>2.8</v>
      </c>
      <c r="J3207">
        <v>20</v>
      </c>
      <c r="K3207">
        <v>5</v>
      </c>
      <c r="L3207" s="4">
        <v>106.3625</v>
      </c>
      <c r="M3207" s="4">
        <v>21.272499999999994</v>
      </c>
      <c r="N3207" t="s">
        <v>92</v>
      </c>
    </row>
    <row r="3208" spans="1:14">
      <c r="A3208">
        <v>3207</v>
      </c>
      <c r="B3208">
        <v>61</v>
      </c>
      <c r="C3208" t="s">
        <v>16</v>
      </c>
      <c r="D3208" t="s">
        <v>17</v>
      </c>
      <c r="E3208" t="s">
        <v>18</v>
      </c>
      <c r="F3208">
        <v>46.79</v>
      </c>
      <c r="G3208" t="s">
        <v>24</v>
      </c>
      <c r="H3208" t="s">
        <v>37</v>
      </c>
      <c r="I3208">
        <v>3.8</v>
      </c>
      <c r="J3208">
        <v>13</v>
      </c>
      <c r="K3208">
        <v>4</v>
      </c>
      <c r="L3208" s="4">
        <v>53.781609195402297</v>
      </c>
      <c r="M3208" s="4">
        <v>6.9916091954022974</v>
      </c>
      <c r="N3208" t="s">
        <v>94</v>
      </c>
    </row>
    <row r="3209" spans="1:14">
      <c r="A3209">
        <v>3208</v>
      </c>
      <c r="B3209">
        <v>55</v>
      </c>
      <c r="C3209" t="s">
        <v>16</v>
      </c>
      <c r="D3209" t="s">
        <v>20</v>
      </c>
      <c r="E3209" t="s">
        <v>21</v>
      </c>
      <c r="F3209">
        <v>164.44</v>
      </c>
      <c r="G3209" t="s">
        <v>14</v>
      </c>
      <c r="H3209" t="s">
        <v>15</v>
      </c>
      <c r="I3209">
        <v>3.7</v>
      </c>
      <c r="J3209">
        <v>12</v>
      </c>
      <c r="K3209">
        <v>6</v>
      </c>
      <c r="L3209" s="4">
        <v>186.86363636363637</v>
      </c>
      <c r="M3209" s="4">
        <v>22.423636363636376</v>
      </c>
      <c r="N3209" t="s">
        <v>94</v>
      </c>
    </row>
    <row r="3210" spans="1:14">
      <c r="A3210">
        <v>3209</v>
      </c>
      <c r="B3210">
        <v>50</v>
      </c>
      <c r="C3210" t="s">
        <v>16</v>
      </c>
      <c r="D3210" t="s">
        <v>17</v>
      </c>
      <c r="E3210" t="s">
        <v>48</v>
      </c>
      <c r="F3210">
        <v>73.98</v>
      </c>
      <c r="G3210" t="s">
        <v>19</v>
      </c>
      <c r="H3210" t="s">
        <v>15</v>
      </c>
      <c r="I3210">
        <v>5</v>
      </c>
      <c r="J3210">
        <v>23</v>
      </c>
      <c r="K3210">
        <v>9</v>
      </c>
      <c r="L3210" s="4">
        <v>96.077922077922082</v>
      </c>
      <c r="M3210" s="4">
        <v>22.097922077922078</v>
      </c>
      <c r="N3210" t="s">
        <v>93</v>
      </c>
    </row>
    <row r="3211" spans="1:14">
      <c r="A3211">
        <v>3210</v>
      </c>
      <c r="B3211">
        <v>23</v>
      </c>
      <c r="C3211" t="s">
        <v>11</v>
      </c>
      <c r="D3211" t="s">
        <v>29</v>
      </c>
      <c r="E3211" t="s">
        <v>51</v>
      </c>
      <c r="F3211">
        <v>145.91</v>
      </c>
      <c r="G3211" t="s">
        <v>31</v>
      </c>
      <c r="H3211" t="s">
        <v>15</v>
      </c>
      <c r="I3211">
        <v>3.3</v>
      </c>
      <c r="J3211">
        <v>18</v>
      </c>
      <c r="K3211">
        <v>4</v>
      </c>
      <c r="L3211" s="4">
        <v>177.93902439024387</v>
      </c>
      <c r="M3211" s="4">
        <v>32.029024390243876</v>
      </c>
      <c r="N3211" t="s">
        <v>100</v>
      </c>
    </row>
    <row r="3212" spans="1:14">
      <c r="A3212">
        <v>3211</v>
      </c>
      <c r="B3212">
        <v>26</v>
      </c>
      <c r="C3212" t="s">
        <v>16</v>
      </c>
      <c r="D3212" t="s">
        <v>33</v>
      </c>
      <c r="E3212" t="s">
        <v>38</v>
      </c>
      <c r="F3212">
        <v>189.03</v>
      </c>
      <c r="G3212" t="s">
        <v>31</v>
      </c>
      <c r="H3212" t="s">
        <v>15</v>
      </c>
      <c r="I3212">
        <v>4.2</v>
      </c>
      <c r="J3212">
        <v>10</v>
      </c>
      <c r="K3212">
        <v>5</v>
      </c>
      <c r="L3212" s="4">
        <v>210.03333333333333</v>
      </c>
      <c r="M3212" s="4">
        <v>21.00333333333333</v>
      </c>
      <c r="N3212" t="s">
        <v>91</v>
      </c>
    </row>
    <row r="3213" spans="1:14">
      <c r="A3213">
        <v>3212</v>
      </c>
      <c r="B3213">
        <v>41</v>
      </c>
      <c r="C3213" t="s">
        <v>11</v>
      </c>
      <c r="D3213" t="s">
        <v>29</v>
      </c>
      <c r="E3213" t="s">
        <v>51</v>
      </c>
      <c r="F3213">
        <v>105.87</v>
      </c>
      <c r="G3213" t="s">
        <v>31</v>
      </c>
      <c r="H3213" t="s">
        <v>15</v>
      </c>
      <c r="I3213">
        <v>4.9000000000000004</v>
      </c>
      <c r="J3213">
        <v>13</v>
      </c>
      <c r="K3213">
        <v>4</v>
      </c>
      <c r="L3213" s="4">
        <v>121.68965517241379</v>
      </c>
      <c r="M3213" s="4">
        <v>15.819655172413789</v>
      </c>
      <c r="N3213" t="s">
        <v>92</v>
      </c>
    </row>
    <row r="3214" spans="1:14">
      <c r="A3214">
        <v>3213</v>
      </c>
      <c r="B3214">
        <v>45</v>
      </c>
      <c r="C3214" t="s">
        <v>16</v>
      </c>
      <c r="D3214" t="s">
        <v>22</v>
      </c>
      <c r="E3214" t="s">
        <v>23</v>
      </c>
      <c r="F3214">
        <v>170.97</v>
      </c>
      <c r="G3214" t="s">
        <v>24</v>
      </c>
      <c r="H3214" t="s">
        <v>15</v>
      </c>
      <c r="I3214">
        <v>4.4000000000000004</v>
      </c>
      <c r="J3214">
        <v>12</v>
      </c>
      <c r="K3214">
        <v>6</v>
      </c>
      <c r="L3214" s="4">
        <v>194.28409090909091</v>
      </c>
      <c r="M3214" s="4">
        <v>23.314090909090908</v>
      </c>
      <c r="N3214" t="s">
        <v>93</v>
      </c>
    </row>
    <row r="3215" spans="1:14">
      <c r="A3215">
        <v>3214</v>
      </c>
      <c r="B3215">
        <v>27</v>
      </c>
      <c r="C3215" t="s">
        <v>11</v>
      </c>
      <c r="D3215" t="s">
        <v>33</v>
      </c>
      <c r="E3215" t="s">
        <v>40</v>
      </c>
      <c r="F3215">
        <v>77.2</v>
      </c>
      <c r="G3215" t="s">
        <v>24</v>
      </c>
      <c r="H3215" t="s">
        <v>37</v>
      </c>
      <c r="I3215">
        <v>4.2</v>
      </c>
      <c r="J3215">
        <v>15</v>
      </c>
      <c r="K3215">
        <v>5</v>
      </c>
      <c r="L3215" s="4">
        <v>90.82352941176471</v>
      </c>
      <c r="M3215" s="4">
        <v>13.623529411764707</v>
      </c>
      <c r="N3215" t="s">
        <v>91</v>
      </c>
    </row>
    <row r="3216" spans="1:14">
      <c r="A3216">
        <v>3215</v>
      </c>
      <c r="B3216">
        <v>21</v>
      </c>
      <c r="C3216" t="s">
        <v>11</v>
      </c>
      <c r="D3216" t="s">
        <v>29</v>
      </c>
      <c r="E3216" t="s">
        <v>55</v>
      </c>
      <c r="F3216">
        <v>147</v>
      </c>
      <c r="G3216" t="s">
        <v>24</v>
      </c>
      <c r="H3216" t="s">
        <v>15</v>
      </c>
      <c r="I3216">
        <v>3.4</v>
      </c>
      <c r="J3216">
        <v>8</v>
      </c>
      <c r="K3216">
        <v>4</v>
      </c>
      <c r="L3216" s="4">
        <v>159.78260869565216</v>
      </c>
      <c r="M3216" s="4">
        <v>12.782608695652158</v>
      </c>
      <c r="N3216" t="s">
        <v>100</v>
      </c>
    </row>
    <row r="3217" spans="1:14">
      <c r="A3217">
        <v>3216</v>
      </c>
      <c r="B3217">
        <v>46</v>
      </c>
      <c r="C3217" t="s">
        <v>11</v>
      </c>
      <c r="D3217" t="s">
        <v>41</v>
      </c>
      <c r="E3217" t="s">
        <v>44</v>
      </c>
      <c r="F3217">
        <v>30.57</v>
      </c>
      <c r="G3217" t="s">
        <v>24</v>
      </c>
      <c r="H3217" t="s">
        <v>15</v>
      </c>
      <c r="I3217">
        <v>4.2</v>
      </c>
      <c r="J3217">
        <v>6</v>
      </c>
      <c r="K3217">
        <v>3</v>
      </c>
      <c r="L3217" s="4">
        <v>32.521276595744681</v>
      </c>
      <c r="M3217" s="4">
        <v>1.9512765957446803</v>
      </c>
      <c r="N3217" t="s">
        <v>93</v>
      </c>
    </row>
    <row r="3218" spans="1:14">
      <c r="A3218">
        <v>3217</v>
      </c>
      <c r="B3218">
        <v>23</v>
      </c>
      <c r="C3218" t="s">
        <v>16</v>
      </c>
      <c r="D3218" t="s">
        <v>33</v>
      </c>
      <c r="E3218" t="s">
        <v>40</v>
      </c>
      <c r="F3218">
        <v>232.37</v>
      </c>
      <c r="G3218" t="s">
        <v>14</v>
      </c>
      <c r="H3218" t="s">
        <v>15</v>
      </c>
      <c r="I3218">
        <v>4.2</v>
      </c>
      <c r="J3218">
        <v>23</v>
      </c>
      <c r="K3218">
        <v>9</v>
      </c>
      <c r="L3218" s="4">
        <v>301.77922077922079</v>
      </c>
      <c r="M3218" s="4">
        <v>69.409220779220789</v>
      </c>
      <c r="N3218" t="s">
        <v>100</v>
      </c>
    </row>
    <row r="3219" spans="1:14">
      <c r="A3219">
        <v>3218</v>
      </c>
      <c r="B3219">
        <v>59</v>
      </c>
      <c r="C3219" t="s">
        <v>16</v>
      </c>
      <c r="D3219" t="s">
        <v>20</v>
      </c>
      <c r="E3219" t="s">
        <v>36</v>
      </c>
      <c r="F3219">
        <v>234.52</v>
      </c>
      <c r="G3219" t="s">
        <v>24</v>
      </c>
      <c r="H3219" t="s">
        <v>15</v>
      </c>
      <c r="I3219">
        <v>4.0999999999999996</v>
      </c>
      <c r="J3219">
        <v>22</v>
      </c>
      <c r="K3219">
        <v>6</v>
      </c>
      <c r="L3219" s="4">
        <v>300.66666666666669</v>
      </c>
      <c r="M3219" s="4">
        <v>66.146666666666675</v>
      </c>
      <c r="N3219" t="s">
        <v>94</v>
      </c>
    </row>
    <row r="3220" spans="1:14">
      <c r="A3220">
        <v>3219</v>
      </c>
      <c r="B3220">
        <v>52</v>
      </c>
      <c r="C3220" t="s">
        <v>11</v>
      </c>
      <c r="D3220" t="s">
        <v>29</v>
      </c>
      <c r="E3220" t="s">
        <v>30</v>
      </c>
      <c r="F3220">
        <v>130.99</v>
      </c>
      <c r="G3220" t="s">
        <v>24</v>
      </c>
      <c r="H3220" t="s">
        <v>15</v>
      </c>
      <c r="I3220">
        <v>5</v>
      </c>
      <c r="J3220">
        <v>24</v>
      </c>
      <c r="K3220">
        <v>7</v>
      </c>
      <c r="L3220" s="4">
        <v>172.35526315789474</v>
      </c>
      <c r="M3220" s="4">
        <v>41.365263157894731</v>
      </c>
      <c r="N3220" t="s">
        <v>93</v>
      </c>
    </row>
    <row r="3221" spans="1:14">
      <c r="A3221">
        <v>3220</v>
      </c>
      <c r="B3221">
        <v>36</v>
      </c>
      <c r="C3221" t="s">
        <v>16</v>
      </c>
      <c r="D3221" t="s">
        <v>20</v>
      </c>
      <c r="E3221" t="s">
        <v>21</v>
      </c>
      <c r="F3221">
        <v>51.47</v>
      </c>
      <c r="G3221" t="s">
        <v>24</v>
      </c>
      <c r="H3221" t="s">
        <v>15</v>
      </c>
      <c r="I3221">
        <v>2.4</v>
      </c>
      <c r="J3221">
        <v>6</v>
      </c>
      <c r="K3221">
        <v>3</v>
      </c>
      <c r="L3221" s="4">
        <v>54.755319148936174</v>
      </c>
      <c r="M3221" s="4">
        <v>3.2853191489361748</v>
      </c>
      <c r="N3221" t="s">
        <v>92</v>
      </c>
    </row>
    <row r="3222" spans="1:14">
      <c r="A3222">
        <v>3221</v>
      </c>
      <c r="B3222">
        <v>40</v>
      </c>
      <c r="C3222" t="s">
        <v>11</v>
      </c>
      <c r="D3222" t="s">
        <v>12</v>
      </c>
      <c r="E3222" t="s">
        <v>50</v>
      </c>
      <c r="F3222">
        <v>160.63</v>
      </c>
      <c r="G3222" t="s">
        <v>31</v>
      </c>
      <c r="H3222" t="s">
        <v>15</v>
      </c>
      <c r="I3222">
        <v>2.8</v>
      </c>
      <c r="J3222">
        <v>14</v>
      </c>
      <c r="K3222">
        <v>7</v>
      </c>
      <c r="L3222" s="4">
        <v>186.77906976744185</v>
      </c>
      <c r="M3222" s="4">
        <v>26.149069767441858</v>
      </c>
      <c r="N3222" t="s">
        <v>92</v>
      </c>
    </row>
    <row r="3223" spans="1:14">
      <c r="A3223">
        <v>3222</v>
      </c>
      <c r="B3223">
        <v>50</v>
      </c>
      <c r="C3223" t="s">
        <v>16</v>
      </c>
      <c r="D3223" t="s">
        <v>22</v>
      </c>
      <c r="E3223" t="s">
        <v>52</v>
      </c>
      <c r="F3223">
        <v>122.41</v>
      </c>
      <c r="G3223" t="s">
        <v>19</v>
      </c>
      <c r="H3223" t="s">
        <v>15</v>
      </c>
      <c r="I3223">
        <v>3.9</v>
      </c>
      <c r="J3223">
        <v>16</v>
      </c>
      <c r="K3223">
        <v>8</v>
      </c>
      <c r="L3223" s="4">
        <v>145.72619047619048</v>
      </c>
      <c r="M3223" s="4">
        <v>23.316190476190485</v>
      </c>
      <c r="N3223" t="s">
        <v>93</v>
      </c>
    </row>
    <row r="3224" spans="1:14">
      <c r="A3224">
        <v>3223</v>
      </c>
      <c r="B3224">
        <v>39</v>
      </c>
      <c r="C3224" t="s">
        <v>16</v>
      </c>
      <c r="D3224" t="s">
        <v>22</v>
      </c>
      <c r="E3224" t="s">
        <v>43</v>
      </c>
      <c r="F3224">
        <v>113.22</v>
      </c>
      <c r="G3224" t="s">
        <v>19</v>
      </c>
      <c r="H3224" t="s">
        <v>15</v>
      </c>
      <c r="I3224">
        <v>3.1</v>
      </c>
      <c r="J3224">
        <v>30</v>
      </c>
      <c r="K3224">
        <v>10</v>
      </c>
      <c r="L3224" s="4">
        <v>161.74285714285716</v>
      </c>
      <c r="M3224" s="4">
        <v>48.522857142857163</v>
      </c>
      <c r="N3224" t="s">
        <v>92</v>
      </c>
    </row>
    <row r="3225" spans="1:14">
      <c r="A3225">
        <v>3224</v>
      </c>
      <c r="B3225">
        <v>65</v>
      </c>
      <c r="C3225" t="s">
        <v>11</v>
      </c>
      <c r="D3225" t="s">
        <v>29</v>
      </c>
      <c r="E3225" t="s">
        <v>51</v>
      </c>
      <c r="F3225">
        <v>84.88</v>
      </c>
      <c r="G3225" t="s">
        <v>24</v>
      </c>
      <c r="H3225" t="s">
        <v>37</v>
      </c>
      <c r="I3225">
        <v>2.7</v>
      </c>
      <c r="J3225">
        <v>18</v>
      </c>
      <c r="K3225">
        <v>4</v>
      </c>
      <c r="L3225" s="4">
        <v>103.51219512195121</v>
      </c>
      <c r="M3225" s="4">
        <v>18.632195121951213</v>
      </c>
      <c r="N3225" t="s">
        <v>95</v>
      </c>
    </row>
    <row r="3226" spans="1:14">
      <c r="A3226">
        <v>3225</v>
      </c>
      <c r="B3226">
        <v>52</v>
      </c>
      <c r="C3226" t="s">
        <v>11</v>
      </c>
      <c r="D3226" t="s">
        <v>29</v>
      </c>
      <c r="E3226" t="s">
        <v>55</v>
      </c>
      <c r="F3226">
        <v>22.73</v>
      </c>
      <c r="G3226" t="s">
        <v>19</v>
      </c>
      <c r="H3226" t="s">
        <v>15</v>
      </c>
      <c r="I3226">
        <v>3.4</v>
      </c>
      <c r="J3226">
        <v>6</v>
      </c>
      <c r="K3226">
        <v>3</v>
      </c>
      <c r="L3226" s="4">
        <v>24.180851063829788</v>
      </c>
      <c r="M3226" s="4">
        <v>1.4508510638297878</v>
      </c>
      <c r="N3226" t="s">
        <v>93</v>
      </c>
    </row>
    <row r="3227" spans="1:14">
      <c r="A3227">
        <v>3226</v>
      </c>
      <c r="B3227">
        <v>54</v>
      </c>
      <c r="C3227" t="s">
        <v>11</v>
      </c>
      <c r="D3227" t="s">
        <v>33</v>
      </c>
      <c r="E3227" t="s">
        <v>40</v>
      </c>
      <c r="F3227">
        <v>226.11</v>
      </c>
      <c r="G3227" t="s">
        <v>31</v>
      </c>
      <c r="H3227" t="s">
        <v>15</v>
      </c>
      <c r="I3227">
        <v>4.5</v>
      </c>
      <c r="J3227">
        <v>17</v>
      </c>
      <c r="K3227">
        <v>6</v>
      </c>
      <c r="L3227" s="4">
        <v>272.42168674698797</v>
      </c>
      <c r="M3227" s="4">
        <v>46.311686746987959</v>
      </c>
      <c r="N3227" t="s">
        <v>93</v>
      </c>
    </row>
    <row r="3228" spans="1:14">
      <c r="A3228">
        <v>3227</v>
      </c>
      <c r="B3228">
        <v>64</v>
      </c>
      <c r="C3228" t="s">
        <v>11</v>
      </c>
      <c r="D3228" t="s">
        <v>20</v>
      </c>
      <c r="E3228" t="s">
        <v>36</v>
      </c>
      <c r="F3228">
        <v>208.59</v>
      </c>
      <c r="G3228" t="s">
        <v>19</v>
      </c>
      <c r="H3228" t="s">
        <v>15</v>
      </c>
      <c r="I3228">
        <v>2.8</v>
      </c>
      <c r="J3228">
        <v>8</v>
      </c>
      <c r="K3228">
        <v>4</v>
      </c>
      <c r="L3228" s="4">
        <v>226.72826086956522</v>
      </c>
      <c r="M3228" s="4">
        <v>18.138260869565215</v>
      </c>
      <c r="N3228" t="s">
        <v>94</v>
      </c>
    </row>
    <row r="3229" spans="1:14">
      <c r="A3229">
        <v>3228</v>
      </c>
      <c r="B3229">
        <v>53</v>
      </c>
      <c r="C3229" t="s">
        <v>16</v>
      </c>
      <c r="D3229" t="s">
        <v>20</v>
      </c>
      <c r="E3229" t="s">
        <v>21</v>
      </c>
      <c r="F3229">
        <v>120.33</v>
      </c>
      <c r="G3229" t="s">
        <v>19</v>
      </c>
      <c r="H3229" t="s">
        <v>15</v>
      </c>
      <c r="I3229">
        <v>3.7</v>
      </c>
      <c r="J3229">
        <v>6</v>
      </c>
      <c r="K3229">
        <v>3</v>
      </c>
      <c r="L3229" s="4">
        <v>128.01063829787233</v>
      </c>
      <c r="M3229" s="4">
        <v>7.6806382978723349</v>
      </c>
      <c r="N3229" t="s">
        <v>93</v>
      </c>
    </row>
    <row r="3230" spans="1:14">
      <c r="A3230">
        <v>3229</v>
      </c>
      <c r="B3230">
        <v>29</v>
      </c>
      <c r="C3230" t="s">
        <v>16</v>
      </c>
      <c r="D3230" t="s">
        <v>25</v>
      </c>
      <c r="E3230" t="s">
        <v>47</v>
      </c>
      <c r="F3230">
        <v>41.86</v>
      </c>
      <c r="G3230" t="s">
        <v>19</v>
      </c>
      <c r="H3230" t="s">
        <v>37</v>
      </c>
      <c r="I3230">
        <v>4</v>
      </c>
      <c r="J3230">
        <v>18</v>
      </c>
      <c r="K3230">
        <v>4</v>
      </c>
      <c r="L3230" s="4">
        <v>51.048780487804876</v>
      </c>
      <c r="M3230" s="4">
        <v>9.1887804878048769</v>
      </c>
      <c r="N3230" t="s">
        <v>91</v>
      </c>
    </row>
    <row r="3231" spans="1:14">
      <c r="A3231">
        <v>3230</v>
      </c>
      <c r="B3231">
        <v>50</v>
      </c>
      <c r="C3231" t="s">
        <v>16</v>
      </c>
      <c r="D3231" t="s">
        <v>20</v>
      </c>
      <c r="E3231" t="s">
        <v>39</v>
      </c>
      <c r="F3231">
        <v>31.06</v>
      </c>
      <c r="G3231" t="s">
        <v>24</v>
      </c>
      <c r="H3231" t="s">
        <v>15</v>
      </c>
      <c r="I3231">
        <v>3</v>
      </c>
      <c r="J3231">
        <v>12</v>
      </c>
      <c r="K3231">
        <v>6</v>
      </c>
      <c r="L3231" s="4">
        <v>35.295454545454547</v>
      </c>
      <c r="M3231" s="4">
        <v>4.235454545454548</v>
      </c>
      <c r="N3231" t="s">
        <v>93</v>
      </c>
    </row>
    <row r="3232" spans="1:14">
      <c r="A3232">
        <v>3231</v>
      </c>
      <c r="B3232">
        <v>51</v>
      </c>
      <c r="C3232" t="s">
        <v>16</v>
      </c>
      <c r="D3232" t="s">
        <v>33</v>
      </c>
      <c r="E3232" t="s">
        <v>38</v>
      </c>
      <c r="F3232">
        <v>46.87</v>
      </c>
      <c r="G3232" t="s">
        <v>31</v>
      </c>
      <c r="H3232" t="s">
        <v>37</v>
      </c>
      <c r="I3232">
        <v>3.5</v>
      </c>
      <c r="J3232">
        <v>15</v>
      </c>
      <c r="K3232">
        <v>5</v>
      </c>
      <c r="L3232" s="4">
        <v>55.141176470588235</v>
      </c>
      <c r="M3232" s="4">
        <v>8.2711764705882374</v>
      </c>
      <c r="N3232" t="s">
        <v>93</v>
      </c>
    </row>
    <row r="3233" spans="1:14">
      <c r="A3233">
        <v>3232</v>
      </c>
      <c r="B3233">
        <v>70</v>
      </c>
      <c r="C3233" t="s">
        <v>11</v>
      </c>
      <c r="D3233" t="s">
        <v>12</v>
      </c>
      <c r="E3233" t="s">
        <v>56</v>
      </c>
      <c r="F3233">
        <v>124.66</v>
      </c>
      <c r="G3233" t="s">
        <v>19</v>
      </c>
      <c r="H3233" t="s">
        <v>15</v>
      </c>
      <c r="I3233">
        <v>4.5999999999999996</v>
      </c>
      <c r="J3233">
        <v>19</v>
      </c>
      <c r="K3233">
        <v>7</v>
      </c>
      <c r="L3233" s="4">
        <v>153.90123456790121</v>
      </c>
      <c r="M3233" s="4">
        <v>29.241234567901216</v>
      </c>
      <c r="N3233" t="s">
        <v>95</v>
      </c>
    </row>
    <row r="3234" spans="1:14">
      <c r="A3234">
        <v>3233</v>
      </c>
      <c r="B3234">
        <v>32</v>
      </c>
      <c r="C3234" t="s">
        <v>11</v>
      </c>
      <c r="D3234" t="s">
        <v>22</v>
      </c>
      <c r="E3234" t="s">
        <v>43</v>
      </c>
      <c r="F3234">
        <v>101.07</v>
      </c>
      <c r="G3234" t="s">
        <v>24</v>
      </c>
      <c r="H3234" t="s">
        <v>15</v>
      </c>
      <c r="I3234">
        <v>3.6</v>
      </c>
      <c r="J3234">
        <v>6</v>
      </c>
      <c r="K3234">
        <v>3</v>
      </c>
      <c r="L3234" s="4">
        <v>107.52127659574468</v>
      </c>
      <c r="M3234" s="4">
        <v>6.4512765957446874</v>
      </c>
      <c r="N3234" t="s">
        <v>91</v>
      </c>
    </row>
    <row r="3235" spans="1:14">
      <c r="A3235">
        <v>3234</v>
      </c>
      <c r="B3235">
        <v>69</v>
      </c>
      <c r="C3235" t="s">
        <v>16</v>
      </c>
      <c r="D3235" t="s">
        <v>20</v>
      </c>
      <c r="E3235" t="s">
        <v>21</v>
      </c>
      <c r="F3235">
        <v>169.69</v>
      </c>
      <c r="G3235" t="s">
        <v>14</v>
      </c>
      <c r="H3235" t="s">
        <v>15</v>
      </c>
      <c r="I3235">
        <v>3.8</v>
      </c>
      <c r="J3235">
        <v>4</v>
      </c>
      <c r="K3235">
        <v>2</v>
      </c>
      <c r="L3235" s="4">
        <v>176.76041666666666</v>
      </c>
      <c r="M3235" s="4">
        <v>7.0704166666666595</v>
      </c>
      <c r="N3235" t="s">
        <v>95</v>
      </c>
    </row>
    <row r="3236" spans="1:14">
      <c r="A3236">
        <v>3235</v>
      </c>
      <c r="B3236">
        <v>38</v>
      </c>
      <c r="C3236" t="s">
        <v>11</v>
      </c>
      <c r="D3236" t="s">
        <v>12</v>
      </c>
      <c r="E3236" t="s">
        <v>13</v>
      </c>
      <c r="F3236">
        <v>123.74</v>
      </c>
      <c r="G3236" t="s">
        <v>14</v>
      </c>
      <c r="H3236" t="s">
        <v>15</v>
      </c>
      <c r="I3236">
        <v>3.8</v>
      </c>
      <c r="J3236">
        <v>14</v>
      </c>
      <c r="K3236">
        <v>7</v>
      </c>
      <c r="L3236" s="4">
        <v>143.88372093023256</v>
      </c>
      <c r="M3236" s="4">
        <v>20.143720930232561</v>
      </c>
      <c r="N3236" t="s">
        <v>92</v>
      </c>
    </row>
    <row r="3237" spans="1:14">
      <c r="A3237">
        <v>3236</v>
      </c>
      <c r="B3237">
        <v>45</v>
      </c>
      <c r="C3237" t="s">
        <v>16</v>
      </c>
      <c r="D3237" t="s">
        <v>33</v>
      </c>
      <c r="E3237" t="s">
        <v>40</v>
      </c>
      <c r="F3237">
        <v>118.39</v>
      </c>
      <c r="G3237" t="s">
        <v>24</v>
      </c>
      <c r="H3237" t="s">
        <v>15</v>
      </c>
      <c r="I3237">
        <v>5</v>
      </c>
      <c r="J3237">
        <v>18</v>
      </c>
      <c r="K3237">
        <v>4</v>
      </c>
      <c r="L3237" s="4">
        <v>144.3780487804878</v>
      </c>
      <c r="M3237" s="4">
        <v>25.988048780487802</v>
      </c>
      <c r="N3237" t="s">
        <v>93</v>
      </c>
    </row>
    <row r="3238" spans="1:14">
      <c r="A3238">
        <v>3237</v>
      </c>
      <c r="B3238">
        <v>47</v>
      </c>
      <c r="C3238" t="s">
        <v>11</v>
      </c>
      <c r="D3238" t="s">
        <v>12</v>
      </c>
      <c r="E3238" t="s">
        <v>13</v>
      </c>
      <c r="F3238">
        <v>167.42</v>
      </c>
      <c r="G3238" t="s">
        <v>14</v>
      </c>
      <c r="H3238" t="s">
        <v>15</v>
      </c>
      <c r="I3238">
        <v>4.0999999999999996</v>
      </c>
      <c r="J3238">
        <v>13</v>
      </c>
      <c r="K3238">
        <v>4</v>
      </c>
      <c r="L3238" s="4">
        <v>192.43678160919538</v>
      </c>
      <c r="M3238" s="4">
        <v>25.016781609195391</v>
      </c>
      <c r="N3238" t="s">
        <v>93</v>
      </c>
    </row>
    <row r="3239" spans="1:14">
      <c r="A3239">
        <v>3238</v>
      </c>
      <c r="B3239">
        <v>65</v>
      </c>
      <c r="C3239" t="s">
        <v>16</v>
      </c>
      <c r="D3239" t="s">
        <v>22</v>
      </c>
      <c r="E3239" t="s">
        <v>23</v>
      </c>
      <c r="F3239">
        <v>113.63</v>
      </c>
      <c r="G3239" t="s">
        <v>14</v>
      </c>
      <c r="H3239" t="s">
        <v>15</v>
      </c>
      <c r="I3239">
        <v>3.2</v>
      </c>
      <c r="J3239">
        <v>8</v>
      </c>
      <c r="K3239">
        <v>4</v>
      </c>
      <c r="L3239" s="4">
        <v>123.51086956521738</v>
      </c>
      <c r="M3239" s="4">
        <v>9.880869565217381</v>
      </c>
      <c r="N3239" t="s">
        <v>95</v>
      </c>
    </row>
    <row r="3240" spans="1:14">
      <c r="A3240">
        <v>3239</v>
      </c>
      <c r="B3240">
        <v>62</v>
      </c>
      <c r="C3240" t="s">
        <v>11</v>
      </c>
      <c r="D3240" t="s">
        <v>12</v>
      </c>
      <c r="E3240" t="s">
        <v>13</v>
      </c>
      <c r="F3240">
        <v>61.6</v>
      </c>
      <c r="G3240" t="s">
        <v>14</v>
      </c>
      <c r="H3240" t="s">
        <v>15</v>
      </c>
      <c r="I3240">
        <v>3.9</v>
      </c>
      <c r="J3240">
        <v>10</v>
      </c>
      <c r="K3240">
        <v>5</v>
      </c>
      <c r="L3240" s="4">
        <v>68.444444444444443</v>
      </c>
      <c r="M3240" s="4">
        <v>6.8444444444444414</v>
      </c>
      <c r="N3240" t="s">
        <v>94</v>
      </c>
    </row>
    <row r="3241" spans="1:14">
      <c r="A3241">
        <v>3240</v>
      </c>
      <c r="B3241">
        <v>41</v>
      </c>
      <c r="C3241" t="s">
        <v>11</v>
      </c>
      <c r="D3241" t="s">
        <v>29</v>
      </c>
      <c r="E3241" t="s">
        <v>51</v>
      </c>
      <c r="F3241">
        <v>29.6</v>
      </c>
      <c r="G3241" t="s">
        <v>14</v>
      </c>
      <c r="H3241" t="s">
        <v>15</v>
      </c>
      <c r="I3241">
        <v>3.5</v>
      </c>
      <c r="J3241">
        <v>8</v>
      </c>
      <c r="K3241">
        <v>4</v>
      </c>
      <c r="L3241" s="4">
        <v>32.173913043478258</v>
      </c>
      <c r="M3241" s="4">
        <v>2.5739130434782567</v>
      </c>
      <c r="N3241" t="s">
        <v>92</v>
      </c>
    </row>
    <row r="3242" spans="1:14">
      <c r="A3242">
        <v>3241</v>
      </c>
      <c r="B3242">
        <v>60</v>
      </c>
      <c r="C3242" t="s">
        <v>11</v>
      </c>
      <c r="D3242" t="s">
        <v>29</v>
      </c>
      <c r="E3242" t="s">
        <v>51</v>
      </c>
      <c r="F3242">
        <v>29.4</v>
      </c>
      <c r="G3242" t="s">
        <v>14</v>
      </c>
      <c r="H3242" t="s">
        <v>37</v>
      </c>
      <c r="I3242">
        <v>4.2</v>
      </c>
      <c r="J3242">
        <v>11</v>
      </c>
      <c r="K3242">
        <v>3</v>
      </c>
      <c r="L3242" s="4">
        <v>33.033707865168537</v>
      </c>
      <c r="M3242" s="4">
        <v>3.6337078651685388</v>
      </c>
      <c r="N3242" t="s">
        <v>94</v>
      </c>
    </row>
    <row r="3243" spans="1:14">
      <c r="A3243">
        <v>3242</v>
      </c>
      <c r="B3243">
        <v>36</v>
      </c>
      <c r="C3243" t="s">
        <v>11</v>
      </c>
      <c r="D3243" t="s">
        <v>20</v>
      </c>
      <c r="E3243" t="s">
        <v>36</v>
      </c>
      <c r="F3243">
        <v>172.71</v>
      </c>
      <c r="G3243" t="s">
        <v>31</v>
      </c>
      <c r="H3243" t="s">
        <v>15</v>
      </c>
      <c r="I3243">
        <v>4.4000000000000004</v>
      </c>
      <c r="J3243">
        <v>12</v>
      </c>
      <c r="K3243">
        <v>6</v>
      </c>
      <c r="L3243" s="4">
        <v>196.26136363636365</v>
      </c>
      <c r="M3243" s="4">
        <v>23.551363636363646</v>
      </c>
      <c r="N3243" t="s">
        <v>92</v>
      </c>
    </row>
    <row r="3244" spans="1:14">
      <c r="A3244">
        <v>3243</v>
      </c>
      <c r="B3244">
        <v>47</v>
      </c>
      <c r="C3244" t="s">
        <v>16</v>
      </c>
      <c r="D3244" t="s">
        <v>33</v>
      </c>
      <c r="E3244" t="s">
        <v>38</v>
      </c>
      <c r="F3244">
        <v>142.61000000000001</v>
      </c>
      <c r="G3244" t="s">
        <v>24</v>
      </c>
      <c r="H3244" t="s">
        <v>15</v>
      </c>
      <c r="I3244">
        <v>3.8</v>
      </c>
      <c r="J3244">
        <v>20</v>
      </c>
      <c r="K3244">
        <v>5</v>
      </c>
      <c r="L3244" s="4">
        <v>178.26250000000002</v>
      </c>
      <c r="M3244" s="4">
        <v>35.652500000000003</v>
      </c>
      <c r="N3244" t="s">
        <v>93</v>
      </c>
    </row>
    <row r="3245" spans="1:14">
      <c r="A3245">
        <v>3244</v>
      </c>
      <c r="B3245">
        <v>66</v>
      </c>
      <c r="C3245" t="s">
        <v>11</v>
      </c>
      <c r="D3245" t="s">
        <v>33</v>
      </c>
      <c r="E3245" t="s">
        <v>38</v>
      </c>
      <c r="F3245">
        <v>214.77</v>
      </c>
      <c r="G3245" t="s">
        <v>19</v>
      </c>
      <c r="H3245" t="s">
        <v>15</v>
      </c>
      <c r="I3245">
        <v>2.9</v>
      </c>
      <c r="J3245">
        <v>11</v>
      </c>
      <c r="K3245">
        <v>3</v>
      </c>
      <c r="L3245" s="4">
        <v>241.31460674157304</v>
      </c>
      <c r="M3245" s="4">
        <v>26.544606741573034</v>
      </c>
      <c r="N3245" t="s">
        <v>95</v>
      </c>
    </row>
    <row r="3246" spans="1:14">
      <c r="A3246">
        <v>3245</v>
      </c>
      <c r="B3246">
        <v>50</v>
      </c>
      <c r="C3246" t="s">
        <v>16</v>
      </c>
      <c r="D3246" t="s">
        <v>17</v>
      </c>
      <c r="E3246" t="s">
        <v>35</v>
      </c>
      <c r="F3246">
        <v>178.6</v>
      </c>
      <c r="G3246" t="s">
        <v>19</v>
      </c>
      <c r="H3246" t="s">
        <v>15</v>
      </c>
      <c r="I3246">
        <v>3.6</v>
      </c>
      <c r="J3246">
        <v>11</v>
      </c>
      <c r="K3246">
        <v>3</v>
      </c>
      <c r="L3246" s="4">
        <v>200.67415730337078</v>
      </c>
      <c r="M3246" s="4">
        <v>22.074157303370782</v>
      </c>
      <c r="N3246" t="s">
        <v>93</v>
      </c>
    </row>
    <row r="3247" spans="1:14">
      <c r="A3247">
        <v>3246</v>
      </c>
      <c r="B3247">
        <v>55</v>
      </c>
      <c r="C3247" t="s">
        <v>11</v>
      </c>
      <c r="D3247" t="s">
        <v>22</v>
      </c>
      <c r="E3247" t="s">
        <v>52</v>
      </c>
      <c r="F3247">
        <v>41.18</v>
      </c>
      <c r="G3247" t="s">
        <v>19</v>
      </c>
      <c r="H3247" t="s">
        <v>15</v>
      </c>
      <c r="I3247">
        <v>4.8</v>
      </c>
      <c r="J3247">
        <v>18</v>
      </c>
      <c r="K3247">
        <v>9</v>
      </c>
      <c r="L3247" s="4">
        <v>50.219512195121951</v>
      </c>
      <c r="M3247" s="4">
        <v>9.0395121951219508</v>
      </c>
      <c r="N3247" t="s">
        <v>94</v>
      </c>
    </row>
    <row r="3248" spans="1:14">
      <c r="A3248">
        <v>3247</v>
      </c>
      <c r="B3248">
        <v>54</v>
      </c>
      <c r="C3248" t="s">
        <v>11</v>
      </c>
      <c r="D3248" t="s">
        <v>29</v>
      </c>
      <c r="E3248" t="s">
        <v>55</v>
      </c>
      <c r="F3248">
        <v>117.16</v>
      </c>
      <c r="G3248" t="s">
        <v>24</v>
      </c>
      <c r="H3248" t="s">
        <v>15</v>
      </c>
      <c r="I3248">
        <v>4.3</v>
      </c>
      <c r="J3248">
        <v>28</v>
      </c>
      <c r="K3248">
        <v>9</v>
      </c>
      <c r="L3248" s="4">
        <v>162.72222222222223</v>
      </c>
      <c r="M3248" s="4">
        <v>45.562222222222232</v>
      </c>
      <c r="N3248" t="s">
        <v>93</v>
      </c>
    </row>
    <row r="3249" spans="1:14">
      <c r="A3249">
        <v>3248</v>
      </c>
      <c r="B3249">
        <v>21</v>
      </c>
      <c r="C3249" t="s">
        <v>16</v>
      </c>
      <c r="D3249" t="s">
        <v>20</v>
      </c>
      <c r="E3249" t="s">
        <v>39</v>
      </c>
      <c r="F3249">
        <v>65.959999999999994</v>
      </c>
      <c r="G3249" t="s">
        <v>31</v>
      </c>
      <c r="H3249" t="s">
        <v>15</v>
      </c>
      <c r="I3249">
        <v>5</v>
      </c>
      <c r="J3249">
        <v>22</v>
      </c>
      <c r="K3249">
        <v>6</v>
      </c>
      <c r="L3249" s="4">
        <v>84.564102564102555</v>
      </c>
      <c r="M3249" s="4">
        <v>18.604102564102561</v>
      </c>
      <c r="N3249" t="s">
        <v>100</v>
      </c>
    </row>
    <row r="3250" spans="1:14">
      <c r="A3250">
        <v>3249</v>
      </c>
      <c r="B3250">
        <v>41</v>
      </c>
      <c r="C3250" t="s">
        <v>11</v>
      </c>
      <c r="D3250" t="s">
        <v>29</v>
      </c>
      <c r="E3250" t="s">
        <v>30</v>
      </c>
      <c r="F3250">
        <v>48.64</v>
      </c>
      <c r="G3250" t="s">
        <v>31</v>
      </c>
      <c r="H3250" t="s">
        <v>15</v>
      </c>
      <c r="I3250">
        <v>2.7</v>
      </c>
      <c r="J3250">
        <v>8</v>
      </c>
      <c r="K3250">
        <v>4</v>
      </c>
      <c r="L3250" s="4">
        <v>52.869565217391305</v>
      </c>
      <c r="M3250" s="4">
        <v>4.2295652173913041</v>
      </c>
      <c r="N3250" t="s">
        <v>92</v>
      </c>
    </row>
    <row r="3251" spans="1:14">
      <c r="A3251">
        <v>3250</v>
      </c>
      <c r="B3251">
        <v>58</v>
      </c>
      <c r="C3251" t="s">
        <v>16</v>
      </c>
      <c r="D3251" t="s">
        <v>20</v>
      </c>
      <c r="E3251" t="s">
        <v>39</v>
      </c>
      <c r="F3251">
        <v>246.31</v>
      </c>
      <c r="G3251" t="s">
        <v>24</v>
      </c>
      <c r="H3251" t="s">
        <v>15</v>
      </c>
      <c r="I3251">
        <v>3.9</v>
      </c>
      <c r="J3251">
        <v>20</v>
      </c>
      <c r="K3251">
        <v>5</v>
      </c>
      <c r="L3251" s="4">
        <v>307.88749999999999</v>
      </c>
      <c r="M3251" s="4">
        <v>61.577499999999986</v>
      </c>
      <c r="N3251" t="s">
        <v>94</v>
      </c>
    </row>
    <row r="3252" spans="1:14">
      <c r="A3252">
        <v>3251</v>
      </c>
      <c r="B3252">
        <v>56</v>
      </c>
      <c r="C3252" t="s">
        <v>16</v>
      </c>
      <c r="D3252" t="s">
        <v>27</v>
      </c>
      <c r="E3252" t="s">
        <v>28</v>
      </c>
      <c r="F3252">
        <v>648.62</v>
      </c>
      <c r="G3252" t="s">
        <v>31</v>
      </c>
      <c r="H3252" t="s">
        <v>15</v>
      </c>
      <c r="I3252">
        <v>3.3</v>
      </c>
      <c r="J3252">
        <v>12</v>
      </c>
      <c r="K3252">
        <v>6</v>
      </c>
      <c r="L3252" s="4">
        <v>737.06818181818187</v>
      </c>
      <c r="M3252" s="4">
        <v>88.448181818181865</v>
      </c>
      <c r="N3252" t="s">
        <v>94</v>
      </c>
    </row>
    <row r="3253" spans="1:14">
      <c r="A3253">
        <v>3252</v>
      </c>
      <c r="B3253">
        <v>51</v>
      </c>
      <c r="C3253" t="s">
        <v>11</v>
      </c>
      <c r="D3253" t="s">
        <v>25</v>
      </c>
      <c r="E3253" t="s">
        <v>26</v>
      </c>
      <c r="F3253">
        <v>67.67</v>
      </c>
      <c r="G3253" t="s">
        <v>14</v>
      </c>
      <c r="H3253" t="s">
        <v>37</v>
      </c>
      <c r="I3253">
        <v>3.9</v>
      </c>
      <c r="J3253">
        <v>18</v>
      </c>
      <c r="K3253">
        <v>4</v>
      </c>
      <c r="L3253" s="4">
        <v>82.524390243902431</v>
      </c>
      <c r="M3253" s="4">
        <v>14.854390243902429</v>
      </c>
      <c r="N3253" t="s">
        <v>93</v>
      </c>
    </row>
    <row r="3254" spans="1:14">
      <c r="A3254">
        <v>3253</v>
      </c>
      <c r="B3254">
        <v>38</v>
      </c>
      <c r="C3254" t="s">
        <v>16</v>
      </c>
      <c r="D3254" t="s">
        <v>17</v>
      </c>
      <c r="E3254" t="s">
        <v>35</v>
      </c>
      <c r="F3254">
        <v>154.49</v>
      </c>
      <c r="G3254" t="s">
        <v>14</v>
      </c>
      <c r="H3254" t="s">
        <v>15</v>
      </c>
      <c r="I3254">
        <v>3.2</v>
      </c>
      <c r="J3254">
        <v>11</v>
      </c>
      <c r="K3254">
        <v>3</v>
      </c>
      <c r="L3254" s="4">
        <v>173.58426966292134</v>
      </c>
      <c r="M3254" s="4">
        <v>19.094269662921334</v>
      </c>
      <c r="N3254" t="s">
        <v>92</v>
      </c>
    </row>
    <row r="3255" spans="1:14">
      <c r="A3255">
        <v>3254</v>
      </c>
      <c r="B3255">
        <v>29</v>
      </c>
      <c r="C3255" t="s">
        <v>16</v>
      </c>
      <c r="D3255" t="s">
        <v>20</v>
      </c>
      <c r="E3255" t="s">
        <v>36</v>
      </c>
      <c r="F3255">
        <v>51.12</v>
      </c>
      <c r="G3255" t="s">
        <v>19</v>
      </c>
      <c r="H3255" t="s">
        <v>15</v>
      </c>
      <c r="I3255">
        <v>4.9000000000000004</v>
      </c>
      <c r="J3255">
        <v>30</v>
      </c>
      <c r="K3255">
        <v>10</v>
      </c>
      <c r="L3255" s="4">
        <v>73.028571428571425</v>
      </c>
      <c r="M3255" s="4">
        <v>21.908571428571427</v>
      </c>
      <c r="N3255" t="s">
        <v>91</v>
      </c>
    </row>
    <row r="3256" spans="1:14">
      <c r="A3256">
        <v>3255</v>
      </c>
      <c r="B3256">
        <v>70</v>
      </c>
      <c r="C3256" t="s">
        <v>11</v>
      </c>
      <c r="D3256" t="s">
        <v>12</v>
      </c>
      <c r="E3256" t="s">
        <v>56</v>
      </c>
      <c r="F3256">
        <v>115.94</v>
      </c>
      <c r="G3256" t="s">
        <v>19</v>
      </c>
      <c r="H3256" t="s">
        <v>15</v>
      </c>
      <c r="I3256">
        <v>4.4000000000000004</v>
      </c>
      <c r="J3256">
        <v>6</v>
      </c>
      <c r="K3256">
        <v>3</v>
      </c>
      <c r="L3256" s="4">
        <v>123.3404255319149</v>
      </c>
      <c r="M3256" s="4">
        <v>7.4004255319149053</v>
      </c>
      <c r="N3256" t="s">
        <v>95</v>
      </c>
    </row>
    <row r="3257" spans="1:14">
      <c r="A3257">
        <v>3256</v>
      </c>
      <c r="B3257">
        <v>49</v>
      </c>
      <c r="C3257" t="s">
        <v>11</v>
      </c>
      <c r="D3257" t="s">
        <v>29</v>
      </c>
      <c r="E3257" t="s">
        <v>30</v>
      </c>
      <c r="F3257">
        <v>132.49</v>
      </c>
      <c r="G3257" t="s">
        <v>24</v>
      </c>
      <c r="H3257" t="s">
        <v>15</v>
      </c>
      <c r="I3257">
        <v>2.2999999999999998</v>
      </c>
      <c r="J3257">
        <v>15</v>
      </c>
      <c r="K3257">
        <v>5</v>
      </c>
      <c r="L3257" s="4">
        <v>155.87058823529412</v>
      </c>
      <c r="M3257" s="4">
        <v>23.380588235294113</v>
      </c>
      <c r="N3257" t="s">
        <v>93</v>
      </c>
    </row>
    <row r="3258" spans="1:14">
      <c r="A3258">
        <v>3257</v>
      </c>
      <c r="B3258">
        <v>69</v>
      </c>
      <c r="C3258" t="s">
        <v>16</v>
      </c>
      <c r="D3258" t="s">
        <v>33</v>
      </c>
      <c r="E3258" t="s">
        <v>38</v>
      </c>
      <c r="F3258">
        <v>194.63</v>
      </c>
      <c r="G3258" t="s">
        <v>24</v>
      </c>
      <c r="H3258" t="s">
        <v>15</v>
      </c>
      <c r="I3258">
        <v>4.7</v>
      </c>
      <c r="J3258">
        <v>9</v>
      </c>
      <c r="K3258">
        <v>2</v>
      </c>
      <c r="L3258" s="4">
        <v>213.87912087912088</v>
      </c>
      <c r="M3258" s="4">
        <v>19.249120879120881</v>
      </c>
      <c r="N3258" t="s">
        <v>95</v>
      </c>
    </row>
    <row r="3259" spans="1:14">
      <c r="A3259">
        <v>3258</v>
      </c>
      <c r="B3259">
        <v>34</v>
      </c>
      <c r="C3259" t="s">
        <v>16</v>
      </c>
      <c r="D3259" t="s">
        <v>33</v>
      </c>
      <c r="E3259" t="s">
        <v>34</v>
      </c>
      <c r="F3259">
        <v>113.73</v>
      </c>
      <c r="G3259" t="s">
        <v>14</v>
      </c>
      <c r="H3259" t="s">
        <v>15</v>
      </c>
      <c r="I3259">
        <v>3.6</v>
      </c>
      <c r="J3259">
        <v>21</v>
      </c>
      <c r="K3259">
        <v>8</v>
      </c>
      <c r="L3259" s="4">
        <v>143.96202531645571</v>
      </c>
      <c r="M3259" s="4">
        <v>30.232025316455704</v>
      </c>
      <c r="N3259" t="s">
        <v>91</v>
      </c>
    </row>
    <row r="3260" spans="1:14">
      <c r="A3260">
        <v>3259</v>
      </c>
      <c r="B3260">
        <v>58</v>
      </c>
      <c r="C3260" t="s">
        <v>11</v>
      </c>
      <c r="D3260" t="s">
        <v>20</v>
      </c>
      <c r="E3260" t="s">
        <v>36</v>
      </c>
      <c r="F3260">
        <v>84.1</v>
      </c>
      <c r="G3260" t="s">
        <v>19</v>
      </c>
      <c r="H3260" t="s">
        <v>15</v>
      </c>
      <c r="I3260">
        <v>3.8</v>
      </c>
      <c r="J3260">
        <v>16</v>
      </c>
      <c r="K3260">
        <v>3</v>
      </c>
      <c r="L3260" s="4">
        <v>100.11904761904762</v>
      </c>
      <c r="M3260" s="4">
        <v>16.019047619047626</v>
      </c>
      <c r="N3260" t="s">
        <v>94</v>
      </c>
    </row>
    <row r="3261" spans="1:14">
      <c r="A3261">
        <v>3260</v>
      </c>
      <c r="B3261">
        <v>60</v>
      </c>
      <c r="C3261" t="s">
        <v>16</v>
      </c>
      <c r="D3261" t="s">
        <v>27</v>
      </c>
      <c r="E3261" t="s">
        <v>32</v>
      </c>
      <c r="F3261">
        <v>2936.08</v>
      </c>
      <c r="G3261" t="s">
        <v>31</v>
      </c>
      <c r="H3261" t="s">
        <v>15</v>
      </c>
      <c r="I3261">
        <v>5</v>
      </c>
      <c r="J3261">
        <v>20</v>
      </c>
      <c r="K3261">
        <v>5</v>
      </c>
      <c r="L3261" s="4">
        <v>3670.1</v>
      </c>
      <c r="M3261" s="4">
        <v>734.02</v>
      </c>
      <c r="N3261" t="s">
        <v>94</v>
      </c>
    </row>
    <row r="3262" spans="1:14">
      <c r="A3262">
        <v>3261</v>
      </c>
      <c r="B3262">
        <v>51</v>
      </c>
      <c r="C3262" t="s">
        <v>16</v>
      </c>
      <c r="D3262" t="s">
        <v>27</v>
      </c>
      <c r="E3262" t="s">
        <v>32</v>
      </c>
      <c r="F3262">
        <v>1369.63</v>
      </c>
      <c r="G3262" t="s">
        <v>31</v>
      </c>
      <c r="H3262" t="s">
        <v>15</v>
      </c>
      <c r="I3262">
        <v>3</v>
      </c>
      <c r="J3262">
        <v>10</v>
      </c>
      <c r="K3262">
        <v>5</v>
      </c>
      <c r="L3262" s="4">
        <v>1521.8111111111111</v>
      </c>
      <c r="M3262" s="4">
        <v>152.18111111111102</v>
      </c>
      <c r="N3262" t="s">
        <v>93</v>
      </c>
    </row>
    <row r="3263" spans="1:14">
      <c r="A3263">
        <v>3262</v>
      </c>
      <c r="B3263">
        <v>68</v>
      </c>
      <c r="C3263" t="s">
        <v>11</v>
      </c>
      <c r="D3263" t="s">
        <v>29</v>
      </c>
      <c r="E3263" t="s">
        <v>51</v>
      </c>
      <c r="F3263">
        <v>23.21</v>
      </c>
      <c r="G3263" t="s">
        <v>14</v>
      </c>
      <c r="H3263" t="s">
        <v>15</v>
      </c>
      <c r="I3263">
        <v>5</v>
      </c>
      <c r="J3263">
        <v>11</v>
      </c>
      <c r="K3263">
        <v>3</v>
      </c>
      <c r="L3263" s="4">
        <v>26.078651685393258</v>
      </c>
      <c r="M3263" s="4">
        <v>2.8686516853932567</v>
      </c>
      <c r="N3263" t="s">
        <v>95</v>
      </c>
    </row>
    <row r="3264" spans="1:14">
      <c r="A3264">
        <v>3263</v>
      </c>
      <c r="B3264">
        <v>40</v>
      </c>
      <c r="C3264" t="s">
        <v>16</v>
      </c>
      <c r="D3264" t="s">
        <v>20</v>
      </c>
      <c r="E3264" t="s">
        <v>36</v>
      </c>
      <c r="F3264">
        <v>231.3</v>
      </c>
      <c r="G3264" t="s">
        <v>24</v>
      </c>
      <c r="H3264" t="s">
        <v>15</v>
      </c>
      <c r="I3264">
        <v>4</v>
      </c>
      <c r="J3264">
        <v>8</v>
      </c>
      <c r="K3264">
        <v>4</v>
      </c>
      <c r="L3264" s="4">
        <v>251.41304347826087</v>
      </c>
      <c r="M3264" s="4">
        <v>20.113043478260863</v>
      </c>
      <c r="N3264" t="s">
        <v>92</v>
      </c>
    </row>
    <row r="3265" spans="1:14">
      <c r="A3265">
        <v>3264</v>
      </c>
      <c r="B3265">
        <v>31</v>
      </c>
      <c r="C3265" t="s">
        <v>16</v>
      </c>
      <c r="D3265" t="s">
        <v>20</v>
      </c>
      <c r="E3265" t="s">
        <v>21</v>
      </c>
      <c r="F3265">
        <v>212.05</v>
      </c>
      <c r="G3265" t="s">
        <v>14</v>
      </c>
      <c r="H3265" t="s">
        <v>15</v>
      </c>
      <c r="I3265">
        <v>3.5</v>
      </c>
      <c r="J3265">
        <v>15</v>
      </c>
      <c r="K3265">
        <v>5</v>
      </c>
      <c r="L3265" s="4">
        <v>249.47058823529414</v>
      </c>
      <c r="M3265" s="4">
        <v>37.420588235294133</v>
      </c>
      <c r="N3265" t="s">
        <v>91</v>
      </c>
    </row>
    <row r="3266" spans="1:14">
      <c r="A3266">
        <v>3265</v>
      </c>
      <c r="B3266">
        <v>20</v>
      </c>
      <c r="C3266" t="s">
        <v>11</v>
      </c>
      <c r="D3266" t="s">
        <v>41</v>
      </c>
      <c r="E3266" t="s">
        <v>45</v>
      </c>
      <c r="F3266">
        <v>78.09</v>
      </c>
      <c r="G3266" t="s">
        <v>24</v>
      </c>
      <c r="H3266" t="s">
        <v>37</v>
      </c>
      <c r="I3266">
        <v>4.0999999999999996</v>
      </c>
      <c r="J3266">
        <v>8</v>
      </c>
      <c r="K3266">
        <v>4</v>
      </c>
      <c r="L3266" s="4">
        <v>84.880434782608702</v>
      </c>
      <c r="M3266" s="4">
        <v>6.790434782608699</v>
      </c>
      <c r="N3266" t="s">
        <v>100</v>
      </c>
    </row>
    <row r="3267" spans="1:14">
      <c r="A3267">
        <v>3266</v>
      </c>
      <c r="B3267">
        <v>35</v>
      </c>
      <c r="C3267" t="s">
        <v>16</v>
      </c>
      <c r="D3267" t="s">
        <v>20</v>
      </c>
      <c r="E3267" t="s">
        <v>36</v>
      </c>
      <c r="F3267">
        <v>189.56</v>
      </c>
      <c r="G3267" t="s">
        <v>14</v>
      </c>
      <c r="H3267" t="s">
        <v>15</v>
      </c>
      <c r="I3267">
        <v>4.5</v>
      </c>
      <c r="J3267">
        <v>11</v>
      </c>
      <c r="K3267">
        <v>3</v>
      </c>
      <c r="L3267" s="4">
        <v>212.98876404494382</v>
      </c>
      <c r="M3267" s="4">
        <v>23.428764044943819</v>
      </c>
      <c r="N3267" t="s">
        <v>92</v>
      </c>
    </row>
    <row r="3268" spans="1:14">
      <c r="A3268">
        <v>3267</v>
      </c>
      <c r="B3268">
        <v>39</v>
      </c>
      <c r="C3268" t="s">
        <v>11</v>
      </c>
      <c r="D3268" t="s">
        <v>33</v>
      </c>
      <c r="E3268" t="s">
        <v>34</v>
      </c>
      <c r="F3268">
        <v>143.79</v>
      </c>
      <c r="G3268" t="s">
        <v>31</v>
      </c>
      <c r="H3268" t="s">
        <v>15</v>
      </c>
      <c r="I3268">
        <v>4.9000000000000004</v>
      </c>
      <c r="J3268">
        <v>16</v>
      </c>
      <c r="K3268">
        <v>3</v>
      </c>
      <c r="L3268" s="4">
        <v>171.17857142857142</v>
      </c>
      <c r="M3268" s="4">
        <v>27.388571428571424</v>
      </c>
      <c r="N3268" t="s">
        <v>92</v>
      </c>
    </row>
    <row r="3269" spans="1:14">
      <c r="A3269">
        <v>3268</v>
      </c>
      <c r="B3269">
        <v>56</v>
      </c>
      <c r="C3269" t="s">
        <v>16</v>
      </c>
      <c r="D3269" t="s">
        <v>25</v>
      </c>
      <c r="E3269" t="s">
        <v>26</v>
      </c>
      <c r="F3269">
        <v>43.68</v>
      </c>
      <c r="G3269" t="s">
        <v>31</v>
      </c>
      <c r="H3269" t="s">
        <v>37</v>
      </c>
      <c r="I3269">
        <v>3.9</v>
      </c>
      <c r="J3269">
        <v>27</v>
      </c>
      <c r="K3269">
        <v>11</v>
      </c>
      <c r="L3269" s="4">
        <v>59.835616438356162</v>
      </c>
      <c r="M3269" s="4">
        <v>16.155616438356162</v>
      </c>
      <c r="N3269" t="s">
        <v>94</v>
      </c>
    </row>
    <row r="3270" spans="1:14">
      <c r="A3270">
        <v>3269</v>
      </c>
      <c r="B3270">
        <v>58</v>
      </c>
      <c r="C3270" t="s">
        <v>11</v>
      </c>
      <c r="D3270" t="s">
        <v>29</v>
      </c>
      <c r="E3270" t="s">
        <v>55</v>
      </c>
      <c r="F3270">
        <v>68.569999999999993</v>
      </c>
      <c r="G3270" t="s">
        <v>14</v>
      </c>
      <c r="H3270" t="s">
        <v>15</v>
      </c>
      <c r="I3270">
        <v>4.3</v>
      </c>
      <c r="J3270">
        <v>18</v>
      </c>
      <c r="K3270">
        <v>4</v>
      </c>
      <c r="L3270" s="4">
        <v>83.621951219512184</v>
      </c>
      <c r="M3270" s="4">
        <v>15.051951219512191</v>
      </c>
      <c r="N3270" t="s">
        <v>94</v>
      </c>
    </row>
    <row r="3271" spans="1:14">
      <c r="A3271">
        <v>3270</v>
      </c>
      <c r="B3271">
        <v>68</v>
      </c>
      <c r="C3271" t="s">
        <v>11</v>
      </c>
      <c r="D3271" t="s">
        <v>33</v>
      </c>
      <c r="E3271" t="s">
        <v>38</v>
      </c>
      <c r="F3271">
        <v>69.56</v>
      </c>
      <c r="G3271" t="s">
        <v>24</v>
      </c>
      <c r="H3271" t="s">
        <v>37</v>
      </c>
      <c r="I3271">
        <v>4.9000000000000004</v>
      </c>
      <c r="J3271">
        <v>21</v>
      </c>
      <c r="K3271">
        <v>8</v>
      </c>
      <c r="L3271" s="4">
        <v>88.050632911392398</v>
      </c>
      <c r="M3271" s="4">
        <v>18.490632911392396</v>
      </c>
      <c r="N3271" t="s">
        <v>95</v>
      </c>
    </row>
    <row r="3272" spans="1:14">
      <c r="A3272">
        <v>3271</v>
      </c>
      <c r="B3272">
        <v>22</v>
      </c>
      <c r="C3272" t="s">
        <v>11</v>
      </c>
      <c r="D3272" t="s">
        <v>22</v>
      </c>
      <c r="E3272" t="s">
        <v>43</v>
      </c>
      <c r="F3272">
        <v>242.3</v>
      </c>
      <c r="G3272" t="s">
        <v>14</v>
      </c>
      <c r="H3272" t="s">
        <v>15</v>
      </c>
      <c r="I3272">
        <v>4.5</v>
      </c>
      <c r="J3272">
        <v>22</v>
      </c>
      <c r="K3272">
        <v>6</v>
      </c>
      <c r="L3272" s="4">
        <v>310.64102564102564</v>
      </c>
      <c r="M3272" s="4">
        <v>68.341025641025624</v>
      </c>
      <c r="N3272" t="s">
        <v>100</v>
      </c>
    </row>
    <row r="3273" spans="1:14">
      <c r="A3273">
        <v>3272</v>
      </c>
      <c r="B3273">
        <v>20</v>
      </c>
      <c r="C3273" t="s">
        <v>11</v>
      </c>
      <c r="D3273" t="s">
        <v>29</v>
      </c>
      <c r="E3273" t="s">
        <v>30</v>
      </c>
      <c r="F3273">
        <v>140.19999999999999</v>
      </c>
      <c r="G3273" t="s">
        <v>19</v>
      </c>
      <c r="H3273" t="s">
        <v>15</v>
      </c>
      <c r="I3273">
        <v>4.0999999999999996</v>
      </c>
      <c r="J3273">
        <v>19</v>
      </c>
      <c r="K3273">
        <v>7</v>
      </c>
      <c r="L3273" s="4">
        <v>173.0864197530864</v>
      </c>
      <c r="M3273" s="4">
        <v>32.886419753086415</v>
      </c>
      <c r="N3273" t="s">
        <v>100</v>
      </c>
    </row>
    <row r="3274" spans="1:14">
      <c r="A3274">
        <v>3273</v>
      </c>
      <c r="B3274">
        <v>64</v>
      </c>
      <c r="C3274" t="s">
        <v>16</v>
      </c>
      <c r="D3274" t="s">
        <v>22</v>
      </c>
      <c r="E3274" t="s">
        <v>23</v>
      </c>
      <c r="F3274">
        <v>79.900000000000006</v>
      </c>
      <c r="G3274" t="s">
        <v>19</v>
      </c>
      <c r="H3274" t="s">
        <v>15</v>
      </c>
      <c r="I3274">
        <v>3.3</v>
      </c>
      <c r="J3274">
        <v>26</v>
      </c>
      <c r="K3274">
        <v>8</v>
      </c>
      <c r="L3274" s="4">
        <v>107.97297297297298</v>
      </c>
      <c r="M3274" s="4">
        <v>28.072972972972977</v>
      </c>
      <c r="N3274" t="s">
        <v>94</v>
      </c>
    </row>
    <row r="3275" spans="1:14">
      <c r="A3275">
        <v>3274</v>
      </c>
      <c r="B3275">
        <v>33</v>
      </c>
      <c r="C3275" t="s">
        <v>16</v>
      </c>
      <c r="D3275" t="s">
        <v>33</v>
      </c>
      <c r="E3275" t="s">
        <v>38</v>
      </c>
      <c r="F3275">
        <v>248.65</v>
      </c>
      <c r="G3275" t="s">
        <v>14</v>
      </c>
      <c r="H3275" t="s">
        <v>15</v>
      </c>
      <c r="I3275">
        <v>3.8</v>
      </c>
      <c r="J3275">
        <v>15</v>
      </c>
      <c r="K3275">
        <v>5</v>
      </c>
      <c r="L3275" s="4">
        <v>292.52941176470591</v>
      </c>
      <c r="M3275" s="4">
        <v>43.879411764705907</v>
      </c>
      <c r="N3275" t="s">
        <v>91</v>
      </c>
    </row>
    <row r="3276" spans="1:14">
      <c r="A3276">
        <v>3275</v>
      </c>
      <c r="B3276">
        <v>45</v>
      </c>
      <c r="C3276" t="s">
        <v>16</v>
      </c>
      <c r="D3276" t="s">
        <v>33</v>
      </c>
      <c r="E3276" t="s">
        <v>40</v>
      </c>
      <c r="F3276">
        <v>227.4</v>
      </c>
      <c r="G3276" t="s">
        <v>24</v>
      </c>
      <c r="H3276" t="s">
        <v>15</v>
      </c>
      <c r="I3276">
        <v>3.8</v>
      </c>
      <c r="J3276">
        <v>15</v>
      </c>
      <c r="K3276">
        <v>5</v>
      </c>
      <c r="L3276" s="4">
        <v>267.52941176470591</v>
      </c>
      <c r="M3276" s="4">
        <v>40.129411764705907</v>
      </c>
      <c r="N3276" t="s">
        <v>93</v>
      </c>
    </row>
    <row r="3277" spans="1:14">
      <c r="A3277">
        <v>3276</v>
      </c>
      <c r="B3277">
        <v>24</v>
      </c>
      <c r="C3277" t="s">
        <v>16</v>
      </c>
      <c r="D3277" t="s">
        <v>20</v>
      </c>
      <c r="E3277" t="s">
        <v>39</v>
      </c>
      <c r="F3277">
        <v>153.18</v>
      </c>
      <c r="G3277" t="s">
        <v>19</v>
      </c>
      <c r="H3277" t="s">
        <v>15</v>
      </c>
      <c r="I3277">
        <v>3.2</v>
      </c>
      <c r="J3277">
        <v>15</v>
      </c>
      <c r="K3277">
        <v>5</v>
      </c>
      <c r="L3277" s="4">
        <v>180.21176470588236</v>
      </c>
      <c r="M3277" s="4">
        <v>27.031764705882352</v>
      </c>
      <c r="N3277" t="s">
        <v>100</v>
      </c>
    </row>
    <row r="3278" spans="1:14">
      <c r="A3278">
        <v>3277</v>
      </c>
      <c r="B3278">
        <v>24</v>
      </c>
      <c r="C3278" t="s">
        <v>16</v>
      </c>
      <c r="D3278" t="s">
        <v>17</v>
      </c>
      <c r="E3278" t="s">
        <v>35</v>
      </c>
      <c r="F3278">
        <v>101.1</v>
      </c>
      <c r="G3278" t="s">
        <v>19</v>
      </c>
      <c r="H3278" t="s">
        <v>15</v>
      </c>
      <c r="I3278">
        <v>2.9</v>
      </c>
      <c r="J3278">
        <v>10</v>
      </c>
      <c r="K3278">
        <v>5</v>
      </c>
      <c r="L3278" s="4">
        <v>112.33333333333333</v>
      </c>
      <c r="M3278" s="4">
        <v>11.233333333333334</v>
      </c>
      <c r="N3278" t="s">
        <v>100</v>
      </c>
    </row>
    <row r="3279" spans="1:14">
      <c r="A3279">
        <v>3278</v>
      </c>
      <c r="B3279">
        <v>70</v>
      </c>
      <c r="C3279" t="s">
        <v>16</v>
      </c>
      <c r="D3279" t="s">
        <v>17</v>
      </c>
      <c r="E3279" t="s">
        <v>48</v>
      </c>
      <c r="F3279">
        <v>128.5</v>
      </c>
      <c r="G3279" t="s">
        <v>31</v>
      </c>
      <c r="H3279" t="s">
        <v>15</v>
      </c>
      <c r="I3279">
        <v>4.4000000000000004</v>
      </c>
      <c r="J3279">
        <v>17</v>
      </c>
      <c r="K3279">
        <v>6</v>
      </c>
      <c r="L3279" s="4">
        <v>154.81927710843374</v>
      </c>
      <c r="M3279" s="4">
        <v>26.319277108433738</v>
      </c>
      <c r="N3279" t="s">
        <v>95</v>
      </c>
    </row>
    <row r="3280" spans="1:14">
      <c r="A3280">
        <v>3279</v>
      </c>
      <c r="B3280">
        <v>49</v>
      </c>
      <c r="C3280" t="s">
        <v>11</v>
      </c>
      <c r="D3280" t="s">
        <v>20</v>
      </c>
      <c r="E3280" t="s">
        <v>36</v>
      </c>
      <c r="F3280">
        <v>93.21</v>
      </c>
      <c r="G3280" t="s">
        <v>31</v>
      </c>
      <c r="H3280" t="s">
        <v>37</v>
      </c>
      <c r="I3280">
        <v>4</v>
      </c>
      <c r="J3280">
        <v>8</v>
      </c>
      <c r="K3280">
        <v>4</v>
      </c>
      <c r="L3280" s="4">
        <v>101.31521739130433</v>
      </c>
      <c r="M3280" s="4">
        <v>8.1052173913043362</v>
      </c>
      <c r="N3280" t="s">
        <v>93</v>
      </c>
    </row>
    <row r="3281" spans="1:14">
      <c r="A3281">
        <v>3280</v>
      </c>
      <c r="B3281">
        <v>69</v>
      </c>
      <c r="C3281" t="s">
        <v>16</v>
      </c>
      <c r="D3281" t="s">
        <v>17</v>
      </c>
      <c r="E3281" t="s">
        <v>35</v>
      </c>
      <c r="F3281">
        <v>120.7</v>
      </c>
      <c r="G3281" t="s">
        <v>24</v>
      </c>
      <c r="H3281" t="s">
        <v>15</v>
      </c>
      <c r="I3281">
        <v>3.9</v>
      </c>
      <c r="J3281">
        <v>10</v>
      </c>
      <c r="K3281">
        <v>5</v>
      </c>
      <c r="L3281" s="4">
        <v>134.11111111111111</v>
      </c>
      <c r="M3281" s="4">
        <v>13.411111111111111</v>
      </c>
      <c r="N3281" t="s">
        <v>95</v>
      </c>
    </row>
    <row r="3282" spans="1:14">
      <c r="A3282">
        <v>3281</v>
      </c>
      <c r="B3282">
        <v>36</v>
      </c>
      <c r="C3282" t="s">
        <v>16</v>
      </c>
      <c r="D3282" t="s">
        <v>17</v>
      </c>
      <c r="E3282" t="s">
        <v>18</v>
      </c>
      <c r="F3282">
        <v>76.16</v>
      </c>
      <c r="G3282" t="s">
        <v>31</v>
      </c>
      <c r="H3282" t="s">
        <v>37</v>
      </c>
      <c r="I3282">
        <v>4.3</v>
      </c>
      <c r="J3282">
        <v>10</v>
      </c>
      <c r="K3282">
        <v>5</v>
      </c>
      <c r="L3282" s="4">
        <v>84.62222222222222</v>
      </c>
      <c r="M3282" s="4">
        <v>8.4622222222222234</v>
      </c>
      <c r="N3282" t="s">
        <v>92</v>
      </c>
    </row>
    <row r="3283" spans="1:14">
      <c r="A3283">
        <v>3282</v>
      </c>
      <c r="B3283">
        <v>25</v>
      </c>
      <c r="C3283" t="s">
        <v>16</v>
      </c>
      <c r="D3283" t="s">
        <v>20</v>
      </c>
      <c r="E3283" t="s">
        <v>36</v>
      </c>
      <c r="F3283">
        <v>226.66</v>
      </c>
      <c r="G3283" t="s">
        <v>24</v>
      </c>
      <c r="H3283" t="s">
        <v>15</v>
      </c>
      <c r="I3283">
        <v>3.8</v>
      </c>
      <c r="J3283">
        <v>24</v>
      </c>
      <c r="K3283">
        <v>7</v>
      </c>
      <c r="L3283" s="4">
        <v>298.23684210526312</v>
      </c>
      <c r="M3283" s="4">
        <v>71.576842105263125</v>
      </c>
      <c r="N3283" t="s">
        <v>91</v>
      </c>
    </row>
    <row r="3284" spans="1:14">
      <c r="A3284">
        <v>3283</v>
      </c>
      <c r="B3284">
        <v>63</v>
      </c>
      <c r="C3284" t="s">
        <v>16</v>
      </c>
      <c r="D3284" t="s">
        <v>20</v>
      </c>
      <c r="E3284" t="s">
        <v>36</v>
      </c>
      <c r="F3284">
        <v>130.19999999999999</v>
      </c>
      <c r="G3284" t="s">
        <v>24</v>
      </c>
      <c r="H3284" t="s">
        <v>15</v>
      </c>
      <c r="I3284">
        <v>2.6</v>
      </c>
      <c r="J3284">
        <v>4</v>
      </c>
      <c r="K3284">
        <v>2</v>
      </c>
      <c r="L3284" s="4">
        <v>135.625</v>
      </c>
      <c r="M3284" s="4">
        <v>5.4250000000000114</v>
      </c>
      <c r="N3284" t="s">
        <v>94</v>
      </c>
    </row>
    <row r="3285" spans="1:14">
      <c r="A3285">
        <v>3284</v>
      </c>
      <c r="B3285">
        <v>57</v>
      </c>
      <c r="C3285" t="s">
        <v>16</v>
      </c>
      <c r="D3285" t="s">
        <v>33</v>
      </c>
      <c r="E3285" t="s">
        <v>38</v>
      </c>
      <c r="F3285">
        <v>52.67</v>
      </c>
      <c r="G3285" t="s">
        <v>24</v>
      </c>
      <c r="H3285" t="s">
        <v>15</v>
      </c>
      <c r="I3285">
        <v>4.3</v>
      </c>
      <c r="J3285">
        <v>16</v>
      </c>
      <c r="K3285">
        <v>3</v>
      </c>
      <c r="L3285" s="4">
        <v>62.702380952380956</v>
      </c>
      <c r="M3285" s="4">
        <v>10.032380952380954</v>
      </c>
      <c r="N3285" t="s">
        <v>94</v>
      </c>
    </row>
    <row r="3286" spans="1:14">
      <c r="A3286">
        <v>3285</v>
      </c>
      <c r="B3286">
        <v>21</v>
      </c>
      <c r="C3286" t="s">
        <v>11</v>
      </c>
      <c r="D3286" t="s">
        <v>41</v>
      </c>
      <c r="E3286" t="s">
        <v>42</v>
      </c>
      <c r="F3286">
        <v>151.32</v>
      </c>
      <c r="G3286" t="s">
        <v>31</v>
      </c>
      <c r="H3286" t="s">
        <v>15</v>
      </c>
      <c r="I3286">
        <v>3</v>
      </c>
      <c r="J3286">
        <v>24</v>
      </c>
      <c r="K3286">
        <v>7</v>
      </c>
      <c r="L3286" s="4">
        <v>199.10526315789471</v>
      </c>
      <c r="M3286" s="4">
        <v>47.785263157894718</v>
      </c>
      <c r="N3286" t="s">
        <v>100</v>
      </c>
    </row>
    <row r="3287" spans="1:14">
      <c r="A3287">
        <v>3286</v>
      </c>
      <c r="B3287">
        <v>57</v>
      </c>
      <c r="C3287" t="s">
        <v>16</v>
      </c>
      <c r="D3287" t="s">
        <v>33</v>
      </c>
      <c r="E3287" t="s">
        <v>40</v>
      </c>
      <c r="F3287">
        <v>49.11</v>
      </c>
      <c r="G3287" t="s">
        <v>14</v>
      </c>
      <c r="H3287" t="s">
        <v>37</v>
      </c>
      <c r="I3287">
        <v>3.3</v>
      </c>
      <c r="J3287">
        <v>18</v>
      </c>
      <c r="K3287">
        <v>4</v>
      </c>
      <c r="L3287" s="4">
        <v>59.890243902439018</v>
      </c>
      <c r="M3287" s="4">
        <v>10.780243902439018</v>
      </c>
      <c r="N3287" t="s">
        <v>94</v>
      </c>
    </row>
    <row r="3288" spans="1:14">
      <c r="A3288">
        <v>3287</v>
      </c>
      <c r="B3288">
        <v>50</v>
      </c>
      <c r="C3288" t="s">
        <v>11</v>
      </c>
      <c r="D3288" t="s">
        <v>29</v>
      </c>
      <c r="E3288" t="s">
        <v>55</v>
      </c>
      <c r="F3288">
        <v>71.64</v>
      </c>
      <c r="G3288" t="s">
        <v>24</v>
      </c>
      <c r="H3288" t="s">
        <v>37</v>
      </c>
      <c r="I3288">
        <v>4.5</v>
      </c>
      <c r="J3288">
        <v>20</v>
      </c>
      <c r="K3288">
        <v>5</v>
      </c>
      <c r="L3288" s="4">
        <v>89.55</v>
      </c>
      <c r="M3288" s="4">
        <v>17.909999999999997</v>
      </c>
      <c r="N3288" t="s">
        <v>93</v>
      </c>
    </row>
    <row r="3289" spans="1:14">
      <c r="A3289">
        <v>3288</v>
      </c>
      <c r="B3289">
        <v>30</v>
      </c>
      <c r="C3289" t="s">
        <v>16</v>
      </c>
      <c r="D3289" t="s">
        <v>22</v>
      </c>
      <c r="E3289" t="s">
        <v>43</v>
      </c>
      <c r="F3289">
        <v>165.95</v>
      </c>
      <c r="G3289" t="s">
        <v>14</v>
      </c>
      <c r="H3289" t="s">
        <v>15</v>
      </c>
      <c r="I3289">
        <v>4.5</v>
      </c>
      <c r="J3289">
        <v>18</v>
      </c>
      <c r="K3289">
        <v>4</v>
      </c>
      <c r="L3289" s="4">
        <v>202.37804878048777</v>
      </c>
      <c r="M3289" s="4">
        <v>36.428048780487785</v>
      </c>
      <c r="N3289" t="s">
        <v>91</v>
      </c>
    </row>
    <row r="3290" spans="1:14">
      <c r="A3290">
        <v>3289</v>
      </c>
      <c r="B3290">
        <v>62</v>
      </c>
      <c r="C3290" t="s">
        <v>16</v>
      </c>
      <c r="D3290" t="s">
        <v>20</v>
      </c>
      <c r="E3290" t="s">
        <v>21</v>
      </c>
      <c r="F3290">
        <v>248.99</v>
      </c>
      <c r="G3290" t="s">
        <v>14</v>
      </c>
      <c r="H3290" t="s">
        <v>15</v>
      </c>
      <c r="I3290">
        <v>2.8</v>
      </c>
      <c r="J3290">
        <v>13</v>
      </c>
      <c r="K3290">
        <v>4</v>
      </c>
      <c r="L3290" s="4">
        <v>286.19540229885058</v>
      </c>
      <c r="M3290" s="4">
        <v>37.205402298850572</v>
      </c>
      <c r="N3290" t="s">
        <v>94</v>
      </c>
    </row>
    <row r="3291" spans="1:14">
      <c r="A3291">
        <v>3290</v>
      </c>
      <c r="B3291">
        <v>35</v>
      </c>
      <c r="C3291" t="s">
        <v>16</v>
      </c>
      <c r="D3291" t="s">
        <v>27</v>
      </c>
      <c r="E3291" t="s">
        <v>49</v>
      </c>
      <c r="F3291">
        <v>2952.94</v>
      </c>
      <c r="G3291" t="s">
        <v>19</v>
      </c>
      <c r="H3291" t="s">
        <v>15</v>
      </c>
      <c r="I3291">
        <v>3</v>
      </c>
      <c r="J3291">
        <v>11</v>
      </c>
      <c r="K3291">
        <v>3</v>
      </c>
      <c r="L3291" s="4">
        <v>3317.9101123595506</v>
      </c>
      <c r="M3291" s="4">
        <v>364.97011235955051</v>
      </c>
      <c r="N3291" t="s">
        <v>92</v>
      </c>
    </row>
    <row r="3292" spans="1:14">
      <c r="A3292">
        <v>3291</v>
      </c>
      <c r="B3292">
        <v>20</v>
      </c>
      <c r="C3292" t="s">
        <v>16</v>
      </c>
      <c r="D3292" t="s">
        <v>20</v>
      </c>
      <c r="E3292" t="s">
        <v>21</v>
      </c>
      <c r="F3292">
        <v>226.69</v>
      </c>
      <c r="G3292" t="s">
        <v>31</v>
      </c>
      <c r="H3292" t="s">
        <v>15</v>
      </c>
      <c r="I3292">
        <v>4</v>
      </c>
      <c r="J3292">
        <v>17</v>
      </c>
      <c r="K3292">
        <v>6</v>
      </c>
      <c r="L3292" s="4">
        <v>273.12048192771084</v>
      </c>
      <c r="M3292" s="4">
        <v>46.430481927710844</v>
      </c>
      <c r="N3292" t="s">
        <v>100</v>
      </c>
    </row>
    <row r="3293" spans="1:14">
      <c r="A3293">
        <v>3292</v>
      </c>
      <c r="B3293">
        <v>41</v>
      </c>
      <c r="C3293" t="s">
        <v>16</v>
      </c>
      <c r="D3293" t="s">
        <v>17</v>
      </c>
      <c r="E3293" t="s">
        <v>35</v>
      </c>
      <c r="F3293">
        <v>136.81</v>
      </c>
      <c r="G3293" t="s">
        <v>14</v>
      </c>
      <c r="H3293" t="s">
        <v>15</v>
      </c>
      <c r="I3293">
        <v>4</v>
      </c>
      <c r="J3293">
        <v>9</v>
      </c>
      <c r="K3293">
        <v>2</v>
      </c>
      <c r="L3293" s="4">
        <v>150.34065934065933</v>
      </c>
      <c r="M3293" s="4">
        <v>13.530659340659327</v>
      </c>
      <c r="N3293" t="s">
        <v>92</v>
      </c>
    </row>
    <row r="3294" spans="1:14">
      <c r="A3294">
        <v>3293</v>
      </c>
      <c r="B3294">
        <v>60</v>
      </c>
      <c r="C3294" t="s">
        <v>11</v>
      </c>
      <c r="D3294" t="s">
        <v>33</v>
      </c>
      <c r="E3294" t="s">
        <v>34</v>
      </c>
      <c r="F3294">
        <v>191.66</v>
      </c>
      <c r="G3294" t="s">
        <v>19</v>
      </c>
      <c r="H3294" t="s">
        <v>15</v>
      </c>
      <c r="I3294">
        <v>5</v>
      </c>
      <c r="J3294">
        <v>9</v>
      </c>
      <c r="K3294">
        <v>2</v>
      </c>
      <c r="L3294" s="4">
        <v>210.61538461538461</v>
      </c>
      <c r="M3294" s="4">
        <v>18.955384615384617</v>
      </c>
      <c r="N3294" t="s">
        <v>94</v>
      </c>
    </row>
    <row r="3295" spans="1:14">
      <c r="A3295">
        <v>3294</v>
      </c>
      <c r="B3295">
        <v>34</v>
      </c>
      <c r="C3295" t="s">
        <v>11</v>
      </c>
      <c r="D3295" t="s">
        <v>41</v>
      </c>
      <c r="E3295" t="s">
        <v>46</v>
      </c>
      <c r="F3295">
        <v>82.77</v>
      </c>
      <c r="G3295" t="s">
        <v>24</v>
      </c>
      <c r="H3295" t="s">
        <v>37</v>
      </c>
      <c r="I3295">
        <v>3.5</v>
      </c>
      <c r="J3295">
        <v>32</v>
      </c>
      <c r="K3295">
        <v>11</v>
      </c>
      <c r="L3295" s="4">
        <v>121.72058823529412</v>
      </c>
      <c r="M3295" s="4">
        <v>38.95058823529412</v>
      </c>
      <c r="N3295" t="s">
        <v>91</v>
      </c>
    </row>
    <row r="3296" spans="1:14">
      <c r="A3296">
        <v>3295</v>
      </c>
      <c r="B3296">
        <v>52</v>
      </c>
      <c r="C3296" t="s">
        <v>11</v>
      </c>
      <c r="D3296" t="s">
        <v>33</v>
      </c>
      <c r="E3296" t="s">
        <v>38</v>
      </c>
      <c r="F3296">
        <v>50.19</v>
      </c>
      <c r="G3296" t="s">
        <v>31</v>
      </c>
      <c r="H3296" t="s">
        <v>15</v>
      </c>
      <c r="I3296">
        <v>4.2</v>
      </c>
      <c r="J3296">
        <v>17</v>
      </c>
      <c r="K3296">
        <v>6</v>
      </c>
      <c r="L3296" s="4">
        <v>60.46987951807229</v>
      </c>
      <c r="M3296" s="4">
        <v>10.279879518072292</v>
      </c>
      <c r="N3296" t="s">
        <v>93</v>
      </c>
    </row>
    <row r="3297" spans="1:14">
      <c r="A3297">
        <v>3296</v>
      </c>
      <c r="B3297">
        <v>43</v>
      </c>
      <c r="C3297" t="s">
        <v>11</v>
      </c>
      <c r="D3297" t="s">
        <v>12</v>
      </c>
      <c r="E3297" t="s">
        <v>50</v>
      </c>
      <c r="F3297">
        <v>170.71</v>
      </c>
      <c r="G3297" t="s">
        <v>24</v>
      </c>
      <c r="H3297" t="s">
        <v>15</v>
      </c>
      <c r="I3297">
        <v>3</v>
      </c>
      <c r="J3297">
        <v>15</v>
      </c>
      <c r="K3297">
        <v>5</v>
      </c>
      <c r="L3297" s="4">
        <v>200.83529411764707</v>
      </c>
      <c r="M3297" s="4">
        <v>30.125294117647059</v>
      </c>
      <c r="N3297" t="s">
        <v>92</v>
      </c>
    </row>
    <row r="3298" spans="1:14">
      <c r="A3298">
        <v>3297</v>
      </c>
      <c r="B3298">
        <v>22</v>
      </c>
      <c r="C3298" t="s">
        <v>16</v>
      </c>
      <c r="D3298" t="s">
        <v>17</v>
      </c>
      <c r="E3298" t="s">
        <v>48</v>
      </c>
      <c r="F3298">
        <v>57.55</v>
      </c>
      <c r="G3298" t="s">
        <v>31</v>
      </c>
      <c r="H3298" t="s">
        <v>37</v>
      </c>
      <c r="I3298">
        <v>3.4</v>
      </c>
      <c r="J3298">
        <v>10</v>
      </c>
      <c r="K3298">
        <v>5</v>
      </c>
      <c r="L3298" s="4">
        <v>63.944444444444443</v>
      </c>
      <c r="M3298" s="4">
        <v>6.3944444444444457</v>
      </c>
      <c r="N3298" t="s">
        <v>100</v>
      </c>
    </row>
    <row r="3299" spans="1:14">
      <c r="A3299">
        <v>3298</v>
      </c>
      <c r="B3299">
        <v>25</v>
      </c>
      <c r="C3299" t="s">
        <v>16</v>
      </c>
      <c r="D3299" t="s">
        <v>27</v>
      </c>
      <c r="E3299" t="s">
        <v>32</v>
      </c>
      <c r="F3299">
        <v>1659.69</v>
      </c>
      <c r="G3299" t="s">
        <v>14</v>
      </c>
      <c r="H3299" t="s">
        <v>15</v>
      </c>
      <c r="I3299">
        <v>4.0999999999999996</v>
      </c>
      <c r="J3299">
        <v>11</v>
      </c>
      <c r="K3299">
        <v>3</v>
      </c>
      <c r="L3299" s="4">
        <v>1864.8202247191011</v>
      </c>
      <c r="M3299" s="4">
        <v>205.13022471910108</v>
      </c>
      <c r="N3299" t="s">
        <v>91</v>
      </c>
    </row>
    <row r="3300" spans="1:14">
      <c r="A3300">
        <v>3299</v>
      </c>
      <c r="B3300">
        <v>50</v>
      </c>
      <c r="C3300" t="s">
        <v>16</v>
      </c>
      <c r="D3300" t="s">
        <v>20</v>
      </c>
      <c r="E3300" t="s">
        <v>21</v>
      </c>
      <c r="F3300">
        <v>99.86</v>
      </c>
      <c r="G3300" t="s">
        <v>19</v>
      </c>
      <c r="H3300" t="s">
        <v>15</v>
      </c>
      <c r="I3300">
        <v>3.2</v>
      </c>
      <c r="J3300">
        <v>22</v>
      </c>
      <c r="K3300">
        <v>6</v>
      </c>
      <c r="L3300" s="4">
        <v>128.02564102564102</v>
      </c>
      <c r="M3300" s="4">
        <v>28.165641025641023</v>
      </c>
      <c r="N3300" t="s">
        <v>93</v>
      </c>
    </row>
    <row r="3301" spans="1:14">
      <c r="A3301">
        <v>3300</v>
      </c>
      <c r="B3301">
        <v>61</v>
      </c>
      <c r="C3301" t="s">
        <v>11</v>
      </c>
      <c r="D3301" t="s">
        <v>33</v>
      </c>
      <c r="E3301" t="s">
        <v>34</v>
      </c>
      <c r="F3301">
        <v>101.31</v>
      </c>
      <c r="G3301" t="s">
        <v>31</v>
      </c>
      <c r="H3301" t="s">
        <v>15</v>
      </c>
      <c r="I3301">
        <v>3.6</v>
      </c>
      <c r="J3301">
        <v>16</v>
      </c>
      <c r="K3301">
        <v>3</v>
      </c>
      <c r="L3301" s="4">
        <v>120.60714285714286</v>
      </c>
      <c r="M3301" s="4">
        <v>19.297142857142859</v>
      </c>
      <c r="N3301" t="s">
        <v>94</v>
      </c>
    </row>
    <row r="3302" spans="1:14">
      <c r="A3302">
        <v>3301</v>
      </c>
      <c r="B3302">
        <v>37</v>
      </c>
      <c r="C3302" t="s">
        <v>16</v>
      </c>
      <c r="D3302" t="s">
        <v>27</v>
      </c>
      <c r="E3302" t="s">
        <v>49</v>
      </c>
      <c r="F3302">
        <v>1894.44</v>
      </c>
      <c r="G3302" t="s">
        <v>24</v>
      </c>
      <c r="H3302" t="s">
        <v>15</v>
      </c>
      <c r="I3302">
        <v>4.3</v>
      </c>
      <c r="J3302">
        <v>12</v>
      </c>
      <c r="K3302">
        <v>6</v>
      </c>
      <c r="L3302" s="4">
        <v>2152.7727272727275</v>
      </c>
      <c r="M3302" s="4">
        <v>258.33272727272742</v>
      </c>
      <c r="N3302" t="s">
        <v>92</v>
      </c>
    </row>
    <row r="3303" spans="1:14">
      <c r="A3303">
        <v>3302</v>
      </c>
      <c r="B3303">
        <v>44</v>
      </c>
      <c r="C3303" t="s">
        <v>11</v>
      </c>
      <c r="D3303" t="s">
        <v>33</v>
      </c>
      <c r="E3303" t="s">
        <v>40</v>
      </c>
      <c r="F3303">
        <v>110.78</v>
      </c>
      <c r="G3303" t="s">
        <v>19</v>
      </c>
      <c r="H3303" t="s">
        <v>15</v>
      </c>
      <c r="I3303">
        <v>3.3</v>
      </c>
      <c r="J3303">
        <v>20</v>
      </c>
      <c r="K3303">
        <v>5</v>
      </c>
      <c r="L3303" s="4">
        <v>138.47499999999999</v>
      </c>
      <c r="M3303" s="4">
        <v>27.694999999999993</v>
      </c>
      <c r="N3303" t="s">
        <v>92</v>
      </c>
    </row>
    <row r="3304" spans="1:14">
      <c r="A3304">
        <v>3303</v>
      </c>
      <c r="B3304">
        <v>45</v>
      </c>
      <c r="C3304" t="s">
        <v>11</v>
      </c>
      <c r="D3304" t="s">
        <v>29</v>
      </c>
      <c r="E3304" t="s">
        <v>51</v>
      </c>
      <c r="F3304">
        <v>40.99</v>
      </c>
      <c r="G3304" t="s">
        <v>19</v>
      </c>
      <c r="H3304" t="s">
        <v>15</v>
      </c>
      <c r="I3304">
        <v>3.8</v>
      </c>
      <c r="J3304">
        <v>14</v>
      </c>
      <c r="K3304">
        <v>2</v>
      </c>
      <c r="L3304" s="4">
        <v>47.662790697674424</v>
      </c>
      <c r="M3304" s="4">
        <v>6.6727906976744222</v>
      </c>
      <c r="N3304" t="s">
        <v>93</v>
      </c>
    </row>
    <row r="3305" spans="1:14">
      <c r="A3305">
        <v>3304</v>
      </c>
      <c r="B3305">
        <v>66</v>
      </c>
      <c r="C3305" t="s">
        <v>11</v>
      </c>
      <c r="D3305" t="s">
        <v>41</v>
      </c>
      <c r="E3305" t="s">
        <v>46</v>
      </c>
      <c r="F3305">
        <v>45.9</v>
      </c>
      <c r="G3305" t="s">
        <v>31</v>
      </c>
      <c r="H3305" t="s">
        <v>37</v>
      </c>
      <c r="I3305">
        <v>3.5</v>
      </c>
      <c r="J3305">
        <v>16</v>
      </c>
      <c r="K3305">
        <v>8</v>
      </c>
      <c r="L3305" s="4">
        <v>54.642857142857146</v>
      </c>
      <c r="M3305" s="4">
        <v>8.7428571428571473</v>
      </c>
      <c r="N3305" t="s">
        <v>95</v>
      </c>
    </row>
    <row r="3306" spans="1:14">
      <c r="A3306">
        <v>3305</v>
      </c>
      <c r="B3306">
        <v>61</v>
      </c>
      <c r="C3306" t="s">
        <v>11</v>
      </c>
      <c r="D3306" t="s">
        <v>12</v>
      </c>
      <c r="E3306" t="s">
        <v>56</v>
      </c>
      <c r="F3306">
        <v>48.25</v>
      </c>
      <c r="G3306" t="s">
        <v>24</v>
      </c>
      <c r="H3306" t="s">
        <v>15</v>
      </c>
      <c r="I3306">
        <v>3.6</v>
      </c>
      <c r="J3306">
        <v>10</v>
      </c>
      <c r="K3306">
        <v>5</v>
      </c>
      <c r="L3306" s="4">
        <v>53.611111111111107</v>
      </c>
      <c r="M3306" s="4">
        <v>5.3611111111111072</v>
      </c>
      <c r="N3306" t="s">
        <v>94</v>
      </c>
    </row>
    <row r="3307" spans="1:14">
      <c r="A3307">
        <v>3306</v>
      </c>
      <c r="B3307">
        <v>49</v>
      </c>
      <c r="C3307" t="s">
        <v>16</v>
      </c>
      <c r="D3307" t="s">
        <v>27</v>
      </c>
      <c r="E3307" t="s">
        <v>28</v>
      </c>
      <c r="F3307">
        <v>2743.44</v>
      </c>
      <c r="G3307" t="s">
        <v>31</v>
      </c>
      <c r="H3307" t="s">
        <v>15</v>
      </c>
      <c r="I3307">
        <v>4.7</v>
      </c>
      <c r="J3307">
        <v>20</v>
      </c>
      <c r="K3307">
        <v>5</v>
      </c>
      <c r="L3307" s="4">
        <v>3429.2999999999997</v>
      </c>
      <c r="M3307" s="4">
        <v>685.85999999999967</v>
      </c>
      <c r="N3307" t="s">
        <v>93</v>
      </c>
    </row>
    <row r="3308" spans="1:14">
      <c r="A3308">
        <v>3307</v>
      </c>
      <c r="B3308">
        <v>21</v>
      </c>
      <c r="C3308" t="s">
        <v>11</v>
      </c>
      <c r="D3308" t="s">
        <v>41</v>
      </c>
      <c r="E3308" t="s">
        <v>45</v>
      </c>
      <c r="F3308">
        <v>103.61</v>
      </c>
      <c r="G3308" t="s">
        <v>14</v>
      </c>
      <c r="H3308" t="s">
        <v>15</v>
      </c>
      <c r="I3308">
        <v>3.8</v>
      </c>
      <c r="J3308">
        <v>10</v>
      </c>
      <c r="K3308">
        <v>5</v>
      </c>
      <c r="L3308" s="4">
        <v>115.12222222222222</v>
      </c>
      <c r="M3308" s="4">
        <v>11.512222222222221</v>
      </c>
      <c r="N3308" t="s">
        <v>100</v>
      </c>
    </row>
    <row r="3309" spans="1:14">
      <c r="A3309">
        <v>3308</v>
      </c>
      <c r="B3309">
        <v>28</v>
      </c>
      <c r="C3309" t="s">
        <v>16</v>
      </c>
      <c r="D3309" t="s">
        <v>27</v>
      </c>
      <c r="E3309" t="s">
        <v>28</v>
      </c>
      <c r="F3309">
        <v>2722.53</v>
      </c>
      <c r="G3309" t="s">
        <v>19</v>
      </c>
      <c r="H3309" t="s">
        <v>15</v>
      </c>
      <c r="I3309">
        <v>3.9</v>
      </c>
      <c r="J3309">
        <v>17</v>
      </c>
      <c r="K3309">
        <v>6</v>
      </c>
      <c r="L3309" s="4">
        <v>3280.1566265060246</v>
      </c>
      <c r="M3309" s="4">
        <v>557.62662650602442</v>
      </c>
      <c r="N3309" t="s">
        <v>91</v>
      </c>
    </row>
    <row r="3310" spans="1:14">
      <c r="A3310">
        <v>3309</v>
      </c>
      <c r="B3310">
        <v>41</v>
      </c>
      <c r="C3310" t="s">
        <v>16</v>
      </c>
      <c r="D3310" t="s">
        <v>27</v>
      </c>
      <c r="E3310" t="s">
        <v>32</v>
      </c>
      <c r="F3310">
        <v>956.14</v>
      </c>
      <c r="G3310" t="s">
        <v>14</v>
      </c>
      <c r="H3310" t="s">
        <v>15</v>
      </c>
      <c r="I3310">
        <v>3.5</v>
      </c>
      <c r="J3310">
        <v>21</v>
      </c>
      <c r="K3310">
        <v>8</v>
      </c>
      <c r="L3310" s="4">
        <v>1210.3037974683543</v>
      </c>
      <c r="M3310" s="4">
        <v>254.16379746835435</v>
      </c>
      <c r="N3310" t="s">
        <v>92</v>
      </c>
    </row>
    <row r="3311" spans="1:14">
      <c r="A3311">
        <v>3310</v>
      </c>
      <c r="B3311">
        <v>59</v>
      </c>
      <c r="C3311" t="s">
        <v>16</v>
      </c>
      <c r="D3311" t="s">
        <v>17</v>
      </c>
      <c r="E3311" t="s">
        <v>48</v>
      </c>
      <c r="F3311">
        <v>179.08</v>
      </c>
      <c r="G3311" t="s">
        <v>24</v>
      </c>
      <c r="H3311" t="s">
        <v>15</v>
      </c>
      <c r="I3311">
        <v>3.9</v>
      </c>
      <c r="J3311">
        <v>11</v>
      </c>
      <c r="K3311">
        <v>3</v>
      </c>
      <c r="L3311" s="4">
        <v>201.21348314606743</v>
      </c>
      <c r="M3311" s="4">
        <v>22.13348314606742</v>
      </c>
      <c r="N3311" t="s">
        <v>94</v>
      </c>
    </row>
    <row r="3312" spans="1:14">
      <c r="A3312">
        <v>3311</v>
      </c>
      <c r="B3312">
        <v>70</v>
      </c>
      <c r="C3312" t="s">
        <v>16</v>
      </c>
      <c r="D3312" t="s">
        <v>33</v>
      </c>
      <c r="E3312" t="s">
        <v>40</v>
      </c>
      <c r="F3312">
        <v>237.9</v>
      </c>
      <c r="G3312" t="s">
        <v>24</v>
      </c>
      <c r="H3312" t="s">
        <v>15</v>
      </c>
      <c r="I3312">
        <v>3.3</v>
      </c>
      <c r="J3312">
        <v>13</v>
      </c>
      <c r="K3312">
        <v>4</v>
      </c>
      <c r="L3312" s="4">
        <v>273.44827586206895</v>
      </c>
      <c r="M3312" s="4">
        <v>35.548275862068948</v>
      </c>
      <c r="N3312" t="s">
        <v>95</v>
      </c>
    </row>
    <row r="3313" spans="1:14">
      <c r="A3313">
        <v>3312</v>
      </c>
      <c r="B3313">
        <v>21</v>
      </c>
      <c r="C3313" t="s">
        <v>11</v>
      </c>
      <c r="D3313" t="s">
        <v>33</v>
      </c>
      <c r="E3313" t="s">
        <v>34</v>
      </c>
      <c r="F3313">
        <v>112.2</v>
      </c>
      <c r="G3313" t="s">
        <v>24</v>
      </c>
      <c r="H3313" t="s">
        <v>15</v>
      </c>
      <c r="I3313">
        <v>3</v>
      </c>
      <c r="J3313">
        <v>15</v>
      </c>
      <c r="K3313">
        <v>5</v>
      </c>
      <c r="L3313" s="4">
        <v>132</v>
      </c>
      <c r="M3313" s="4">
        <v>19.799999999999997</v>
      </c>
      <c r="N3313" t="s">
        <v>100</v>
      </c>
    </row>
    <row r="3314" spans="1:14">
      <c r="A3314">
        <v>3313</v>
      </c>
      <c r="B3314">
        <v>53</v>
      </c>
      <c r="C3314" t="s">
        <v>11</v>
      </c>
      <c r="D3314" t="s">
        <v>41</v>
      </c>
      <c r="E3314" t="s">
        <v>46</v>
      </c>
      <c r="F3314">
        <v>100.01</v>
      </c>
      <c r="G3314" t="s">
        <v>31</v>
      </c>
      <c r="H3314" t="s">
        <v>15</v>
      </c>
      <c r="I3314">
        <v>3.4</v>
      </c>
      <c r="J3314">
        <v>21</v>
      </c>
      <c r="K3314">
        <v>8</v>
      </c>
      <c r="L3314" s="4">
        <v>126.59493670886076</v>
      </c>
      <c r="M3314" s="4">
        <v>26.584936708860752</v>
      </c>
      <c r="N3314" t="s">
        <v>93</v>
      </c>
    </row>
    <row r="3315" spans="1:14">
      <c r="A3315">
        <v>3314</v>
      </c>
      <c r="B3315">
        <v>46</v>
      </c>
      <c r="C3315" t="s">
        <v>16</v>
      </c>
      <c r="D3315" t="s">
        <v>33</v>
      </c>
      <c r="E3315" t="s">
        <v>34</v>
      </c>
      <c r="F3315">
        <v>70.16</v>
      </c>
      <c r="G3315" t="s">
        <v>14</v>
      </c>
      <c r="H3315" t="s">
        <v>15</v>
      </c>
      <c r="I3315">
        <v>4</v>
      </c>
      <c r="J3315">
        <v>22</v>
      </c>
      <c r="K3315">
        <v>6</v>
      </c>
      <c r="L3315" s="4">
        <v>89.948717948717942</v>
      </c>
      <c r="M3315" s="4">
        <v>19.788717948717945</v>
      </c>
      <c r="N3315" t="s">
        <v>93</v>
      </c>
    </row>
    <row r="3316" spans="1:14">
      <c r="A3316">
        <v>3315</v>
      </c>
      <c r="B3316">
        <v>61</v>
      </c>
      <c r="C3316" t="s">
        <v>11</v>
      </c>
      <c r="D3316" t="s">
        <v>41</v>
      </c>
      <c r="E3316" t="s">
        <v>44</v>
      </c>
      <c r="F3316">
        <v>128.44</v>
      </c>
      <c r="G3316" t="s">
        <v>19</v>
      </c>
      <c r="H3316" t="s">
        <v>15</v>
      </c>
      <c r="I3316">
        <v>4.5999999999999996</v>
      </c>
      <c r="J3316">
        <v>18</v>
      </c>
      <c r="K3316">
        <v>4</v>
      </c>
      <c r="L3316" s="4">
        <v>156.63414634146341</v>
      </c>
      <c r="M3316" s="4">
        <v>28.194146341463409</v>
      </c>
      <c r="N3316" t="s">
        <v>94</v>
      </c>
    </row>
    <row r="3317" spans="1:14">
      <c r="A3317">
        <v>3316</v>
      </c>
      <c r="B3317">
        <v>43</v>
      </c>
      <c r="C3317" t="s">
        <v>16</v>
      </c>
      <c r="D3317" t="s">
        <v>17</v>
      </c>
      <c r="E3317" t="s">
        <v>35</v>
      </c>
      <c r="F3317">
        <v>84.29</v>
      </c>
      <c r="G3317" t="s">
        <v>19</v>
      </c>
      <c r="H3317" t="s">
        <v>37</v>
      </c>
      <c r="I3317">
        <v>3</v>
      </c>
      <c r="J3317">
        <v>8</v>
      </c>
      <c r="K3317">
        <v>4</v>
      </c>
      <c r="L3317" s="4">
        <v>91.619565217391312</v>
      </c>
      <c r="M3317" s="4">
        <v>7.3295652173913055</v>
      </c>
      <c r="N3317" t="s">
        <v>92</v>
      </c>
    </row>
    <row r="3318" spans="1:14">
      <c r="A3318">
        <v>3317</v>
      </c>
      <c r="B3318">
        <v>39</v>
      </c>
      <c r="C3318" t="s">
        <v>11</v>
      </c>
      <c r="D3318" t="s">
        <v>33</v>
      </c>
      <c r="E3318" t="s">
        <v>40</v>
      </c>
      <c r="F3318">
        <v>139.91</v>
      </c>
      <c r="G3318" t="s">
        <v>24</v>
      </c>
      <c r="H3318" t="s">
        <v>15</v>
      </c>
      <c r="I3318">
        <v>3.8</v>
      </c>
      <c r="J3318">
        <v>12</v>
      </c>
      <c r="K3318">
        <v>6</v>
      </c>
      <c r="L3318" s="4">
        <v>158.98863636363635</v>
      </c>
      <c r="M3318" s="4">
        <v>19.078636363636349</v>
      </c>
      <c r="N3318" t="s">
        <v>92</v>
      </c>
    </row>
    <row r="3319" spans="1:14">
      <c r="A3319">
        <v>3318</v>
      </c>
      <c r="B3319">
        <v>25</v>
      </c>
      <c r="C3319" t="s">
        <v>11</v>
      </c>
      <c r="D3319" t="s">
        <v>33</v>
      </c>
      <c r="E3319" t="s">
        <v>38</v>
      </c>
      <c r="F3319">
        <v>66.52</v>
      </c>
      <c r="G3319" t="s">
        <v>14</v>
      </c>
      <c r="H3319" t="s">
        <v>37</v>
      </c>
      <c r="I3319">
        <v>3.8</v>
      </c>
      <c r="J3319">
        <v>8</v>
      </c>
      <c r="K3319">
        <v>4</v>
      </c>
      <c r="L3319" s="4">
        <v>72.304347826086953</v>
      </c>
      <c r="M3319" s="4">
        <v>5.7843478260869574</v>
      </c>
      <c r="N3319" t="s">
        <v>91</v>
      </c>
    </row>
    <row r="3320" spans="1:14">
      <c r="A3320">
        <v>3319</v>
      </c>
      <c r="B3320">
        <v>69</v>
      </c>
      <c r="C3320" t="s">
        <v>11</v>
      </c>
      <c r="D3320" t="s">
        <v>29</v>
      </c>
      <c r="E3320" t="s">
        <v>30</v>
      </c>
      <c r="F3320">
        <v>49.37</v>
      </c>
      <c r="G3320" t="s">
        <v>14</v>
      </c>
      <c r="H3320" t="s">
        <v>37</v>
      </c>
      <c r="I3320">
        <v>4.3</v>
      </c>
      <c r="J3320">
        <v>2</v>
      </c>
      <c r="K3320">
        <v>1</v>
      </c>
      <c r="L3320" s="4">
        <v>50.377551020408163</v>
      </c>
      <c r="M3320" s="4">
        <v>1.0075510204081652</v>
      </c>
      <c r="N3320" t="s">
        <v>95</v>
      </c>
    </row>
    <row r="3321" spans="1:14">
      <c r="A3321">
        <v>3320</v>
      </c>
      <c r="B3321">
        <v>52</v>
      </c>
      <c r="C3321" t="s">
        <v>11</v>
      </c>
      <c r="D3321" t="s">
        <v>29</v>
      </c>
      <c r="E3321" t="s">
        <v>55</v>
      </c>
      <c r="F3321">
        <v>33.78</v>
      </c>
      <c r="G3321" t="s">
        <v>19</v>
      </c>
      <c r="H3321" t="s">
        <v>37</v>
      </c>
      <c r="I3321">
        <v>2.4</v>
      </c>
      <c r="J3321">
        <v>15</v>
      </c>
      <c r="K3321">
        <v>5</v>
      </c>
      <c r="L3321" s="4">
        <v>39.741176470588236</v>
      </c>
      <c r="M3321" s="4">
        <v>5.9611764705882351</v>
      </c>
      <c r="N3321" t="s">
        <v>93</v>
      </c>
    </row>
    <row r="3322" spans="1:14">
      <c r="A3322">
        <v>3321</v>
      </c>
      <c r="B3322">
        <v>40</v>
      </c>
      <c r="C3322" t="s">
        <v>16</v>
      </c>
      <c r="D3322" t="s">
        <v>17</v>
      </c>
      <c r="E3322" t="s">
        <v>48</v>
      </c>
      <c r="F3322">
        <v>70.77</v>
      </c>
      <c r="G3322" t="s">
        <v>14</v>
      </c>
      <c r="H3322" t="s">
        <v>15</v>
      </c>
      <c r="I3322">
        <v>4.5</v>
      </c>
      <c r="J3322">
        <v>16</v>
      </c>
      <c r="K3322">
        <v>3</v>
      </c>
      <c r="L3322" s="4">
        <v>84.25</v>
      </c>
      <c r="M3322" s="4">
        <v>13.480000000000004</v>
      </c>
      <c r="N3322" t="s">
        <v>92</v>
      </c>
    </row>
    <row r="3323" spans="1:14">
      <c r="A3323">
        <v>3322</v>
      </c>
      <c r="B3323">
        <v>29</v>
      </c>
      <c r="C3323" t="s">
        <v>11</v>
      </c>
      <c r="D3323" t="s">
        <v>41</v>
      </c>
      <c r="E3323" t="s">
        <v>42</v>
      </c>
      <c r="F3323">
        <v>65.09</v>
      </c>
      <c r="G3323" t="s">
        <v>19</v>
      </c>
      <c r="H3323" t="s">
        <v>37</v>
      </c>
      <c r="I3323">
        <v>4.5999999999999996</v>
      </c>
      <c r="J3323">
        <v>4</v>
      </c>
      <c r="K3323">
        <v>2</v>
      </c>
      <c r="L3323" s="4">
        <v>67.802083333333343</v>
      </c>
      <c r="M3323" s="4">
        <v>2.7120833333333394</v>
      </c>
      <c r="N3323" t="s">
        <v>91</v>
      </c>
    </row>
    <row r="3324" spans="1:14">
      <c r="A3324">
        <v>3323</v>
      </c>
      <c r="B3324">
        <v>65</v>
      </c>
      <c r="C3324" t="s">
        <v>16</v>
      </c>
      <c r="D3324" t="s">
        <v>20</v>
      </c>
      <c r="E3324" t="s">
        <v>36</v>
      </c>
      <c r="F3324">
        <v>245.06</v>
      </c>
      <c r="G3324" t="s">
        <v>19</v>
      </c>
      <c r="H3324" t="s">
        <v>15</v>
      </c>
      <c r="I3324">
        <v>3.1</v>
      </c>
      <c r="J3324">
        <v>10</v>
      </c>
      <c r="K3324">
        <v>5</v>
      </c>
      <c r="L3324" s="4">
        <v>272.28888888888889</v>
      </c>
      <c r="M3324" s="4">
        <v>27.228888888888889</v>
      </c>
      <c r="N3324" t="s">
        <v>95</v>
      </c>
    </row>
    <row r="3325" spans="1:14">
      <c r="A3325">
        <v>3324</v>
      </c>
      <c r="B3325">
        <v>61</v>
      </c>
      <c r="C3325" t="s">
        <v>11</v>
      </c>
      <c r="D3325" t="s">
        <v>12</v>
      </c>
      <c r="E3325" t="s">
        <v>13</v>
      </c>
      <c r="F3325">
        <v>68.040000000000006</v>
      </c>
      <c r="G3325" t="s">
        <v>14</v>
      </c>
      <c r="H3325" t="s">
        <v>37</v>
      </c>
      <c r="I3325">
        <v>4.9000000000000004</v>
      </c>
      <c r="J3325">
        <v>18</v>
      </c>
      <c r="K3325">
        <v>9</v>
      </c>
      <c r="L3325" s="4">
        <v>82.975609756097569</v>
      </c>
      <c r="M3325" s="4">
        <v>14.935609756097563</v>
      </c>
      <c r="N3325" t="s">
        <v>94</v>
      </c>
    </row>
    <row r="3326" spans="1:14">
      <c r="A3326">
        <v>3325</v>
      </c>
      <c r="B3326">
        <v>66</v>
      </c>
      <c r="C3326" t="s">
        <v>11</v>
      </c>
      <c r="D3326" t="s">
        <v>12</v>
      </c>
      <c r="E3326" t="s">
        <v>13</v>
      </c>
      <c r="F3326">
        <v>41.18</v>
      </c>
      <c r="G3326" t="s">
        <v>24</v>
      </c>
      <c r="H3326" t="s">
        <v>37</v>
      </c>
      <c r="I3326">
        <v>2.8</v>
      </c>
      <c r="J3326">
        <v>2</v>
      </c>
      <c r="K3326">
        <v>1</v>
      </c>
      <c r="L3326" s="4">
        <v>42.020408163265309</v>
      </c>
      <c r="M3326" s="4">
        <v>0.84040816326530887</v>
      </c>
      <c r="N3326" t="s">
        <v>95</v>
      </c>
    </row>
    <row r="3327" spans="1:14">
      <c r="A3327">
        <v>3326</v>
      </c>
      <c r="B3327">
        <v>63</v>
      </c>
      <c r="C3327" t="s">
        <v>16</v>
      </c>
      <c r="D3327" t="s">
        <v>20</v>
      </c>
      <c r="E3327" t="s">
        <v>21</v>
      </c>
      <c r="F3327">
        <v>154.11000000000001</v>
      </c>
      <c r="G3327" t="s">
        <v>14</v>
      </c>
      <c r="H3327" t="s">
        <v>15</v>
      </c>
      <c r="I3327">
        <v>3.3</v>
      </c>
      <c r="J3327">
        <v>13</v>
      </c>
      <c r="K3327">
        <v>4</v>
      </c>
      <c r="L3327" s="4">
        <v>177.13793103448276</v>
      </c>
      <c r="M3327" s="4">
        <v>23.027931034482748</v>
      </c>
      <c r="N3327" t="s">
        <v>94</v>
      </c>
    </row>
    <row r="3328" spans="1:14">
      <c r="A3328">
        <v>3327</v>
      </c>
      <c r="B3328">
        <v>24</v>
      </c>
      <c r="C3328" t="s">
        <v>11</v>
      </c>
      <c r="D3328" t="s">
        <v>33</v>
      </c>
      <c r="E3328" t="s">
        <v>40</v>
      </c>
      <c r="F3328">
        <v>174.93</v>
      </c>
      <c r="G3328" t="s">
        <v>31</v>
      </c>
      <c r="H3328" t="s">
        <v>15</v>
      </c>
      <c r="I3328">
        <v>3.9</v>
      </c>
      <c r="J3328">
        <v>17</v>
      </c>
      <c r="K3328">
        <v>6</v>
      </c>
      <c r="L3328" s="4">
        <v>210.75903614457835</v>
      </c>
      <c r="M3328" s="4">
        <v>35.829036144578339</v>
      </c>
      <c r="N3328" t="s">
        <v>100</v>
      </c>
    </row>
    <row r="3329" spans="1:14">
      <c r="A3329">
        <v>3328</v>
      </c>
      <c r="B3329">
        <v>38</v>
      </c>
      <c r="C3329" t="s">
        <v>16</v>
      </c>
      <c r="D3329" t="s">
        <v>17</v>
      </c>
      <c r="E3329" t="s">
        <v>48</v>
      </c>
      <c r="F3329">
        <v>192.91</v>
      </c>
      <c r="G3329" t="s">
        <v>19</v>
      </c>
      <c r="H3329" t="s">
        <v>15</v>
      </c>
      <c r="I3329">
        <v>3.6</v>
      </c>
      <c r="J3329">
        <v>16</v>
      </c>
      <c r="K3329">
        <v>8</v>
      </c>
      <c r="L3329" s="4">
        <v>229.6547619047619</v>
      </c>
      <c r="M3329" s="4">
        <v>36.744761904761901</v>
      </c>
      <c r="N3329" t="s">
        <v>92</v>
      </c>
    </row>
    <row r="3330" spans="1:14">
      <c r="A3330">
        <v>3329</v>
      </c>
      <c r="B3330">
        <v>21</v>
      </c>
      <c r="C3330" t="s">
        <v>11</v>
      </c>
      <c r="D3330" t="s">
        <v>33</v>
      </c>
      <c r="E3330" t="s">
        <v>34</v>
      </c>
      <c r="F3330">
        <v>42.33</v>
      </c>
      <c r="G3330" t="s">
        <v>31</v>
      </c>
      <c r="H3330" t="s">
        <v>37</v>
      </c>
      <c r="I3330">
        <v>2.9</v>
      </c>
      <c r="J3330">
        <v>9</v>
      </c>
      <c r="K3330">
        <v>2</v>
      </c>
      <c r="L3330" s="4">
        <v>46.516483516483511</v>
      </c>
      <c r="M3330" s="4">
        <v>4.1864835164835128</v>
      </c>
      <c r="N3330" t="s">
        <v>100</v>
      </c>
    </row>
    <row r="3331" spans="1:14">
      <c r="A3331">
        <v>3330</v>
      </c>
      <c r="B3331">
        <v>41</v>
      </c>
      <c r="C3331" t="s">
        <v>11</v>
      </c>
      <c r="D3331" t="s">
        <v>22</v>
      </c>
      <c r="E3331" t="s">
        <v>23</v>
      </c>
      <c r="F3331">
        <v>260.49</v>
      </c>
      <c r="G3331" t="s">
        <v>31</v>
      </c>
      <c r="H3331" t="s">
        <v>15</v>
      </c>
      <c r="I3331">
        <v>4</v>
      </c>
      <c r="J3331">
        <v>22</v>
      </c>
      <c r="K3331">
        <v>6</v>
      </c>
      <c r="L3331" s="4">
        <v>333.96153846153845</v>
      </c>
      <c r="M3331" s="4">
        <v>73.471538461538444</v>
      </c>
      <c r="N3331" t="s">
        <v>92</v>
      </c>
    </row>
    <row r="3332" spans="1:14">
      <c r="A3332">
        <v>3331</v>
      </c>
      <c r="B3332">
        <v>42</v>
      </c>
      <c r="C3332" t="s">
        <v>16</v>
      </c>
      <c r="D3332" t="s">
        <v>17</v>
      </c>
      <c r="E3332" t="s">
        <v>42</v>
      </c>
      <c r="F3332">
        <v>48.33</v>
      </c>
      <c r="G3332" t="s">
        <v>31</v>
      </c>
      <c r="H3332" t="s">
        <v>37</v>
      </c>
      <c r="I3332">
        <v>5</v>
      </c>
      <c r="J3332">
        <v>10</v>
      </c>
      <c r="K3332">
        <v>5</v>
      </c>
      <c r="L3332" s="4">
        <v>53.699999999999996</v>
      </c>
      <c r="M3332" s="4">
        <v>5.3699999999999974</v>
      </c>
      <c r="N3332" t="s">
        <v>92</v>
      </c>
    </row>
    <row r="3333" spans="1:14">
      <c r="A3333">
        <v>3332</v>
      </c>
      <c r="B3333">
        <v>56</v>
      </c>
      <c r="C3333" t="s">
        <v>11</v>
      </c>
      <c r="D3333" t="s">
        <v>29</v>
      </c>
      <c r="E3333" t="s">
        <v>51</v>
      </c>
      <c r="F3333">
        <v>100.08</v>
      </c>
      <c r="G3333" t="s">
        <v>31</v>
      </c>
      <c r="H3333" t="s">
        <v>15</v>
      </c>
      <c r="I3333">
        <v>3.5</v>
      </c>
      <c r="J3333">
        <v>8</v>
      </c>
      <c r="K3333">
        <v>4</v>
      </c>
      <c r="L3333" s="4">
        <v>108.78260869565217</v>
      </c>
      <c r="M3333" s="4">
        <v>8.7026086956521738</v>
      </c>
      <c r="N3333" t="s">
        <v>94</v>
      </c>
    </row>
    <row r="3334" spans="1:14">
      <c r="A3334">
        <v>3333</v>
      </c>
      <c r="B3334">
        <v>25</v>
      </c>
      <c r="C3334" t="s">
        <v>16</v>
      </c>
      <c r="D3334" t="s">
        <v>33</v>
      </c>
      <c r="E3334" t="s">
        <v>34</v>
      </c>
      <c r="F3334">
        <v>98.36</v>
      </c>
      <c r="G3334" t="s">
        <v>14</v>
      </c>
      <c r="H3334" t="s">
        <v>15</v>
      </c>
      <c r="I3334">
        <v>4.3</v>
      </c>
      <c r="J3334">
        <v>9</v>
      </c>
      <c r="K3334">
        <v>2</v>
      </c>
      <c r="L3334" s="4">
        <v>108.08791208791209</v>
      </c>
      <c r="M3334" s="4">
        <v>9.7279120879120882</v>
      </c>
      <c r="N3334" t="s">
        <v>91</v>
      </c>
    </row>
    <row r="3335" spans="1:14">
      <c r="A3335">
        <v>3334</v>
      </c>
      <c r="B3335">
        <v>34</v>
      </c>
      <c r="C3335" t="s">
        <v>16</v>
      </c>
      <c r="D3335" t="s">
        <v>27</v>
      </c>
      <c r="E3335" t="s">
        <v>28</v>
      </c>
      <c r="F3335">
        <v>2073.3000000000002</v>
      </c>
      <c r="G3335" t="s">
        <v>14</v>
      </c>
      <c r="H3335" t="s">
        <v>15</v>
      </c>
      <c r="I3335">
        <v>4.2</v>
      </c>
      <c r="J3335">
        <v>8</v>
      </c>
      <c r="K3335">
        <v>4</v>
      </c>
      <c r="L3335" s="4">
        <v>2253.586956521739</v>
      </c>
      <c r="M3335" s="4">
        <v>180.28695652173883</v>
      </c>
      <c r="N3335" t="s">
        <v>91</v>
      </c>
    </row>
    <row r="3336" spans="1:14">
      <c r="A3336">
        <v>3335</v>
      </c>
      <c r="B3336">
        <v>47</v>
      </c>
      <c r="C3336" t="s">
        <v>11</v>
      </c>
      <c r="D3336" t="s">
        <v>41</v>
      </c>
      <c r="E3336" t="s">
        <v>45</v>
      </c>
      <c r="F3336">
        <v>98.36</v>
      </c>
      <c r="G3336" t="s">
        <v>31</v>
      </c>
      <c r="H3336" t="s">
        <v>37</v>
      </c>
      <c r="I3336">
        <v>3.7</v>
      </c>
      <c r="J3336">
        <v>18</v>
      </c>
      <c r="K3336">
        <v>4</v>
      </c>
      <c r="L3336" s="4">
        <v>119.95121951219511</v>
      </c>
      <c r="M3336" s="4">
        <v>21.59121951219511</v>
      </c>
      <c r="N3336" t="s">
        <v>93</v>
      </c>
    </row>
    <row r="3337" spans="1:14">
      <c r="A3337">
        <v>3336</v>
      </c>
      <c r="B3337">
        <v>35</v>
      </c>
      <c r="C3337" t="s">
        <v>16</v>
      </c>
      <c r="D3337" t="s">
        <v>20</v>
      </c>
      <c r="E3337" t="s">
        <v>21</v>
      </c>
      <c r="F3337">
        <v>32.78</v>
      </c>
      <c r="G3337" t="s">
        <v>19</v>
      </c>
      <c r="H3337" t="s">
        <v>37</v>
      </c>
      <c r="I3337">
        <v>4.5</v>
      </c>
      <c r="J3337">
        <v>10</v>
      </c>
      <c r="K3337">
        <v>5</v>
      </c>
      <c r="L3337" s="4">
        <v>36.422222222222224</v>
      </c>
      <c r="M3337" s="4">
        <v>3.6422222222222231</v>
      </c>
      <c r="N3337" t="s">
        <v>92</v>
      </c>
    </row>
    <row r="3338" spans="1:14">
      <c r="A3338">
        <v>3337</v>
      </c>
      <c r="B3338">
        <v>26</v>
      </c>
      <c r="C3338" t="s">
        <v>16</v>
      </c>
      <c r="D3338" t="s">
        <v>20</v>
      </c>
      <c r="E3338" t="s">
        <v>39</v>
      </c>
      <c r="F3338">
        <v>168</v>
      </c>
      <c r="G3338" t="s">
        <v>19</v>
      </c>
      <c r="H3338" t="s">
        <v>15</v>
      </c>
      <c r="I3338">
        <v>2.9</v>
      </c>
      <c r="J3338">
        <v>14</v>
      </c>
      <c r="K3338">
        <v>7</v>
      </c>
      <c r="L3338" s="4">
        <v>195.34883720930233</v>
      </c>
      <c r="M3338" s="4">
        <v>27.348837209302332</v>
      </c>
      <c r="N3338" t="s">
        <v>91</v>
      </c>
    </row>
    <row r="3339" spans="1:14">
      <c r="A3339">
        <v>3338</v>
      </c>
      <c r="B3339">
        <v>63</v>
      </c>
      <c r="C3339" t="s">
        <v>16</v>
      </c>
      <c r="D3339" t="s">
        <v>27</v>
      </c>
      <c r="E3339" t="s">
        <v>53</v>
      </c>
      <c r="F3339">
        <v>2939.08</v>
      </c>
      <c r="G3339" t="s">
        <v>31</v>
      </c>
      <c r="H3339" t="s">
        <v>15</v>
      </c>
      <c r="I3339">
        <v>3.3</v>
      </c>
      <c r="J3339">
        <v>18</v>
      </c>
      <c r="K3339">
        <v>4</v>
      </c>
      <c r="L3339" s="4">
        <v>3584.2439024390242</v>
      </c>
      <c r="M3339" s="4">
        <v>645.16390243902424</v>
      </c>
      <c r="N3339" t="s">
        <v>94</v>
      </c>
    </row>
    <row r="3340" spans="1:14">
      <c r="A3340">
        <v>3339</v>
      </c>
      <c r="B3340">
        <v>59</v>
      </c>
      <c r="C3340" t="s">
        <v>11</v>
      </c>
      <c r="D3340" t="s">
        <v>12</v>
      </c>
      <c r="E3340" t="s">
        <v>50</v>
      </c>
      <c r="F3340">
        <v>37.43</v>
      </c>
      <c r="G3340" t="s">
        <v>24</v>
      </c>
      <c r="H3340" t="s">
        <v>37</v>
      </c>
      <c r="I3340">
        <v>2.4</v>
      </c>
      <c r="J3340">
        <v>18</v>
      </c>
      <c r="K3340">
        <v>4</v>
      </c>
      <c r="L3340" s="4">
        <v>45.646341463414629</v>
      </c>
      <c r="M3340" s="4">
        <v>8.2163414634146292</v>
      </c>
      <c r="N3340" t="s">
        <v>94</v>
      </c>
    </row>
    <row r="3341" spans="1:14">
      <c r="A3341">
        <v>3340</v>
      </c>
      <c r="B3341">
        <v>57</v>
      </c>
      <c r="C3341" t="s">
        <v>16</v>
      </c>
      <c r="D3341" t="s">
        <v>33</v>
      </c>
      <c r="E3341" t="s">
        <v>40</v>
      </c>
      <c r="F3341">
        <v>219.41</v>
      </c>
      <c r="G3341" t="s">
        <v>31</v>
      </c>
      <c r="H3341" t="s">
        <v>15</v>
      </c>
      <c r="I3341">
        <v>4.3</v>
      </c>
      <c r="J3341">
        <v>18</v>
      </c>
      <c r="K3341">
        <v>4</v>
      </c>
      <c r="L3341" s="4">
        <v>267.57317073170731</v>
      </c>
      <c r="M3341" s="4">
        <v>48.163170731707311</v>
      </c>
      <c r="N3341" t="s">
        <v>94</v>
      </c>
    </row>
    <row r="3342" spans="1:14">
      <c r="A3342">
        <v>3341</v>
      </c>
      <c r="B3342">
        <v>24</v>
      </c>
      <c r="C3342" t="s">
        <v>11</v>
      </c>
      <c r="D3342" t="s">
        <v>33</v>
      </c>
      <c r="E3342" t="s">
        <v>38</v>
      </c>
      <c r="F3342">
        <v>79.680000000000007</v>
      </c>
      <c r="G3342" t="s">
        <v>19</v>
      </c>
      <c r="H3342" t="s">
        <v>15</v>
      </c>
      <c r="I3342">
        <v>3.6</v>
      </c>
      <c r="J3342">
        <v>10</v>
      </c>
      <c r="K3342">
        <v>5</v>
      </c>
      <c r="L3342" s="4">
        <v>88.533333333333346</v>
      </c>
      <c r="M3342" s="4">
        <v>8.8533333333333388</v>
      </c>
      <c r="N3342" t="s">
        <v>100</v>
      </c>
    </row>
    <row r="3343" spans="1:14">
      <c r="A3343">
        <v>3342</v>
      </c>
      <c r="B3343">
        <v>44</v>
      </c>
      <c r="C3343" t="s">
        <v>11</v>
      </c>
      <c r="D3343" t="s">
        <v>29</v>
      </c>
      <c r="E3343" t="s">
        <v>30</v>
      </c>
      <c r="F3343">
        <v>83.41</v>
      </c>
      <c r="G3343" t="s">
        <v>19</v>
      </c>
      <c r="H3343" t="s">
        <v>37</v>
      </c>
      <c r="I3343">
        <v>3.2</v>
      </c>
      <c r="J3343">
        <v>14</v>
      </c>
      <c r="K3343">
        <v>7</v>
      </c>
      <c r="L3343" s="4">
        <v>96.988372093023258</v>
      </c>
      <c r="M3343" s="4">
        <v>13.578372093023262</v>
      </c>
      <c r="N3343" t="s">
        <v>92</v>
      </c>
    </row>
    <row r="3344" spans="1:14">
      <c r="A3344">
        <v>3343</v>
      </c>
      <c r="B3344">
        <v>35</v>
      </c>
      <c r="C3344" t="s">
        <v>16</v>
      </c>
      <c r="D3344" t="s">
        <v>25</v>
      </c>
      <c r="E3344" t="s">
        <v>57</v>
      </c>
      <c r="F3344">
        <v>19.63</v>
      </c>
      <c r="G3344" t="s">
        <v>31</v>
      </c>
      <c r="H3344" t="s">
        <v>15</v>
      </c>
      <c r="I3344">
        <v>4.8</v>
      </c>
      <c r="J3344">
        <v>12</v>
      </c>
      <c r="K3344">
        <v>6</v>
      </c>
      <c r="L3344" s="4">
        <v>22.30681818181818</v>
      </c>
      <c r="M3344" s="4">
        <v>2.6768181818181809</v>
      </c>
      <c r="N3344" t="s">
        <v>92</v>
      </c>
    </row>
    <row r="3345" spans="1:14">
      <c r="A3345">
        <v>3344</v>
      </c>
      <c r="B3345">
        <v>55</v>
      </c>
      <c r="C3345" t="s">
        <v>16</v>
      </c>
      <c r="D3345" t="s">
        <v>17</v>
      </c>
      <c r="E3345" t="s">
        <v>18</v>
      </c>
      <c r="F3345">
        <v>112.09</v>
      </c>
      <c r="G3345" t="s">
        <v>14</v>
      </c>
      <c r="H3345" t="s">
        <v>15</v>
      </c>
      <c r="I3345">
        <v>3.6</v>
      </c>
      <c r="J3345">
        <v>8</v>
      </c>
      <c r="K3345">
        <v>4</v>
      </c>
      <c r="L3345" s="4">
        <v>121.83695652173913</v>
      </c>
      <c r="M3345" s="4">
        <v>9.7469565217391221</v>
      </c>
      <c r="N3345" t="s">
        <v>94</v>
      </c>
    </row>
    <row r="3346" spans="1:14">
      <c r="A3346">
        <v>3345</v>
      </c>
      <c r="B3346">
        <v>31</v>
      </c>
      <c r="C3346" t="s">
        <v>11</v>
      </c>
      <c r="D3346" t="s">
        <v>22</v>
      </c>
      <c r="E3346" t="s">
        <v>23</v>
      </c>
      <c r="F3346">
        <v>218.84</v>
      </c>
      <c r="G3346" t="s">
        <v>31</v>
      </c>
      <c r="H3346" t="s">
        <v>15</v>
      </c>
      <c r="I3346">
        <v>4.0999999999999996</v>
      </c>
      <c r="J3346">
        <v>20</v>
      </c>
      <c r="K3346">
        <v>5</v>
      </c>
      <c r="L3346" s="4">
        <v>273.55</v>
      </c>
      <c r="M3346" s="4">
        <v>54.710000000000008</v>
      </c>
      <c r="N3346" t="s">
        <v>91</v>
      </c>
    </row>
    <row r="3347" spans="1:14">
      <c r="A3347">
        <v>3346</v>
      </c>
      <c r="B3347">
        <v>62</v>
      </c>
      <c r="C3347" t="s">
        <v>11</v>
      </c>
      <c r="D3347" t="s">
        <v>29</v>
      </c>
      <c r="E3347" t="s">
        <v>30</v>
      </c>
      <c r="F3347">
        <v>136.35</v>
      </c>
      <c r="G3347" t="s">
        <v>24</v>
      </c>
      <c r="H3347" t="s">
        <v>15</v>
      </c>
      <c r="I3347">
        <v>2.7</v>
      </c>
      <c r="J3347">
        <v>12</v>
      </c>
      <c r="K3347">
        <v>6</v>
      </c>
      <c r="L3347" s="4">
        <v>154.94318181818181</v>
      </c>
      <c r="M3347" s="4">
        <v>18.593181818181819</v>
      </c>
      <c r="N3347" t="s">
        <v>94</v>
      </c>
    </row>
    <row r="3348" spans="1:14">
      <c r="A3348">
        <v>3347</v>
      </c>
      <c r="B3348">
        <v>52</v>
      </c>
      <c r="C3348" t="s">
        <v>11</v>
      </c>
      <c r="D3348" t="s">
        <v>20</v>
      </c>
      <c r="E3348" t="s">
        <v>39</v>
      </c>
      <c r="F3348">
        <v>210.16</v>
      </c>
      <c r="G3348" t="s">
        <v>14</v>
      </c>
      <c r="H3348" t="s">
        <v>15</v>
      </c>
      <c r="I3348">
        <v>3</v>
      </c>
      <c r="J3348">
        <v>10</v>
      </c>
      <c r="K3348">
        <v>5</v>
      </c>
      <c r="L3348" s="4">
        <v>233.51111111111109</v>
      </c>
      <c r="M3348" s="4">
        <v>23.351111111111095</v>
      </c>
      <c r="N3348" t="s">
        <v>93</v>
      </c>
    </row>
    <row r="3349" spans="1:14">
      <c r="A3349">
        <v>3348</v>
      </c>
      <c r="B3349">
        <v>53</v>
      </c>
      <c r="C3349" t="s">
        <v>16</v>
      </c>
      <c r="D3349" t="s">
        <v>17</v>
      </c>
      <c r="E3349" t="s">
        <v>18</v>
      </c>
      <c r="F3349">
        <v>90.13</v>
      </c>
      <c r="G3349" t="s">
        <v>19</v>
      </c>
      <c r="H3349" t="s">
        <v>15</v>
      </c>
      <c r="I3349">
        <v>3.5</v>
      </c>
      <c r="J3349">
        <v>18</v>
      </c>
      <c r="K3349">
        <v>4</v>
      </c>
      <c r="L3349" s="4">
        <v>109.91463414634146</v>
      </c>
      <c r="M3349" s="4">
        <v>19.78463414634146</v>
      </c>
      <c r="N3349" t="s">
        <v>93</v>
      </c>
    </row>
    <row r="3350" spans="1:14">
      <c r="A3350">
        <v>3349</v>
      </c>
      <c r="B3350">
        <v>28</v>
      </c>
      <c r="C3350" t="s">
        <v>11</v>
      </c>
      <c r="D3350" t="s">
        <v>29</v>
      </c>
      <c r="E3350" t="s">
        <v>55</v>
      </c>
      <c r="F3350">
        <v>132.16999999999999</v>
      </c>
      <c r="G3350" t="s">
        <v>14</v>
      </c>
      <c r="H3350" t="s">
        <v>15</v>
      </c>
      <c r="I3350">
        <v>2.7</v>
      </c>
      <c r="J3350">
        <v>19</v>
      </c>
      <c r="K3350">
        <v>7</v>
      </c>
      <c r="L3350" s="4">
        <v>163.17283950617281</v>
      </c>
      <c r="M3350" s="4">
        <v>31.002839506172819</v>
      </c>
      <c r="N3350" t="s">
        <v>91</v>
      </c>
    </row>
    <row r="3351" spans="1:14">
      <c r="A3351">
        <v>3350</v>
      </c>
      <c r="B3351">
        <v>20</v>
      </c>
      <c r="C3351" t="s">
        <v>16</v>
      </c>
      <c r="D3351" t="s">
        <v>33</v>
      </c>
      <c r="E3351" t="s">
        <v>34</v>
      </c>
      <c r="F3351">
        <v>162.4</v>
      </c>
      <c r="G3351" t="s">
        <v>24</v>
      </c>
      <c r="H3351" t="s">
        <v>15</v>
      </c>
      <c r="I3351">
        <v>3.5</v>
      </c>
      <c r="J3351">
        <v>8</v>
      </c>
      <c r="K3351">
        <v>4</v>
      </c>
      <c r="L3351" s="4">
        <v>176.52173913043478</v>
      </c>
      <c r="M3351" s="4">
        <v>14.121739130434776</v>
      </c>
      <c r="N3351" t="s">
        <v>100</v>
      </c>
    </row>
    <row r="3352" spans="1:14">
      <c r="A3352">
        <v>3351</v>
      </c>
      <c r="B3352">
        <v>47</v>
      </c>
      <c r="C3352" t="s">
        <v>11</v>
      </c>
      <c r="D3352" t="s">
        <v>22</v>
      </c>
      <c r="E3352" t="s">
        <v>43</v>
      </c>
      <c r="F3352">
        <v>242.74</v>
      </c>
      <c r="G3352" t="s">
        <v>14</v>
      </c>
      <c r="H3352" t="s">
        <v>15</v>
      </c>
      <c r="I3352">
        <v>2.8</v>
      </c>
      <c r="J3352">
        <v>11</v>
      </c>
      <c r="K3352">
        <v>3</v>
      </c>
      <c r="L3352" s="4">
        <v>272.74157303370788</v>
      </c>
      <c r="M3352" s="4">
        <v>30.001573033707871</v>
      </c>
      <c r="N3352" t="s">
        <v>93</v>
      </c>
    </row>
    <row r="3353" spans="1:14">
      <c r="A3353">
        <v>3352</v>
      </c>
      <c r="B3353">
        <v>40</v>
      </c>
      <c r="C3353" t="s">
        <v>16</v>
      </c>
      <c r="D3353" t="s">
        <v>17</v>
      </c>
      <c r="E3353" t="s">
        <v>35</v>
      </c>
      <c r="F3353">
        <v>113.99</v>
      </c>
      <c r="G3353" t="s">
        <v>19</v>
      </c>
      <c r="H3353" t="s">
        <v>15</v>
      </c>
      <c r="I3353">
        <v>3.2</v>
      </c>
      <c r="J3353">
        <v>6</v>
      </c>
      <c r="K3353">
        <v>3</v>
      </c>
      <c r="L3353" s="4">
        <v>121.26595744680851</v>
      </c>
      <c r="M3353" s="4">
        <v>7.2759574468085191</v>
      </c>
      <c r="N3353" t="s">
        <v>92</v>
      </c>
    </row>
    <row r="3354" spans="1:14">
      <c r="A3354">
        <v>3353</v>
      </c>
      <c r="B3354">
        <v>24</v>
      </c>
      <c r="C3354" t="s">
        <v>11</v>
      </c>
      <c r="D3354" t="s">
        <v>12</v>
      </c>
      <c r="E3354" t="s">
        <v>50</v>
      </c>
      <c r="F3354">
        <v>45.95</v>
      </c>
      <c r="G3354" t="s">
        <v>31</v>
      </c>
      <c r="H3354" t="s">
        <v>37</v>
      </c>
      <c r="I3354">
        <v>3.9</v>
      </c>
      <c r="J3354">
        <v>12</v>
      </c>
      <c r="K3354">
        <v>1</v>
      </c>
      <c r="L3354" s="4">
        <v>52.215909090909093</v>
      </c>
      <c r="M3354" s="4">
        <v>6.2659090909090907</v>
      </c>
      <c r="N3354" t="s">
        <v>100</v>
      </c>
    </row>
    <row r="3355" spans="1:14">
      <c r="A3355">
        <v>3354</v>
      </c>
      <c r="B3355">
        <v>24</v>
      </c>
      <c r="C3355" t="s">
        <v>11</v>
      </c>
      <c r="D3355" t="s">
        <v>12</v>
      </c>
      <c r="E3355" t="s">
        <v>13</v>
      </c>
      <c r="F3355">
        <v>144.09</v>
      </c>
      <c r="G3355" t="s">
        <v>19</v>
      </c>
      <c r="H3355" t="s">
        <v>15</v>
      </c>
      <c r="I3355">
        <v>5</v>
      </c>
      <c r="J3355">
        <v>28</v>
      </c>
      <c r="K3355">
        <v>9</v>
      </c>
      <c r="L3355" s="4">
        <v>200.125</v>
      </c>
      <c r="M3355" s="4">
        <v>56.034999999999997</v>
      </c>
      <c r="N3355" t="s">
        <v>100</v>
      </c>
    </row>
    <row r="3356" spans="1:14">
      <c r="A3356">
        <v>3355</v>
      </c>
      <c r="B3356">
        <v>59</v>
      </c>
      <c r="C3356" t="s">
        <v>16</v>
      </c>
      <c r="D3356" t="s">
        <v>22</v>
      </c>
      <c r="E3356" t="s">
        <v>23</v>
      </c>
      <c r="F3356">
        <v>79.319999999999993</v>
      </c>
      <c r="G3356" t="s">
        <v>24</v>
      </c>
      <c r="H3356" t="s">
        <v>37</v>
      </c>
      <c r="I3356">
        <v>4.4000000000000004</v>
      </c>
      <c r="J3356">
        <v>22</v>
      </c>
      <c r="K3356">
        <v>6</v>
      </c>
      <c r="L3356" s="4">
        <v>101.69230769230768</v>
      </c>
      <c r="M3356" s="4">
        <v>22.372307692307686</v>
      </c>
      <c r="N3356" t="s">
        <v>94</v>
      </c>
    </row>
    <row r="3357" spans="1:14">
      <c r="A3357">
        <v>3356</v>
      </c>
      <c r="B3357">
        <v>47</v>
      </c>
      <c r="C3357" t="s">
        <v>11</v>
      </c>
      <c r="D3357" t="s">
        <v>12</v>
      </c>
      <c r="E3357" t="s">
        <v>56</v>
      </c>
      <c r="F3357">
        <v>39.79</v>
      </c>
      <c r="G3357" t="s">
        <v>31</v>
      </c>
      <c r="H3357" t="s">
        <v>15</v>
      </c>
      <c r="I3357">
        <v>3.3</v>
      </c>
      <c r="J3357">
        <v>11</v>
      </c>
      <c r="K3357">
        <v>3</v>
      </c>
      <c r="L3357" s="4">
        <v>44.707865168539321</v>
      </c>
      <c r="M3357" s="4">
        <v>4.917865168539322</v>
      </c>
      <c r="N3357" t="s">
        <v>93</v>
      </c>
    </row>
    <row r="3358" spans="1:14">
      <c r="A3358">
        <v>3357</v>
      </c>
      <c r="B3358">
        <v>68</v>
      </c>
      <c r="C3358" t="s">
        <v>16</v>
      </c>
      <c r="D3358" t="s">
        <v>33</v>
      </c>
      <c r="E3358" t="s">
        <v>34</v>
      </c>
      <c r="F3358">
        <v>205.44</v>
      </c>
      <c r="G3358" t="s">
        <v>19</v>
      </c>
      <c r="H3358" t="s">
        <v>15</v>
      </c>
      <c r="I3358">
        <v>2</v>
      </c>
      <c r="J3358">
        <v>18</v>
      </c>
      <c r="K3358">
        <v>4</v>
      </c>
      <c r="L3358" s="4">
        <v>250.53658536585363</v>
      </c>
      <c r="M3358" s="4">
        <v>45.096585365853628</v>
      </c>
      <c r="N3358" t="s">
        <v>95</v>
      </c>
    </row>
    <row r="3359" spans="1:14">
      <c r="A3359">
        <v>3358</v>
      </c>
      <c r="B3359">
        <v>56</v>
      </c>
      <c r="C3359" t="s">
        <v>16</v>
      </c>
      <c r="D3359" t="s">
        <v>20</v>
      </c>
      <c r="E3359" t="s">
        <v>36</v>
      </c>
      <c r="F3359">
        <v>53.45</v>
      </c>
      <c r="G3359" t="s">
        <v>31</v>
      </c>
      <c r="H3359" t="s">
        <v>37</v>
      </c>
      <c r="I3359">
        <v>4.5999999999999996</v>
      </c>
      <c r="J3359">
        <v>10</v>
      </c>
      <c r="K3359">
        <v>0</v>
      </c>
      <c r="L3359" s="4">
        <v>59.388888888888893</v>
      </c>
      <c r="M3359" s="4">
        <v>5.93888888888889</v>
      </c>
      <c r="N3359" t="s">
        <v>94</v>
      </c>
    </row>
    <row r="3360" spans="1:14">
      <c r="A3360">
        <v>3359</v>
      </c>
      <c r="B3360">
        <v>34</v>
      </c>
      <c r="C3360" t="s">
        <v>16</v>
      </c>
      <c r="D3360" t="s">
        <v>20</v>
      </c>
      <c r="E3360" t="s">
        <v>39</v>
      </c>
      <c r="F3360">
        <v>110.27</v>
      </c>
      <c r="G3360" t="s">
        <v>24</v>
      </c>
      <c r="H3360" t="s">
        <v>15</v>
      </c>
      <c r="I3360">
        <v>3.3</v>
      </c>
      <c r="J3360">
        <v>16</v>
      </c>
      <c r="K3360">
        <v>8</v>
      </c>
      <c r="L3360" s="4">
        <v>131.27380952380952</v>
      </c>
      <c r="M3360" s="4">
        <v>21.003809523809522</v>
      </c>
      <c r="N3360" t="s">
        <v>91</v>
      </c>
    </row>
    <row r="3361" spans="1:14">
      <c r="A3361">
        <v>3360</v>
      </c>
      <c r="B3361">
        <v>31</v>
      </c>
      <c r="C3361" t="s">
        <v>16</v>
      </c>
      <c r="D3361" t="s">
        <v>33</v>
      </c>
      <c r="E3361" t="s">
        <v>40</v>
      </c>
      <c r="F3361">
        <v>234.04</v>
      </c>
      <c r="G3361" t="s">
        <v>14</v>
      </c>
      <c r="H3361" t="s">
        <v>15</v>
      </c>
      <c r="I3361">
        <v>4.5999999999999996</v>
      </c>
      <c r="J3361">
        <v>14</v>
      </c>
      <c r="K3361">
        <v>7</v>
      </c>
      <c r="L3361" s="4">
        <v>272.1395348837209</v>
      </c>
      <c r="M3361" s="4">
        <v>38.099534883720906</v>
      </c>
      <c r="N3361" t="s">
        <v>91</v>
      </c>
    </row>
    <row r="3362" spans="1:14">
      <c r="A3362">
        <v>3361</v>
      </c>
      <c r="B3362">
        <v>22</v>
      </c>
      <c r="C3362" t="s">
        <v>11</v>
      </c>
      <c r="D3362" t="s">
        <v>12</v>
      </c>
      <c r="E3362" t="s">
        <v>56</v>
      </c>
      <c r="F3362">
        <v>116.71</v>
      </c>
      <c r="G3362" t="s">
        <v>24</v>
      </c>
      <c r="H3362" t="s">
        <v>15</v>
      </c>
      <c r="I3362">
        <v>3.8</v>
      </c>
      <c r="J3362">
        <v>10</v>
      </c>
      <c r="K3362">
        <v>5</v>
      </c>
      <c r="L3362" s="4">
        <v>129.67777777777778</v>
      </c>
      <c r="M3362" s="4">
        <v>12.967777777777783</v>
      </c>
      <c r="N3362" t="s">
        <v>100</v>
      </c>
    </row>
    <row r="3363" spans="1:14">
      <c r="A3363">
        <v>3362</v>
      </c>
      <c r="B3363">
        <v>59</v>
      </c>
      <c r="C3363" t="s">
        <v>16</v>
      </c>
      <c r="D3363" t="s">
        <v>17</v>
      </c>
      <c r="E3363" t="s">
        <v>35</v>
      </c>
      <c r="F3363">
        <v>176.93</v>
      </c>
      <c r="G3363" t="s">
        <v>24</v>
      </c>
      <c r="H3363" t="s">
        <v>15</v>
      </c>
      <c r="I3363">
        <v>5</v>
      </c>
      <c r="J3363">
        <v>28</v>
      </c>
      <c r="K3363">
        <v>9</v>
      </c>
      <c r="L3363" s="4">
        <v>245.73611111111114</v>
      </c>
      <c r="M3363" s="4">
        <v>68.806111111111136</v>
      </c>
      <c r="N3363" t="s">
        <v>94</v>
      </c>
    </row>
    <row r="3364" spans="1:14">
      <c r="A3364">
        <v>3363</v>
      </c>
      <c r="B3364">
        <v>20</v>
      </c>
      <c r="C3364" t="s">
        <v>16</v>
      </c>
      <c r="D3364" t="s">
        <v>33</v>
      </c>
      <c r="E3364" t="s">
        <v>40</v>
      </c>
      <c r="F3364">
        <v>51.56</v>
      </c>
      <c r="G3364" t="s">
        <v>19</v>
      </c>
      <c r="H3364" t="s">
        <v>15</v>
      </c>
      <c r="I3364">
        <v>3.5</v>
      </c>
      <c r="J3364">
        <v>20</v>
      </c>
      <c r="K3364">
        <v>5</v>
      </c>
      <c r="L3364" s="4">
        <v>64.45</v>
      </c>
      <c r="M3364" s="4">
        <v>12.89</v>
      </c>
      <c r="N3364" t="s">
        <v>100</v>
      </c>
    </row>
    <row r="3365" spans="1:14">
      <c r="A3365">
        <v>3364</v>
      </c>
      <c r="B3365">
        <v>51</v>
      </c>
      <c r="C3365" t="s">
        <v>11</v>
      </c>
      <c r="D3365" t="s">
        <v>29</v>
      </c>
      <c r="E3365" t="s">
        <v>55</v>
      </c>
      <c r="F3365">
        <v>94.53</v>
      </c>
      <c r="G3365" t="s">
        <v>24</v>
      </c>
      <c r="H3365" t="s">
        <v>37</v>
      </c>
      <c r="I3365">
        <v>3.7</v>
      </c>
      <c r="J3365">
        <v>18</v>
      </c>
      <c r="K3365">
        <v>4</v>
      </c>
      <c r="L3365" s="4">
        <v>115.28048780487804</v>
      </c>
      <c r="M3365" s="4">
        <v>20.750487804878034</v>
      </c>
      <c r="N3365" t="s">
        <v>93</v>
      </c>
    </row>
    <row r="3366" spans="1:14">
      <c r="A3366">
        <v>3365</v>
      </c>
      <c r="B3366">
        <v>22</v>
      </c>
      <c r="C3366" t="s">
        <v>11</v>
      </c>
      <c r="D3366" t="s">
        <v>20</v>
      </c>
      <c r="E3366" t="s">
        <v>21</v>
      </c>
      <c r="F3366">
        <v>52.91</v>
      </c>
      <c r="G3366" t="s">
        <v>14</v>
      </c>
      <c r="H3366" t="s">
        <v>37</v>
      </c>
      <c r="I3366">
        <v>4.3</v>
      </c>
      <c r="J3366">
        <v>26</v>
      </c>
      <c r="K3366">
        <v>8</v>
      </c>
      <c r="L3366" s="4">
        <v>71.5</v>
      </c>
      <c r="M3366" s="4">
        <v>18.590000000000003</v>
      </c>
      <c r="N3366" t="s">
        <v>100</v>
      </c>
    </row>
    <row r="3367" spans="1:14">
      <c r="A3367">
        <v>3366</v>
      </c>
      <c r="B3367">
        <v>26</v>
      </c>
      <c r="C3367" t="s">
        <v>11</v>
      </c>
      <c r="D3367" t="s">
        <v>33</v>
      </c>
      <c r="E3367" t="s">
        <v>38</v>
      </c>
      <c r="F3367">
        <v>118.99</v>
      </c>
      <c r="G3367" t="s">
        <v>19</v>
      </c>
      <c r="H3367" t="s">
        <v>15</v>
      </c>
      <c r="I3367">
        <v>4.0999999999999996</v>
      </c>
      <c r="J3367">
        <v>13</v>
      </c>
      <c r="K3367">
        <v>4</v>
      </c>
      <c r="L3367" s="4">
        <v>136.77011494252872</v>
      </c>
      <c r="M3367" s="4">
        <v>17.780114942528726</v>
      </c>
      <c r="N3367" t="s">
        <v>91</v>
      </c>
    </row>
    <row r="3368" spans="1:14">
      <c r="A3368">
        <v>3367</v>
      </c>
      <c r="B3368">
        <v>36</v>
      </c>
      <c r="C3368" t="s">
        <v>11</v>
      </c>
      <c r="D3368" t="s">
        <v>12</v>
      </c>
      <c r="E3368" t="s">
        <v>13</v>
      </c>
      <c r="F3368">
        <v>142.22</v>
      </c>
      <c r="G3368" t="s">
        <v>31</v>
      </c>
      <c r="H3368" t="s">
        <v>15</v>
      </c>
      <c r="I3368">
        <v>3.1</v>
      </c>
      <c r="J3368">
        <v>20</v>
      </c>
      <c r="K3368">
        <v>5</v>
      </c>
      <c r="L3368" s="4">
        <v>177.77499999999998</v>
      </c>
      <c r="M3368" s="4">
        <v>35.554999999999978</v>
      </c>
      <c r="N3368" t="s">
        <v>92</v>
      </c>
    </row>
    <row r="3369" spans="1:14">
      <c r="A3369">
        <v>3368</v>
      </c>
      <c r="B3369">
        <v>38</v>
      </c>
      <c r="C3369" t="s">
        <v>11</v>
      </c>
      <c r="D3369" t="s">
        <v>22</v>
      </c>
      <c r="E3369" t="s">
        <v>43</v>
      </c>
      <c r="F3369">
        <v>279.22000000000003</v>
      </c>
      <c r="G3369" t="s">
        <v>31</v>
      </c>
      <c r="H3369" t="s">
        <v>15</v>
      </c>
      <c r="I3369">
        <v>4.3</v>
      </c>
      <c r="J3369">
        <v>5</v>
      </c>
      <c r="K3369">
        <v>0</v>
      </c>
      <c r="L3369" s="4">
        <v>293.91578947368424</v>
      </c>
      <c r="M3369" s="4">
        <v>14.695789473684215</v>
      </c>
      <c r="N3369" t="s">
        <v>92</v>
      </c>
    </row>
    <row r="3370" spans="1:14">
      <c r="A3370">
        <v>3369</v>
      </c>
      <c r="B3370">
        <v>22</v>
      </c>
      <c r="C3370" t="s">
        <v>11</v>
      </c>
      <c r="D3370" t="s">
        <v>29</v>
      </c>
      <c r="E3370" t="s">
        <v>51</v>
      </c>
      <c r="F3370">
        <v>69.319999999999993</v>
      </c>
      <c r="G3370" t="s">
        <v>14</v>
      </c>
      <c r="H3370" t="s">
        <v>37</v>
      </c>
      <c r="I3370">
        <v>3.2</v>
      </c>
      <c r="J3370">
        <v>16</v>
      </c>
      <c r="K3370">
        <v>3</v>
      </c>
      <c r="L3370" s="4">
        <v>82.523809523809518</v>
      </c>
      <c r="M3370" s="4">
        <v>13.203809523809525</v>
      </c>
      <c r="N3370" t="s">
        <v>100</v>
      </c>
    </row>
    <row r="3371" spans="1:14">
      <c r="A3371">
        <v>3370</v>
      </c>
      <c r="B3371">
        <v>48</v>
      </c>
      <c r="C3371" t="s">
        <v>16</v>
      </c>
      <c r="D3371" t="s">
        <v>20</v>
      </c>
      <c r="E3371" t="s">
        <v>36</v>
      </c>
      <c r="F3371">
        <v>185.35</v>
      </c>
      <c r="G3371" t="s">
        <v>19</v>
      </c>
      <c r="H3371" t="s">
        <v>15</v>
      </c>
      <c r="I3371">
        <v>1.7</v>
      </c>
      <c r="J3371">
        <v>16</v>
      </c>
      <c r="K3371">
        <v>3</v>
      </c>
      <c r="L3371" s="4">
        <v>220.6547619047619</v>
      </c>
      <c r="M3371" s="4">
        <v>35.304761904761904</v>
      </c>
      <c r="N3371" t="s">
        <v>93</v>
      </c>
    </row>
    <row r="3372" spans="1:14">
      <c r="A3372">
        <v>3371</v>
      </c>
      <c r="B3372">
        <v>42</v>
      </c>
      <c r="C3372" t="s">
        <v>11</v>
      </c>
      <c r="D3372" t="s">
        <v>20</v>
      </c>
      <c r="E3372" t="s">
        <v>39</v>
      </c>
      <c r="F3372">
        <v>93.72</v>
      </c>
      <c r="G3372" t="s">
        <v>24</v>
      </c>
      <c r="H3372" t="s">
        <v>15</v>
      </c>
      <c r="I3372">
        <v>4.0999999999999996</v>
      </c>
      <c r="J3372">
        <v>18</v>
      </c>
      <c r="K3372">
        <v>4</v>
      </c>
      <c r="L3372" s="4">
        <v>114.29268292682926</v>
      </c>
      <c r="M3372" s="4">
        <v>20.572682926829259</v>
      </c>
      <c r="N3372" t="s">
        <v>92</v>
      </c>
    </row>
    <row r="3373" spans="1:14">
      <c r="A3373">
        <v>3372</v>
      </c>
      <c r="B3373">
        <v>24</v>
      </c>
      <c r="C3373" t="s">
        <v>16</v>
      </c>
      <c r="D3373" t="s">
        <v>17</v>
      </c>
      <c r="E3373" t="s">
        <v>18</v>
      </c>
      <c r="F3373">
        <v>158.33000000000001</v>
      </c>
      <c r="G3373" t="s">
        <v>19</v>
      </c>
      <c r="H3373" t="s">
        <v>15</v>
      </c>
      <c r="I3373">
        <v>3.2</v>
      </c>
      <c r="J3373">
        <v>15</v>
      </c>
      <c r="K3373">
        <v>5</v>
      </c>
      <c r="L3373" s="4">
        <v>186.27058823529413</v>
      </c>
      <c r="M3373" s="4">
        <v>27.940588235294115</v>
      </c>
      <c r="N3373" t="s">
        <v>100</v>
      </c>
    </row>
    <row r="3374" spans="1:14">
      <c r="A3374">
        <v>3373</v>
      </c>
      <c r="B3374">
        <v>24</v>
      </c>
      <c r="C3374" t="s">
        <v>16</v>
      </c>
      <c r="D3374" t="s">
        <v>33</v>
      </c>
      <c r="E3374" t="s">
        <v>38</v>
      </c>
      <c r="F3374">
        <v>73.819999999999993</v>
      </c>
      <c r="G3374" t="s">
        <v>14</v>
      </c>
      <c r="H3374" t="s">
        <v>37</v>
      </c>
      <c r="I3374">
        <v>3.7</v>
      </c>
      <c r="J3374">
        <v>22</v>
      </c>
      <c r="K3374">
        <v>6</v>
      </c>
      <c r="L3374" s="4">
        <v>94.641025641025635</v>
      </c>
      <c r="M3374" s="4">
        <v>20.821025641025642</v>
      </c>
      <c r="N3374" t="s">
        <v>100</v>
      </c>
    </row>
    <row r="3375" spans="1:14">
      <c r="A3375">
        <v>3374</v>
      </c>
      <c r="B3375">
        <v>63</v>
      </c>
      <c r="C3375" t="s">
        <v>16</v>
      </c>
      <c r="D3375" t="s">
        <v>25</v>
      </c>
      <c r="E3375" t="s">
        <v>47</v>
      </c>
      <c r="F3375">
        <v>13.69</v>
      </c>
      <c r="G3375" t="s">
        <v>19</v>
      </c>
      <c r="H3375" t="s">
        <v>15</v>
      </c>
      <c r="I3375">
        <v>3.7</v>
      </c>
      <c r="J3375">
        <v>16</v>
      </c>
      <c r="K3375">
        <v>8</v>
      </c>
      <c r="L3375" s="4">
        <v>16.297619047619047</v>
      </c>
      <c r="M3375" s="4">
        <v>2.6076190476190479</v>
      </c>
      <c r="N3375" t="s">
        <v>94</v>
      </c>
    </row>
    <row r="3376" spans="1:14">
      <c r="A3376">
        <v>3375</v>
      </c>
      <c r="B3376">
        <v>34</v>
      </c>
      <c r="C3376" t="s">
        <v>16</v>
      </c>
      <c r="D3376" t="s">
        <v>17</v>
      </c>
      <c r="E3376" t="s">
        <v>48</v>
      </c>
      <c r="F3376">
        <v>59.1</v>
      </c>
      <c r="G3376" t="s">
        <v>14</v>
      </c>
      <c r="H3376" t="s">
        <v>15</v>
      </c>
      <c r="I3376">
        <v>3.6</v>
      </c>
      <c r="J3376">
        <v>22</v>
      </c>
      <c r="K3376">
        <v>6</v>
      </c>
      <c r="L3376" s="4">
        <v>75.769230769230774</v>
      </c>
      <c r="M3376" s="4">
        <v>16.669230769230772</v>
      </c>
      <c r="N3376" t="s">
        <v>91</v>
      </c>
    </row>
    <row r="3377" spans="1:14">
      <c r="A3377">
        <v>3376</v>
      </c>
      <c r="B3377">
        <v>57</v>
      </c>
      <c r="C3377" t="s">
        <v>11</v>
      </c>
      <c r="D3377" t="s">
        <v>22</v>
      </c>
      <c r="E3377" t="s">
        <v>43</v>
      </c>
      <c r="F3377">
        <v>148.53</v>
      </c>
      <c r="G3377" t="s">
        <v>24</v>
      </c>
      <c r="H3377" t="s">
        <v>15</v>
      </c>
      <c r="I3377">
        <v>3.8</v>
      </c>
      <c r="J3377">
        <v>16</v>
      </c>
      <c r="K3377">
        <v>3</v>
      </c>
      <c r="L3377" s="4">
        <v>176.82142857142858</v>
      </c>
      <c r="M3377" s="4">
        <v>28.291428571428582</v>
      </c>
      <c r="N3377" t="s">
        <v>94</v>
      </c>
    </row>
    <row r="3378" spans="1:14">
      <c r="A3378">
        <v>3377</v>
      </c>
      <c r="B3378">
        <v>62</v>
      </c>
      <c r="C3378" t="s">
        <v>16</v>
      </c>
      <c r="D3378" t="s">
        <v>33</v>
      </c>
      <c r="E3378" t="s">
        <v>34</v>
      </c>
      <c r="F3378">
        <v>171</v>
      </c>
      <c r="G3378" t="s">
        <v>24</v>
      </c>
      <c r="H3378" t="s">
        <v>15</v>
      </c>
      <c r="I3378">
        <v>4</v>
      </c>
      <c r="J3378">
        <v>18</v>
      </c>
      <c r="K3378">
        <v>4</v>
      </c>
      <c r="L3378" s="4">
        <v>208.53658536585365</v>
      </c>
      <c r="M3378" s="4">
        <v>37.536585365853654</v>
      </c>
      <c r="N3378" t="s">
        <v>94</v>
      </c>
    </row>
    <row r="3379" spans="1:14">
      <c r="A3379">
        <v>3378</v>
      </c>
      <c r="B3379">
        <v>49</v>
      </c>
      <c r="C3379" t="s">
        <v>16</v>
      </c>
      <c r="D3379" t="s">
        <v>25</v>
      </c>
      <c r="E3379" t="s">
        <v>57</v>
      </c>
      <c r="F3379">
        <v>56.43</v>
      </c>
      <c r="G3379" t="s">
        <v>24</v>
      </c>
      <c r="H3379" t="s">
        <v>37</v>
      </c>
      <c r="I3379">
        <v>3.2</v>
      </c>
      <c r="J3379">
        <v>16</v>
      </c>
      <c r="K3379">
        <v>3</v>
      </c>
      <c r="L3379" s="4">
        <v>67.178571428571431</v>
      </c>
      <c r="M3379" s="4">
        <v>10.748571428571431</v>
      </c>
      <c r="N3379" t="s">
        <v>93</v>
      </c>
    </row>
    <row r="3380" spans="1:14">
      <c r="A3380">
        <v>3379</v>
      </c>
      <c r="B3380">
        <v>41</v>
      </c>
      <c r="C3380" t="s">
        <v>11</v>
      </c>
      <c r="D3380" t="s">
        <v>29</v>
      </c>
      <c r="E3380" t="s">
        <v>51</v>
      </c>
      <c r="F3380">
        <v>85.3</v>
      </c>
      <c r="G3380" t="s">
        <v>19</v>
      </c>
      <c r="H3380" t="s">
        <v>15</v>
      </c>
      <c r="I3380">
        <v>5</v>
      </c>
      <c r="J3380">
        <v>10</v>
      </c>
      <c r="K3380">
        <v>5</v>
      </c>
      <c r="L3380" s="4">
        <v>94.777777777777771</v>
      </c>
      <c r="M3380" s="4">
        <v>9.4777777777777743</v>
      </c>
      <c r="N3380" t="s">
        <v>92</v>
      </c>
    </row>
    <row r="3381" spans="1:14">
      <c r="A3381">
        <v>3380</v>
      </c>
      <c r="B3381">
        <v>47</v>
      </c>
      <c r="C3381" t="s">
        <v>11</v>
      </c>
      <c r="D3381" t="s">
        <v>29</v>
      </c>
      <c r="E3381" t="s">
        <v>55</v>
      </c>
      <c r="F3381">
        <v>122.41</v>
      </c>
      <c r="G3381" t="s">
        <v>14</v>
      </c>
      <c r="H3381" t="s">
        <v>15</v>
      </c>
      <c r="I3381">
        <v>4.2</v>
      </c>
      <c r="J3381">
        <v>18</v>
      </c>
      <c r="K3381">
        <v>4</v>
      </c>
      <c r="L3381" s="4">
        <v>149.28048780487802</v>
      </c>
      <c r="M3381" s="4">
        <v>26.870487804878024</v>
      </c>
      <c r="N3381" t="s">
        <v>93</v>
      </c>
    </row>
    <row r="3382" spans="1:14">
      <c r="A3382">
        <v>3381</v>
      </c>
      <c r="B3382">
        <v>49</v>
      </c>
      <c r="C3382" t="s">
        <v>11</v>
      </c>
      <c r="D3382" t="s">
        <v>33</v>
      </c>
      <c r="E3382" t="s">
        <v>40</v>
      </c>
      <c r="F3382">
        <v>99.87</v>
      </c>
      <c r="G3382" t="s">
        <v>14</v>
      </c>
      <c r="H3382" t="s">
        <v>15</v>
      </c>
      <c r="I3382">
        <v>3.6</v>
      </c>
      <c r="J3382">
        <v>19</v>
      </c>
      <c r="K3382">
        <v>7</v>
      </c>
      <c r="L3382" s="4">
        <v>123.29629629629629</v>
      </c>
      <c r="M3382" s="4">
        <v>23.426296296296286</v>
      </c>
      <c r="N3382" t="s">
        <v>93</v>
      </c>
    </row>
    <row r="3383" spans="1:14">
      <c r="A3383">
        <v>3382</v>
      </c>
      <c r="B3383">
        <v>41</v>
      </c>
      <c r="C3383" t="s">
        <v>11</v>
      </c>
      <c r="D3383" t="s">
        <v>33</v>
      </c>
      <c r="E3383" t="s">
        <v>34</v>
      </c>
      <c r="F3383">
        <v>214.67</v>
      </c>
      <c r="G3383" t="s">
        <v>14</v>
      </c>
      <c r="H3383" t="s">
        <v>15</v>
      </c>
      <c r="I3383">
        <v>3.7</v>
      </c>
      <c r="J3383">
        <v>16</v>
      </c>
      <c r="K3383">
        <v>8</v>
      </c>
      <c r="L3383" s="4">
        <v>255.5595238095238</v>
      </c>
      <c r="M3383" s="4">
        <v>40.889523809523808</v>
      </c>
      <c r="N3383" t="s">
        <v>92</v>
      </c>
    </row>
    <row r="3384" spans="1:14">
      <c r="A3384">
        <v>3383</v>
      </c>
      <c r="B3384">
        <v>56</v>
      </c>
      <c r="C3384" t="s">
        <v>11</v>
      </c>
      <c r="D3384" t="s">
        <v>29</v>
      </c>
      <c r="E3384" t="s">
        <v>55</v>
      </c>
      <c r="F3384">
        <v>48.85</v>
      </c>
      <c r="G3384" t="s">
        <v>14</v>
      </c>
      <c r="H3384" t="s">
        <v>15</v>
      </c>
      <c r="I3384">
        <v>4.7</v>
      </c>
      <c r="J3384">
        <v>16</v>
      </c>
      <c r="K3384">
        <v>3</v>
      </c>
      <c r="L3384" s="4">
        <v>58.154761904761905</v>
      </c>
      <c r="M3384" s="4">
        <v>9.3047619047619037</v>
      </c>
      <c r="N3384" t="s">
        <v>94</v>
      </c>
    </row>
    <row r="3385" spans="1:14">
      <c r="A3385">
        <v>3384</v>
      </c>
      <c r="B3385">
        <v>21</v>
      </c>
      <c r="C3385" t="s">
        <v>11</v>
      </c>
      <c r="D3385" t="s">
        <v>22</v>
      </c>
      <c r="E3385" t="s">
        <v>52</v>
      </c>
      <c r="F3385">
        <v>184.48</v>
      </c>
      <c r="G3385" t="s">
        <v>24</v>
      </c>
      <c r="H3385" t="s">
        <v>15</v>
      </c>
      <c r="I3385">
        <v>4.5999999999999996</v>
      </c>
      <c r="J3385">
        <v>27</v>
      </c>
      <c r="K3385">
        <v>11</v>
      </c>
      <c r="L3385" s="4">
        <v>252.71232876712327</v>
      </c>
      <c r="M3385" s="4">
        <v>68.232328767123278</v>
      </c>
      <c r="N3385" t="s">
        <v>100</v>
      </c>
    </row>
    <row r="3386" spans="1:14">
      <c r="A3386">
        <v>3385</v>
      </c>
      <c r="B3386">
        <v>24</v>
      </c>
      <c r="C3386" t="s">
        <v>16</v>
      </c>
      <c r="D3386" t="s">
        <v>20</v>
      </c>
      <c r="E3386" t="s">
        <v>39</v>
      </c>
      <c r="F3386">
        <v>137.49</v>
      </c>
      <c r="G3386" t="s">
        <v>31</v>
      </c>
      <c r="H3386" t="s">
        <v>15</v>
      </c>
      <c r="I3386">
        <v>3.3</v>
      </c>
      <c r="J3386">
        <v>11</v>
      </c>
      <c r="K3386">
        <v>3</v>
      </c>
      <c r="L3386" s="4">
        <v>154.48314606741573</v>
      </c>
      <c r="M3386" s="4">
        <v>16.993146067415722</v>
      </c>
      <c r="N3386" t="s">
        <v>100</v>
      </c>
    </row>
    <row r="3387" spans="1:14">
      <c r="A3387">
        <v>3386</v>
      </c>
      <c r="B3387">
        <v>44</v>
      </c>
      <c r="C3387" t="s">
        <v>11</v>
      </c>
      <c r="D3387" t="s">
        <v>41</v>
      </c>
      <c r="E3387" t="s">
        <v>44</v>
      </c>
      <c r="F3387">
        <v>32.06</v>
      </c>
      <c r="G3387" t="s">
        <v>24</v>
      </c>
      <c r="H3387" t="s">
        <v>37</v>
      </c>
      <c r="I3387">
        <v>3.6</v>
      </c>
      <c r="J3387">
        <v>15</v>
      </c>
      <c r="K3387">
        <v>5</v>
      </c>
      <c r="L3387" s="4">
        <v>37.71764705882353</v>
      </c>
      <c r="M3387" s="4">
        <v>5.6576470588235281</v>
      </c>
      <c r="N3387" t="s">
        <v>92</v>
      </c>
    </row>
    <row r="3388" spans="1:14">
      <c r="A3388">
        <v>3387</v>
      </c>
      <c r="B3388">
        <v>68</v>
      </c>
      <c r="C3388" t="s">
        <v>16</v>
      </c>
      <c r="D3388" t="s">
        <v>17</v>
      </c>
      <c r="E3388" t="s">
        <v>35</v>
      </c>
      <c r="F3388">
        <v>192.92</v>
      </c>
      <c r="G3388" t="s">
        <v>14</v>
      </c>
      <c r="H3388" t="s">
        <v>15</v>
      </c>
      <c r="I3388">
        <v>4.0999999999999996</v>
      </c>
      <c r="J3388">
        <v>13</v>
      </c>
      <c r="K3388">
        <v>4</v>
      </c>
      <c r="L3388" s="4">
        <v>221.7471264367816</v>
      </c>
      <c r="M3388" s="4">
        <v>28.827126436781612</v>
      </c>
      <c r="N3388" t="s">
        <v>95</v>
      </c>
    </row>
    <row r="3389" spans="1:14">
      <c r="A3389">
        <v>3388</v>
      </c>
      <c r="B3389">
        <v>41</v>
      </c>
      <c r="C3389" t="s">
        <v>11</v>
      </c>
      <c r="D3389" t="s">
        <v>25</v>
      </c>
      <c r="E3389" t="s">
        <v>47</v>
      </c>
      <c r="F3389">
        <v>17.899999999999999</v>
      </c>
      <c r="G3389" t="s">
        <v>31</v>
      </c>
      <c r="H3389" t="s">
        <v>15</v>
      </c>
      <c r="I3389">
        <v>2.5</v>
      </c>
      <c r="J3389">
        <v>30</v>
      </c>
      <c r="K3389">
        <v>10</v>
      </c>
      <c r="L3389" s="4">
        <v>25.571428571428569</v>
      </c>
      <c r="M3389" s="4">
        <v>7.6714285714285708</v>
      </c>
      <c r="N3389" t="s">
        <v>92</v>
      </c>
    </row>
    <row r="3390" spans="1:14">
      <c r="A3390">
        <v>3389</v>
      </c>
      <c r="B3390">
        <v>43</v>
      </c>
      <c r="C3390" t="s">
        <v>11</v>
      </c>
      <c r="D3390" t="s">
        <v>20</v>
      </c>
      <c r="E3390" t="s">
        <v>39</v>
      </c>
      <c r="F3390">
        <v>122.74</v>
      </c>
      <c r="G3390" t="s">
        <v>31</v>
      </c>
      <c r="H3390" t="s">
        <v>15</v>
      </c>
      <c r="I3390">
        <v>4.5</v>
      </c>
      <c r="J3390">
        <v>17</v>
      </c>
      <c r="K3390">
        <v>6</v>
      </c>
      <c r="L3390" s="4">
        <v>147.87951807228916</v>
      </c>
      <c r="M3390" s="4">
        <v>25.139518072289164</v>
      </c>
      <c r="N3390" t="s">
        <v>92</v>
      </c>
    </row>
    <row r="3391" spans="1:14">
      <c r="A3391">
        <v>3390</v>
      </c>
      <c r="B3391">
        <v>21</v>
      </c>
      <c r="C3391" t="s">
        <v>11</v>
      </c>
      <c r="D3391" t="s">
        <v>33</v>
      </c>
      <c r="E3391" t="s">
        <v>38</v>
      </c>
      <c r="F3391">
        <v>84.31</v>
      </c>
      <c r="G3391" t="s">
        <v>14</v>
      </c>
      <c r="H3391" t="s">
        <v>15</v>
      </c>
      <c r="I3391">
        <v>3.3</v>
      </c>
      <c r="J3391">
        <v>4</v>
      </c>
      <c r="K3391">
        <v>2</v>
      </c>
      <c r="L3391" s="4">
        <v>87.822916666666671</v>
      </c>
      <c r="M3391" s="4">
        <v>3.5129166666666691</v>
      </c>
      <c r="N3391" t="s">
        <v>100</v>
      </c>
    </row>
    <row r="3392" spans="1:14">
      <c r="A3392">
        <v>3391</v>
      </c>
      <c r="B3392">
        <v>63</v>
      </c>
      <c r="C3392" t="s">
        <v>11</v>
      </c>
      <c r="D3392" t="s">
        <v>41</v>
      </c>
      <c r="E3392" t="s">
        <v>46</v>
      </c>
      <c r="F3392">
        <v>179.53</v>
      </c>
      <c r="G3392" t="s">
        <v>14</v>
      </c>
      <c r="H3392" t="s">
        <v>15</v>
      </c>
      <c r="I3392">
        <v>4.5999999999999996</v>
      </c>
      <c r="J3392">
        <v>13</v>
      </c>
      <c r="K3392">
        <v>4</v>
      </c>
      <c r="L3392" s="4">
        <v>206.35632183908046</v>
      </c>
      <c r="M3392" s="4">
        <v>26.826321839080464</v>
      </c>
      <c r="N3392" t="s">
        <v>94</v>
      </c>
    </row>
    <row r="3393" spans="1:14">
      <c r="A3393">
        <v>3392</v>
      </c>
      <c r="B3393">
        <v>63</v>
      </c>
      <c r="C3393" t="s">
        <v>11</v>
      </c>
      <c r="D3393" t="s">
        <v>41</v>
      </c>
      <c r="E3393" t="s">
        <v>42</v>
      </c>
      <c r="F3393">
        <v>102.83</v>
      </c>
      <c r="G3393" t="s">
        <v>14</v>
      </c>
      <c r="H3393" t="s">
        <v>15</v>
      </c>
      <c r="I3393">
        <v>2.2999999999999998</v>
      </c>
      <c r="J3393">
        <v>14</v>
      </c>
      <c r="K3393">
        <v>7</v>
      </c>
      <c r="L3393" s="4">
        <v>119.56976744186046</v>
      </c>
      <c r="M3393" s="4">
        <v>16.739767441860465</v>
      </c>
      <c r="N3393" t="s">
        <v>94</v>
      </c>
    </row>
    <row r="3394" spans="1:14">
      <c r="A3394">
        <v>3393</v>
      </c>
      <c r="B3394">
        <v>46</v>
      </c>
      <c r="C3394" t="s">
        <v>16</v>
      </c>
      <c r="D3394" t="s">
        <v>27</v>
      </c>
      <c r="E3394" t="s">
        <v>28</v>
      </c>
      <c r="F3394">
        <v>1334.9</v>
      </c>
      <c r="G3394" t="s">
        <v>31</v>
      </c>
      <c r="H3394" t="s">
        <v>15</v>
      </c>
      <c r="I3394">
        <v>2.4</v>
      </c>
      <c r="J3394">
        <v>16</v>
      </c>
      <c r="K3394">
        <v>3</v>
      </c>
      <c r="L3394" s="4">
        <v>1589.1666666666667</v>
      </c>
      <c r="M3394" s="4">
        <v>254.26666666666665</v>
      </c>
      <c r="N3394" t="s">
        <v>93</v>
      </c>
    </row>
    <row r="3395" spans="1:14">
      <c r="A3395">
        <v>3394</v>
      </c>
      <c r="B3395">
        <v>60</v>
      </c>
      <c r="C3395" t="s">
        <v>16</v>
      </c>
      <c r="D3395" t="s">
        <v>27</v>
      </c>
      <c r="E3395" t="s">
        <v>53</v>
      </c>
      <c r="F3395">
        <v>2995.9</v>
      </c>
      <c r="G3395" t="s">
        <v>19</v>
      </c>
      <c r="H3395" t="s">
        <v>15</v>
      </c>
      <c r="I3395">
        <v>4.5999999999999996</v>
      </c>
      <c r="J3395">
        <v>14</v>
      </c>
      <c r="K3395">
        <v>7</v>
      </c>
      <c r="L3395" s="4">
        <v>3483.604651162791</v>
      </c>
      <c r="M3395" s="4">
        <v>487.70465116279092</v>
      </c>
      <c r="N3395" t="s">
        <v>94</v>
      </c>
    </row>
    <row r="3396" spans="1:14">
      <c r="A3396">
        <v>3395</v>
      </c>
      <c r="B3396">
        <v>26</v>
      </c>
      <c r="C3396" t="s">
        <v>11</v>
      </c>
      <c r="D3396" t="s">
        <v>33</v>
      </c>
      <c r="E3396" t="s">
        <v>38</v>
      </c>
      <c r="F3396">
        <v>112.8</v>
      </c>
      <c r="G3396" t="s">
        <v>14</v>
      </c>
      <c r="H3396" t="s">
        <v>15</v>
      </c>
      <c r="I3396">
        <v>3.7</v>
      </c>
      <c r="J3396">
        <v>26</v>
      </c>
      <c r="K3396">
        <v>8</v>
      </c>
      <c r="L3396" s="4">
        <v>152.43243243243242</v>
      </c>
      <c r="M3396" s="4">
        <v>39.632432432432424</v>
      </c>
      <c r="N3396" t="s">
        <v>91</v>
      </c>
    </row>
    <row r="3397" spans="1:14">
      <c r="A3397">
        <v>3396</v>
      </c>
      <c r="B3397">
        <v>65</v>
      </c>
      <c r="C3397" t="s">
        <v>11</v>
      </c>
      <c r="D3397" t="s">
        <v>29</v>
      </c>
      <c r="E3397" t="s">
        <v>51</v>
      </c>
      <c r="F3397">
        <v>116.4</v>
      </c>
      <c r="G3397" t="s">
        <v>24</v>
      </c>
      <c r="H3397" t="s">
        <v>15</v>
      </c>
      <c r="I3397">
        <v>3.9</v>
      </c>
      <c r="J3397">
        <v>30</v>
      </c>
      <c r="K3397">
        <v>10</v>
      </c>
      <c r="L3397" s="4">
        <v>166.28571428571431</v>
      </c>
      <c r="M3397" s="4">
        <v>49.8857142857143</v>
      </c>
      <c r="N3397" t="s">
        <v>95</v>
      </c>
    </row>
    <row r="3398" spans="1:14">
      <c r="A3398">
        <v>3397</v>
      </c>
      <c r="B3398">
        <v>69</v>
      </c>
      <c r="C3398" t="s">
        <v>11</v>
      </c>
      <c r="D3398" t="s">
        <v>12</v>
      </c>
      <c r="E3398" t="s">
        <v>50</v>
      </c>
      <c r="F3398">
        <v>106.97</v>
      </c>
      <c r="G3398" t="s">
        <v>24</v>
      </c>
      <c r="H3398" t="s">
        <v>15</v>
      </c>
      <c r="I3398">
        <v>4.0999999999999996</v>
      </c>
      <c r="J3398">
        <v>13</v>
      </c>
      <c r="K3398">
        <v>4</v>
      </c>
      <c r="L3398" s="4">
        <v>122.95402298850574</v>
      </c>
      <c r="M3398" s="4">
        <v>15.984022988505743</v>
      </c>
      <c r="N3398" t="s">
        <v>95</v>
      </c>
    </row>
    <row r="3399" spans="1:14">
      <c r="A3399">
        <v>3398</v>
      </c>
      <c r="B3399">
        <v>48</v>
      </c>
      <c r="C3399" t="s">
        <v>16</v>
      </c>
      <c r="D3399" t="s">
        <v>33</v>
      </c>
      <c r="E3399" t="s">
        <v>40</v>
      </c>
      <c r="F3399">
        <v>106.53</v>
      </c>
      <c r="G3399" t="s">
        <v>19</v>
      </c>
      <c r="H3399" t="s">
        <v>15</v>
      </c>
      <c r="I3399">
        <v>4.7</v>
      </c>
      <c r="J3399">
        <v>22</v>
      </c>
      <c r="K3399">
        <v>6</v>
      </c>
      <c r="L3399" s="4">
        <v>136.57692307692307</v>
      </c>
      <c r="M3399" s="4">
        <v>30.046923076923065</v>
      </c>
      <c r="N3399" t="s">
        <v>93</v>
      </c>
    </row>
    <row r="3400" spans="1:14">
      <c r="A3400">
        <v>3399</v>
      </c>
      <c r="B3400">
        <v>22</v>
      </c>
      <c r="C3400" t="s">
        <v>11</v>
      </c>
      <c r="D3400" t="s">
        <v>25</v>
      </c>
      <c r="E3400" t="s">
        <v>54</v>
      </c>
      <c r="F3400">
        <v>71.849999999999994</v>
      </c>
      <c r="G3400" t="s">
        <v>19</v>
      </c>
      <c r="H3400" t="s">
        <v>15</v>
      </c>
      <c r="I3400">
        <v>3.6</v>
      </c>
      <c r="J3400">
        <v>22</v>
      </c>
      <c r="K3400">
        <v>6</v>
      </c>
      <c r="L3400" s="4">
        <v>92.115384615384599</v>
      </c>
      <c r="M3400" s="4">
        <v>20.265384615384605</v>
      </c>
      <c r="N3400" t="s">
        <v>100</v>
      </c>
    </row>
    <row r="3401" spans="1:14">
      <c r="A3401">
        <v>3400</v>
      </c>
      <c r="B3401">
        <v>23</v>
      </c>
      <c r="C3401" t="s">
        <v>16</v>
      </c>
      <c r="D3401" t="s">
        <v>20</v>
      </c>
      <c r="E3401" t="s">
        <v>39</v>
      </c>
      <c r="F3401">
        <v>79.17</v>
      </c>
      <c r="G3401" t="s">
        <v>31</v>
      </c>
      <c r="H3401" t="s">
        <v>15</v>
      </c>
      <c r="I3401">
        <v>3.9</v>
      </c>
      <c r="J3401">
        <v>13</v>
      </c>
      <c r="K3401">
        <v>4</v>
      </c>
      <c r="L3401" s="4">
        <v>91</v>
      </c>
      <c r="M3401" s="4">
        <v>11.829999999999998</v>
      </c>
      <c r="N3401" t="s">
        <v>100</v>
      </c>
    </row>
    <row r="3402" spans="1:14">
      <c r="A3402">
        <v>3401</v>
      </c>
      <c r="B3402">
        <v>21</v>
      </c>
      <c r="C3402" t="s">
        <v>16</v>
      </c>
      <c r="D3402" t="s">
        <v>33</v>
      </c>
      <c r="E3402" t="s">
        <v>40</v>
      </c>
      <c r="F3402">
        <v>218.6</v>
      </c>
      <c r="G3402" t="s">
        <v>24</v>
      </c>
      <c r="H3402" t="s">
        <v>15</v>
      </c>
      <c r="I3402">
        <v>4.5</v>
      </c>
      <c r="J3402">
        <v>12</v>
      </c>
      <c r="K3402">
        <v>6</v>
      </c>
      <c r="L3402" s="4">
        <v>248.40909090909091</v>
      </c>
      <c r="M3402" s="4">
        <v>29.809090909090912</v>
      </c>
      <c r="N3402" t="s">
        <v>100</v>
      </c>
    </row>
    <row r="3403" spans="1:14">
      <c r="A3403">
        <v>3402</v>
      </c>
      <c r="B3403">
        <v>54</v>
      </c>
      <c r="C3403" t="s">
        <v>16</v>
      </c>
      <c r="D3403" t="s">
        <v>17</v>
      </c>
      <c r="E3403" t="s">
        <v>48</v>
      </c>
      <c r="F3403">
        <v>130.78</v>
      </c>
      <c r="G3403" t="s">
        <v>14</v>
      </c>
      <c r="H3403" t="s">
        <v>15</v>
      </c>
      <c r="I3403">
        <v>4.9000000000000004</v>
      </c>
      <c r="J3403">
        <v>14</v>
      </c>
      <c r="K3403">
        <v>7</v>
      </c>
      <c r="L3403" s="4">
        <v>152.06976744186048</v>
      </c>
      <c r="M3403" s="4">
        <v>21.289767441860477</v>
      </c>
      <c r="N3403" t="s">
        <v>93</v>
      </c>
    </row>
    <row r="3404" spans="1:14">
      <c r="A3404">
        <v>3403</v>
      </c>
      <c r="B3404">
        <v>23</v>
      </c>
      <c r="C3404" t="s">
        <v>16</v>
      </c>
      <c r="D3404" t="s">
        <v>33</v>
      </c>
      <c r="E3404" t="s">
        <v>38</v>
      </c>
      <c r="F3404">
        <v>76.209999999999994</v>
      </c>
      <c r="G3404" t="s">
        <v>19</v>
      </c>
      <c r="H3404" t="s">
        <v>15</v>
      </c>
      <c r="I3404">
        <v>4.8</v>
      </c>
      <c r="J3404">
        <v>11</v>
      </c>
      <c r="K3404">
        <v>3</v>
      </c>
      <c r="L3404" s="4">
        <v>85.62921348314606</v>
      </c>
      <c r="M3404" s="4">
        <v>9.4192134831460663</v>
      </c>
      <c r="N3404" t="s">
        <v>100</v>
      </c>
    </row>
    <row r="3405" spans="1:14">
      <c r="A3405">
        <v>3404</v>
      </c>
      <c r="B3405">
        <v>36</v>
      </c>
      <c r="C3405" t="s">
        <v>16</v>
      </c>
      <c r="D3405" t="s">
        <v>20</v>
      </c>
      <c r="E3405" t="s">
        <v>36</v>
      </c>
      <c r="F3405">
        <v>134.77000000000001</v>
      </c>
      <c r="G3405" t="s">
        <v>31</v>
      </c>
      <c r="H3405" t="s">
        <v>15</v>
      </c>
      <c r="I3405">
        <v>4.8</v>
      </c>
      <c r="J3405">
        <v>12</v>
      </c>
      <c r="K3405">
        <v>6</v>
      </c>
      <c r="L3405" s="4">
        <v>153.14772727272728</v>
      </c>
      <c r="M3405" s="4">
        <v>18.37772727272727</v>
      </c>
      <c r="N3405" t="s">
        <v>92</v>
      </c>
    </row>
    <row r="3406" spans="1:14">
      <c r="A3406">
        <v>3405</v>
      </c>
      <c r="B3406">
        <v>56</v>
      </c>
      <c r="C3406" t="s">
        <v>16</v>
      </c>
      <c r="D3406" t="s">
        <v>20</v>
      </c>
      <c r="E3406" t="s">
        <v>39</v>
      </c>
      <c r="F3406">
        <v>224.71</v>
      </c>
      <c r="G3406" t="s">
        <v>14</v>
      </c>
      <c r="H3406" t="s">
        <v>15</v>
      </c>
      <c r="I3406">
        <v>4.8</v>
      </c>
      <c r="J3406">
        <v>13</v>
      </c>
      <c r="K3406">
        <v>4</v>
      </c>
      <c r="L3406" s="4">
        <v>258.28735632183907</v>
      </c>
      <c r="M3406" s="4">
        <v>33.577356321839062</v>
      </c>
      <c r="N3406" t="s">
        <v>94</v>
      </c>
    </row>
    <row r="3407" spans="1:14">
      <c r="A3407">
        <v>3406</v>
      </c>
      <c r="B3407">
        <v>65</v>
      </c>
      <c r="C3407" t="s">
        <v>11</v>
      </c>
      <c r="D3407" t="s">
        <v>29</v>
      </c>
      <c r="E3407" t="s">
        <v>55</v>
      </c>
      <c r="F3407">
        <v>29.46</v>
      </c>
      <c r="G3407" t="s">
        <v>14</v>
      </c>
      <c r="H3407" t="s">
        <v>15</v>
      </c>
      <c r="I3407">
        <v>3.6</v>
      </c>
      <c r="J3407">
        <v>13</v>
      </c>
      <c r="K3407">
        <v>4</v>
      </c>
      <c r="L3407" s="4">
        <v>33.862068965517246</v>
      </c>
      <c r="M3407" s="4">
        <v>4.4020689655172447</v>
      </c>
      <c r="N3407" t="s">
        <v>95</v>
      </c>
    </row>
    <row r="3408" spans="1:14">
      <c r="A3408">
        <v>3407</v>
      </c>
      <c r="B3408">
        <v>64</v>
      </c>
      <c r="C3408" t="s">
        <v>16</v>
      </c>
      <c r="D3408" t="s">
        <v>17</v>
      </c>
      <c r="E3408" t="s">
        <v>18</v>
      </c>
      <c r="F3408">
        <v>57</v>
      </c>
      <c r="G3408" t="s">
        <v>31</v>
      </c>
      <c r="H3408" t="s">
        <v>37</v>
      </c>
      <c r="I3408">
        <v>3.6</v>
      </c>
      <c r="J3408">
        <v>15</v>
      </c>
      <c r="K3408">
        <v>5</v>
      </c>
      <c r="L3408" s="4">
        <v>67.058823529411768</v>
      </c>
      <c r="M3408" s="4">
        <v>10.058823529411768</v>
      </c>
      <c r="N3408" t="s">
        <v>94</v>
      </c>
    </row>
    <row r="3409" spans="1:14">
      <c r="A3409">
        <v>3408</v>
      </c>
      <c r="B3409">
        <v>38</v>
      </c>
      <c r="C3409" t="s">
        <v>16</v>
      </c>
      <c r="D3409" t="s">
        <v>33</v>
      </c>
      <c r="E3409" t="s">
        <v>40</v>
      </c>
      <c r="F3409">
        <v>71.58</v>
      </c>
      <c r="G3409" t="s">
        <v>19</v>
      </c>
      <c r="H3409" t="s">
        <v>37</v>
      </c>
      <c r="I3409">
        <v>3.3</v>
      </c>
      <c r="J3409">
        <v>13</v>
      </c>
      <c r="K3409">
        <v>4</v>
      </c>
      <c r="L3409" s="4">
        <v>82.275862068965509</v>
      </c>
      <c r="M3409" s="4">
        <v>10.695862068965511</v>
      </c>
      <c r="N3409" t="s">
        <v>92</v>
      </c>
    </row>
    <row r="3410" spans="1:14">
      <c r="A3410">
        <v>3409</v>
      </c>
      <c r="B3410">
        <v>34</v>
      </c>
      <c r="C3410" t="s">
        <v>11</v>
      </c>
      <c r="D3410" t="s">
        <v>20</v>
      </c>
      <c r="E3410" t="s">
        <v>39</v>
      </c>
      <c r="F3410">
        <v>213.67</v>
      </c>
      <c r="G3410" t="s">
        <v>14</v>
      </c>
      <c r="H3410" t="s">
        <v>15</v>
      </c>
      <c r="I3410">
        <v>3.7</v>
      </c>
      <c r="J3410">
        <v>22</v>
      </c>
      <c r="K3410">
        <v>6</v>
      </c>
      <c r="L3410" s="4">
        <v>273.9358974358974</v>
      </c>
      <c r="M3410" s="4">
        <v>60.265897435897415</v>
      </c>
      <c r="N3410" t="s">
        <v>91</v>
      </c>
    </row>
    <row r="3411" spans="1:14">
      <c r="A3411">
        <v>3410</v>
      </c>
      <c r="B3411">
        <v>35</v>
      </c>
      <c r="C3411" t="s">
        <v>11</v>
      </c>
      <c r="D3411" t="s">
        <v>41</v>
      </c>
      <c r="E3411" t="s">
        <v>44</v>
      </c>
      <c r="F3411">
        <v>97.07</v>
      </c>
      <c r="G3411" t="s">
        <v>19</v>
      </c>
      <c r="H3411" t="s">
        <v>37</v>
      </c>
      <c r="I3411">
        <v>3.1</v>
      </c>
      <c r="J3411">
        <v>18</v>
      </c>
      <c r="K3411">
        <v>4</v>
      </c>
      <c r="L3411" s="4">
        <v>118.37804878048779</v>
      </c>
      <c r="M3411" s="4">
        <v>21.308048780487795</v>
      </c>
      <c r="N3411" t="s">
        <v>92</v>
      </c>
    </row>
    <row r="3412" spans="1:14">
      <c r="A3412">
        <v>3411</v>
      </c>
      <c r="B3412">
        <v>67</v>
      </c>
      <c r="C3412" t="s">
        <v>11</v>
      </c>
      <c r="D3412" t="s">
        <v>12</v>
      </c>
      <c r="E3412" t="s">
        <v>50</v>
      </c>
      <c r="F3412">
        <v>154.84</v>
      </c>
      <c r="G3412" t="s">
        <v>24</v>
      </c>
      <c r="H3412" t="s">
        <v>15</v>
      </c>
      <c r="I3412">
        <v>3.9</v>
      </c>
      <c r="J3412">
        <v>18</v>
      </c>
      <c r="K3412">
        <v>4</v>
      </c>
      <c r="L3412" s="4">
        <v>188.82926829268291</v>
      </c>
      <c r="M3412" s="4">
        <v>33.989268292682908</v>
      </c>
      <c r="N3412" t="s">
        <v>95</v>
      </c>
    </row>
    <row r="3413" spans="1:14">
      <c r="A3413">
        <v>3412</v>
      </c>
      <c r="B3413">
        <v>55</v>
      </c>
      <c r="C3413" t="s">
        <v>11</v>
      </c>
      <c r="D3413" t="s">
        <v>29</v>
      </c>
      <c r="E3413" t="s">
        <v>30</v>
      </c>
      <c r="F3413">
        <v>92.98</v>
      </c>
      <c r="G3413" t="s">
        <v>24</v>
      </c>
      <c r="H3413" t="s">
        <v>15</v>
      </c>
      <c r="I3413">
        <v>3.7</v>
      </c>
      <c r="J3413">
        <v>8</v>
      </c>
      <c r="K3413">
        <v>4</v>
      </c>
      <c r="L3413" s="4">
        <v>101.06521739130434</v>
      </c>
      <c r="M3413" s="4">
        <v>8.0852173913043401</v>
      </c>
      <c r="N3413" t="s">
        <v>94</v>
      </c>
    </row>
    <row r="3414" spans="1:14">
      <c r="A3414">
        <v>3413</v>
      </c>
      <c r="B3414">
        <v>64</v>
      </c>
      <c r="C3414" t="s">
        <v>11</v>
      </c>
      <c r="D3414" t="s">
        <v>29</v>
      </c>
      <c r="E3414" t="s">
        <v>51</v>
      </c>
      <c r="F3414">
        <v>81.650000000000006</v>
      </c>
      <c r="G3414" t="s">
        <v>19</v>
      </c>
      <c r="H3414" t="s">
        <v>15</v>
      </c>
      <c r="I3414">
        <v>3.8</v>
      </c>
      <c r="J3414">
        <v>17</v>
      </c>
      <c r="K3414">
        <v>6</v>
      </c>
      <c r="L3414" s="4">
        <v>98.373493975903628</v>
      </c>
      <c r="M3414" s="4">
        <v>16.723493975903622</v>
      </c>
      <c r="N3414" t="s">
        <v>94</v>
      </c>
    </row>
    <row r="3415" spans="1:14">
      <c r="A3415">
        <v>3414</v>
      </c>
      <c r="B3415">
        <v>39</v>
      </c>
      <c r="C3415" t="s">
        <v>11</v>
      </c>
      <c r="D3415" t="s">
        <v>33</v>
      </c>
      <c r="E3415" t="s">
        <v>40</v>
      </c>
      <c r="F3415">
        <v>249.4</v>
      </c>
      <c r="G3415" t="s">
        <v>31</v>
      </c>
      <c r="H3415" t="s">
        <v>15</v>
      </c>
      <c r="I3415">
        <v>3.9</v>
      </c>
      <c r="J3415">
        <v>21</v>
      </c>
      <c r="K3415">
        <v>8</v>
      </c>
      <c r="L3415" s="4">
        <v>315.69620253164555</v>
      </c>
      <c r="M3415" s="4">
        <v>66.296202531645548</v>
      </c>
      <c r="N3415" t="s">
        <v>92</v>
      </c>
    </row>
    <row r="3416" spans="1:14">
      <c r="A3416">
        <v>3415</v>
      </c>
      <c r="B3416">
        <v>23</v>
      </c>
      <c r="C3416" t="s">
        <v>16</v>
      </c>
      <c r="D3416" t="s">
        <v>22</v>
      </c>
      <c r="E3416" t="s">
        <v>43</v>
      </c>
      <c r="F3416">
        <v>268.91000000000003</v>
      </c>
      <c r="G3416" t="s">
        <v>19</v>
      </c>
      <c r="H3416" t="s">
        <v>15</v>
      </c>
      <c r="I3416">
        <v>4.2</v>
      </c>
      <c r="J3416">
        <v>13</v>
      </c>
      <c r="K3416">
        <v>4</v>
      </c>
      <c r="L3416" s="4">
        <v>309.09195402298855</v>
      </c>
      <c r="M3416" s="4">
        <v>40.181954022988521</v>
      </c>
      <c r="N3416" t="s">
        <v>100</v>
      </c>
    </row>
    <row r="3417" spans="1:14">
      <c r="A3417">
        <v>3416</v>
      </c>
      <c r="B3417">
        <v>66</v>
      </c>
      <c r="C3417" t="s">
        <v>16</v>
      </c>
      <c r="D3417" t="s">
        <v>20</v>
      </c>
      <c r="E3417" t="s">
        <v>21</v>
      </c>
      <c r="F3417">
        <v>81.459999999999994</v>
      </c>
      <c r="G3417" t="s">
        <v>24</v>
      </c>
      <c r="H3417" t="s">
        <v>37</v>
      </c>
      <c r="I3417">
        <v>3.9</v>
      </c>
      <c r="J3417">
        <v>20</v>
      </c>
      <c r="K3417">
        <v>5</v>
      </c>
      <c r="L3417" s="4">
        <v>101.82499999999999</v>
      </c>
      <c r="M3417" s="4">
        <v>20.364999999999995</v>
      </c>
      <c r="N3417" t="s">
        <v>95</v>
      </c>
    </row>
    <row r="3418" spans="1:14">
      <c r="A3418">
        <v>3417</v>
      </c>
      <c r="B3418">
        <v>29</v>
      </c>
      <c r="C3418" t="s">
        <v>11</v>
      </c>
      <c r="D3418" t="s">
        <v>41</v>
      </c>
      <c r="E3418" t="s">
        <v>44</v>
      </c>
      <c r="F3418">
        <v>135.06</v>
      </c>
      <c r="G3418" t="s">
        <v>31</v>
      </c>
      <c r="H3418" t="s">
        <v>15</v>
      </c>
      <c r="I3418">
        <v>2.2000000000000002</v>
      </c>
      <c r="J3418">
        <v>19</v>
      </c>
      <c r="K3418">
        <v>7</v>
      </c>
      <c r="L3418" s="4">
        <v>166.74074074074073</v>
      </c>
      <c r="M3418" s="4">
        <v>31.680740740740731</v>
      </c>
      <c r="N3418" t="s">
        <v>91</v>
      </c>
    </row>
    <row r="3419" spans="1:14">
      <c r="A3419">
        <v>3418</v>
      </c>
      <c r="B3419">
        <v>54</v>
      </c>
      <c r="C3419" t="s">
        <v>11</v>
      </c>
      <c r="D3419" t="s">
        <v>29</v>
      </c>
      <c r="E3419" t="s">
        <v>55</v>
      </c>
      <c r="F3419">
        <v>127.1</v>
      </c>
      <c r="G3419" t="s">
        <v>14</v>
      </c>
      <c r="H3419" t="s">
        <v>15</v>
      </c>
      <c r="I3419">
        <v>3.5</v>
      </c>
      <c r="J3419">
        <v>18</v>
      </c>
      <c r="K3419">
        <v>4</v>
      </c>
      <c r="L3419" s="4">
        <v>154.99999999999997</v>
      </c>
      <c r="M3419" s="4">
        <v>27.899999999999977</v>
      </c>
      <c r="N3419" t="s">
        <v>93</v>
      </c>
    </row>
    <row r="3420" spans="1:14">
      <c r="A3420">
        <v>3419</v>
      </c>
      <c r="B3420">
        <v>48</v>
      </c>
      <c r="C3420" t="s">
        <v>16</v>
      </c>
      <c r="D3420" t="s">
        <v>33</v>
      </c>
      <c r="E3420" t="s">
        <v>40</v>
      </c>
      <c r="F3420">
        <v>121.62</v>
      </c>
      <c r="G3420" t="s">
        <v>19</v>
      </c>
      <c r="H3420" t="s">
        <v>15</v>
      </c>
      <c r="I3420">
        <v>4.4000000000000004</v>
      </c>
      <c r="J3420">
        <v>6</v>
      </c>
      <c r="K3420">
        <v>3</v>
      </c>
      <c r="L3420" s="4">
        <v>129.38297872340428</v>
      </c>
      <c r="M3420" s="4">
        <v>7.7629787234042738</v>
      </c>
      <c r="N3420" t="s">
        <v>93</v>
      </c>
    </row>
    <row r="3421" spans="1:14">
      <c r="A3421">
        <v>3420</v>
      </c>
      <c r="B3421">
        <v>30</v>
      </c>
      <c r="C3421" t="s">
        <v>11</v>
      </c>
      <c r="D3421" t="s">
        <v>22</v>
      </c>
      <c r="E3421" t="s">
        <v>43</v>
      </c>
      <c r="F3421">
        <v>194.22</v>
      </c>
      <c r="G3421" t="s">
        <v>19</v>
      </c>
      <c r="H3421" t="s">
        <v>15</v>
      </c>
      <c r="I3421">
        <v>4.2</v>
      </c>
      <c r="J3421">
        <v>13</v>
      </c>
      <c r="K3421">
        <v>4</v>
      </c>
      <c r="L3421" s="4">
        <v>223.24137931034483</v>
      </c>
      <c r="M3421" s="4">
        <v>29.021379310344827</v>
      </c>
      <c r="N3421" t="s">
        <v>91</v>
      </c>
    </row>
    <row r="3422" spans="1:14">
      <c r="A3422">
        <v>3421</v>
      </c>
      <c r="B3422">
        <v>48</v>
      </c>
      <c r="C3422" t="s">
        <v>11</v>
      </c>
      <c r="D3422" t="s">
        <v>33</v>
      </c>
      <c r="E3422" t="s">
        <v>38</v>
      </c>
      <c r="F3422">
        <v>225.8</v>
      </c>
      <c r="G3422" t="s">
        <v>31</v>
      </c>
      <c r="H3422" t="s">
        <v>15</v>
      </c>
      <c r="I3422">
        <v>3.2</v>
      </c>
      <c r="J3422">
        <v>6</v>
      </c>
      <c r="K3422">
        <v>3</v>
      </c>
      <c r="L3422" s="4">
        <v>240.21276595744683</v>
      </c>
      <c r="M3422" s="4">
        <v>14.412765957446823</v>
      </c>
      <c r="N3422" t="s">
        <v>93</v>
      </c>
    </row>
    <row r="3423" spans="1:14">
      <c r="A3423">
        <v>3422</v>
      </c>
      <c r="B3423">
        <v>47</v>
      </c>
      <c r="C3423" t="s">
        <v>11</v>
      </c>
      <c r="D3423" t="s">
        <v>41</v>
      </c>
      <c r="E3423" t="s">
        <v>42</v>
      </c>
      <c r="F3423">
        <v>193.59</v>
      </c>
      <c r="G3423" t="s">
        <v>19</v>
      </c>
      <c r="H3423" t="s">
        <v>15</v>
      </c>
      <c r="I3423">
        <v>3.3</v>
      </c>
      <c r="J3423">
        <v>16</v>
      </c>
      <c r="K3423">
        <v>3</v>
      </c>
      <c r="L3423" s="4">
        <v>230.46428571428572</v>
      </c>
      <c r="M3423" s="4">
        <v>36.874285714285719</v>
      </c>
      <c r="N3423" t="s">
        <v>93</v>
      </c>
    </row>
    <row r="3424" spans="1:14">
      <c r="A3424">
        <v>3423</v>
      </c>
      <c r="B3424">
        <v>48</v>
      </c>
      <c r="C3424" t="s">
        <v>16</v>
      </c>
      <c r="D3424" t="s">
        <v>27</v>
      </c>
      <c r="E3424" t="s">
        <v>49</v>
      </c>
      <c r="F3424">
        <v>2610.9899999999998</v>
      </c>
      <c r="G3424" t="s">
        <v>31</v>
      </c>
      <c r="H3424" t="s">
        <v>15</v>
      </c>
      <c r="I3424">
        <v>3.5</v>
      </c>
      <c r="J3424">
        <v>13</v>
      </c>
      <c r="K3424">
        <v>4</v>
      </c>
      <c r="L3424" s="4">
        <v>3001.1379310344823</v>
      </c>
      <c r="M3424" s="4">
        <v>390.14793103448255</v>
      </c>
      <c r="N3424" t="s">
        <v>93</v>
      </c>
    </row>
    <row r="3425" spans="1:14">
      <c r="A3425">
        <v>3424</v>
      </c>
      <c r="B3425">
        <v>20</v>
      </c>
      <c r="C3425" t="s">
        <v>11</v>
      </c>
      <c r="D3425" t="s">
        <v>33</v>
      </c>
      <c r="E3425" t="s">
        <v>40</v>
      </c>
      <c r="F3425">
        <v>104.2</v>
      </c>
      <c r="G3425" t="s">
        <v>19</v>
      </c>
      <c r="H3425" t="s">
        <v>15</v>
      </c>
      <c r="I3425">
        <v>2.8</v>
      </c>
      <c r="J3425">
        <v>11</v>
      </c>
      <c r="K3425">
        <v>3</v>
      </c>
      <c r="L3425" s="4">
        <v>117.07865168539325</v>
      </c>
      <c r="M3425" s="4">
        <v>12.878651685393251</v>
      </c>
      <c r="N3425" t="s">
        <v>100</v>
      </c>
    </row>
    <row r="3426" spans="1:14">
      <c r="A3426">
        <v>3425</v>
      </c>
      <c r="B3426">
        <v>37</v>
      </c>
      <c r="C3426" t="s">
        <v>16</v>
      </c>
      <c r="D3426" t="s">
        <v>33</v>
      </c>
      <c r="E3426" t="s">
        <v>34</v>
      </c>
      <c r="F3426">
        <v>159.51</v>
      </c>
      <c r="G3426" t="s">
        <v>24</v>
      </c>
      <c r="H3426" t="s">
        <v>15</v>
      </c>
      <c r="I3426">
        <v>3.8</v>
      </c>
      <c r="J3426">
        <v>11</v>
      </c>
      <c r="K3426">
        <v>3</v>
      </c>
      <c r="L3426" s="4">
        <v>179.22471910112358</v>
      </c>
      <c r="M3426" s="4">
        <v>19.714719101123592</v>
      </c>
      <c r="N3426" t="s">
        <v>92</v>
      </c>
    </row>
    <row r="3427" spans="1:14">
      <c r="A3427">
        <v>3426</v>
      </c>
      <c r="B3427">
        <v>63</v>
      </c>
      <c r="C3427" t="s">
        <v>16</v>
      </c>
      <c r="D3427" t="s">
        <v>17</v>
      </c>
      <c r="E3427" t="s">
        <v>42</v>
      </c>
      <c r="F3427">
        <v>163.47999999999999</v>
      </c>
      <c r="G3427" t="s">
        <v>14</v>
      </c>
      <c r="H3427" t="s">
        <v>15</v>
      </c>
      <c r="I3427">
        <v>4</v>
      </c>
      <c r="J3427">
        <v>18</v>
      </c>
      <c r="K3427">
        <v>4</v>
      </c>
      <c r="L3427" s="4">
        <v>199.36585365853657</v>
      </c>
      <c r="M3427" s="4">
        <v>35.885853658536575</v>
      </c>
      <c r="N3427" t="s">
        <v>94</v>
      </c>
    </row>
    <row r="3428" spans="1:14">
      <c r="A3428">
        <v>3427</v>
      </c>
      <c r="B3428">
        <v>49</v>
      </c>
      <c r="C3428" t="s">
        <v>11</v>
      </c>
      <c r="D3428" t="s">
        <v>22</v>
      </c>
      <c r="E3428" t="s">
        <v>52</v>
      </c>
      <c r="F3428">
        <v>106.24</v>
      </c>
      <c r="G3428" t="s">
        <v>24</v>
      </c>
      <c r="H3428" t="s">
        <v>15</v>
      </c>
      <c r="I3428">
        <v>3.5</v>
      </c>
      <c r="J3428">
        <v>16</v>
      </c>
      <c r="K3428">
        <v>3</v>
      </c>
      <c r="L3428" s="4">
        <v>126.47619047619048</v>
      </c>
      <c r="M3428" s="4">
        <v>20.236190476190487</v>
      </c>
      <c r="N3428" t="s">
        <v>93</v>
      </c>
    </row>
    <row r="3429" spans="1:14">
      <c r="A3429">
        <v>3428</v>
      </c>
      <c r="B3429">
        <v>40</v>
      </c>
      <c r="C3429" t="s">
        <v>16</v>
      </c>
      <c r="D3429" t="s">
        <v>27</v>
      </c>
      <c r="E3429" t="s">
        <v>53</v>
      </c>
      <c r="F3429">
        <v>1340.12</v>
      </c>
      <c r="G3429" t="s">
        <v>19</v>
      </c>
      <c r="H3429" t="s">
        <v>15</v>
      </c>
      <c r="I3429">
        <v>4.0999999999999996</v>
      </c>
      <c r="J3429">
        <v>28</v>
      </c>
      <c r="K3429">
        <v>9</v>
      </c>
      <c r="L3429" s="4">
        <v>1861.2777777777776</v>
      </c>
      <c r="M3429" s="4">
        <v>521.15777777777771</v>
      </c>
      <c r="N3429" t="s">
        <v>92</v>
      </c>
    </row>
    <row r="3430" spans="1:14">
      <c r="A3430">
        <v>3429</v>
      </c>
      <c r="B3430">
        <v>55</v>
      </c>
      <c r="C3430" t="s">
        <v>11</v>
      </c>
      <c r="D3430" t="s">
        <v>12</v>
      </c>
      <c r="E3430" t="s">
        <v>56</v>
      </c>
      <c r="F3430">
        <v>66.95</v>
      </c>
      <c r="G3430" t="s">
        <v>19</v>
      </c>
      <c r="H3430" t="s">
        <v>15</v>
      </c>
      <c r="I3430">
        <v>3.7</v>
      </c>
      <c r="J3430">
        <v>14</v>
      </c>
      <c r="K3430">
        <v>2</v>
      </c>
      <c r="L3430" s="4">
        <v>77.848837209302332</v>
      </c>
      <c r="M3430" s="4">
        <v>10.898837209302329</v>
      </c>
      <c r="N3430" t="s">
        <v>94</v>
      </c>
    </row>
    <row r="3431" spans="1:14">
      <c r="A3431">
        <v>3430</v>
      </c>
      <c r="B3431">
        <v>50</v>
      </c>
      <c r="C3431" t="s">
        <v>11</v>
      </c>
      <c r="D3431" t="s">
        <v>41</v>
      </c>
      <c r="E3431" t="s">
        <v>46</v>
      </c>
      <c r="F3431">
        <v>114.36</v>
      </c>
      <c r="G3431" t="s">
        <v>14</v>
      </c>
      <c r="H3431" t="s">
        <v>15</v>
      </c>
      <c r="I3431">
        <v>3.3</v>
      </c>
      <c r="J3431">
        <v>10</v>
      </c>
      <c r="K3431">
        <v>5</v>
      </c>
      <c r="L3431" s="4">
        <v>127.06666666666666</v>
      </c>
      <c r="M3431" s="4">
        <v>12.706666666666663</v>
      </c>
      <c r="N3431" t="s">
        <v>93</v>
      </c>
    </row>
    <row r="3432" spans="1:14">
      <c r="A3432">
        <v>3431</v>
      </c>
      <c r="B3432">
        <v>63</v>
      </c>
      <c r="C3432" t="s">
        <v>11</v>
      </c>
      <c r="D3432" t="s">
        <v>12</v>
      </c>
      <c r="E3432" t="s">
        <v>56</v>
      </c>
      <c r="F3432">
        <v>171.7</v>
      </c>
      <c r="G3432" t="s">
        <v>31</v>
      </c>
      <c r="H3432" t="s">
        <v>15</v>
      </c>
      <c r="I3432">
        <v>3.8</v>
      </c>
      <c r="J3432">
        <v>17</v>
      </c>
      <c r="K3432">
        <v>6</v>
      </c>
      <c r="L3432" s="4">
        <v>206.86746987951807</v>
      </c>
      <c r="M3432" s="4">
        <v>35.16746987951808</v>
      </c>
      <c r="N3432" t="s">
        <v>94</v>
      </c>
    </row>
    <row r="3433" spans="1:14">
      <c r="A3433">
        <v>3432</v>
      </c>
      <c r="B3433">
        <v>36</v>
      </c>
      <c r="C3433" t="s">
        <v>16</v>
      </c>
      <c r="D3433" t="s">
        <v>33</v>
      </c>
      <c r="E3433" t="s">
        <v>40</v>
      </c>
      <c r="F3433">
        <v>74.53</v>
      </c>
      <c r="G3433" t="s">
        <v>19</v>
      </c>
      <c r="H3433" t="s">
        <v>37</v>
      </c>
      <c r="I3433">
        <v>4.3</v>
      </c>
      <c r="J3433">
        <v>11</v>
      </c>
      <c r="K3433">
        <v>3</v>
      </c>
      <c r="L3433" s="4">
        <v>83.741573033707866</v>
      </c>
      <c r="M3433" s="4">
        <v>9.2115730337078645</v>
      </c>
      <c r="N3433" t="s">
        <v>92</v>
      </c>
    </row>
    <row r="3434" spans="1:14">
      <c r="A3434">
        <v>3433</v>
      </c>
      <c r="B3434">
        <v>34</v>
      </c>
      <c r="C3434" t="s">
        <v>11</v>
      </c>
      <c r="D3434" t="s">
        <v>41</v>
      </c>
      <c r="E3434" t="s">
        <v>46</v>
      </c>
      <c r="F3434">
        <v>47.24</v>
      </c>
      <c r="G3434" t="s">
        <v>19</v>
      </c>
      <c r="H3434" t="s">
        <v>37</v>
      </c>
      <c r="I3434">
        <v>3.1</v>
      </c>
      <c r="J3434">
        <v>18</v>
      </c>
      <c r="K3434">
        <v>4</v>
      </c>
      <c r="L3434" s="4">
        <v>57.609756097560975</v>
      </c>
      <c r="M3434" s="4">
        <v>10.369756097560973</v>
      </c>
      <c r="N3434" t="s">
        <v>91</v>
      </c>
    </row>
    <row r="3435" spans="1:14">
      <c r="A3435">
        <v>3434</v>
      </c>
      <c r="B3435">
        <v>70</v>
      </c>
      <c r="C3435" t="s">
        <v>16</v>
      </c>
      <c r="D3435" t="s">
        <v>33</v>
      </c>
      <c r="E3435" t="s">
        <v>38</v>
      </c>
      <c r="F3435">
        <v>247.53</v>
      </c>
      <c r="G3435" t="s">
        <v>19</v>
      </c>
      <c r="H3435" t="s">
        <v>15</v>
      </c>
      <c r="I3435">
        <v>4.0999999999999996</v>
      </c>
      <c r="J3435">
        <v>12</v>
      </c>
      <c r="K3435">
        <v>6</v>
      </c>
      <c r="L3435" s="4">
        <v>281.28409090909093</v>
      </c>
      <c r="M3435" s="4">
        <v>33.754090909090934</v>
      </c>
      <c r="N3435" t="s">
        <v>95</v>
      </c>
    </row>
    <row r="3436" spans="1:14">
      <c r="A3436">
        <v>3435</v>
      </c>
      <c r="B3436">
        <v>65</v>
      </c>
      <c r="C3436" t="s">
        <v>11</v>
      </c>
      <c r="D3436" t="s">
        <v>29</v>
      </c>
      <c r="E3436" t="s">
        <v>30</v>
      </c>
      <c r="F3436">
        <v>119.15</v>
      </c>
      <c r="G3436" t="s">
        <v>31</v>
      </c>
      <c r="H3436" t="s">
        <v>15</v>
      </c>
      <c r="I3436">
        <v>2.9</v>
      </c>
      <c r="J3436">
        <v>18</v>
      </c>
      <c r="K3436">
        <v>4</v>
      </c>
      <c r="L3436" s="4">
        <v>145.30487804878049</v>
      </c>
      <c r="M3436" s="4">
        <v>26.154878048780489</v>
      </c>
      <c r="N3436" t="s">
        <v>95</v>
      </c>
    </row>
    <row r="3437" spans="1:14">
      <c r="A3437">
        <v>3436</v>
      </c>
      <c r="B3437">
        <v>38</v>
      </c>
      <c r="C3437" t="s">
        <v>16</v>
      </c>
      <c r="D3437" t="s">
        <v>27</v>
      </c>
      <c r="E3437" t="s">
        <v>28</v>
      </c>
      <c r="F3437">
        <v>2077.59</v>
      </c>
      <c r="G3437" t="s">
        <v>24</v>
      </c>
      <c r="H3437" t="s">
        <v>15</v>
      </c>
      <c r="I3437">
        <v>3.2</v>
      </c>
      <c r="J3437">
        <v>8</v>
      </c>
      <c r="K3437">
        <v>4</v>
      </c>
      <c r="L3437" s="4">
        <v>2258.25</v>
      </c>
      <c r="M3437" s="4">
        <v>180.65999999999985</v>
      </c>
      <c r="N3437" t="s">
        <v>92</v>
      </c>
    </row>
    <row r="3438" spans="1:14">
      <c r="A3438">
        <v>3437</v>
      </c>
      <c r="B3438">
        <v>24</v>
      </c>
      <c r="C3438" t="s">
        <v>16</v>
      </c>
      <c r="D3438" t="s">
        <v>27</v>
      </c>
      <c r="E3438" t="s">
        <v>28</v>
      </c>
      <c r="F3438">
        <v>2160.6799999999998</v>
      </c>
      <c r="G3438" t="s">
        <v>24</v>
      </c>
      <c r="H3438" t="s">
        <v>15</v>
      </c>
      <c r="I3438">
        <v>2.7</v>
      </c>
      <c r="J3438">
        <v>6</v>
      </c>
      <c r="K3438">
        <v>3</v>
      </c>
      <c r="L3438" s="4">
        <v>2298.5957446808511</v>
      </c>
      <c r="M3438" s="4">
        <v>137.91574468085128</v>
      </c>
      <c r="N3438" t="s">
        <v>100</v>
      </c>
    </row>
    <row r="3439" spans="1:14">
      <c r="A3439">
        <v>3438</v>
      </c>
      <c r="B3439">
        <v>45</v>
      </c>
      <c r="C3439" t="s">
        <v>16</v>
      </c>
      <c r="D3439" t="s">
        <v>33</v>
      </c>
      <c r="E3439" t="s">
        <v>38</v>
      </c>
      <c r="F3439">
        <v>179.48</v>
      </c>
      <c r="G3439" t="s">
        <v>14</v>
      </c>
      <c r="H3439" t="s">
        <v>15</v>
      </c>
      <c r="I3439">
        <v>3.9</v>
      </c>
      <c r="J3439">
        <v>13</v>
      </c>
      <c r="K3439">
        <v>4</v>
      </c>
      <c r="L3439" s="4">
        <v>206.29885057471265</v>
      </c>
      <c r="M3439" s="4">
        <v>26.818850574712656</v>
      </c>
      <c r="N3439" t="s">
        <v>93</v>
      </c>
    </row>
    <row r="3440" spans="1:14">
      <c r="A3440">
        <v>3439</v>
      </c>
      <c r="B3440">
        <v>63</v>
      </c>
      <c r="C3440" t="s">
        <v>16</v>
      </c>
      <c r="D3440" t="s">
        <v>22</v>
      </c>
      <c r="E3440" t="s">
        <v>52</v>
      </c>
      <c r="F3440">
        <v>49.32</v>
      </c>
      <c r="G3440" t="s">
        <v>24</v>
      </c>
      <c r="H3440" t="s">
        <v>37</v>
      </c>
      <c r="I3440">
        <v>3.6</v>
      </c>
      <c r="J3440">
        <v>18</v>
      </c>
      <c r="K3440">
        <v>4</v>
      </c>
      <c r="L3440" s="4">
        <v>60.146341463414629</v>
      </c>
      <c r="M3440" s="4">
        <v>10.826341463414629</v>
      </c>
      <c r="N3440" t="s">
        <v>94</v>
      </c>
    </row>
    <row r="3441" spans="1:14">
      <c r="A3441">
        <v>3440</v>
      </c>
      <c r="B3441">
        <v>55</v>
      </c>
      <c r="C3441" t="s">
        <v>16</v>
      </c>
      <c r="D3441" t="s">
        <v>27</v>
      </c>
      <c r="E3441" t="s">
        <v>53</v>
      </c>
      <c r="F3441">
        <v>844.6</v>
      </c>
      <c r="G3441" t="s">
        <v>24</v>
      </c>
      <c r="H3441" t="s">
        <v>15</v>
      </c>
      <c r="I3441">
        <v>4.7</v>
      </c>
      <c r="J3441">
        <v>4</v>
      </c>
      <c r="K3441">
        <v>2</v>
      </c>
      <c r="L3441" s="4">
        <v>879.79166666666674</v>
      </c>
      <c r="M3441" s="4">
        <v>35.19166666666672</v>
      </c>
      <c r="N3441" t="s">
        <v>94</v>
      </c>
    </row>
    <row r="3442" spans="1:14">
      <c r="A3442">
        <v>3441</v>
      </c>
      <c r="B3442">
        <v>58</v>
      </c>
      <c r="C3442" t="s">
        <v>11</v>
      </c>
      <c r="D3442" t="s">
        <v>25</v>
      </c>
      <c r="E3442" t="s">
        <v>54</v>
      </c>
      <c r="F3442">
        <v>61.51</v>
      </c>
      <c r="G3442" t="s">
        <v>14</v>
      </c>
      <c r="H3442" t="s">
        <v>15</v>
      </c>
      <c r="I3442">
        <v>2.9</v>
      </c>
      <c r="J3442">
        <v>10</v>
      </c>
      <c r="K3442">
        <v>5</v>
      </c>
      <c r="L3442" s="4">
        <v>68.344444444444434</v>
      </c>
      <c r="M3442" s="4">
        <v>6.8344444444444363</v>
      </c>
      <c r="N3442" t="s">
        <v>94</v>
      </c>
    </row>
    <row r="3443" spans="1:14">
      <c r="A3443">
        <v>3442</v>
      </c>
      <c r="B3443">
        <v>20</v>
      </c>
      <c r="C3443" t="s">
        <v>16</v>
      </c>
      <c r="D3443" t="s">
        <v>27</v>
      </c>
      <c r="E3443" t="s">
        <v>28</v>
      </c>
      <c r="F3443">
        <v>1267.3900000000001</v>
      </c>
      <c r="G3443" t="s">
        <v>31</v>
      </c>
      <c r="H3443" t="s">
        <v>15</v>
      </c>
      <c r="I3443">
        <v>3.5</v>
      </c>
      <c r="J3443">
        <v>6</v>
      </c>
      <c r="K3443">
        <v>3</v>
      </c>
      <c r="L3443" s="4">
        <v>1348.2872340425533</v>
      </c>
      <c r="M3443" s="4">
        <v>80.897234042553237</v>
      </c>
      <c r="N3443" t="s">
        <v>100</v>
      </c>
    </row>
    <row r="3444" spans="1:14">
      <c r="A3444">
        <v>3443</v>
      </c>
      <c r="B3444">
        <v>51</v>
      </c>
      <c r="C3444" t="s">
        <v>11</v>
      </c>
      <c r="D3444" t="s">
        <v>12</v>
      </c>
      <c r="E3444" t="s">
        <v>13</v>
      </c>
      <c r="F3444">
        <v>89.15</v>
      </c>
      <c r="G3444" t="s">
        <v>31</v>
      </c>
      <c r="H3444" t="s">
        <v>37</v>
      </c>
      <c r="I3444">
        <v>3</v>
      </c>
      <c r="J3444">
        <v>14</v>
      </c>
      <c r="K3444">
        <v>7</v>
      </c>
      <c r="L3444" s="4">
        <v>103.66279069767442</v>
      </c>
      <c r="M3444" s="4">
        <v>14.512790697674419</v>
      </c>
      <c r="N3444" t="s">
        <v>93</v>
      </c>
    </row>
    <row r="3445" spans="1:14">
      <c r="A3445">
        <v>3444</v>
      </c>
      <c r="B3445">
        <v>59</v>
      </c>
      <c r="C3445" t="s">
        <v>11</v>
      </c>
      <c r="D3445" t="s">
        <v>29</v>
      </c>
      <c r="E3445" t="s">
        <v>30</v>
      </c>
      <c r="F3445">
        <v>31.16</v>
      </c>
      <c r="G3445" t="s">
        <v>14</v>
      </c>
      <c r="H3445" t="s">
        <v>37</v>
      </c>
      <c r="I3445">
        <v>3.7</v>
      </c>
      <c r="J3445">
        <v>15</v>
      </c>
      <c r="K3445">
        <v>5</v>
      </c>
      <c r="L3445" s="4">
        <v>36.658823529411762</v>
      </c>
      <c r="M3445" s="4">
        <v>5.4988235294117622</v>
      </c>
      <c r="N3445" t="s">
        <v>94</v>
      </c>
    </row>
    <row r="3446" spans="1:14">
      <c r="A3446">
        <v>3445</v>
      </c>
      <c r="B3446">
        <v>20</v>
      </c>
      <c r="C3446" t="s">
        <v>11</v>
      </c>
      <c r="D3446" t="s">
        <v>25</v>
      </c>
      <c r="E3446" t="s">
        <v>47</v>
      </c>
      <c r="F3446">
        <v>40.090000000000003</v>
      </c>
      <c r="G3446" t="s">
        <v>19</v>
      </c>
      <c r="H3446" t="s">
        <v>37</v>
      </c>
      <c r="I3446">
        <v>4.9000000000000004</v>
      </c>
      <c r="J3446">
        <v>20</v>
      </c>
      <c r="K3446">
        <v>5</v>
      </c>
      <c r="L3446" s="4">
        <v>50.112500000000004</v>
      </c>
      <c r="M3446" s="4">
        <v>10.022500000000001</v>
      </c>
      <c r="N3446" t="s">
        <v>100</v>
      </c>
    </row>
    <row r="3447" spans="1:14">
      <c r="A3447">
        <v>3446</v>
      </c>
      <c r="B3447">
        <v>33</v>
      </c>
      <c r="C3447" t="s">
        <v>11</v>
      </c>
      <c r="D3447" t="s">
        <v>33</v>
      </c>
      <c r="E3447" t="s">
        <v>40</v>
      </c>
      <c r="F3447">
        <v>94.64</v>
      </c>
      <c r="G3447" t="s">
        <v>31</v>
      </c>
      <c r="H3447" t="s">
        <v>37</v>
      </c>
      <c r="I3447">
        <v>4.9000000000000004</v>
      </c>
      <c r="J3447">
        <v>20</v>
      </c>
      <c r="K3447">
        <v>5</v>
      </c>
      <c r="L3447" s="4">
        <v>118.3</v>
      </c>
      <c r="M3447" s="4">
        <v>23.659999999999997</v>
      </c>
      <c r="N3447" t="s">
        <v>91</v>
      </c>
    </row>
    <row r="3448" spans="1:14">
      <c r="A3448">
        <v>3447</v>
      </c>
      <c r="B3448">
        <v>46</v>
      </c>
      <c r="C3448" t="s">
        <v>11</v>
      </c>
      <c r="D3448" t="s">
        <v>25</v>
      </c>
      <c r="E3448" t="s">
        <v>47</v>
      </c>
      <c r="F3448">
        <v>47.53</v>
      </c>
      <c r="G3448" t="s">
        <v>24</v>
      </c>
      <c r="H3448" t="s">
        <v>37</v>
      </c>
      <c r="I3448">
        <v>3.4</v>
      </c>
      <c r="J3448">
        <v>11</v>
      </c>
      <c r="K3448">
        <v>3</v>
      </c>
      <c r="L3448" s="4">
        <v>53.40449438202247</v>
      </c>
      <c r="M3448" s="4">
        <v>5.8744943820224691</v>
      </c>
      <c r="N3448" t="s">
        <v>93</v>
      </c>
    </row>
    <row r="3449" spans="1:14">
      <c r="A3449">
        <v>3448</v>
      </c>
      <c r="B3449">
        <v>29</v>
      </c>
      <c r="C3449" t="s">
        <v>16</v>
      </c>
      <c r="D3449" t="s">
        <v>33</v>
      </c>
      <c r="E3449" t="s">
        <v>40</v>
      </c>
      <c r="F3449">
        <v>51.72</v>
      </c>
      <c r="G3449" t="s">
        <v>24</v>
      </c>
      <c r="H3449" t="s">
        <v>15</v>
      </c>
      <c r="I3449">
        <v>3.9</v>
      </c>
      <c r="J3449">
        <v>17</v>
      </c>
      <c r="K3449">
        <v>6</v>
      </c>
      <c r="L3449" s="4">
        <v>62.313253012048193</v>
      </c>
      <c r="M3449" s="4">
        <v>10.593253012048194</v>
      </c>
      <c r="N3449" t="s">
        <v>91</v>
      </c>
    </row>
    <row r="3450" spans="1:14">
      <c r="A3450">
        <v>3449</v>
      </c>
      <c r="B3450">
        <v>59</v>
      </c>
      <c r="C3450" t="s">
        <v>11</v>
      </c>
      <c r="D3450" t="s">
        <v>25</v>
      </c>
      <c r="E3450" t="s">
        <v>57</v>
      </c>
      <c r="F3450">
        <v>63.38</v>
      </c>
      <c r="G3450" t="s">
        <v>14</v>
      </c>
      <c r="H3450" t="s">
        <v>15</v>
      </c>
      <c r="I3450">
        <v>3.1</v>
      </c>
      <c r="J3450">
        <v>26</v>
      </c>
      <c r="K3450">
        <v>8</v>
      </c>
      <c r="L3450" s="4">
        <v>85.64864864864866</v>
      </c>
      <c r="M3450" s="4">
        <v>22.268648648648657</v>
      </c>
      <c r="N3450" t="s">
        <v>94</v>
      </c>
    </row>
    <row r="3451" spans="1:14">
      <c r="A3451">
        <v>3450</v>
      </c>
      <c r="B3451">
        <v>37</v>
      </c>
      <c r="C3451" t="s">
        <v>11</v>
      </c>
      <c r="D3451" t="s">
        <v>29</v>
      </c>
      <c r="E3451" t="s">
        <v>30</v>
      </c>
      <c r="F3451">
        <v>37.64</v>
      </c>
      <c r="G3451" t="s">
        <v>19</v>
      </c>
      <c r="H3451" t="s">
        <v>15</v>
      </c>
      <c r="I3451">
        <v>2.9</v>
      </c>
      <c r="J3451">
        <v>15</v>
      </c>
      <c r="K3451">
        <v>5</v>
      </c>
      <c r="L3451" s="4">
        <v>44.28235294117647</v>
      </c>
      <c r="M3451" s="4">
        <v>6.642352941176469</v>
      </c>
      <c r="N3451" t="s">
        <v>92</v>
      </c>
    </row>
    <row r="3452" spans="1:14">
      <c r="A3452">
        <v>3451</v>
      </c>
      <c r="B3452">
        <v>43</v>
      </c>
      <c r="C3452" t="s">
        <v>11</v>
      </c>
      <c r="D3452" t="s">
        <v>33</v>
      </c>
      <c r="E3452" t="s">
        <v>38</v>
      </c>
      <c r="F3452">
        <v>183.45</v>
      </c>
      <c r="G3452" t="s">
        <v>14</v>
      </c>
      <c r="H3452" t="s">
        <v>15</v>
      </c>
      <c r="I3452">
        <v>4.4000000000000004</v>
      </c>
      <c r="J3452">
        <v>28</v>
      </c>
      <c r="K3452">
        <v>9</v>
      </c>
      <c r="L3452" s="4">
        <v>254.79166666666666</v>
      </c>
      <c r="M3452" s="4">
        <v>71.341666666666669</v>
      </c>
      <c r="N3452" t="s">
        <v>92</v>
      </c>
    </row>
    <row r="3453" spans="1:14">
      <c r="A3453">
        <v>3452</v>
      </c>
      <c r="B3453">
        <v>38</v>
      </c>
      <c r="C3453" t="s">
        <v>11</v>
      </c>
      <c r="D3453" t="s">
        <v>20</v>
      </c>
      <c r="E3453" t="s">
        <v>39</v>
      </c>
      <c r="F3453">
        <v>103.8</v>
      </c>
      <c r="G3453" t="s">
        <v>31</v>
      </c>
      <c r="H3453" t="s">
        <v>15</v>
      </c>
      <c r="I3453">
        <v>3.4</v>
      </c>
      <c r="J3453">
        <v>21</v>
      </c>
      <c r="K3453">
        <v>8</v>
      </c>
      <c r="L3453" s="4">
        <v>131.39240506329114</v>
      </c>
      <c r="M3453" s="4">
        <v>27.592405063291139</v>
      </c>
      <c r="N3453" t="s">
        <v>92</v>
      </c>
    </row>
    <row r="3454" spans="1:14">
      <c r="A3454">
        <v>3453</v>
      </c>
      <c r="B3454">
        <v>25</v>
      </c>
      <c r="C3454" t="s">
        <v>16</v>
      </c>
      <c r="D3454" t="s">
        <v>17</v>
      </c>
      <c r="E3454" t="s">
        <v>35</v>
      </c>
      <c r="F3454">
        <v>86.2</v>
      </c>
      <c r="G3454" t="s">
        <v>19</v>
      </c>
      <c r="H3454" t="s">
        <v>15</v>
      </c>
      <c r="I3454">
        <v>3.9</v>
      </c>
      <c r="J3454">
        <v>25</v>
      </c>
      <c r="K3454">
        <v>10</v>
      </c>
      <c r="L3454" s="4">
        <v>114.93333333333334</v>
      </c>
      <c r="M3454" s="4">
        <v>28.733333333333334</v>
      </c>
      <c r="N3454" t="s">
        <v>91</v>
      </c>
    </row>
    <row r="3455" spans="1:14">
      <c r="A3455">
        <v>3454</v>
      </c>
      <c r="B3455">
        <v>25</v>
      </c>
      <c r="C3455" t="s">
        <v>16</v>
      </c>
      <c r="D3455" t="s">
        <v>20</v>
      </c>
      <c r="E3455" t="s">
        <v>36</v>
      </c>
      <c r="F3455">
        <v>134.38</v>
      </c>
      <c r="G3455" t="s">
        <v>24</v>
      </c>
      <c r="H3455" t="s">
        <v>15</v>
      </c>
      <c r="I3455">
        <v>3.8</v>
      </c>
      <c r="J3455">
        <v>9</v>
      </c>
      <c r="K3455">
        <v>2</v>
      </c>
      <c r="L3455" s="4">
        <v>147.67032967032966</v>
      </c>
      <c r="M3455" s="4">
        <v>13.290329670329669</v>
      </c>
      <c r="N3455" t="s">
        <v>91</v>
      </c>
    </row>
    <row r="3456" spans="1:14">
      <c r="A3456">
        <v>3455</v>
      </c>
      <c r="B3456">
        <v>50</v>
      </c>
      <c r="C3456" t="s">
        <v>16</v>
      </c>
      <c r="D3456" t="s">
        <v>27</v>
      </c>
      <c r="E3456" t="s">
        <v>53</v>
      </c>
      <c r="F3456">
        <v>2994.62</v>
      </c>
      <c r="G3456" t="s">
        <v>14</v>
      </c>
      <c r="H3456" t="s">
        <v>15</v>
      </c>
      <c r="I3456">
        <v>3.6</v>
      </c>
      <c r="J3456">
        <v>25</v>
      </c>
      <c r="K3456">
        <v>10</v>
      </c>
      <c r="L3456" s="4">
        <v>3992.8266666666664</v>
      </c>
      <c r="M3456" s="4">
        <v>998.20666666666648</v>
      </c>
      <c r="N3456" t="s">
        <v>93</v>
      </c>
    </row>
    <row r="3457" spans="1:14">
      <c r="A3457">
        <v>3456</v>
      </c>
      <c r="B3457">
        <v>23</v>
      </c>
      <c r="C3457" t="s">
        <v>11</v>
      </c>
      <c r="D3457" t="s">
        <v>41</v>
      </c>
      <c r="E3457" t="s">
        <v>42</v>
      </c>
      <c r="F3457">
        <v>130.04</v>
      </c>
      <c r="G3457" t="s">
        <v>19</v>
      </c>
      <c r="H3457" t="s">
        <v>15</v>
      </c>
      <c r="I3457">
        <v>3.8</v>
      </c>
      <c r="J3457">
        <v>20</v>
      </c>
      <c r="K3457">
        <v>5</v>
      </c>
      <c r="L3457" s="4">
        <v>162.54999999999998</v>
      </c>
      <c r="M3457" s="4">
        <v>32.509999999999991</v>
      </c>
      <c r="N3457" t="s">
        <v>100</v>
      </c>
    </row>
    <row r="3458" spans="1:14">
      <c r="A3458">
        <v>3457</v>
      </c>
      <c r="B3458">
        <v>44</v>
      </c>
      <c r="C3458" t="s">
        <v>11</v>
      </c>
      <c r="D3458" t="s">
        <v>22</v>
      </c>
      <c r="E3458" t="s">
        <v>43</v>
      </c>
      <c r="F3458">
        <v>218.77</v>
      </c>
      <c r="G3458" t="s">
        <v>24</v>
      </c>
      <c r="H3458" t="s">
        <v>15</v>
      </c>
      <c r="I3458">
        <v>5</v>
      </c>
      <c r="J3458">
        <v>28</v>
      </c>
      <c r="K3458">
        <v>9</v>
      </c>
      <c r="L3458" s="4">
        <v>303.84722222222223</v>
      </c>
      <c r="M3458" s="4">
        <v>85.077222222222218</v>
      </c>
      <c r="N3458" t="s">
        <v>92</v>
      </c>
    </row>
    <row r="3459" spans="1:14">
      <c r="A3459">
        <v>3458</v>
      </c>
      <c r="B3459">
        <v>33</v>
      </c>
      <c r="C3459" t="s">
        <v>11</v>
      </c>
      <c r="D3459" t="s">
        <v>41</v>
      </c>
      <c r="E3459" t="s">
        <v>44</v>
      </c>
      <c r="F3459">
        <v>110.92</v>
      </c>
      <c r="G3459" t="s">
        <v>24</v>
      </c>
      <c r="H3459" t="s">
        <v>15</v>
      </c>
      <c r="I3459">
        <v>3.7</v>
      </c>
      <c r="J3459">
        <v>10</v>
      </c>
      <c r="K3459">
        <v>5</v>
      </c>
      <c r="L3459" s="4">
        <v>123.24444444444444</v>
      </c>
      <c r="M3459" s="4">
        <v>12.324444444444438</v>
      </c>
      <c r="N3459" t="s">
        <v>91</v>
      </c>
    </row>
    <row r="3460" spans="1:14">
      <c r="A3460">
        <v>3459</v>
      </c>
      <c r="B3460">
        <v>20</v>
      </c>
      <c r="C3460" t="s">
        <v>16</v>
      </c>
      <c r="D3460" t="s">
        <v>25</v>
      </c>
      <c r="E3460" t="s">
        <v>57</v>
      </c>
      <c r="F3460">
        <v>31.55</v>
      </c>
      <c r="G3460" t="s">
        <v>14</v>
      </c>
      <c r="H3460" t="s">
        <v>37</v>
      </c>
      <c r="I3460">
        <v>4.3</v>
      </c>
      <c r="J3460">
        <v>12</v>
      </c>
      <c r="K3460">
        <v>1</v>
      </c>
      <c r="L3460" s="4">
        <v>35.852272727272727</v>
      </c>
      <c r="M3460" s="4">
        <v>4.3022727272727259</v>
      </c>
      <c r="N3460" t="s">
        <v>100</v>
      </c>
    </row>
    <row r="3461" spans="1:14">
      <c r="A3461">
        <v>3460</v>
      </c>
      <c r="B3461">
        <v>56</v>
      </c>
      <c r="C3461" t="s">
        <v>11</v>
      </c>
      <c r="D3461" t="s">
        <v>41</v>
      </c>
      <c r="E3461" t="s">
        <v>44</v>
      </c>
      <c r="F3461">
        <v>66.72</v>
      </c>
      <c r="G3461" t="s">
        <v>24</v>
      </c>
      <c r="H3461" t="s">
        <v>15</v>
      </c>
      <c r="I3461">
        <v>4.8</v>
      </c>
      <c r="J3461">
        <v>20</v>
      </c>
      <c r="K3461">
        <v>5</v>
      </c>
      <c r="L3461" s="4">
        <v>83.399999999999991</v>
      </c>
      <c r="M3461" s="4">
        <v>16.679999999999993</v>
      </c>
      <c r="N3461" t="s">
        <v>94</v>
      </c>
    </row>
    <row r="3462" spans="1:14">
      <c r="A3462">
        <v>3461</v>
      </c>
      <c r="B3462">
        <v>70</v>
      </c>
      <c r="C3462" t="s">
        <v>16</v>
      </c>
      <c r="D3462" t="s">
        <v>33</v>
      </c>
      <c r="E3462" t="s">
        <v>38</v>
      </c>
      <c r="F3462">
        <v>216.39</v>
      </c>
      <c r="G3462" t="s">
        <v>31</v>
      </c>
      <c r="H3462" t="s">
        <v>15</v>
      </c>
      <c r="I3462">
        <v>4.5</v>
      </c>
      <c r="J3462">
        <v>14</v>
      </c>
      <c r="K3462">
        <v>2</v>
      </c>
      <c r="L3462" s="4">
        <v>251.61627906976744</v>
      </c>
      <c r="M3462" s="4">
        <v>35.226279069767457</v>
      </c>
      <c r="N3462" t="s">
        <v>95</v>
      </c>
    </row>
    <row r="3463" spans="1:14">
      <c r="A3463">
        <v>3462</v>
      </c>
      <c r="B3463">
        <v>55</v>
      </c>
      <c r="C3463" t="s">
        <v>11</v>
      </c>
      <c r="D3463" t="s">
        <v>33</v>
      </c>
      <c r="E3463" t="s">
        <v>34</v>
      </c>
      <c r="F3463">
        <v>166.18</v>
      </c>
      <c r="G3463" t="s">
        <v>31</v>
      </c>
      <c r="H3463" t="s">
        <v>15</v>
      </c>
      <c r="I3463">
        <v>4.0999999999999996</v>
      </c>
      <c r="J3463">
        <v>6</v>
      </c>
      <c r="K3463">
        <v>3</v>
      </c>
      <c r="L3463" s="4">
        <v>176.78723404255322</v>
      </c>
      <c r="M3463" s="4">
        <v>10.607234042553216</v>
      </c>
      <c r="N3463" t="s">
        <v>94</v>
      </c>
    </row>
    <row r="3464" spans="1:14">
      <c r="A3464">
        <v>3463</v>
      </c>
      <c r="B3464">
        <v>24</v>
      </c>
      <c r="C3464" t="s">
        <v>16</v>
      </c>
      <c r="D3464" t="s">
        <v>33</v>
      </c>
      <c r="E3464" t="s">
        <v>38</v>
      </c>
      <c r="F3464">
        <v>74.739999999999995</v>
      </c>
      <c r="G3464" t="s">
        <v>31</v>
      </c>
      <c r="H3464" t="s">
        <v>37</v>
      </c>
      <c r="I3464">
        <v>4.0999999999999996</v>
      </c>
      <c r="J3464">
        <v>14</v>
      </c>
      <c r="K3464">
        <v>7</v>
      </c>
      <c r="L3464" s="4">
        <v>86.906976744186039</v>
      </c>
      <c r="M3464" s="4">
        <v>12.166976744186044</v>
      </c>
      <c r="N3464" t="s">
        <v>100</v>
      </c>
    </row>
    <row r="3465" spans="1:14">
      <c r="A3465">
        <v>3464</v>
      </c>
      <c r="B3465">
        <v>34</v>
      </c>
      <c r="C3465" t="s">
        <v>11</v>
      </c>
      <c r="D3465" t="s">
        <v>41</v>
      </c>
      <c r="E3465" t="s">
        <v>44</v>
      </c>
      <c r="F3465">
        <v>77.55</v>
      </c>
      <c r="G3465" t="s">
        <v>19</v>
      </c>
      <c r="H3465" t="s">
        <v>37</v>
      </c>
      <c r="I3465">
        <v>4.2</v>
      </c>
      <c r="J3465">
        <v>10</v>
      </c>
      <c r="K3465">
        <v>5</v>
      </c>
      <c r="L3465" s="4">
        <v>86.166666666666657</v>
      </c>
      <c r="M3465" s="4">
        <v>8.61666666666666</v>
      </c>
      <c r="N3465" t="s">
        <v>91</v>
      </c>
    </row>
    <row r="3466" spans="1:14">
      <c r="A3466">
        <v>3465</v>
      </c>
      <c r="B3466">
        <v>45</v>
      </c>
      <c r="C3466" t="s">
        <v>11</v>
      </c>
      <c r="D3466" t="s">
        <v>33</v>
      </c>
      <c r="E3466" t="s">
        <v>40</v>
      </c>
      <c r="F3466">
        <v>66.040000000000006</v>
      </c>
      <c r="G3466" t="s">
        <v>19</v>
      </c>
      <c r="H3466" t="s">
        <v>15</v>
      </c>
      <c r="I3466">
        <v>3.7</v>
      </c>
      <c r="J3466">
        <v>11</v>
      </c>
      <c r="K3466">
        <v>3</v>
      </c>
      <c r="L3466" s="4">
        <v>74.202247191011239</v>
      </c>
      <c r="M3466" s="4">
        <v>8.1622471910112324</v>
      </c>
      <c r="N3466" t="s">
        <v>93</v>
      </c>
    </row>
    <row r="3467" spans="1:14">
      <c r="A3467">
        <v>3466</v>
      </c>
      <c r="B3467">
        <v>49</v>
      </c>
      <c r="C3467" t="s">
        <v>16</v>
      </c>
      <c r="D3467" t="s">
        <v>33</v>
      </c>
      <c r="E3467" t="s">
        <v>34</v>
      </c>
      <c r="F3467">
        <v>101</v>
      </c>
      <c r="G3467" t="s">
        <v>14</v>
      </c>
      <c r="H3467" t="s">
        <v>15</v>
      </c>
      <c r="I3467">
        <v>4.5999999999999996</v>
      </c>
      <c r="J3467">
        <v>18</v>
      </c>
      <c r="K3467">
        <v>9</v>
      </c>
      <c r="L3467" s="4">
        <v>123.17073170731706</v>
      </c>
      <c r="M3467" s="4">
        <v>22.17073170731706</v>
      </c>
      <c r="N3467" t="s">
        <v>93</v>
      </c>
    </row>
    <row r="3468" spans="1:14">
      <c r="A3468">
        <v>3467</v>
      </c>
      <c r="B3468">
        <v>68</v>
      </c>
      <c r="C3468" t="s">
        <v>11</v>
      </c>
      <c r="D3468" t="s">
        <v>29</v>
      </c>
      <c r="E3468" t="s">
        <v>30</v>
      </c>
      <c r="F3468">
        <v>110.3</v>
      </c>
      <c r="G3468" t="s">
        <v>19</v>
      </c>
      <c r="H3468" t="s">
        <v>15</v>
      </c>
      <c r="I3468">
        <v>2.8</v>
      </c>
      <c r="J3468">
        <v>14</v>
      </c>
      <c r="K3468">
        <v>7</v>
      </c>
      <c r="L3468" s="4">
        <v>128.25581395348837</v>
      </c>
      <c r="M3468" s="4">
        <v>17.955813953488374</v>
      </c>
      <c r="N3468" t="s">
        <v>95</v>
      </c>
    </row>
    <row r="3469" spans="1:14">
      <c r="A3469">
        <v>3468</v>
      </c>
      <c r="B3469">
        <v>26</v>
      </c>
      <c r="C3469" t="s">
        <v>11</v>
      </c>
      <c r="D3469" t="s">
        <v>29</v>
      </c>
      <c r="E3469" t="s">
        <v>55</v>
      </c>
      <c r="F3469">
        <v>101.16</v>
      </c>
      <c r="G3469" t="s">
        <v>31</v>
      </c>
      <c r="H3469" t="s">
        <v>15</v>
      </c>
      <c r="I3469">
        <v>4.0999999999999996</v>
      </c>
      <c r="J3469">
        <v>16</v>
      </c>
      <c r="K3469">
        <v>3</v>
      </c>
      <c r="L3469" s="4">
        <v>120.42857142857143</v>
      </c>
      <c r="M3469" s="4">
        <v>19.268571428571434</v>
      </c>
      <c r="N3469" t="s">
        <v>91</v>
      </c>
    </row>
    <row r="3470" spans="1:14">
      <c r="A3470">
        <v>3469</v>
      </c>
      <c r="B3470">
        <v>52</v>
      </c>
      <c r="C3470" t="s">
        <v>11</v>
      </c>
      <c r="D3470" t="s">
        <v>33</v>
      </c>
      <c r="E3470" t="s">
        <v>40</v>
      </c>
      <c r="F3470">
        <v>236.38</v>
      </c>
      <c r="G3470" t="s">
        <v>19</v>
      </c>
      <c r="H3470" t="s">
        <v>15</v>
      </c>
      <c r="I3470">
        <v>3.6</v>
      </c>
      <c r="J3470">
        <v>11</v>
      </c>
      <c r="K3470">
        <v>3</v>
      </c>
      <c r="L3470" s="4">
        <v>265.59550561797749</v>
      </c>
      <c r="M3470" s="4">
        <v>29.215505617977499</v>
      </c>
      <c r="N3470" t="s">
        <v>93</v>
      </c>
    </row>
    <row r="3471" spans="1:14">
      <c r="A3471">
        <v>3470</v>
      </c>
      <c r="B3471">
        <v>66</v>
      </c>
      <c r="C3471" t="s">
        <v>16</v>
      </c>
      <c r="D3471" t="s">
        <v>17</v>
      </c>
      <c r="E3471" t="s">
        <v>35</v>
      </c>
      <c r="F3471">
        <v>164.23</v>
      </c>
      <c r="G3471" t="s">
        <v>31</v>
      </c>
      <c r="H3471" t="s">
        <v>15</v>
      </c>
      <c r="I3471">
        <v>4.0999999999999996</v>
      </c>
      <c r="J3471">
        <v>17</v>
      </c>
      <c r="K3471">
        <v>6</v>
      </c>
      <c r="L3471" s="4">
        <v>197.86746987951807</v>
      </c>
      <c r="M3471" s="4">
        <v>33.637469879518079</v>
      </c>
      <c r="N3471" t="s">
        <v>95</v>
      </c>
    </row>
    <row r="3472" spans="1:14">
      <c r="A3472">
        <v>3471</v>
      </c>
      <c r="B3472">
        <v>53</v>
      </c>
      <c r="C3472" t="s">
        <v>16</v>
      </c>
      <c r="D3472" t="s">
        <v>20</v>
      </c>
      <c r="E3472" t="s">
        <v>39</v>
      </c>
      <c r="F3472">
        <v>205.45</v>
      </c>
      <c r="G3472" t="s">
        <v>31</v>
      </c>
      <c r="H3472" t="s">
        <v>15</v>
      </c>
      <c r="I3472">
        <v>4.2</v>
      </c>
      <c r="J3472">
        <v>12</v>
      </c>
      <c r="K3472">
        <v>6</v>
      </c>
      <c r="L3472" s="4">
        <v>233.46590909090907</v>
      </c>
      <c r="M3472" s="4">
        <v>28.015909090909076</v>
      </c>
      <c r="N3472" t="s">
        <v>93</v>
      </c>
    </row>
    <row r="3473" spans="1:14">
      <c r="A3473">
        <v>3472</v>
      </c>
      <c r="B3473">
        <v>44</v>
      </c>
      <c r="C3473" t="s">
        <v>11</v>
      </c>
      <c r="D3473" t="s">
        <v>41</v>
      </c>
      <c r="E3473" t="s">
        <v>46</v>
      </c>
      <c r="F3473">
        <v>61.41</v>
      </c>
      <c r="G3473" t="s">
        <v>24</v>
      </c>
      <c r="H3473" t="s">
        <v>15</v>
      </c>
      <c r="I3473">
        <v>4.5999999999999996</v>
      </c>
      <c r="J3473">
        <v>22</v>
      </c>
      <c r="K3473">
        <v>6</v>
      </c>
      <c r="L3473" s="4">
        <v>78.730769230769226</v>
      </c>
      <c r="M3473" s="4">
        <v>17.32076923076923</v>
      </c>
      <c r="N3473" t="s">
        <v>92</v>
      </c>
    </row>
    <row r="3474" spans="1:14">
      <c r="A3474">
        <v>3473</v>
      </c>
      <c r="B3474">
        <v>44</v>
      </c>
      <c r="C3474" t="s">
        <v>11</v>
      </c>
      <c r="D3474" t="s">
        <v>12</v>
      </c>
      <c r="E3474" t="s">
        <v>50</v>
      </c>
      <c r="F3474">
        <v>79.900000000000006</v>
      </c>
      <c r="G3474" t="s">
        <v>24</v>
      </c>
      <c r="H3474" t="s">
        <v>15</v>
      </c>
      <c r="I3474">
        <v>3.2</v>
      </c>
      <c r="J3474">
        <v>16</v>
      </c>
      <c r="K3474">
        <v>3</v>
      </c>
      <c r="L3474" s="4">
        <v>95.119047619047635</v>
      </c>
      <c r="M3474" s="4">
        <v>15.219047619047629</v>
      </c>
      <c r="N3474" t="s">
        <v>92</v>
      </c>
    </row>
    <row r="3475" spans="1:14">
      <c r="A3475">
        <v>3474</v>
      </c>
      <c r="B3475">
        <v>37</v>
      </c>
      <c r="C3475" t="s">
        <v>16</v>
      </c>
      <c r="D3475" t="s">
        <v>20</v>
      </c>
      <c r="E3475" t="s">
        <v>39</v>
      </c>
      <c r="F3475">
        <v>228.81</v>
      </c>
      <c r="G3475" t="s">
        <v>24</v>
      </c>
      <c r="H3475" t="s">
        <v>15</v>
      </c>
      <c r="I3475">
        <v>3.9</v>
      </c>
      <c r="J3475">
        <v>22</v>
      </c>
      <c r="K3475">
        <v>6</v>
      </c>
      <c r="L3475" s="4">
        <v>293.34615384615381</v>
      </c>
      <c r="M3475" s="4">
        <v>64.536153846153809</v>
      </c>
      <c r="N3475" t="s">
        <v>92</v>
      </c>
    </row>
    <row r="3476" spans="1:14">
      <c r="A3476">
        <v>3475</v>
      </c>
      <c r="B3476">
        <v>30</v>
      </c>
      <c r="C3476" t="s">
        <v>11</v>
      </c>
      <c r="D3476" t="s">
        <v>29</v>
      </c>
      <c r="E3476" t="s">
        <v>51</v>
      </c>
      <c r="F3476">
        <v>146.26</v>
      </c>
      <c r="G3476" t="s">
        <v>24</v>
      </c>
      <c r="H3476" t="s">
        <v>15</v>
      </c>
      <c r="I3476">
        <v>3.4</v>
      </c>
      <c r="J3476">
        <v>8</v>
      </c>
      <c r="K3476">
        <v>4</v>
      </c>
      <c r="L3476" s="4">
        <v>158.97826086956519</v>
      </c>
      <c r="M3476" s="4">
        <v>12.718260869565199</v>
      </c>
      <c r="N3476" t="s">
        <v>91</v>
      </c>
    </row>
    <row r="3477" spans="1:14">
      <c r="A3477">
        <v>3476</v>
      </c>
      <c r="B3477">
        <v>58</v>
      </c>
      <c r="C3477" t="s">
        <v>11</v>
      </c>
      <c r="D3477" t="s">
        <v>29</v>
      </c>
      <c r="E3477" t="s">
        <v>30</v>
      </c>
      <c r="F3477">
        <v>58.29</v>
      </c>
      <c r="G3477" t="s">
        <v>31</v>
      </c>
      <c r="H3477" t="s">
        <v>37</v>
      </c>
      <c r="I3477">
        <v>1.9</v>
      </c>
      <c r="J3477">
        <v>8</v>
      </c>
      <c r="K3477">
        <v>4</v>
      </c>
      <c r="L3477" s="4">
        <v>63.358695652173907</v>
      </c>
      <c r="M3477" s="4">
        <v>5.0686956521739077</v>
      </c>
      <c r="N3477" t="s">
        <v>94</v>
      </c>
    </row>
    <row r="3478" spans="1:14">
      <c r="A3478">
        <v>3477</v>
      </c>
      <c r="B3478">
        <v>42</v>
      </c>
      <c r="C3478" t="s">
        <v>16</v>
      </c>
      <c r="D3478" t="s">
        <v>22</v>
      </c>
      <c r="E3478" t="s">
        <v>23</v>
      </c>
      <c r="F3478">
        <v>61.68</v>
      </c>
      <c r="G3478" t="s">
        <v>24</v>
      </c>
      <c r="H3478" t="s">
        <v>15</v>
      </c>
      <c r="I3478">
        <v>5</v>
      </c>
      <c r="J3478">
        <v>17</v>
      </c>
      <c r="K3478">
        <v>6</v>
      </c>
      <c r="L3478" s="4">
        <v>74.313253012048193</v>
      </c>
      <c r="M3478" s="4">
        <v>12.633253012048193</v>
      </c>
      <c r="N3478" t="s">
        <v>92</v>
      </c>
    </row>
    <row r="3479" spans="1:14">
      <c r="A3479">
        <v>3478</v>
      </c>
      <c r="B3479">
        <v>46</v>
      </c>
      <c r="C3479" t="s">
        <v>16</v>
      </c>
      <c r="D3479" t="s">
        <v>17</v>
      </c>
      <c r="E3479" t="s">
        <v>18</v>
      </c>
      <c r="F3479">
        <v>76.22</v>
      </c>
      <c r="G3479" t="s">
        <v>24</v>
      </c>
      <c r="H3479" t="s">
        <v>37</v>
      </c>
      <c r="I3479">
        <v>4.7</v>
      </c>
      <c r="J3479">
        <v>16</v>
      </c>
      <c r="K3479">
        <v>8</v>
      </c>
      <c r="L3479" s="4">
        <v>90.738095238095241</v>
      </c>
      <c r="M3479" s="4">
        <v>14.518095238095242</v>
      </c>
      <c r="N3479" t="s">
        <v>93</v>
      </c>
    </row>
    <row r="3480" spans="1:14">
      <c r="A3480">
        <v>3479</v>
      </c>
      <c r="B3480">
        <v>23</v>
      </c>
      <c r="C3480" t="s">
        <v>11</v>
      </c>
      <c r="D3480" t="s">
        <v>41</v>
      </c>
      <c r="E3480" t="s">
        <v>44</v>
      </c>
      <c r="F3480">
        <v>93.3</v>
      </c>
      <c r="G3480" t="s">
        <v>14</v>
      </c>
      <c r="H3480" t="s">
        <v>15</v>
      </c>
      <c r="I3480">
        <v>3.6</v>
      </c>
      <c r="J3480">
        <v>14</v>
      </c>
      <c r="K3480">
        <v>2</v>
      </c>
      <c r="L3480" s="4">
        <v>108.48837209302326</v>
      </c>
      <c r="M3480" s="4">
        <v>15.188372093023261</v>
      </c>
      <c r="N3480" t="s">
        <v>100</v>
      </c>
    </row>
    <row r="3481" spans="1:14">
      <c r="A3481">
        <v>3480</v>
      </c>
      <c r="B3481">
        <v>41</v>
      </c>
      <c r="C3481" t="s">
        <v>16</v>
      </c>
      <c r="D3481" t="s">
        <v>20</v>
      </c>
      <c r="E3481" t="s">
        <v>39</v>
      </c>
      <c r="F3481">
        <v>50.96</v>
      </c>
      <c r="G3481" t="s">
        <v>31</v>
      </c>
      <c r="H3481" t="s">
        <v>15</v>
      </c>
      <c r="I3481">
        <v>3.7</v>
      </c>
      <c r="J3481">
        <v>22</v>
      </c>
      <c r="K3481">
        <v>6</v>
      </c>
      <c r="L3481" s="4">
        <v>65.333333333333329</v>
      </c>
      <c r="M3481" s="4">
        <v>14.373333333333328</v>
      </c>
      <c r="N3481" t="s">
        <v>92</v>
      </c>
    </row>
    <row r="3482" spans="1:14">
      <c r="A3482">
        <v>3481</v>
      </c>
      <c r="B3482">
        <v>29</v>
      </c>
      <c r="C3482" t="s">
        <v>16</v>
      </c>
      <c r="D3482" t="s">
        <v>17</v>
      </c>
      <c r="E3482" t="s">
        <v>35</v>
      </c>
      <c r="F3482">
        <v>88.61</v>
      </c>
      <c r="G3482" t="s">
        <v>24</v>
      </c>
      <c r="H3482" t="s">
        <v>37</v>
      </c>
      <c r="I3482">
        <v>2.7</v>
      </c>
      <c r="J3482">
        <v>15</v>
      </c>
      <c r="K3482">
        <v>5</v>
      </c>
      <c r="L3482" s="4">
        <v>104.24705882352941</v>
      </c>
      <c r="M3482" s="4">
        <v>15.637058823529415</v>
      </c>
      <c r="N3482" t="s">
        <v>91</v>
      </c>
    </row>
    <row r="3483" spans="1:14">
      <c r="A3483">
        <v>3482</v>
      </c>
      <c r="B3483">
        <v>38</v>
      </c>
      <c r="C3483" t="s">
        <v>16</v>
      </c>
      <c r="D3483" t="s">
        <v>33</v>
      </c>
      <c r="E3483" t="s">
        <v>40</v>
      </c>
      <c r="F3483">
        <v>128.69</v>
      </c>
      <c r="G3483" t="s">
        <v>19</v>
      </c>
      <c r="H3483" t="s">
        <v>15</v>
      </c>
      <c r="I3483">
        <v>4.0999999999999996</v>
      </c>
      <c r="J3483">
        <v>12</v>
      </c>
      <c r="K3483">
        <v>6</v>
      </c>
      <c r="L3483" s="4">
        <v>146.23863636363637</v>
      </c>
      <c r="M3483" s="4">
        <v>17.548636363636376</v>
      </c>
      <c r="N3483" t="s">
        <v>92</v>
      </c>
    </row>
    <row r="3484" spans="1:14">
      <c r="A3484">
        <v>3483</v>
      </c>
      <c r="B3484">
        <v>61</v>
      </c>
      <c r="C3484" t="s">
        <v>11</v>
      </c>
      <c r="D3484" t="s">
        <v>33</v>
      </c>
      <c r="E3484" t="s">
        <v>34</v>
      </c>
      <c r="F3484">
        <v>58.31</v>
      </c>
      <c r="G3484" t="s">
        <v>31</v>
      </c>
      <c r="H3484" t="s">
        <v>37</v>
      </c>
      <c r="I3484">
        <v>4.3</v>
      </c>
      <c r="J3484">
        <v>22</v>
      </c>
      <c r="K3484">
        <v>6</v>
      </c>
      <c r="L3484" s="4">
        <v>74.756410256410263</v>
      </c>
      <c r="M3484" s="4">
        <v>16.44641025641026</v>
      </c>
      <c r="N3484" t="s">
        <v>94</v>
      </c>
    </row>
    <row r="3485" spans="1:14">
      <c r="A3485">
        <v>3484</v>
      </c>
      <c r="B3485">
        <v>33</v>
      </c>
      <c r="C3485" t="s">
        <v>11</v>
      </c>
      <c r="D3485" t="s">
        <v>22</v>
      </c>
      <c r="E3485" t="s">
        <v>52</v>
      </c>
      <c r="F3485">
        <v>144.94999999999999</v>
      </c>
      <c r="G3485" t="s">
        <v>24</v>
      </c>
      <c r="H3485" t="s">
        <v>15</v>
      </c>
      <c r="I3485">
        <v>3.6</v>
      </c>
      <c r="J3485">
        <v>12</v>
      </c>
      <c r="K3485">
        <v>1</v>
      </c>
      <c r="L3485" s="4">
        <v>164.71590909090907</v>
      </c>
      <c r="M3485" s="4">
        <v>19.765909090909076</v>
      </c>
      <c r="N3485" t="s">
        <v>91</v>
      </c>
    </row>
    <row r="3486" spans="1:14">
      <c r="A3486">
        <v>3485</v>
      </c>
      <c r="B3486">
        <v>61</v>
      </c>
      <c r="C3486" t="s">
        <v>16</v>
      </c>
      <c r="D3486" t="s">
        <v>17</v>
      </c>
      <c r="E3486" t="s">
        <v>18</v>
      </c>
      <c r="F3486">
        <v>160.36000000000001</v>
      </c>
      <c r="G3486" t="s">
        <v>24</v>
      </c>
      <c r="H3486" t="s">
        <v>15</v>
      </c>
      <c r="I3486">
        <v>2.7</v>
      </c>
      <c r="J3486">
        <v>6</v>
      </c>
      <c r="K3486">
        <v>3</v>
      </c>
      <c r="L3486" s="4">
        <v>170.59574468085108</v>
      </c>
      <c r="M3486" s="4">
        <v>10.23574468085107</v>
      </c>
      <c r="N3486" t="s">
        <v>94</v>
      </c>
    </row>
    <row r="3487" spans="1:14">
      <c r="A3487">
        <v>3486</v>
      </c>
      <c r="B3487">
        <v>42</v>
      </c>
      <c r="C3487" t="s">
        <v>11</v>
      </c>
      <c r="D3487" t="s">
        <v>33</v>
      </c>
      <c r="E3487" t="s">
        <v>34</v>
      </c>
      <c r="F3487">
        <v>225.91</v>
      </c>
      <c r="G3487" t="s">
        <v>24</v>
      </c>
      <c r="H3487" t="s">
        <v>15</v>
      </c>
      <c r="I3487">
        <v>3.7</v>
      </c>
      <c r="J3487">
        <v>10</v>
      </c>
      <c r="K3487">
        <v>5</v>
      </c>
      <c r="L3487" s="4">
        <v>251.01111111111109</v>
      </c>
      <c r="M3487" s="4">
        <v>25.101111111111095</v>
      </c>
      <c r="N3487" t="s">
        <v>92</v>
      </c>
    </row>
    <row r="3488" spans="1:14">
      <c r="A3488">
        <v>3487</v>
      </c>
      <c r="B3488">
        <v>28</v>
      </c>
      <c r="C3488" t="s">
        <v>11</v>
      </c>
      <c r="D3488" t="s">
        <v>41</v>
      </c>
      <c r="E3488" t="s">
        <v>42</v>
      </c>
      <c r="F3488">
        <v>57.14</v>
      </c>
      <c r="G3488" t="s">
        <v>31</v>
      </c>
      <c r="H3488" t="s">
        <v>37</v>
      </c>
      <c r="I3488">
        <v>3.1</v>
      </c>
      <c r="J3488">
        <v>13</v>
      </c>
      <c r="K3488">
        <v>4</v>
      </c>
      <c r="L3488" s="4">
        <v>65.678160919540232</v>
      </c>
      <c r="M3488" s="4">
        <v>8.5381609195402319</v>
      </c>
      <c r="N3488" t="s">
        <v>91</v>
      </c>
    </row>
    <row r="3489" spans="1:14">
      <c r="A3489">
        <v>3488</v>
      </c>
      <c r="B3489">
        <v>53</v>
      </c>
      <c r="C3489" t="s">
        <v>16</v>
      </c>
      <c r="D3489" t="s">
        <v>17</v>
      </c>
      <c r="E3489" t="s">
        <v>35</v>
      </c>
      <c r="F3489">
        <v>133.94</v>
      </c>
      <c r="G3489" t="s">
        <v>14</v>
      </c>
      <c r="H3489" t="s">
        <v>15</v>
      </c>
      <c r="I3489">
        <v>4.3</v>
      </c>
      <c r="J3489">
        <v>18</v>
      </c>
      <c r="K3489">
        <v>4</v>
      </c>
      <c r="L3489" s="4">
        <v>163.34146341463412</v>
      </c>
      <c r="M3489" s="4">
        <v>29.401463414634122</v>
      </c>
      <c r="N3489" t="s">
        <v>93</v>
      </c>
    </row>
    <row r="3490" spans="1:14">
      <c r="A3490">
        <v>3489</v>
      </c>
      <c r="B3490">
        <v>64</v>
      </c>
      <c r="C3490" t="s">
        <v>11</v>
      </c>
      <c r="D3490" t="s">
        <v>29</v>
      </c>
      <c r="E3490" t="s">
        <v>30</v>
      </c>
      <c r="F3490">
        <v>57.54</v>
      </c>
      <c r="G3490" t="s">
        <v>31</v>
      </c>
      <c r="H3490" t="s">
        <v>15</v>
      </c>
      <c r="I3490">
        <v>5</v>
      </c>
      <c r="J3490">
        <v>18</v>
      </c>
      <c r="K3490">
        <v>4</v>
      </c>
      <c r="L3490" s="4">
        <v>70.17073170731706</v>
      </c>
      <c r="M3490" s="4">
        <v>12.630731707317061</v>
      </c>
      <c r="N3490" t="s">
        <v>94</v>
      </c>
    </row>
    <row r="3491" spans="1:14">
      <c r="A3491">
        <v>3490</v>
      </c>
      <c r="B3491">
        <v>64</v>
      </c>
      <c r="C3491" t="s">
        <v>16</v>
      </c>
      <c r="D3491" t="s">
        <v>17</v>
      </c>
      <c r="E3491" t="s">
        <v>18</v>
      </c>
      <c r="F3491">
        <v>76.87</v>
      </c>
      <c r="G3491" t="s">
        <v>31</v>
      </c>
      <c r="H3491" t="s">
        <v>15</v>
      </c>
      <c r="I3491">
        <v>3.9</v>
      </c>
      <c r="J3491">
        <v>6</v>
      </c>
      <c r="K3491">
        <v>3</v>
      </c>
      <c r="L3491" s="4">
        <v>81.776595744680861</v>
      </c>
      <c r="M3491" s="4">
        <v>4.9065957446808568</v>
      </c>
      <c r="N3491" t="s">
        <v>94</v>
      </c>
    </row>
    <row r="3492" spans="1:14">
      <c r="A3492">
        <v>3491</v>
      </c>
      <c r="B3492">
        <v>68</v>
      </c>
      <c r="C3492" t="s">
        <v>16</v>
      </c>
      <c r="D3492" t="s">
        <v>20</v>
      </c>
      <c r="E3492" t="s">
        <v>21</v>
      </c>
      <c r="F3492">
        <v>32.729999999999997</v>
      </c>
      <c r="G3492" t="s">
        <v>19</v>
      </c>
      <c r="H3492" t="s">
        <v>37</v>
      </c>
      <c r="I3492">
        <v>3.9</v>
      </c>
      <c r="J3492">
        <v>18</v>
      </c>
      <c r="K3492">
        <v>9</v>
      </c>
      <c r="L3492" s="4">
        <v>39.914634146341456</v>
      </c>
      <c r="M3492" s="4">
        <v>7.1846341463414589</v>
      </c>
      <c r="N3492" t="s">
        <v>95</v>
      </c>
    </row>
    <row r="3493" spans="1:14">
      <c r="A3493">
        <v>3492</v>
      </c>
      <c r="B3493">
        <v>34</v>
      </c>
      <c r="C3493" t="s">
        <v>16</v>
      </c>
      <c r="D3493" t="s">
        <v>17</v>
      </c>
      <c r="E3493" t="s">
        <v>35</v>
      </c>
      <c r="F3493">
        <v>56.59</v>
      </c>
      <c r="G3493" t="s">
        <v>19</v>
      </c>
      <c r="H3493" t="s">
        <v>37</v>
      </c>
      <c r="I3493">
        <v>3.9</v>
      </c>
      <c r="J3493">
        <v>18</v>
      </c>
      <c r="K3493">
        <v>4</v>
      </c>
      <c r="L3493" s="4">
        <v>69.012195121951223</v>
      </c>
      <c r="M3493" s="4">
        <v>12.422195121951219</v>
      </c>
      <c r="N3493" t="s">
        <v>91</v>
      </c>
    </row>
    <row r="3494" spans="1:14">
      <c r="A3494">
        <v>3493</v>
      </c>
      <c r="B3494">
        <v>57</v>
      </c>
      <c r="C3494" t="s">
        <v>11</v>
      </c>
      <c r="D3494" t="s">
        <v>41</v>
      </c>
      <c r="E3494" t="s">
        <v>42</v>
      </c>
      <c r="F3494">
        <v>113.82</v>
      </c>
      <c r="G3494" t="s">
        <v>14</v>
      </c>
      <c r="H3494" t="s">
        <v>15</v>
      </c>
      <c r="I3494">
        <v>3.1</v>
      </c>
      <c r="J3494">
        <v>8</v>
      </c>
      <c r="K3494">
        <v>4</v>
      </c>
      <c r="L3494" s="4">
        <v>123.71739130434781</v>
      </c>
      <c r="M3494" s="4">
        <v>9.8973913043478206</v>
      </c>
      <c r="N3494" t="s">
        <v>94</v>
      </c>
    </row>
    <row r="3495" spans="1:14">
      <c r="A3495">
        <v>3494</v>
      </c>
      <c r="B3495">
        <v>50</v>
      </c>
      <c r="C3495" t="s">
        <v>11</v>
      </c>
      <c r="D3495" t="s">
        <v>41</v>
      </c>
      <c r="E3495" t="s">
        <v>42</v>
      </c>
      <c r="F3495">
        <v>34.270000000000003</v>
      </c>
      <c r="G3495" t="s">
        <v>31</v>
      </c>
      <c r="H3495" t="s">
        <v>15</v>
      </c>
      <c r="I3495">
        <v>4.2</v>
      </c>
      <c r="J3495">
        <v>21</v>
      </c>
      <c r="K3495">
        <v>8</v>
      </c>
      <c r="L3495" s="4">
        <v>43.379746835443036</v>
      </c>
      <c r="M3495" s="4">
        <v>9.1097468354430333</v>
      </c>
      <c r="N3495" t="s">
        <v>93</v>
      </c>
    </row>
    <row r="3496" spans="1:14">
      <c r="A3496">
        <v>3495</v>
      </c>
      <c r="B3496">
        <v>45</v>
      </c>
      <c r="C3496" t="s">
        <v>16</v>
      </c>
      <c r="D3496" t="s">
        <v>27</v>
      </c>
      <c r="E3496" t="s">
        <v>49</v>
      </c>
      <c r="F3496">
        <v>1460.58</v>
      </c>
      <c r="G3496" t="s">
        <v>24</v>
      </c>
      <c r="H3496" t="s">
        <v>15</v>
      </c>
      <c r="I3496">
        <v>4.3</v>
      </c>
      <c r="J3496">
        <v>8</v>
      </c>
      <c r="K3496">
        <v>4</v>
      </c>
      <c r="L3496" s="4">
        <v>1587.586956521739</v>
      </c>
      <c r="M3496" s="4">
        <v>127.00695652173908</v>
      </c>
      <c r="N3496" t="s">
        <v>93</v>
      </c>
    </row>
    <row r="3497" spans="1:14">
      <c r="A3497">
        <v>3496</v>
      </c>
      <c r="B3497">
        <v>23</v>
      </c>
      <c r="C3497" t="s">
        <v>16</v>
      </c>
      <c r="D3497" t="s">
        <v>20</v>
      </c>
      <c r="E3497" t="s">
        <v>36</v>
      </c>
      <c r="F3497">
        <v>207.34</v>
      </c>
      <c r="G3497" t="s">
        <v>31</v>
      </c>
      <c r="H3497" t="s">
        <v>15</v>
      </c>
      <c r="I3497">
        <v>4.4000000000000004</v>
      </c>
      <c r="J3497">
        <v>16</v>
      </c>
      <c r="K3497">
        <v>8</v>
      </c>
      <c r="L3497" s="4">
        <v>246.83333333333334</v>
      </c>
      <c r="M3497" s="4">
        <v>39.493333333333339</v>
      </c>
      <c r="N3497" t="s">
        <v>100</v>
      </c>
    </row>
    <row r="3498" spans="1:14">
      <c r="A3498">
        <v>3497</v>
      </c>
      <c r="B3498">
        <v>33</v>
      </c>
      <c r="C3498" t="s">
        <v>11</v>
      </c>
      <c r="D3498" t="s">
        <v>41</v>
      </c>
      <c r="E3498" t="s">
        <v>42</v>
      </c>
      <c r="F3498">
        <v>79.55</v>
      </c>
      <c r="G3498" t="s">
        <v>19</v>
      </c>
      <c r="H3498" t="s">
        <v>15</v>
      </c>
      <c r="I3498">
        <v>4.4000000000000004</v>
      </c>
      <c r="J3498">
        <v>20</v>
      </c>
      <c r="K3498">
        <v>5</v>
      </c>
      <c r="L3498" s="4">
        <v>99.437499999999986</v>
      </c>
      <c r="M3498" s="4">
        <v>19.887499999999989</v>
      </c>
      <c r="N3498" t="s">
        <v>91</v>
      </c>
    </row>
    <row r="3499" spans="1:14">
      <c r="A3499">
        <v>3498</v>
      </c>
      <c r="B3499">
        <v>38</v>
      </c>
      <c r="C3499" t="s">
        <v>16</v>
      </c>
      <c r="D3499" t="s">
        <v>33</v>
      </c>
      <c r="E3499" t="s">
        <v>38</v>
      </c>
      <c r="F3499">
        <v>171</v>
      </c>
      <c r="G3499" t="s">
        <v>14</v>
      </c>
      <c r="H3499" t="s">
        <v>15</v>
      </c>
      <c r="I3499">
        <v>2.7</v>
      </c>
      <c r="J3499">
        <v>12</v>
      </c>
      <c r="K3499">
        <v>6</v>
      </c>
      <c r="L3499" s="4">
        <v>194.31818181818181</v>
      </c>
      <c r="M3499" s="4">
        <v>23.318181818181813</v>
      </c>
      <c r="N3499" t="s">
        <v>92</v>
      </c>
    </row>
    <row r="3500" spans="1:14">
      <c r="A3500">
        <v>3499</v>
      </c>
      <c r="B3500">
        <v>50</v>
      </c>
      <c r="C3500" t="s">
        <v>11</v>
      </c>
      <c r="D3500" t="s">
        <v>33</v>
      </c>
      <c r="E3500" t="s">
        <v>38</v>
      </c>
      <c r="F3500">
        <v>109.47</v>
      </c>
      <c r="G3500" t="s">
        <v>14</v>
      </c>
      <c r="H3500" t="s">
        <v>15</v>
      </c>
      <c r="I3500">
        <v>3.9</v>
      </c>
      <c r="J3500">
        <v>15</v>
      </c>
      <c r="K3500">
        <v>5</v>
      </c>
      <c r="L3500" s="4">
        <v>128.78823529411764</v>
      </c>
      <c r="M3500" s="4">
        <v>19.318235294117642</v>
      </c>
      <c r="N3500" t="s">
        <v>93</v>
      </c>
    </row>
    <row r="3501" spans="1:14">
      <c r="A3501">
        <v>3500</v>
      </c>
      <c r="B3501">
        <v>33</v>
      </c>
      <c r="C3501" t="s">
        <v>16</v>
      </c>
      <c r="D3501" t="s">
        <v>27</v>
      </c>
      <c r="E3501" t="s">
        <v>28</v>
      </c>
      <c r="F3501">
        <v>2664.84</v>
      </c>
      <c r="G3501" t="s">
        <v>24</v>
      </c>
      <c r="H3501" t="s">
        <v>15</v>
      </c>
      <c r="I3501">
        <v>5</v>
      </c>
      <c r="J3501">
        <v>22</v>
      </c>
      <c r="K3501">
        <v>6</v>
      </c>
      <c r="L3501" s="4">
        <v>3416.4615384615386</v>
      </c>
      <c r="M3501" s="4">
        <v>751.62153846153842</v>
      </c>
      <c r="N3501" t="s">
        <v>91</v>
      </c>
    </row>
    <row r="3502" spans="1:14">
      <c r="A3502">
        <v>3501</v>
      </c>
      <c r="B3502">
        <v>38</v>
      </c>
      <c r="C3502" t="s">
        <v>11</v>
      </c>
      <c r="D3502" t="s">
        <v>12</v>
      </c>
      <c r="E3502" t="s">
        <v>50</v>
      </c>
      <c r="F3502">
        <v>126.81</v>
      </c>
      <c r="G3502" t="s">
        <v>19</v>
      </c>
      <c r="H3502" t="s">
        <v>15</v>
      </c>
      <c r="I3502">
        <v>4.0999999999999996</v>
      </c>
      <c r="J3502">
        <v>15</v>
      </c>
      <c r="K3502">
        <v>5</v>
      </c>
      <c r="L3502" s="4">
        <v>149.18823529411765</v>
      </c>
      <c r="M3502" s="4">
        <v>22.378235294117644</v>
      </c>
      <c r="N3502" t="s">
        <v>92</v>
      </c>
    </row>
    <row r="3503" spans="1:14">
      <c r="A3503">
        <v>3502</v>
      </c>
      <c r="B3503">
        <v>40</v>
      </c>
      <c r="C3503" t="s">
        <v>16</v>
      </c>
      <c r="D3503" t="s">
        <v>20</v>
      </c>
      <c r="E3503" t="s">
        <v>36</v>
      </c>
      <c r="F3503">
        <v>200.09</v>
      </c>
      <c r="G3503" t="s">
        <v>31</v>
      </c>
      <c r="H3503" t="s">
        <v>15</v>
      </c>
      <c r="I3503">
        <v>3.7</v>
      </c>
      <c r="J3503">
        <v>20</v>
      </c>
      <c r="K3503">
        <v>5</v>
      </c>
      <c r="L3503" s="4">
        <v>250.11249999999998</v>
      </c>
      <c r="M3503" s="4">
        <v>50.02249999999998</v>
      </c>
      <c r="N3503" t="s">
        <v>92</v>
      </c>
    </row>
    <row r="3504" spans="1:14">
      <c r="A3504">
        <v>3503</v>
      </c>
      <c r="B3504">
        <v>37</v>
      </c>
      <c r="C3504" t="s">
        <v>11</v>
      </c>
      <c r="D3504" t="s">
        <v>33</v>
      </c>
      <c r="E3504" t="s">
        <v>40</v>
      </c>
      <c r="F3504">
        <v>163.18</v>
      </c>
      <c r="G3504" t="s">
        <v>14</v>
      </c>
      <c r="H3504" t="s">
        <v>15</v>
      </c>
      <c r="I3504">
        <v>4.4000000000000004</v>
      </c>
      <c r="J3504">
        <v>20</v>
      </c>
      <c r="K3504">
        <v>5</v>
      </c>
      <c r="L3504" s="4">
        <v>203.97499999999999</v>
      </c>
      <c r="M3504" s="4">
        <v>40.794999999999987</v>
      </c>
      <c r="N3504" t="s">
        <v>92</v>
      </c>
    </row>
    <row r="3505" spans="1:14">
      <c r="A3505">
        <v>3504</v>
      </c>
      <c r="B3505">
        <v>50</v>
      </c>
      <c r="C3505" t="s">
        <v>16</v>
      </c>
      <c r="D3505" t="s">
        <v>20</v>
      </c>
      <c r="E3505" t="s">
        <v>21</v>
      </c>
      <c r="F3505">
        <v>112.61</v>
      </c>
      <c r="G3505" t="s">
        <v>24</v>
      </c>
      <c r="H3505" t="s">
        <v>15</v>
      </c>
      <c r="I3505">
        <v>4.5</v>
      </c>
      <c r="J3505">
        <v>17</v>
      </c>
      <c r="K3505">
        <v>6</v>
      </c>
      <c r="L3505" s="4">
        <v>135.67469879518072</v>
      </c>
      <c r="M3505" s="4">
        <v>23.064698795180718</v>
      </c>
      <c r="N3505" t="s">
        <v>93</v>
      </c>
    </row>
    <row r="3506" spans="1:14">
      <c r="A3506">
        <v>3505</v>
      </c>
      <c r="B3506">
        <v>47</v>
      </c>
      <c r="C3506" t="s">
        <v>11</v>
      </c>
      <c r="D3506" t="s">
        <v>25</v>
      </c>
      <c r="E3506" t="s">
        <v>26</v>
      </c>
      <c r="F3506">
        <v>73.2</v>
      </c>
      <c r="G3506" t="s">
        <v>31</v>
      </c>
      <c r="H3506" t="s">
        <v>37</v>
      </c>
      <c r="I3506">
        <v>3.6</v>
      </c>
      <c r="J3506">
        <v>22</v>
      </c>
      <c r="K3506">
        <v>6</v>
      </c>
      <c r="L3506" s="4">
        <v>93.84615384615384</v>
      </c>
      <c r="M3506" s="4">
        <v>20.646153846153837</v>
      </c>
      <c r="N3506" t="s">
        <v>93</v>
      </c>
    </row>
    <row r="3507" spans="1:14">
      <c r="A3507">
        <v>3506</v>
      </c>
      <c r="B3507">
        <v>49</v>
      </c>
      <c r="C3507" t="s">
        <v>11</v>
      </c>
      <c r="D3507" t="s">
        <v>12</v>
      </c>
      <c r="E3507" t="s">
        <v>50</v>
      </c>
      <c r="F3507">
        <v>41.27</v>
      </c>
      <c r="G3507" t="s">
        <v>14</v>
      </c>
      <c r="H3507" t="s">
        <v>15</v>
      </c>
      <c r="I3507">
        <v>2.1</v>
      </c>
      <c r="J3507">
        <v>4</v>
      </c>
      <c r="K3507">
        <v>2</v>
      </c>
      <c r="L3507" s="4">
        <v>42.989583333333336</v>
      </c>
      <c r="M3507" s="4">
        <v>1.7195833333333326</v>
      </c>
      <c r="N3507" t="s">
        <v>93</v>
      </c>
    </row>
    <row r="3508" spans="1:14">
      <c r="A3508">
        <v>3507</v>
      </c>
      <c r="B3508">
        <v>70</v>
      </c>
      <c r="C3508" t="s">
        <v>16</v>
      </c>
      <c r="D3508" t="s">
        <v>27</v>
      </c>
      <c r="E3508" t="s">
        <v>32</v>
      </c>
      <c r="F3508">
        <v>2742.82</v>
      </c>
      <c r="G3508" t="s">
        <v>31</v>
      </c>
      <c r="H3508" t="s">
        <v>15</v>
      </c>
      <c r="I3508">
        <v>4</v>
      </c>
      <c r="J3508">
        <v>22</v>
      </c>
      <c r="K3508">
        <v>6</v>
      </c>
      <c r="L3508" s="4">
        <v>3516.4358974358975</v>
      </c>
      <c r="M3508" s="4">
        <v>773.6158974358973</v>
      </c>
      <c r="N3508" t="s">
        <v>95</v>
      </c>
    </row>
    <row r="3509" spans="1:14">
      <c r="A3509">
        <v>3508</v>
      </c>
      <c r="B3509">
        <v>32</v>
      </c>
      <c r="C3509" t="s">
        <v>11</v>
      </c>
      <c r="D3509" t="s">
        <v>25</v>
      </c>
      <c r="E3509" t="s">
        <v>57</v>
      </c>
      <c r="F3509">
        <v>9.6999999999999993</v>
      </c>
      <c r="G3509" t="s">
        <v>19</v>
      </c>
      <c r="H3509" t="s">
        <v>15</v>
      </c>
      <c r="I3509">
        <v>4.4000000000000004</v>
      </c>
      <c r="J3509">
        <v>10</v>
      </c>
      <c r="K3509">
        <v>5</v>
      </c>
      <c r="L3509" s="4">
        <v>10.777777777777777</v>
      </c>
      <c r="M3509" s="4">
        <v>1.0777777777777775</v>
      </c>
      <c r="N3509" t="s">
        <v>91</v>
      </c>
    </row>
    <row r="3510" spans="1:14">
      <c r="A3510">
        <v>3509</v>
      </c>
      <c r="B3510">
        <v>65</v>
      </c>
      <c r="C3510" t="s">
        <v>11</v>
      </c>
      <c r="D3510" t="s">
        <v>12</v>
      </c>
      <c r="E3510" t="s">
        <v>50</v>
      </c>
      <c r="F3510">
        <v>34.49</v>
      </c>
      <c r="G3510" t="s">
        <v>19</v>
      </c>
      <c r="H3510" t="s">
        <v>15</v>
      </c>
      <c r="I3510">
        <v>3.1</v>
      </c>
      <c r="J3510">
        <v>22</v>
      </c>
      <c r="K3510">
        <v>6</v>
      </c>
      <c r="L3510" s="4">
        <v>44.217948717948723</v>
      </c>
      <c r="M3510" s="4">
        <v>9.7279487179487205</v>
      </c>
      <c r="N3510" t="s">
        <v>95</v>
      </c>
    </row>
    <row r="3511" spans="1:14">
      <c r="A3511">
        <v>3510</v>
      </c>
      <c r="B3511">
        <v>39</v>
      </c>
      <c r="C3511" t="s">
        <v>16</v>
      </c>
      <c r="D3511" t="s">
        <v>17</v>
      </c>
      <c r="E3511" t="s">
        <v>42</v>
      </c>
      <c r="F3511">
        <v>84.03</v>
      </c>
      <c r="G3511" t="s">
        <v>24</v>
      </c>
      <c r="H3511" t="s">
        <v>37</v>
      </c>
      <c r="I3511">
        <v>4</v>
      </c>
      <c r="J3511">
        <v>11</v>
      </c>
      <c r="K3511">
        <v>3</v>
      </c>
      <c r="L3511" s="4">
        <v>94.415730337078656</v>
      </c>
      <c r="M3511" s="4">
        <v>10.385730337078655</v>
      </c>
      <c r="N3511" t="s">
        <v>92</v>
      </c>
    </row>
    <row r="3512" spans="1:14">
      <c r="A3512">
        <v>3511</v>
      </c>
      <c r="B3512">
        <v>58</v>
      </c>
      <c r="C3512" t="s">
        <v>16</v>
      </c>
      <c r="D3512" t="s">
        <v>17</v>
      </c>
      <c r="E3512" t="s">
        <v>18</v>
      </c>
      <c r="F3512">
        <v>147.16999999999999</v>
      </c>
      <c r="G3512" t="s">
        <v>24</v>
      </c>
      <c r="H3512" t="s">
        <v>15</v>
      </c>
      <c r="I3512">
        <v>4.5</v>
      </c>
      <c r="J3512">
        <v>6</v>
      </c>
      <c r="K3512">
        <v>3</v>
      </c>
      <c r="L3512" s="4">
        <v>156.56382978723403</v>
      </c>
      <c r="M3512" s="4">
        <v>9.3938297872340399</v>
      </c>
      <c r="N3512" t="s">
        <v>94</v>
      </c>
    </row>
    <row r="3513" spans="1:14">
      <c r="A3513">
        <v>3512</v>
      </c>
      <c r="B3513">
        <v>44</v>
      </c>
      <c r="C3513" t="s">
        <v>11</v>
      </c>
      <c r="D3513" t="s">
        <v>25</v>
      </c>
      <c r="E3513" t="s">
        <v>54</v>
      </c>
      <c r="F3513">
        <v>29.29</v>
      </c>
      <c r="G3513" t="s">
        <v>31</v>
      </c>
      <c r="H3513" t="s">
        <v>37</v>
      </c>
      <c r="I3513">
        <v>4.8</v>
      </c>
      <c r="J3513">
        <v>9</v>
      </c>
      <c r="K3513">
        <v>2</v>
      </c>
      <c r="L3513" s="4">
        <v>32.186813186813183</v>
      </c>
      <c r="M3513" s="4">
        <v>2.8968131868131834</v>
      </c>
      <c r="N3513" t="s">
        <v>92</v>
      </c>
    </row>
    <row r="3514" spans="1:14">
      <c r="A3514">
        <v>3513</v>
      </c>
      <c r="B3514">
        <v>38</v>
      </c>
      <c r="C3514" t="s">
        <v>16</v>
      </c>
      <c r="D3514" t="s">
        <v>22</v>
      </c>
      <c r="E3514" t="s">
        <v>43</v>
      </c>
      <c r="F3514">
        <v>180.38</v>
      </c>
      <c r="G3514" t="s">
        <v>14</v>
      </c>
      <c r="H3514" t="s">
        <v>15</v>
      </c>
      <c r="I3514">
        <v>2.9</v>
      </c>
      <c r="J3514">
        <v>14</v>
      </c>
      <c r="K3514">
        <v>7</v>
      </c>
      <c r="L3514" s="4">
        <v>209.74418604651163</v>
      </c>
      <c r="M3514" s="4">
        <v>29.364186046511634</v>
      </c>
      <c r="N3514" t="s">
        <v>92</v>
      </c>
    </row>
    <row r="3515" spans="1:14">
      <c r="A3515">
        <v>3514</v>
      </c>
      <c r="B3515">
        <v>65</v>
      </c>
      <c r="C3515" t="s">
        <v>16</v>
      </c>
      <c r="D3515" t="s">
        <v>27</v>
      </c>
      <c r="E3515" t="s">
        <v>53</v>
      </c>
      <c r="F3515">
        <v>1279.3</v>
      </c>
      <c r="G3515" t="s">
        <v>14</v>
      </c>
      <c r="H3515" t="s">
        <v>15</v>
      </c>
      <c r="I3515">
        <v>4.4000000000000004</v>
      </c>
      <c r="J3515">
        <v>11</v>
      </c>
      <c r="K3515">
        <v>3</v>
      </c>
      <c r="L3515" s="4">
        <v>1437.4157303370787</v>
      </c>
      <c r="M3515" s="4">
        <v>158.11573033707873</v>
      </c>
      <c r="N3515" t="s">
        <v>95</v>
      </c>
    </row>
    <row r="3516" spans="1:14">
      <c r="A3516">
        <v>3515</v>
      </c>
      <c r="B3516">
        <v>23</v>
      </c>
      <c r="C3516" t="s">
        <v>11</v>
      </c>
      <c r="D3516" t="s">
        <v>41</v>
      </c>
      <c r="E3516" t="s">
        <v>44</v>
      </c>
      <c r="F3516">
        <v>31.4</v>
      </c>
      <c r="G3516" t="s">
        <v>31</v>
      </c>
      <c r="H3516" t="s">
        <v>37</v>
      </c>
      <c r="I3516">
        <v>3</v>
      </c>
      <c r="J3516">
        <v>8</v>
      </c>
      <c r="K3516">
        <v>4</v>
      </c>
      <c r="L3516" s="4">
        <v>34.130434782608695</v>
      </c>
      <c r="M3516" s="4">
        <v>2.7304347826086968</v>
      </c>
      <c r="N3516" t="s">
        <v>100</v>
      </c>
    </row>
    <row r="3517" spans="1:14">
      <c r="A3517">
        <v>3516</v>
      </c>
      <c r="B3517">
        <v>20</v>
      </c>
      <c r="C3517" t="s">
        <v>11</v>
      </c>
      <c r="D3517" t="s">
        <v>25</v>
      </c>
      <c r="E3517" t="s">
        <v>57</v>
      </c>
      <c r="F3517">
        <v>47.95</v>
      </c>
      <c r="G3517" t="s">
        <v>19</v>
      </c>
      <c r="H3517" t="s">
        <v>15</v>
      </c>
      <c r="I3517">
        <v>4.3</v>
      </c>
      <c r="J3517">
        <v>24</v>
      </c>
      <c r="K3517">
        <v>7</v>
      </c>
      <c r="L3517" s="4">
        <v>63.092105263157897</v>
      </c>
      <c r="M3517" s="4">
        <v>15.142105263157895</v>
      </c>
      <c r="N3517" t="s">
        <v>100</v>
      </c>
    </row>
    <row r="3518" spans="1:14">
      <c r="A3518">
        <v>3517</v>
      </c>
      <c r="B3518">
        <v>36</v>
      </c>
      <c r="C3518" t="s">
        <v>11</v>
      </c>
      <c r="D3518" t="s">
        <v>41</v>
      </c>
      <c r="E3518" t="s">
        <v>45</v>
      </c>
      <c r="F3518">
        <v>98.93</v>
      </c>
      <c r="G3518" t="s">
        <v>19</v>
      </c>
      <c r="H3518" t="s">
        <v>15</v>
      </c>
      <c r="I3518">
        <v>4.4000000000000004</v>
      </c>
      <c r="J3518">
        <v>10</v>
      </c>
      <c r="K3518">
        <v>5</v>
      </c>
      <c r="L3518" s="4">
        <v>109.92222222222223</v>
      </c>
      <c r="M3518" s="4">
        <v>10.992222222222225</v>
      </c>
      <c r="N3518" t="s">
        <v>92</v>
      </c>
    </row>
    <row r="3519" spans="1:14">
      <c r="A3519">
        <v>3518</v>
      </c>
      <c r="B3519">
        <v>46</v>
      </c>
      <c r="C3519" t="s">
        <v>11</v>
      </c>
      <c r="D3519" t="s">
        <v>41</v>
      </c>
      <c r="E3519" t="s">
        <v>45</v>
      </c>
      <c r="F3519">
        <v>84.09</v>
      </c>
      <c r="G3519" t="s">
        <v>31</v>
      </c>
      <c r="H3519" t="s">
        <v>15</v>
      </c>
      <c r="I3519">
        <v>3.4</v>
      </c>
      <c r="J3519">
        <v>4</v>
      </c>
      <c r="K3519">
        <v>2</v>
      </c>
      <c r="L3519" s="4">
        <v>87.59375</v>
      </c>
      <c r="M3519" s="4">
        <v>3.5037499999999966</v>
      </c>
      <c r="N3519" t="s">
        <v>93</v>
      </c>
    </row>
    <row r="3520" spans="1:14">
      <c r="A3520">
        <v>3519</v>
      </c>
      <c r="B3520">
        <v>45</v>
      </c>
      <c r="C3520" t="s">
        <v>16</v>
      </c>
      <c r="D3520" t="s">
        <v>33</v>
      </c>
      <c r="E3520" t="s">
        <v>38</v>
      </c>
      <c r="F3520">
        <v>174.22</v>
      </c>
      <c r="G3520" t="s">
        <v>31</v>
      </c>
      <c r="H3520" t="s">
        <v>15</v>
      </c>
      <c r="I3520">
        <v>4</v>
      </c>
      <c r="J3520">
        <v>13</v>
      </c>
      <c r="K3520">
        <v>4</v>
      </c>
      <c r="L3520" s="4">
        <v>200.2528735632184</v>
      </c>
      <c r="M3520" s="4">
        <v>26.032873563218402</v>
      </c>
      <c r="N3520" t="s">
        <v>93</v>
      </c>
    </row>
    <row r="3521" spans="1:14">
      <c r="A3521">
        <v>3520</v>
      </c>
      <c r="B3521">
        <v>62</v>
      </c>
      <c r="C3521" t="s">
        <v>16</v>
      </c>
      <c r="D3521" t="s">
        <v>20</v>
      </c>
      <c r="E3521" t="s">
        <v>36</v>
      </c>
      <c r="F3521">
        <v>50.18</v>
      </c>
      <c r="G3521" t="s">
        <v>19</v>
      </c>
      <c r="H3521" t="s">
        <v>15</v>
      </c>
      <c r="I3521">
        <v>3.4</v>
      </c>
      <c r="J3521">
        <v>24</v>
      </c>
      <c r="K3521">
        <v>7</v>
      </c>
      <c r="L3521" s="4">
        <v>66.026315789473685</v>
      </c>
      <c r="M3521" s="4">
        <v>15.846315789473685</v>
      </c>
      <c r="N3521" t="s">
        <v>94</v>
      </c>
    </row>
    <row r="3522" spans="1:14">
      <c r="A3522">
        <v>3521</v>
      </c>
      <c r="B3522">
        <v>66</v>
      </c>
      <c r="C3522" t="s">
        <v>16</v>
      </c>
      <c r="D3522" t="s">
        <v>27</v>
      </c>
      <c r="E3522" t="s">
        <v>32</v>
      </c>
      <c r="F3522">
        <v>2988.75</v>
      </c>
      <c r="G3522" t="s">
        <v>19</v>
      </c>
      <c r="H3522" t="s">
        <v>15</v>
      </c>
      <c r="I3522">
        <v>4.0999999999999996</v>
      </c>
      <c r="J3522">
        <v>8</v>
      </c>
      <c r="K3522">
        <v>4</v>
      </c>
      <c r="L3522" s="4">
        <v>3248.641304347826</v>
      </c>
      <c r="M3522" s="4">
        <v>259.89130434782601</v>
      </c>
      <c r="N3522" t="s">
        <v>95</v>
      </c>
    </row>
    <row r="3523" spans="1:14">
      <c r="A3523">
        <v>3522</v>
      </c>
      <c r="B3523">
        <v>25</v>
      </c>
      <c r="C3523" t="s">
        <v>16</v>
      </c>
      <c r="D3523" t="s">
        <v>33</v>
      </c>
      <c r="E3523" t="s">
        <v>38</v>
      </c>
      <c r="F3523">
        <v>91.39</v>
      </c>
      <c r="G3523" t="s">
        <v>24</v>
      </c>
      <c r="H3523" t="s">
        <v>37</v>
      </c>
      <c r="I3523">
        <v>4.5999999999999996</v>
      </c>
      <c r="J3523">
        <v>21</v>
      </c>
      <c r="K3523">
        <v>8</v>
      </c>
      <c r="L3523" s="4">
        <v>115.68354430379746</v>
      </c>
      <c r="M3523" s="4">
        <v>24.293544303797461</v>
      </c>
      <c r="N3523" t="s">
        <v>91</v>
      </c>
    </row>
    <row r="3524" spans="1:14">
      <c r="A3524">
        <v>3523</v>
      </c>
      <c r="B3524">
        <v>63</v>
      </c>
      <c r="C3524" t="s">
        <v>16</v>
      </c>
      <c r="D3524" t="s">
        <v>33</v>
      </c>
      <c r="E3524" t="s">
        <v>34</v>
      </c>
      <c r="F3524">
        <v>148.77000000000001</v>
      </c>
      <c r="G3524" t="s">
        <v>24</v>
      </c>
      <c r="H3524" t="s">
        <v>15</v>
      </c>
      <c r="I3524">
        <v>3.7</v>
      </c>
      <c r="J3524">
        <v>4</v>
      </c>
      <c r="K3524">
        <v>2</v>
      </c>
      <c r="L3524" s="4">
        <v>154.96875000000003</v>
      </c>
      <c r="M3524" s="4">
        <v>6.1987500000000182</v>
      </c>
      <c r="N3524" t="s">
        <v>94</v>
      </c>
    </row>
    <row r="3525" spans="1:14">
      <c r="A3525">
        <v>3524</v>
      </c>
      <c r="B3525">
        <v>68</v>
      </c>
      <c r="C3525" t="s">
        <v>11</v>
      </c>
      <c r="D3525" t="s">
        <v>20</v>
      </c>
      <c r="E3525" t="s">
        <v>39</v>
      </c>
      <c r="F3525">
        <v>208.26</v>
      </c>
      <c r="G3525" t="s">
        <v>14</v>
      </c>
      <c r="H3525" t="s">
        <v>15</v>
      </c>
      <c r="I3525">
        <v>3.3</v>
      </c>
      <c r="J3525">
        <v>6</v>
      </c>
      <c r="K3525">
        <v>3</v>
      </c>
      <c r="L3525" s="4">
        <v>221.55319148936169</v>
      </c>
      <c r="M3525" s="4">
        <v>13.293191489361703</v>
      </c>
      <c r="N3525" t="s">
        <v>95</v>
      </c>
    </row>
    <row r="3526" spans="1:14">
      <c r="A3526">
        <v>3525</v>
      </c>
      <c r="B3526">
        <v>41</v>
      </c>
      <c r="C3526" t="s">
        <v>16</v>
      </c>
      <c r="D3526" t="s">
        <v>25</v>
      </c>
      <c r="E3526" t="s">
        <v>26</v>
      </c>
      <c r="F3526">
        <v>75.680000000000007</v>
      </c>
      <c r="G3526" t="s">
        <v>14</v>
      </c>
      <c r="H3526" t="s">
        <v>37</v>
      </c>
      <c r="I3526">
        <v>4.7</v>
      </c>
      <c r="J3526">
        <v>12</v>
      </c>
      <c r="K3526">
        <v>1</v>
      </c>
      <c r="L3526" s="4">
        <v>86.000000000000014</v>
      </c>
      <c r="M3526" s="4">
        <v>10.320000000000007</v>
      </c>
      <c r="N3526" t="s">
        <v>92</v>
      </c>
    </row>
    <row r="3527" spans="1:14">
      <c r="A3527">
        <v>3526</v>
      </c>
      <c r="B3527">
        <v>42</v>
      </c>
      <c r="C3527" t="s">
        <v>11</v>
      </c>
      <c r="D3527" t="s">
        <v>41</v>
      </c>
      <c r="E3527" t="s">
        <v>45</v>
      </c>
      <c r="F3527">
        <v>195.75</v>
      </c>
      <c r="G3527" t="s">
        <v>31</v>
      </c>
      <c r="H3527" t="s">
        <v>15</v>
      </c>
      <c r="I3527">
        <v>2.7</v>
      </c>
      <c r="J3527">
        <v>15</v>
      </c>
      <c r="K3527">
        <v>5</v>
      </c>
      <c r="L3527" s="4">
        <v>230.29411764705884</v>
      </c>
      <c r="M3527" s="4">
        <v>34.54411764705884</v>
      </c>
      <c r="N3527" t="s">
        <v>92</v>
      </c>
    </row>
    <row r="3528" spans="1:14">
      <c r="A3528">
        <v>3527</v>
      </c>
      <c r="B3528">
        <v>20</v>
      </c>
      <c r="C3528" t="s">
        <v>11</v>
      </c>
      <c r="D3528" t="s">
        <v>41</v>
      </c>
      <c r="E3528" t="s">
        <v>44</v>
      </c>
      <c r="F3528">
        <v>101.76</v>
      </c>
      <c r="G3528" t="s">
        <v>14</v>
      </c>
      <c r="H3528" t="s">
        <v>15</v>
      </c>
      <c r="I3528">
        <v>3.6</v>
      </c>
      <c r="J3528">
        <v>4</v>
      </c>
      <c r="K3528">
        <v>2</v>
      </c>
      <c r="L3528" s="4">
        <v>106.00000000000001</v>
      </c>
      <c r="M3528" s="4">
        <v>4.2400000000000091</v>
      </c>
      <c r="N3528" t="s">
        <v>100</v>
      </c>
    </row>
    <row r="3529" spans="1:14">
      <c r="A3529">
        <v>3528</v>
      </c>
      <c r="B3529">
        <v>62</v>
      </c>
      <c r="C3529" t="s">
        <v>16</v>
      </c>
      <c r="D3529" t="s">
        <v>33</v>
      </c>
      <c r="E3529" t="s">
        <v>34</v>
      </c>
      <c r="F3529">
        <v>162.80000000000001</v>
      </c>
      <c r="G3529" t="s">
        <v>14</v>
      </c>
      <c r="H3529" t="s">
        <v>15</v>
      </c>
      <c r="I3529">
        <v>4.3</v>
      </c>
      <c r="J3529">
        <v>22</v>
      </c>
      <c r="K3529">
        <v>6</v>
      </c>
      <c r="L3529" s="4">
        <v>208.71794871794873</v>
      </c>
      <c r="M3529" s="4">
        <v>45.917948717948718</v>
      </c>
      <c r="N3529" t="s">
        <v>94</v>
      </c>
    </row>
    <row r="3530" spans="1:14">
      <c r="A3530">
        <v>3529</v>
      </c>
      <c r="B3530">
        <v>67</v>
      </c>
      <c r="C3530" t="s">
        <v>11</v>
      </c>
      <c r="D3530" t="s">
        <v>41</v>
      </c>
      <c r="E3530" t="s">
        <v>46</v>
      </c>
      <c r="F3530">
        <v>184.18</v>
      </c>
      <c r="G3530" t="s">
        <v>14</v>
      </c>
      <c r="H3530" t="s">
        <v>15</v>
      </c>
      <c r="I3530">
        <v>3.2</v>
      </c>
      <c r="J3530">
        <v>14</v>
      </c>
      <c r="K3530">
        <v>2</v>
      </c>
      <c r="L3530" s="4">
        <v>214.16279069767444</v>
      </c>
      <c r="M3530" s="4">
        <v>29.982790697674432</v>
      </c>
      <c r="N3530" t="s">
        <v>95</v>
      </c>
    </row>
    <row r="3531" spans="1:14">
      <c r="A3531">
        <v>3530</v>
      </c>
      <c r="B3531">
        <v>27</v>
      </c>
      <c r="C3531" t="s">
        <v>11</v>
      </c>
      <c r="D3531" t="s">
        <v>29</v>
      </c>
      <c r="E3531" t="s">
        <v>55</v>
      </c>
      <c r="F3531">
        <v>92.28</v>
      </c>
      <c r="G3531" t="s">
        <v>24</v>
      </c>
      <c r="H3531" t="s">
        <v>37</v>
      </c>
      <c r="I3531">
        <v>4.2</v>
      </c>
      <c r="J3531">
        <v>14</v>
      </c>
      <c r="K3531">
        <v>2</v>
      </c>
      <c r="L3531" s="4">
        <v>107.30232558139535</v>
      </c>
      <c r="M3531" s="4">
        <v>15.02232558139535</v>
      </c>
      <c r="N3531" t="s">
        <v>91</v>
      </c>
    </row>
    <row r="3532" spans="1:14">
      <c r="A3532">
        <v>3531</v>
      </c>
      <c r="B3532">
        <v>27</v>
      </c>
      <c r="C3532" t="s">
        <v>16</v>
      </c>
      <c r="D3532" t="s">
        <v>22</v>
      </c>
      <c r="E3532" t="s">
        <v>43</v>
      </c>
      <c r="F3532">
        <v>90.91</v>
      </c>
      <c r="G3532" t="s">
        <v>19</v>
      </c>
      <c r="H3532" t="s">
        <v>15</v>
      </c>
      <c r="I3532">
        <v>3.6</v>
      </c>
      <c r="J3532">
        <v>10</v>
      </c>
      <c r="K3532">
        <v>5</v>
      </c>
      <c r="L3532" s="4">
        <v>101.01111111111111</v>
      </c>
      <c r="M3532" s="4">
        <v>10.101111111111109</v>
      </c>
      <c r="N3532" t="s">
        <v>91</v>
      </c>
    </row>
    <row r="3533" spans="1:14">
      <c r="A3533">
        <v>3532</v>
      </c>
      <c r="B3533">
        <v>69</v>
      </c>
      <c r="C3533" t="s">
        <v>16</v>
      </c>
      <c r="D3533" t="s">
        <v>20</v>
      </c>
      <c r="E3533" t="s">
        <v>36</v>
      </c>
      <c r="F3533">
        <v>213.7</v>
      </c>
      <c r="G3533" t="s">
        <v>31</v>
      </c>
      <c r="H3533" t="s">
        <v>15</v>
      </c>
      <c r="I3533">
        <v>3.7</v>
      </c>
      <c r="J3533">
        <v>6</v>
      </c>
      <c r="K3533">
        <v>3</v>
      </c>
      <c r="L3533" s="4">
        <v>227.34042553191489</v>
      </c>
      <c r="M3533" s="4">
        <v>13.6404255319149</v>
      </c>
      <c r="N3533" t="s">
        <v>95</v>
      </c>
    </row>
    <row r="3534" spans="1:14">
      <c r="A3534">
        <v>3533</v>
      </c>
      <c r="B3534">
        <v>40</v>
      </c>
      <c r="C3534" t="s">
        <v>16</v>
      </c>
      <c r="D3534" t="s">
        <v>27</v>
      </c>
      <c r="E3534" t="s">
        <v>49</v>
      </c>
      <c r="F3534">
        <v>2397</v>
      </c>
      <c r="G3534" t="s">
        <v>24</v>
      </c>
      <c r="H3534" t="s">
        <v>15</v>
      </c>
      <c r="I3534">
        <v>4</v>
      </c>
      <c r="J3534">
        <v>32</v>
      </c>
      <c r="K3534">
        <v>11</v>
      </c>
      <c r="L3534" s="4">
        <v>3525.0000000000005</v>
      </c>
      <c r="M3534" s="4">
        <v>1128.0000000000005</v>
      </c>
      <c r="N3534" t="s">
        <v>92</v>
      </c>
    </row>
    <row r="3535" spans="1:14">
      <c r="A3535">
        <v>3534</v>
      </c>
      <c r="B3535">
        <v>64</v>
      </c>
      <c r="C3535" t="s">
        <v>11</v>
      </c>
      <c r="D3535" t="s">
        <v>12</v>
      </c>
      <c r="E3535" t="s">
        <v>13</v>
      </c>
      <c r="F3535">
        <v>174.66</v>
      </c>
      <c r="G3535" t="s">
        <v>14</v>
      </c>
      <c r="H3535" t="s">
        <v>15</v>
      </c>
      <c r="I3535">
        <v>5</v>
      </c>
      <c r="J3535">
        <v>24</v>
      </c>
      <c r="K3535">
        <v>7</v>
      </c>
      <c r="L3535" s="4">
        <v>229.81578947368419</v>
      </c>
      <c r="M3535" s="4">
        <v>55.155789473684194</v>
      </c>
      <c r="N3535" t="s">
        <v>94</v>
      </c>
    </row>
    <row r="3536" spans="1:14">
      <c r="A3536">
        <v>3535</v>
      </c>
      <c r="B3536">
        <v>34</v>
      </c>
      <c r="C3536" t="s">
        <v>16</v>
      </c>
      <c r="D3536" t="s">
        <v>27</v>
      </c>
      <c r="E3536" t="s">
        <v>32</v>
      </c>
      <c r="F3536">
        <v>2047.74</v>
      </c>
      <c r="G3536" t="s">
        <v>14</v>
      </c>
      <c r="H3536" t="s">
        <v>15</v>
      </c>
      <c r="I3536">
        <v>4</v>
      </c>
      <c r="J3536">
        <v>22</v>
      </c>
      <c r="K3536">
        <v>6</v>
      </c>
      <c r="L3536" s="4">
        <v>2625.3076923076924</v>
      </c>
      <c r="M3536" s="4">
        <v>577.56769230769237</v>
      </c>
      <c r="N3536" t="s">
        <v>91</v>
      </c>
    </row>
    <row r="3537" spans="1:14">
      <c r="A3537">
        <v>3536</v>
      </c>
      <c r="B3537">
        <v>67</v>
      </c>
      <c r="C3537" t="s">
        <v>11</v>
      </c>
      <c r="D3537" t="s">
        <v>41</v>
      </c>
      <c r="E3537" t="s">
        <v>44</v>
      </c>
      <c r="F3537">
        <v>148.32</v>
      </c>
      <c r="G3537" t="s">
        <v>19</v>
      </c>
      <c r="H3537" t="s">
        <v>15</v>
      </c>
      <c r="I3537">
        <v>4.5</v>
      </c>
      <c r="J3537">
        <v>20</v>
      </c>
      <c r="K3537">
        <v>5</v>
      </c>
      <c r="L3537" s="4">
        <v>185.39999999999998</v>
      </c>
      <c r="M3537" s="4">
        <v>37.079999999999984</v>
      </c>
      <c r="N3537" t="s">
        <v>95</v>
      </c>
    </row>
    <row r="3538" spans="1:14">
      <c r="A3538">
        <v>3537</v>
      </c>
      <c r="B3538">
        <v>27</v>
      </c>
      <c r="C3538" t="s">
        <v>16</v>
      </c>
      <c r="D3538" t="s">
        <v>20</v>
      </c>
      <c r="E3538" t="s">
        <v>21</v>
      </c>
      <c r="F3538">
        <v>118.03</v>
      </c>
      <c r="G3538" t="s">
        <v>19</v>
      </c>
      <c r="H3538" t="s">
        <v>15</v>
      </c>
      <c r="I3538">
        <v>4</v>
      </c>
      <c r="J3538">
        <v>19</v>
      </c>
      <c r="K3538">
        <v>7</v>
      </c>
      <c r="L3538" s="4">
        <v>145.71604938271605</v>
      </c>
      <c r="M3538" s="4">
        <v>27.68604938271605</v>
      </c>
      <c r="N3538" t="s">
        <v>91</v>
      </c>
    </row>
    <row r="3539" spans="1:14">
      <c r="A3539">
        <v>3538</v>
      </c>
      <c r="B3539">
        <v>33</v>
      </c>
      <c r="C3539" t="s">
        <v>11</v>
      </c>
      <c r="D3539" t="s">
        <v>29</v>
      </c>
      <c r="E3539" t="s">
        <v>55</v>
      </c>
      <c r="F3539">
        <v>55.18</v>
      </c>
      <c r="G3539" t="s">
        <v>24</v>
      </c>
      <c r="H3539" t="s">
        <v>15</v>
      </c>
      <c r="I3539">
        <v>3.4</v>
      </c>
      <c r="J3539">
        <v>13</v>
      </c>
      <c r="K3539">
        <v>4</v>
      </c>
      <c r="L3539" s="4">
        <v>63.425287356321839</v>
      </c>
      <c r="M3539" s="4">
        <v>8.245287356321839</v>
      </c>
      <c r="N3539" t="s">
        <v>91</v>
      </c>
    </row>
    <row r="3540" spans="1:14">
      <c r="A3540">
        <v>3539</v>
      </c>
      <c r="B3540">
        <v>57</v>
      </c>
      <c r="C3540" t="s">
        <v>11</v>
      </c>
      <c r="D3540" t="s">
        <v>12</v>
      </c>
      <c r="E3540" t="s">
        <v>56</v>
      </c>
      <c r="F3540">
        <v>39.68</v>
      </c>
      <c r="G3540" t="s">
        <v>31</v>
      </c>
      <c r="H3540" t="s">
        <v>37</v>
      </c>
      <c r="I3540">
        <v>3.4</v>
      </c>
      <c r="J3540">
        <v>10</v>
      </c>
      <c r="K3540">
        <v>5</v>
      </c>
      <c r="L3540" s="4">
        <v>44.088888888888889</v>
      </c>
      <c r="M3540" s="4">
        <v>4.4088888888888889</v>
      </c>
      <c r="N3540" t="s">
        <v>94</v>
      </c>
    </row>
    <row r="3541" spans="1:14">
      <c r="A3541">
        <v>3540</v>
      </c>
      <c r="B3541">
        <v>47</v>
      </c>
      <c r="C3541" t="s">
        <v>16</v>
      </c>
      <c r="D3541" t="s">
        <v>33</v>
      </c>
      <c r="E3541" t="s">
        <v>34</v>
      </c>
      <c r="F3541">
        <v>138.35</v>
      </c>
      <c r="G3541" t="s">
        <v>14</v>
      </c>
      <c r="H3541" t="s">
        <v>15</v>
      </c>
      <c r="I3541">
        <v>4.5999999999999996</v>
      </c>
      <c r="J3541">
        <v>15</v>
      </c>
      <c r="K3541">
        <v>5</v>
      </c>
      <c r="L3541" s="4">
        <v>162.76470588235293</v>
      </c>
      <c r="M3541" s="4">
        <v>24.414705882352933</v>
      </c>
      <c r="N3541" t="s">
        <v>93</v>
      </c>
    </row>
    <row r="3542" spans="1:14">
      <c r="A3542">
        <v>3541</v>
      </c>
      <c r="B3542">
        <v>20</v>
      </c>
      <c r="C3542" t="s">
        <v>11</v>
      </c>
      <c r="D3542" t="s">
        <v>33</v>
      </c>
      <c r="E3542" t="s">
        <v>34</v>
      </c>
      <c r="F3542">
        <v>80.11</v>
      </c>
      <c r="G3542" t="s">
        <v>24</v>
      </c>
      <c r="H3542" t="s">
        <v>15</v>
      </c>
      <c r="I3542">
        <v>4.5999999999999996</v>
      </c>
      <c r="J3542">
        <v>10</v>
      </c>
      <c r="K3542">
        <v>5</v>
      </c>
      <c r="L3542" s="4">
        <v>89.011111111111106</v>
      </c>
      <c r="M3542" s="4">
        <v>8.9011111111111063</v>
      </c>
      <c r="N3542" t="s">
        <v>100</v>
      </c>
    </row>
    <row r="3543" spans="1:14">
      <c r="A3543">
        <v>3542</v>
      </c>
      <c r="B3543">
        <v>58</v>
      </c>
      <c r="C3543" t="s">
        <v>11</v>
      </c>
      <c r="D3543" t="s">
        <v>12</v>
      </c>
      <c r="E3543" t="s">
        <v>13</v>
      </c>
      <c r="F3543">
        <v>97.52</v>
      </c>
      <c r="G3543" t="s">
        <v>19</v>
      </c>
      <c r="H3543" t="s">
        <v>37</v>
      </c>
      <c r="I3543">
        <v>2.8</v>
      </c>
      <c r="J3543">
        <v>10</v>
      </c>
      <c r="K3543">
        <v>5</v>
      </c>
      <c r="L3543" s="4">
        <v>108.35555555555555</v>
      </c>
      <c r="M3543" s="4">
        <v>10.835555555555558</v>
      </c>
      <c r="N3543" t="s">
        <v>94</v>
      </c>
    </row>
    <row r="3544" spans="1:14">
      <c r="A3544">
        <v>3543</v>
      </c>
      <c r="B3544">
        <v>29</v>
      </c>
      <c r="C3544" t="s">
        <v>11</v>
      </c>
      <c r="D3544" t="s">
        <v>12</v>
      </c>
      <c r="E3544" t="s">
        <v>56</v>
      </c>
      <c r="F3544">
        <v>135.41999999999999</v>
      </c>
      <c r="G3544" t="s">
        <v>19</v>
      </c>
      <c r="H3544" t="s">
        <v>15</v>
      </c>
      <c r="I3544">
        <v>3.7</v>
      </c>
      <c r="J3544">
        <v>10</v>
      </c>
      <c r="K3544">
        <v>5</v>
      </c>
      <c r="L3544" s="4">
        <v>150.46666666666664</v>
      </c>
      <c r="M3544" s="4">
        <v>15.046666666666653</v>
      </c>
      <c r="N3544" t="s">
        <v>91</v>
      </c>
    </row>
    <row r="3545" spans="1:14">
      <c r="A3545">
        <v>3544</v>
      </c>
      <c r="B3545">
        <v>68</v>
      </c>
      <c r="C3545" t="s">
        <v>16</v>
      </c>
      <c r="D3545" t="s">
        <v>17</v>
      </c>
      <c r="E3545" t="s">
        <v>18</v>
      </c>
      <c r="F3545">
        <v>95.18</v>
      </c>
      <c r="G3545" t="s">
        <v>14</v>
      </c>
      <c r="H3545" t="s">
        <v>15</v>
      </c>
      <c r="I3545">
        <v>4.4000000000000004</v>
      </c>
      <c r="J3545">
        <v>17</v>
      </c>
      <c r="K3545">
        <v>6</v>
      </c>
      <c r="L3545" s="4">
        <v>114.67469879518073</v>
      </c>
      <c r="M3545" s="4">
        <v>19.494698795180724</v>
      </c>
      <c r="N3545" t="s">
        <v>95</v>
      </c>
    </row>
    <row r="3546" spans="1:14">
      <c r="A3546">
        <v>3545</v>
      </c>
      <c r="B3546">
        <v>50</v>
      </c>
      <c r="C3546" t="s">
        <v>11</v>
      </c>
      <c r="D3546" t="s">
        <v>29</v>
      </c>
      <c r="E3546" t="s">
        <v>55</v>
      </c>
      <c r="F3546">
        <v>121.73</v>
      </c>
      <c r="G3546" t="s">
        <v>24</v>
      </c>
      <c r="H3546" t="s">
        <v>15</v>
      </c>
      <c r="I3546">
        <v>4.0999999999999996</v>
      </c>
      <c r="J3546">
        <v>28</v>
      </c>
      <c r="K3546">
        <v>9</v>
      </c>
      <c r="L3546" s="4">
        <v>169.06944444444446</v>
      </c>
      <c r="M3546" s="4">
        <v>47.339444444444453</v>
      </c>
      <c r="N3546" t="s">
        <v>93</v>
      </c>
    </row>
    <row r="3547" spans="1:14">
      <c r="A3547">
        <v>3546</v>
      </c>
      <c r="B3547">
        <v>21</v>
      </c>
      <c r="C3547" t="s">
        <v>11</v>
      </c>
      <c r="D3547" t="s">
        <v>41</v>
      </c>
      <c r="E3547" t="s">
        <v>46</v>
      </c>
      <c r="F3547">
        <v>155.07</v>
      </c>
      <c r="G3547" t="s">
        <v>31</v>
      </c>
      <c r="H3547" t="s">
        <v>15</v>
      </c>
      <c r="I3547">
        <v>3</v>
      </c>
      <c r="J3547">
        <v>13</v>
      </c>
      <c r="K3547">
        <v>4</v>
      </c>
      <c r="L3547" s="4">
        <v>178.24137931034483</v>
      </c>
      <c r="M3547" s="4">
        <v>23.171379310344832</v>
      </c>
      <c r="N3547" t="s">
        <v>100</v>
      </c>
    </row>
    <row r="3548" spans="1:14">
      <c r="A3548">
        <v>3547</v>
      </c>
      <c r="B3548">
        <v>65</v>
      </c>
      <c r="C3548" t="s">
        <v>16</v>
      </c>
      <c r="D3548" t="s">
        <v>17</v>
      </c>
      <c r="E3548" t="s">
        <v>18</v>
      </c>
      <c r="F3548">
        <v>146.36000000000001</v>
      </c>
      <c r="G3548" t="s">
        <v>31</v>
      </c>
      <c r="H3548" t="s">
        <v>15</v>
      </c>
      <c r="I3548">
        <v>2.5</v>
      </c>
      <c r="J3548">
        <v>2</v>
      </c>
      <c r="K3548">
        <v>1</v>
      </c>
      <c r="L3548" s="4">
        <v>149.34693877551021</v>
      </c>
      <c r="M3548" s="4">
        <v>2.9869387755101968</v>
      </c>
      <c r="N3548" t="s">
        <v>95</v>
      </c>
    </row>
    <row r="3549" spans="1:14">
      <c r="A3549">
        <v>3548</v>
      </c>
      <c r="B3549">
        <v>67</v>
      </c>
      <c r="C3549" t="s">
        <v>16</v>
      </c>
      <c r="D3549" t="s">
        <v>20</v>
      </c>
      <c r="E3549" t="s">
        <v>36</v>
      </c>
      <c r="F3549">
        <v>222.83</v>
      </c>
      <c r="G3549" t="s">
        <v>31</v>
      </c>
      <c r="H3549" t="s">
        <v>15</v>
      </c>
      <c r="I3549">
        <v>4.8</v>
      </c>
      <c r="J3549">
        <v>13</v>
      </c>
      <c r="K3549">
        <v>4</v>
      </c>
      <c r="L3549" s="4">
        <v>256.12643678160919</v>
      </c>
      <c r="M3549" s="4">
        <v>33.296436781609174</v>
      </c>
      <c r="N3549" t="s">
        <v>95</v>
      </c>
    </row>
    <row r="3550" spans="1:14">
      <c r="A3550">
        <v>3549</v>
      </c>
      <c r="B3550">
        <v>28</v>
      </c>
      <c r="C3550" t="s">
        <v>11</v>
      </c>
      <c r="D3550" t="s">
        <v>33</v>
      </c>
      <c r="E3550" t="s">
        <v>38</v>
      </c>
      <c r="F3550">
        <v>237.96</v>
      </c>
      <c r="G3550" t="s">
        <v>14</v>
      </c>
      <c r="H3550" t="s">
        <v>15</v>
      </c>
      <c r="I3550">
        <v>4.7</v>
      </c>
      <c r="J3550">
        <v>9</v>
      </c>
      <c r="K3550">
        <v>2</v>
      </c>
      <c r="L3550" s="4">
        <v>261.49450549450552</v>
      </c>
      <c r="M3550" s="4">
        <v>23.53450549450551</v>
      </c>
      <c r="N3550" t="s">
        <v>91</v>
      </c>
    </row>
    <row r="3551" spans="1:14">
      <c r="A3551">
        <v>3550</v>
      </c>
      <c r="B3551">
        <v>53</v>
      </c>
      <c r="C3551" t="s">
        <v>11</v>
      </c>
      <c r="D3551" t="s">
        <v>41</v>
      </c>
      <c r="E3551" t="s">
        <v>46</v>
      </c>
      <c r="F3551">
        <v>182.1</v>
      </c>
      <c r="G3551" t="s">
        <v>14</v>
      </c>
      <c r="H3551" t="s">
        <v>15</v>
      </c>
      <c r="I3551">
        <v>2.8</v>
      </c>
      <c r="J3551">
        <v>13</v>
      </c>
      <c r="K3551">
        <v>4</v>
      </c>
      <c r="L3551" s="4">
        <v>209.31034482758619</v>
      </c>
      <c r="M3551" s="4">
        <v>27.210344827586198</v>
      </c>
      <c r="N3551" t="s">
        <v>93</v>
      </c>
    </row>
    <row r="3552" spans="1:14">
      <c r="A3552">
        <v>3551</v>
      </c>
      <c r="B3552">
        <v>53</v>
      </c>
      <c r="C3552" t="s">
        <v>16</v>
      </c>
      <c r="D3552" t="s">
        <v>27</v>
      </c>
      <c r="E3552" t="s">
        <v>53</v>
      </c>
      <c r="F3552">
        <v>2807.25</v>
      </c>
      <c r="G3552" t="s">
        <v>31</v>
      </c>
      <c r="H3552" t="s">
        <v>15</v>
      </c>
      <c r="I3552">
        <v>2.7</v>
      </c>
      <c r="J3552">
        <v>22</v>
      </c>
      <c r="K3552">
        <v>6</v>
      </c>
      <c r="L3552" s="4">
        <v>3599.0384615384614</v>
      </c>
      <c r="M3552" s="4">
        <v>791.78846153846143</v>
      </c>
      <c r="N3552" t="s">
        <v>93</v>
      </c>
    </row>
    <row r="3553" spans="1:14">
      <c r="A3553">
        <v>3552</v>
      </c>
      <c r="B3553">
        <v>24</v>
      </c>
      <c r="C3553" t="s">
        <v>16</v>
      </c>
      <c r="D3553" t="s">
        <v>20</v>
      </c>
      <c r="E3553" t="s">
        <v>39</v>
      </c>
      <c r="F3553">
        <v>140.57</v>
      </c>
      <c r="G3553" t="s">
        <v>14</v>
      </c>
      <c r="H3553" t="s">
        <v>15</v>
      </c>
      <c r="I3553">
        <v>4.0999999999999996</v>
      </c>
      <c r="J3553">
        <v>10</v>
      </c>
      <c r="K3553">
        <v>5</v>
      </c>
      <c r="L3553" s="4">
        <v>156.18888888888887</v>
      </c>
      <c r="M3553" s="4">
        <v>15.618888888888875</v>
      </c>
      <c r="N3553" t="s">
        <v>100</v>
      </c>
    </row>
    <row r="3554" spans="1:14">
      <c r="A3554">
        <v>3553</v>
      </c>
      <c r="B3554">
        <v>68</v>
      </c>
      <c r="C3554" t="s">
        <v>16</v>
      </c>
      <c r="D3554" t="s">
        <v>25</v>
      </c>
      <c r="E3554" t="s">
        <v>57</v>
      </c>
      <c r="F3554">
        <v>77.77</v>
      </c>
      <c r="G3554" t="s">
        <v>24</v>
      </c>
      <c r="H3554" t="s">
        <v>37</v>
      </c>
      <c r="I3554">
        <v>3.6</v>
      </c>
      <c r="J3554">
        <v>10</v>
      </c>
      <c r="K3554">
        <v>5</v>
      </c>
      <c r="L3554" s="4">
        <v>86.411111111111111</v>
      </c>
      <c r="M3554" s="4">
        <v>8.6411111111111154</v>
      </c>
      <c r="N3554" t="s">
        <v>95</v>
      </c>
    </row>
    <row r="3555" spans="1:14">
      <c r="A3555">
        <v>3554</v>
      </c>
      <c r="B3555">
        <v>70</v>
      </c>
      <c r="C3555" t="s">
        <v>11</v>
      </c>
      <c r="D3555" t="s">
        <v>33</v>
      </c>
      <c r="E3555" t="s">
        <v>34</v>
      </c>
      <c r="F3555">
        <v>165.35</v>
      </c>
      <c r="G3555" t="s">
        <v>14</v>
      </c>
      <c r="H3555" t="s">
        <v>15</v>
      </c>
      <c r="I3555">
        <v>4.0999999999999996</v>
      </c>
      <c r="J3555">
        <v>6</v>
      </c>
      <c r="K3555">
        <v>3</v>
      </c>
      <c r="L3555" s="4">
        <v>175.90425531914894</v>
      </c>
      <c r="M3555" s="4">
        <v>10.55425531914895</v>
      </c>
      <c r="N3555" t="s">
        <v>95</v>
      </c>
    </row>
    <row r="3556" spans="1:14">
      <c r="A3556">
        <v>3555</v>
      </c>
      <c r="B3556">
        <v>43</v>
      </c>
      <c r="C3556" t="s">
        <v>16</v>
      </c>
      <c r="D3556" t="s">
        <v>20</v>
      </c>
      <c r="E3556" t="s">
        <v>36</v>
      </c>
      <c r="F3556">
        <v>246.24</v>
      </c>
      <c r="G3556" t="s">
        <v>24</v>
      </c>
      <c r="H3556" t="s">
        <v>15</v>
      </c>
      <c r="I3556">
        <v>4.5</v>
      </c>
      <c r="J3556">
        <v>14</v>
      </c>
      <c r="K3556">
        <v>2</v>
      </c>
      <c r="L3556" s="4">
        <v>286.32558139534888</v>
      </c>
      <c r="M3556" s="4">
        <v>40.085581395348868</v>
      </c>
      <c r="N3556" t="s">
        <v>92</v>
      </c>
    </row>
    <row r="3557" spans="1:14">
      <c r="A3557">
        <v>3556</v>
      </c>
      <c r="B3557">
        <v>26</v>
      </c>
      <c r="C3557" t="s">
        <v>11</v>
      </c>
      <c r="D3557" t="s">
        <v>29</v>
      </c>
      <c r="E3557" t="s">
        <v>51</v>
      </c>
      <c r="F3557">
        <v>121.85</v>
      </c>
      <c r="G3557" t="s">
        <v>31</v>
      </c>
      <c r="H3557" t="s">
        <v>15</v>
      </c>
      <c r="I3557">
        <v>4.0999999999999996</v>
      </c>
      <c r="J3557">
        <v>11</v>
      </c>
      <c r="K3557">
        <v>3</v>
      </c>
      <c r="L3557" s="4">
        <v>136.91011235955057</v>
      </c>
      <c r="M3557" s="4">
        <v>15.060112359550573</v>
      </c>
      <c r="N3557" t="s">
        <v>91</v>
      </c>
    </row>
    <row r="3558" spans="1:14">
      <c r="A3558">
        <v>3557</v>
      </c>
      <c r="B3558">
        <v>21</v>
      </c>
      <c r="C3558" t="s">
        <v>16</v>
      </c>
      <c r="D3558" t="s">
        <v>20</v>
      </c>
      <c r="E3558" t="s">
        <v>39</v>
      </c>
      <c r="F3558">
        <v>244.91</v>
      </c>
      <c r="G3558" t="s">
        <v>24</v>
      </c>
      <c r="H3558" t="s">
        <v>15</v>
      </c>
      <c r="I3558">
        <v>2.9</v>
      </c>
      <c r="J3558">
        <v>6</v>
      </c>
      <c r="K3558">
        <v>3</v>
      </c>
      <c r="L3558" s="4">
        <v>260.54255319148939</v>
      </c>
      <c r="M3558" s="4">
        <v>15.632553191489393</v>
      </c>
      <c r="N3558" t="s">
        <v>100</v>
      </c>
    </row>
    <row r="3559" spans="1:14">
      <c r="A3559">
        <v>3558</v>
      </c>
      <c r="B3559">
        <v>68</v>
      </c>
      <c r="C3559" t="s">
        <v>11</v>
      </c>
      <c r="D3559" t="s">
        <v>29</v>
      </c>
      <c r="E3559" t="s">
        <v>51</v>
      </c>
      <c r="F3559">
        <v>116.21</v>
      </c>
      <c r="G3559" t="s">
        <v>14</v>
      </c>
      <c r="H3559" t="s">
        <v>15</v>
      </c>
      <c r="I3559">
        <v>3.3</v>
      </c>
      <c r="J3559">
        <v>28</v>
      </c>
      <c r="K3559">
        <v>9</v>
      </c>
      <c r="L3559" s="4">
        <v>161.40277777777777</v>
      </c>
      <c r="M3559" s="4">
        <v>45.192777777777778</v>
      </c>
      <c r="N3559" t="s">
        <v>95</v>
      </c>
    </row>
    <row r="3560" spans="1:14">
      <c r="A3560">
        <v>3559</v>
      </c>
      <c r="B3560">
        <v>65</v>
      </c>
      <c r="C3560" t="s">
        <v>16</v>
      </c>
      <c r="D3560" t="s">
        <v>25</v>
      </c>
      <c r="E3560" t="s">
        <v>54</v>
      </c>
      <c r="F3560">
        <v>31.66</v>
      </c>
      <c r="G3560" t="s">
        <v>14</v>
      </c>
      <c r="H3560" t="s">
        <v>37</v>
      </c>
      <c r="I3560">
        <v>2.4</v>
      </c>
      <c r="J3560">
        <v>14</v>
      </c>
      <c r="K3560">
        <v>7</v>
      </c>
      <c r="L3560" s="4">
        <v>36.813953488372093</v>
      </c>
      <c r="M3560" s="4">
        <v>5.1539534883720926</v>
      </c>
      <c r="N3560" t="s">
        <v>95</v>
      </c>
    </row>
    <row r="3561" spans="1:14">
      <c r="A3561">
        <v>3560</v>
      </c>
      <c r="B3561">
        <v>42</v>
      </c>
      <c r="C3561" t="s">
        <v>16</v>
      </c>
      <c r="D3561" t="s">
        <v>20</v>
      </c>
      <c r="E3561" t="s">
        <v>39</v>
      </c>
      <c r="F3561">
        <v>150.72</v>
      </c>
      <c r="G3561" t="s">
        <v>31</v>
      </c>
      <c r="H3561" t="s">
        <v>15</v>
      </c>
      <c r="I3561">
        <v>4.3</v>
      </c>
      <c r="J3561">
        <v>17</v>
      </c>
      <c r="K3561">
        <v>6</v>
      </c>
      <c r="L3561" s="4">
        <v>181.59036144578315</v>
      </c>
      <c r="M3561" s="4">
        <v>30.870361445783146</v>
      </c>
      <c r="N3561" t="s">
        <v>92</v>
      </c>
    </row>
    <row r="3562" spans="1:14">
      <c r="A3562">
        <v>3561</v>
      </c>
      <c r="B3562">
        <v>40</v>
      </c>
      <c r="C3562" t="s">
        <v>11</v>
      </c>
      <c r="D3562" t="s">
        <v>33</v>
      </c>
      <c r="E3562" t="s">
        <v>38</v>
      </c>
      <c r="F3562">
        <v>169.6</v>
      </c>
      <c r="G3562" t="s">
        <v>31</v>
      </c>
      <c r="H3562" t="s">
        <v>15</v>
      </c>
      <c r="I3562">
        <v>3</v>
      </c>
      <c r="J3562">
        <v>13</v>
      </c>
      <c r="K3562">
        <v>4</v>
      </c>
      <c r="L3562" s="4">
        <v>194.94252873563218</v>
      </c>
      <c r="M3562" s="4">
        <v>25.342528735632186</v>
      </c>
      <c r="N3562" t="s">
        <v>92</v>
      </c>
    </row>
    <row r="3563" spans="1:14">
      <c r="A3563">
        <v>3562</v>
      </c>
      <c r="B3563">
        <v>47</v>
      </c>
      <c r="C3563" t="s">
        <v>11</v>
      </c>
      <c r="D3563" t="s">
        <v>20</v>
      </c>
      <c r="E3563" t="s">
        <v>21</v>
      </c>
      <c r="F3563">
        <v>58.39</v>
      </c>
      <c r="G3563" t="s">
        <v>14</v>
      </c>
      <c r="H3563" t="s">
        <v>37</v>
      </c>
      <c r="I3563">
        <v>4.4000000000000004</v>
      </c>
      <c r="J3563">
        <v>16</v>
      </c>
      <c r="K3563">
        <v>3</v>
      </c>
      <c r="L3563" s="4">
        <v>69.511904761904759</v>
      </c>
      <c r="M3563" s="4">
        <v>11.121904761904759</v>
      </c>
      <c r="N3563" t="s">
        <v>93</v>
      </c>
    </row>
    <row r="3564" spans="1:14">
      <c r="A3564">
        <v>3563</v>
      </c>
      <c r="B3564">
        <v>53</v>
      </c>
      <c r="C3564" t="s">
        <v>11</v>
      </c>
      <c r="D3564" t="s">
        <v>29</v>
      </c>
      <c r="E3564" t="s">
        <v>55</v>
      </c>
      <c r="F3564">
        <v>68.14</v>
      </c>
      <c r="G3564" t="s">
        <v>14</v>
      </c>
      <c r="H3564" t="s">
        <v>37</v>
      </c>
      <c r="I3564">
        <v>3.3</v>
      </c>
      <c r="J3564">
        <v>10</v>
      </c>
      <c r="K3564">
        <v>5</v>
      </c>
      <c r="L3564" s="4">
        <v>75.711111111111109</v>
      </c>
      <c r="M3564" s="4">
        <v>7.571111111111108</v>
      </c>
      <c r="N3564" t="s">
        <v>93</v>
      </c>
    </row>
    <row r="3565" spans="1:14">
      <c r="A3565">
        <v>3564</v>
      </c>
      <c r="B3565">
        <v>48</v>
      </c>
      <c r="C3565" t="s">
        <v>16</v>
      </c>
      <c r="D3565" t="s">
        <v>33</v>
      </c>
      <c r="E3565" t="s">
        <v>40</v>
      </c>
      <c r="F3565">
        <v>179.68</v>
      </c>
      <c r="G3565" t="s">
        <v>14</v>
      </c>
      <c r="H3565" t="s">
        <v>15</v>
      </c>
      <c r="I3565">
        <v>4.9000000000000004</v>
      </c>
      <c r="J3565">
        <v>28</v>
      </c>
      <c r="K3565">
        <v>9</v>
      </c>
      <c r="L3565" s="4">
        <v>249.55555555555557</v>
      </c>
      <c r="M3565" s="4">
        <v>69.875555555555565</v>
      </c>
      <c r="N3565" t="s">
        <v>93</v>
      </c>
    </row>
    <row r="3566" spans="1:14">
      <c r="A3566">
        <v>3565</v>
      </c>
      <c r="B3566">
        <v>33</v>
      </c>
      <c r="C3566" t="s">
        <v>16</v>
      </c>
      <c r="D3566" t="s">
        <v>27</v>
      </c>
      <c r="E3566" t="s">
        <v>49</v>
      </c>
      <c r="F3566">
        <v>2844.72</v>
      </c>
      <c r="G3566" t="s">
        <v>31</v>
      </c>
      <c r="H3566" t="s">
        <v>15</v>
      </c>
      <c r="I3566">
        <v>3.9</v>
      </c>
      <c r="J3566">
        <v>8</v>
      </c>
      <c r="K3566">
        <v>4</v>
      </c>
      <c r="L3566" s="4">
        <v>3092.0869565217386</v>
      </c>
      <c r="M3566" s="4">
        <v>247.36695652173876</v>
      </c>
      <c r="N3566" t="s">
        <v>91</v>
      </c>
    </row>
    <row r="3567" spans="1:14">
      <c r="A3567">
        <v>3566</v>
      </c>
      <c r="B3567">
        <v>42</v>
      </c>
      <c r="C3567" t="s">
        <v>11</v>
      </c>
      <c r="D3567" t="s">
        <v>33</v>
      </c>
      <c r="E3567" t="s">
        <v>40</v>
      </c>
      <c r="F3567">
        <v>125.92</v>
      </c>
      <c r="G3567" t="s">
        <v>31</v>
      </c>
      <c r="H3567" t="s">
        <v>15</v>
      </c>
      <c r="I3567">
        <v>2.8</v>
      </c>
      <c r="J3567">
        <v>10</v>
      </c>
      <c r="K3567">
        <v>5</v>
      </c>
      <c r="L3567" s="4">
        <v>139.9111111111111</v>
      </c>
      <c r="M3567" s="4">
        <v>13.991111111111096</v>
      </c>
      <c r="N3567" t="s">
        <v>92</v>
      </c>
    </row>
    <row r="3568" spans="1:14">
      <c r="A3568">
        <v>3567</v>
      </c>
      <c r="B3568">
        <v>45</v>
      </c>
      <c r="C3568" t="s">
        <v>11</v>
      </c>
      <c r="D3568" t="s">
        <v>29</v>
      </c>
      <c r="E3568" t="s">
        <v>55</v>
      </c>
      <c r="F3568">
        <v>21.56</v>
      </c>
      <c r="G3568" t="s">
        <v>19</v>
      </c>
      <c r="H3568" t="s">
        <v>37</v>
      </c>
      <c r="I3568">
        <v>3.4</v>
      </c>
      <c r="J3568">
        <v>9</v>
      </c>
      <c r="K3568">
        <v>2</v>
      </c>
      <c r="L3568" s="4">
        <v>23.69230769230769</v>
      </c>
      <c r="M3568" s="4">
        <v>2.1323076923076911</v>
      </c>
      <c r="N3568" t="s">
        <v>93</v>
      </c>
    </row>
    <row r="3569" spans="1:14">
      <c r="A3569">
        <v>3568</v>
      </c>
      <c r="B3569">
        <v>42</v>
      </c>
      <c r="C3569" t="s">
        <v>16</v>
      </c>
      <c r="D3569" t="s">
        <v>25</v>
      </c>
      <c r="E3569" t="s">
        <v>57</v>
      </c>
      <c r="F3569">
        <v>65.64</v>
      </c>
      <c r="G3569" t="s">
        <v>24</v>
      </c>
      <c r="H3569" t="s">
        <v>37</v>
      </c>
      <c r="I3569">
        <v>2.8</v>
      </c>
      <c r="J3569">
        <v>10</v>
      </c>
      <c r="K3569">
        <v>5</v>
      </c>
      <c r="L3569" s="4">
        <v>72.933333333333337</v>
      </c>
      <c r="M3569" s="4">
        <v>7.2933333333333366</v>
      </c>
      <c r="N3569" t="s">
        <v>92</v>
      </c>
    </row>
    <row r="3570" spans="1:14">
      <c r="A3570">
        <v>3569</v>
      </c>
      <c r="B3570">
        <v>56</v>
      </c>
      <c r="C3570" t="s">
        <v>11</v>
      </c>
      <c r="D3570" t="s">
        <v>12</v>
      </c>
      <c r="E3570" t="s">
        <v>56</v>
      </c>
      <c r="F3570">
        <v>110.86</v>
      </c>
      <c r="G3570" t="s">
        <v>14</v>
      </c>
      <c r="H3570" t="s">
        <v>15</v>
      </c>
      <c r="I3570">
        <v>4</v>
      </c>
      <c r="J3570">
        <v>22</v>
      </c>
      <c r="K3570">
        <v>6</v>
      </c>
      <c r="L3570" s="4">
        <v>142.12820512820511</v>
      </c>
      <c r="M3570" s="4">
        <v>31.268205128205111</v>
      </c>
      <c r="N3570" t="s">
        <v>94</v>
      </c>
    </row>
    <row r="3571" spans="1:14">
      <c r="A3571">
        <v>3570</v>
      </c>
      <c r="B3571">
        <v>37</v>
      </c>
      <c r="C3571" t="s">
        <v>11</v>
      </c>
      <c r="D3571" t="s">
        <v>12</v>
      </c>
      <c r="E3571" t="s">
        <v>13</v>
      </c>
      <c r="F3571">
        <v>35.340000000000003</v>
      </c>
      <c r="G3571" t="s">
        <v>14</v>
      </c>
      <c r="H3571" t="s">
        <v>37</v>
      </c>
      <c r="I3571">
        <v>3.5</v>
      </c>
      <c r="J3571">
        <v>13</v>
      </c>
      <c r="K3571">
        <v>4</v>
      </c>
      <c r="L3571" s="4">
        <v>40.62068965517242</v>
      </c>
      <c r="M3571" s="4">
        <v>5.2806896551724165</v>
      </c>
      <c r="N3571" t="s">
        <v>92</v>
      </c>
    </row>
    <row r="3572" spans="1:14">
      <c r="A3572">
        <v>3571</v>
      </c>
      <c r="B3572">
        <v>34</v>
      </c>
      <c r="C3572" t="s">
        <v>11</v>
      </c>
      <c r="D3572" t="s">
        <v>33</v>
      </c>
      <c r="E3572" t="s">
        <v>38</v>
      </c>
      <c r="F3572">
        <v>41.87</v>
      </c>
      <c r="G3572" t="s">
        <v>19</v>
      </c>
      <c r="H3572" t="s">
        <v>15</v>
      </c>
      <c r="I3572">
        <v>4</v>
      </c>
      <c r="J3572">
        <v>8</v>
      </c>
      <c r="K3572">
        <v>4</v>
      </c>
      <c r="L3572" s="4">
        <v>45.510869565217384</v>
      </c>
      <c r="M3572" s="4">
        <v>3.6408695652173861</v>
      </c>
      <c r="N3572" t="s">
        <v>91</v>
      </c>
    </row>
    <row r="3573" spans="1:14">
      <c r="A3573">
        <v>3572</v>
      </c>
      <c r="B3573">
        <v>61</v>
      </c>
      <c r="C3573" t="s">
        <v>16</v>
      </c>
      <c r="D3573" t="s">
        <v>20</v>
      </c>
      <c r="E3573" t="s">
        <v>21</v>
      </c>
      <c r="F3573">
        <v>43.84</v>
      </c>
      <c r="G3573" t="s">
        <v>31</v>
      </c>
      <c r="H3573" t="s">
        <v>37</v>
      </c>
      <c r="I3573">
        <v>3.3</v>
      </c>
      <c r="J3573">
        <v>20</v>
      </c>
      <c r="K3573">
        <v>5</v>
      </c>
      <c r="L3573" s="4">
        <v>54.800000000000004</v>
      </c>
      <c r="M3573" s="4">
        <v>10.96</v>
      </c>
      <c r="N3573" t="s">
        <v>94</v>
      </c>
    </row>
    <row r="3574" spans="1:14">
      <c r="A3574">
        <v>3573</v>
      </c>
      <c r="B3574">
        <v>34</v>
      </c>
      <c r="C3574" t="s">
        <v>16</v>
      </c>
      <c r="D3574" t="s">
        <v>33</v>
      </c>
      <c r="E3574" t="s">
        <v>38</v>
      </c>
      <c r="F3574">
        <v>186.06</v>
      </c>
      <c r="G3574" t="s">
        <v>14</v>
      </c>
      <c r="H3574" t="s">
        <v>15</v>
      </c>
      <c r="I3574">
        <v>3.8</v>
      </c>
      <c r="J3574">
        <v>16</v>
      </c>
      <c r="K3574">
        <v>3</v>
      </c>
      <c r="L3574" s="4">
        <v>221.5</v>
      </c>
      <c r="M3574" s="4">
        <v>35.44</v>
      </c>
      <c r="N3574" t="s">
        <v>91</v>
      </c>
    </row>
    <row r="3575" spans="1:14">
      <c r="A3575">
        <v>3574</v>
      </c>
      <c r="B3575">
        <v>42</v>
      </c>
      <c r="C3575" t="s">
        <v>16</v>
      </c>
      <c r="D3575" t="s">
        <v>17</v>
      </c>
      <c r="E3575" t="s">
        <v>48</v>
      </c>
      <c r="F3575">
        <v>183.14</v>
      </c>
      <c r="G3575" t="s">
        <v>24</v>
      </c>
      <c r="H3575" t="s">
        <v>15</v>
      </c>
      <c r="I3575">
        <v>3.1</v>
      </c>
      <c r="J3575">
        <v>12</v>
      </c>
      <c r="K3575">
        <v>6</v>
      </c>
      <c r="L3575" s="4">
        <v>208.11363636363635</v>
      </c>
      <c r="M3575" s="4">
        <v>24.973636363636359</v>
      </c>
      <c r="N3575" t="s">
        <v>92</v>
      </c>
    </row>
    <row r="3576" spans="1:14">
      <c r="A3576">
        <v>3575</v>
      </c>
      <c r="B3576">
        <v>38</v>
      </c>
      <c r="C3576" t="s">
        <v>11</v>
      </c>
      <c r="D3576" t="s">
        <v>12</v>
      </c>
      <c r="E3576" t="s">
        <v>56</v>
      </c>
      <c r="F3576">
        <v>114.51</v>
      </c>
      <c r="G3576" t="s">
        <v>19</v>
      </c>
      <c r="H3576" t="s">
        <v>15</v>
      </c>
      <c r="I3576">
        <v>2.7</v>
      </c>
      <c r="J3576">
        <v>19</v>
      </c>
      <c r="K3576">
        <v>7</v>
      </c>
      <c r="L3576" s="4">
        <v>141.37037037037038</v>
      </c>
      <c r="M3576" s="4">
        <v>26.860370370370376</v>
      </c>
      <c r="N3576" t="s">
        <v>92</v>
      </c>
    </row>
    <row r="3577" spans="1:14">
      <c r="A3577">
        <v>3576</v>
      </c>
      <c r="B3577">
        <v>58</v>
      </c>
      <c r="C3577" t="s">
        <v>11</v>
      </c>
      <c r="D3577" t="s">
        <v>33</v>
      </c>
      <c r="E3577" t="s">
        <v>34</v>
      </c>
      <c r="F3577">
        <v>201.39</v>
      </c>
      <c r="G3577" t="s">
        <v>19</v>
      </c>
      <c r="H3577" t="s">
        <v>15</v>
      </c>
      <c r="I3577">
        <v>3.7</v>
      </c>
      <c r="J3577">
        <v>14</v>
      </c>
      <c r="K3577">
        <v>7</v>
      </c>
      <c r="L3577" s="4">
        <v>234.17441860465115</v>
      </c>
      <c r="M3577" s="4">
        <v>32.784418604651165</v>
      </c>
      <c r="N3577" t="s">
        <v>94</v>
      </c>
    </row>
    <row r="3578" spans="1:14">
      <c r="A3578">
        <v>3577</v>
      </c>
      <c r="B3578">
        <v>31</v>
      </c>
      <c r="C3578" t="s">
        <v>16</v>
      </c>
      <c r="D3578" t="s">
        <v>33</v>
      </c>
      <c r="E3578" t="s">
        <v>34</v>
      </c>
      <c r="F3578">
        <v>141.51</v>
      </c>
      <c r="G3578" t="s">
        <v>24</v>
      </c>
      <c r="H3578" t="s">
        <v>15</v>
      </c>
      <c r="I3578">
        <v>3.7</v>
      </c>
      <c r="J3578">
        <v>30</v>
      </c>
      <c r="K3578">
        <v>10</v>
      </c>
      <c r="L3578" s="4">
        <v>202.15714285714284</v>
      </c>
      <c r="M3578" s="4">
        <v>60.647142857142853</v>
      </c>
      <c r="N3578" t="s">
        <v>91</v>
      </c>
    </row>
    <row r="3579" spans="1:14">
      <c r="A3579">
        <v>3578</v>
      </c>
      <c r="B3579">
        <v>22</v>
      </c>
      <c r="C3579" t="s">
        <v>16</v>
      </c>
      <c r="D3579" t="s">
        <v>17</v>
      </c>
      <c r="E3579" t="s">
        <v>18</v>
      </c>
      <c r="F3579">
        <v>61.09</v>
      </c>
      <c r="G3579" t="s">
        <v>14</v>
      </c>
      <c r="H3579" t="s">
        <v>15</v>
      </c>
      <c r="I3579">
        <v>3.2</v>
      </c>
      <c r="J3579">
        <v>8</v>
      </c>
      <c r="K3579">
        <v>4</v>
      </c>
      <c r="L3579" s="4">
        <v>66.402173913043484</v>
      </c>
      <c r="M3579" s="4">
        <v>5.3121739130434804</v>
      </c>
      <c r="N3579" t="s">
        <v>100</v>
      </c>
    </row>
    <row r="3580" spans="1:14">
      <c r="A3580">
        <v>3579</v>
      </c>
      <c r="B3580">
        <v>54</v>
      </c>
      <c r="C3580" t="s">
        <v>11</v>
      </c>
      <c r="D3580" t="s">
        <v>41</v>
      </c>
      <c r="E3580" t="s">
        <v>45</v>
      </c>
      <c r="F3580">
        <v>80.7</v>
      </c>
      <c r="G3580" t="s">
        <v>31</v>
      </c>
      <c r="H3580" t="s">
        <v>37</v>
      </c>
      <c r="I3580">
        <v>3.7</v>
      </c>
      <c r="J3580">
        <v>21</v>
      </c>
      <c r="K3580">
        <v>8</v>
      </c>
      <c r="L3580" s="4">
        <v>102.15189873417721</v>
      </c>
      <c r="M3580" s="4">
        <v>21.451898734177206</v>
      </c>
      <c r="N3580" t="s">
        <v>93</v>
      </c>
    </row>
    <row r="3581" spans="1:14">
      <c r="A3581">
        <v>3580</v>
      </c>
      <c r="B3581">
        <v>63</v>
      </c>
      <c r="C3581" t="s">
        <v>11</v>
      </c>
      <c r="D3581" t="s">
        <v>12</v>
      </c>
      <c r="E3581" t="s">
        <v>50</v>
      </c>
      <c r="F3581">
        <v>88.07</v>
      </c>
      <c r="G3581" t="s">
        <v>14</v>
      </c>
      <c r="H3581" t="s">
        <v>37</v>
      </c>
      <c r="I3581">
        <v>3.4</v>
      </c>
      <c r="J3581">
        <v>28</v>
      </c>
      <c r="K3581">
        <v>9</v>
      </c>
      <c r="L3581" s="4">
        <v>122.31944444444444</v>
      </c>
      <c r="M3581" s="4">
        <v>34.24944444444445</v>
      </c>
      <c r="N3581" t="s">
        <v>94</v>
      </c>
    </row>
    <row r="3582" spans="1:14">
      <c r="A3582">
        <v>3581</v>
      </c>
      <c r="B3582">
        <v>47</v>
      </c>
      <c r="C3582" t="s">
        <v>16</v>
      </c>
      <c r="D3582" t="s">
        <v>27</v>
      </c>
      <c r="E3582" t="s">
        <v>53</v>
      </c>
      <c r="F3582">
        <v>1425.23</v>
      </c>
      <c r="G3582" t="s">
        <v>14</v>
      </c>
      <c r="H3582" t="s">
        <v>15</v>
      </c>
      <c r="I3582">
        <v>3.5</v>
      </c>
      <c r="J3582">
        <v>24</v>
      </c>
      <c r="K3582">
        <v>7</v>
      </c>
      <c r="L3582" s="4">
        <v>1875.3026315789473</v>
      </c>
      <c r="M3582" s="4">
        <v>450.07263157894727</v>
      </c>
      <c r="N3582" t="s">
        <v>93</v>
      </c>
    </row>
    <row r="3583" spans="1:14">
      <c r="A3583">
        <v>3582</v>
      </c>
      <c r="B3583">
        <v>36</v>
      </c>
      <c r="C3583" t="s">
        <v>16</v>
      </c>
      <c r="D3583" t="s">
        <v>17</v>
      </c>
      <c r="E3583" t="s">
        <v>48</v>
      </c>
      <c r="F3583">
        <v>76.67</v>
      </c>
      <c r="G3583" t="s">
        <v>14</v>
      </c>
      <c r="H3583" t="s">
        <v>37</v>
      </c>
      <c r="I3583">
        <v>2.8</v>
      </c>
      <c r="J3583">
        <v>12</v>
      </c>
      <c r="K3583">
        <v>6</v>
      </c>
      <c r="L3583" s="4">
        <v>87.125</v>
      </c>
      <c r="M3583" s="4">
        <v>10.454999999999998</v>
      </c>
      <c r="N3583" t="s">
        <v>92</v>
      </c>
    </row>
    <row r="3584" spans="1:14">
      <c r="A3584">
        <v>3583</v>
      </c>
      <c r="B3584">
        <v>47</v>
      </c>
      <c r="C3584" t="s">
        <v>11</v>
      </c>
      <c r="D3584" t="s">
        <v>25</v>
      </c>
      <c r="E3584" t="s">
        <v>47</v>
      </c>
      <c r="F3584">
        <v>46.13</v>
      </c>
      <c r="G3584" t="s">
        <v>14</v>
      </c>
      <c r="H3584" t="s">
        <v>15</v>
      </c>
      <c r="I3584">
        <v>3.4</v>
      </c>
      <c r="J3584">
        <v>14</v>
      </c>
      <c r="K3584">
        <v>7</v>
      </c>
      <c r="L3584" s="4">
        <v>53.639534883720934</v>
      </c>
      <c r="M3584" s="4">
        <v>7.5095348837209315</v>
      </c>
      <c r="N3584" t="s">
        <v>93</v>
      </c>
    </row>
    <row r="3585" spans="1:14">
      <c r="A3585">
        <v>3584</v>
      </c>
      <c r="B3585">
        <v>54</v>
      </c>
      <c r="C3585" t="s">
        <v>16</v>
      </c>
      <c r="D3585" t="s">
        <v>17</v>
      </c>
      <c r="E3585" t="s">
        <v>42</v>
      </c>
      <c r="F3585">
        <v>42.34</v>
      </c>
      <c r="G3585" t="s">
        <v>14</v>
      </c>
      <c r="H3585" t="s">
        <v>15</v>
      </c>
      <c r="I3585">
        <v>4.2</v>
      </c>
      <c r="J3585">
        <v>22</v>
      </c>
      <c r="K3585">
        <v>6</v>
      </c>
      <c r="L3585" s="4">
        <v>54.282051282051285</v>
      </c>
      <c r="M3585" s="4">
        <v>11.942051282051281</v>
      </c>
      <c r="N3585" t="s">
        <v>93</v>
      </c>
    </row>
    <row r="3586" spans="1:14">
      <c r="A3586">
        <v>3585</v>
      </c>
      <c r="B3586">
        <v>46</v>
      </c>
      <c r="C3586" t="s">
        <v>16</v>
      </c>
      <c r="D3586" t="s">
        <v>20</v>
      </c>
      <c r="E3586" t="s">
        <v>21</v>
      </c>
      <c r="F3586">
        <v>62.68</v>
      </c>
      <c r="G3586" t="s">
        <v>19</v>
      </c>
      <c r="H3586" t="s">
        <v>15</v>
      </c>
      <c r="I3586">
        <v>2.2999999999999998</v>
      </c>
      <c r="J3586">
        <v>13</v>
      </c>
      <c r="K3586">
        <v>4</v>
      </c>
      <c r="L3586" s="4">
        <v>72.045977011494259</v>
      </c>
      <c r="M3586" s="4">
        <v>9.3659770114942589</v>
      </c>
      <c r="N3586" t="s">
        <v>93</v>
      </c>
    </row>
    <row r="3587" spans="1:14">
      <c r="A3587">
        <v>3586</v>
      </c>
      <c r="B3587">
        <v>38</v>
      </c>
      <c r="C3587" t="s">
        <v>16</v>
      </c>
      <c r="D3587" t="s">
        <v>27</v>
      </c>
      <c r="E3587" t="s">
        <v>32</v>
      </c>
      <c r="F3587">
        <v>2478.7399999999998</v>
      </c>
      <c r="G3587" t="s">
        <v>19</v>
      </c>
      <c r="H3587" t="s">
        <v>15</v>
      </c>
      <c r="I3587">
        <v>4.9000000000000004</v>
      </c>
      <c r="J3587">
        <v>32</v>
      </c>
      <c r="K3587">
        <v>11</v>
      </c>
      <c r="L3587" s="4">
        <v>3645.205882352941</v>
      </c>
      <c r="M3587" s="4">
        <v>1166.4658823529412</v>
      </c>
      <c r="N3587" t="s">
        <v>92</v>
      </c>
    </row>
    <row r="3588" spans="1:14">
      <c r="A3588">
        <v>3587</v>
      </c>
      <c r="B3588">
        <v>25</v>
      </c>
      <c r="C3588" t="s">
        <v>11</v>
      </c>
      <c r="D3588" t="s">
        <v>12</v>
      </c>
      <c r="E3588" t="s">
        <v>56</v>
      </c>
      <c r="F3588">
        <v>84.07</v>
      </c>
      <c r="G3588" t="s">
        <v>19</v>
      </c>
      <c r="H3588" t="s">
        <v>37</v>
      </c>
      <c r="I3588">
        <v>3.7</v>
      </c>
      <c r="J3588">
        <v>20</v>
      </c>
      <c r="K3588">
        <v>5</v>
      </c>
      <c r="L3588" s="4">
        <v>105.08749999999999</v>
      </c>
      <c r="M3588" s="4">
        <v>21.017499999999998</v>
      </c>
      <c r="N3588" t="s">
        <v>91</v>
      </c>
    </row>
    <row r="3589" spans="1:14">
      <c r="A3589">
        <v>3588</v>
      </c>
      <c r="B3589">
        <v>68</v>
      </c>
      <c r="C3589" t="s">
        <v>16</v>
      </c>
      <c r="D3589" t="s">
        <v>27</v>
      </c>
      <c r="E3589" t="s">
        <v>53</v>
      </c>
      <c r="F3589">
        <v>2454.39</v>
      </c>
      <c r="G3589" t="s">
        <v>14</v>
      </c>
      <c r="H3589" t="s">
        <v>15</v>
      </c>
      <c r="I3589">
        <v>4.0999999999999996</v>
      </c>
      <c r="J3589">
        <v>20</v>
      </c>
      <c r="K3589">
        <v>5</v>
      </c>
      <c r="L3589" s="4">
        <v>3067.9874999999997</v>
      </c>
      <c r="M3589" s="4">
        <v>613.59749999999985</v>
      </c>
      <c r="N3589" t="s">
        <v>95</v>
      </c>
    </row>
    <row r="3590" spans="1:14">
      <c r="A3590">
        <v>3589</v>
      </c>
      <c r="B3590">
        <v>56</v>
      </c>
      <c r="C3590" t="s">
        <v>16</v>
      </c>
      <c r="D3590" t="s">
        <v>27</v>
      </c>
      <c r="E3590" t="s">
        <v>32</v>
      </c>
      <c r="F3590">
        <v>1041.3399999999999</v>
      </c>
      <c r="G3590" t="s">
        <v>14</v>
      </c>
      <c r="H3590" t="s">
        <v>15</v>
      </c>
      <c r="I3590">
        <v>3.4</v>
      </c>
      <c r="J3590">
        <v>15</v>
      </c>
      <c r="K3590">
        <v>5</v>
      </c>
      <c r="L3590" s="4">
        <v>1225.1058823529411</v>
      </c>
      <c r="M3590" s="4">
        <v>183.76588235294116</v>
      </c>
      <c r="N3590" t="s">
        <v>94</v>
      </c>
    </row>
    <row r="3591" spans="1:14">
      <c r="A3591">
        <v>3590</v>
      </c>
      <c r="B3591">
        <v>56</v>
      </c>
      <c r="C3591" t="s">
        <v>16</v>
      </c>
      <c r="D3591" t="s">
        <v>20</v>
      </c>
      <c r="E3591" t="s">
        <v>39</v>
      </c>
      <c r="F3591">
        <v>235.44</v>
      </c>
      <c r="G3591" t="s">
        <v>31</v>
      </c>
      <c r="H3591" t="s">
        <v>15</v>
      </c>
      <c r="I3591">
        <v>2.4</v>
      </c>
      <c r="J3591">
        <v>15</v>
      </c>
      <c r="K3591">
        <v>5</v>
      </c>
      <c r="L3591" s="4">
        <v>276.98823529411766</v>
      </c>
      <c r="M3591" s="4">
        <v>41.54823529411766</v>
      </c>
      <c r="N3591" t="s">
        <v>94</v>
      </c>
    </row>
    <row r="3592" spans="1:14">
      <c r="A3592">
        <v>3591</v>
      </c>
      <c r="B3592">
        <v>35</v>
      </c>
      <c r="C3592" t="s">
        <v>11</v>
      </c>
      <c r="D3592" t="s">
        <v>29</v>
      </c>
      <c r="E3592" t="s">
        <v>51</v>
      </c>
      <c r="F3592">
        <v>35.72</v>
      </c>
      <c r="G3592" t="s">
        <v>14</v>
      </c>
      <c r="H3592" t="s">
        <v>15</v>
      </c>
      <c r="I3592">
        <v>4.3</v>
      </c>
      <c r="J3592">
        <v>8</v>
      </c>
      <c r="K3592">
        <v>4</v>
      </c>
      <c r="L3592" s="4">
        <v>38.826086956521735</v>
      </c>
      <c r="M3592" s="4">
        <v>3.1060869565217359</v>
      </c>
      <c r="N3592" t="s">
        <v>92</v>
      </c>
    </row>
    <row r="3593" spans="1:14">
      <c r="A3593">
        <v>3592</v>
      </c>
      <c r="B3593">
        <v>27</v>
      </c>
      <c r="C3593" t="s">
        <v>16</v>
      </c>
      <c r="D3593" t="s">
        <v>17</v>
      </c>
      <c r="E3593" t="s">
        <v>18</v>
      </c>
      <c r="F3593">
        <v>134.71</v>
      </c>
      <c r="G3593" t="s">
        <v>19</v>
      </c>
      <c r="H3593" t="s">
        <v>15</v>
      </c>
      <c r="I3593">
        <v>3.2</v>
      </c>
      <c r="J3593">
        <v>16</v>
      </c>
      <c r="K3593">
        <v>3</v>
      </c>
      <c r="L3593" s="4">
        <v>160.36904761904762</v>
      </c>
      <c r="M3593" s="4">
        <v>25.659047619047612</v>
      </c>
      <c r="N3593" t="s">
        <v>91</v>
      </c>
    </row>
    <row r="3594" spans="1:14">
      <c r="A3594">
        <v>3593</v>
      </c>
      <c r="B3594">
        <v>33</v>
      </c>
      <c r="C3594" t="s">
        <v>11</v>
      </c>
      <c r="D3594" t="s">
        <v>33</v>
      </c>
      <c r="E3594" t="s">
        <v>38</v>
      </c>
      <c r="F3594">
        <v>148.91999999999999</v>
      </c>
      <c r="G3594" t="s">
        <v>24</v>
      </c>
      <c r="H3594" t="s">
        <v>15</v>
      </c>
      <c r="I3594">
        <v>4.0999999999999996</v>
      </c>
      <c r="J3594">
        <v>4</v>
      </c>
      <c r="K3594">
        <v>2</v>
      </c>
      <c r="L3594" s="4">
        <v>155.125</v>
      </c>
      <c r="M3594" s="4">
        <v>6.2050000000000125</v>
      </c>
      <c r="N3594" t="s">
        <v>91</v>
      </c>
    </row>
    <row r="3595" spans="1:14">
      <c r="A3595">
        <v>3594</v>
      </c>
      <c r="B3595">
        <v>30</v>
      </c>
      <c r="C3595" t="s">
        <v>16</v>
      </c>
      <c r="D3595" t="s">
        <v>17</v>
      </c>
      <c r="E3595" t="s">
        <v>48</v>
      </c>
      <c r="F3595">
        <v>104.95</v>
      </c>
      <c r="G3595" t="s">
        <v>31</v>
      </c>
      <c r="H3595" t="s">
        <v>15</v>
      </c>
      <c r="I3595">
        <v>3.9</v>
      </c>
      <c r="J3595">
        <v>22</v>
      </c>
      <c r="K3595">
        <v>6</v>
      </c>
      <c r="L3595" s="4">
        <v>134.55128205128204</v>
      </c>
      <c r="M3595" s="4">
        <v>29.601282051282041</v>
      </c>
      <c r="N3595" t="s">
        <v>91</v>
      </c>
    </row>
    <row r="3596" spans="1:14">
      <c r="A3596">
        <v>3595</v>
      </c>
      <c r="B3596">
        <v>49</v>
      </c>
      <c r="C3596" t="s">
        <v>11</v>
      </c>
      <c r="D3596" t="s">
        <v>12</v>
      </c>
      <c r="E3596" t="s">
        <v>13</v>
      </c>
      <c r="F3596">
        <v>103.47</v>
      </c>
      <c r="G3596" t="s">
        <v>31</v>
      </c>
      <c r="H3596" t="s">
        <v>15</v>
      </c>
      <c r="I3596">
        <v>3.5</v>
      </c>
      <c r="J3596">
        <v>26</v>
      </c>
      <c r="K3596">
        <v>8</v>
      </c>
      <c r="L3596" s="4">
        <v>139.82432432432432</v>
      </c>
      <c r="M3596" s="4">
        <v>36.354324324324324</v>
      </c>
      <c r="N3596" t="s">
        <v>93</v>
      </c>
    </row>
    <row r="3597" spans="1:14">
      <c r="A3597">
        <v>3596</v>
      </c>
      <c r="B3597">
        <v>55</v>
      </c>
      <c r="C3597" t="s">
        <v>11</v>
      </c>
      <c r="D3597" t="s">
        <v>22</v>
      </c>
      <c r="E3597" t="s">
        <v>43</v>
      </c>
      <c r="F3597">
        <v>298.60000000000002</v>
      </c>
      <c r="G3597" t="s">
        <v>14</v>
      </c>
      <c r="H3597" t="s">
        <v>15</v>
      </c>
      <c r="I3597">
        <v>4.7</v>
      </c>
      <c r="J3597">
        <v>17</v>
      </c>
      <c r="K3597">
        <v>6</v>
      </c>
      <c r="L3597" s="4">
        <v>359.75903614457837</v>
      </c>
      <c r="M3597" s="4">
        <v>61.159036144578351</v>
      </c>
      <c r="N3597" t="s">
        <v>94</v>
      </c>
    </row>
    <row r="3598" spans="1:14">
      <c r="A3598">
        <v>3597</v>
      </c>
      <c r="B3598">
        <v>51</v>
      </c>
      <c r="C3598" t="s">
        <v>16</v>
      </c>
      <c r="D3598" t="s">
        <v>20</v>
      </c>
      <c r="E3598" t="s">
        <v>36</v>
      </c>
      <c r="F3598">
        <v>39.06</v>
      </c>
      <c r="G3598" t="s">
        <v>19</v>
      </c>
      <c r="H3598" t="s">
        <v>15</v>
      </c>
      <c r="I3598">
        <v>3.7</v>
      </c>
      <c r="J3598">
        <v>20</v>
      </c>
      <c r="K3598">
        <v>5</v>
      </c>
      <c r="L3598" s="4">
        <v>48.825000000000003</v>
      </c>
      <c r="M3598" s="4">
        <v>9.7650000000000006</v>
      </c>
      <c r="N3598" t="s">
        <v>93</v>
      </c>
    </row>
    <row r="3599" spans="1:14">
      <c r="A3599">
        <v>3598</v>
      </c>
      <c r="B3599">
        <v>40</v>
      </c>
      <c r="C3599" t="s">
        <v>16</v>
      </c>
      <c r="D3599" t="s">
        <v>17</v>
      </c>
      <c r="E3599" t="s">
        <v>18</v>
      </c>
      <c r="F3599">
        <v>133.24</v>
      </c>
      <c r="G3599" t="s">
        <v>31</v>
      </c>
      <c r="H3599" t="s">
        <v>15</v>
      </c>
      <c r="I3599">
        <v>3.8</v>
      </c>
      <c r="J3599">
        <v>17</v>
      </c>
      <c r="K3599">
        <v>6</v>
      </c>
      <c r="L3599" s="4">
        <v>160.53012048192772</v>
      </c>
      <c r="M3599" s="4">
        <v>27.290120481927715</v>
      </c>
      <c r="N3599" t="s">
        <v>92</v>
      </c>
    </row>
    <row r="3600" spans="1:14">
      <c r="A3600">
        <v>3599</v>
      </c>
      <c r="B3600">
        <v>42</v>
      </c>
      <c r="C3600" t="s">
        <v>16</v>
      </c>
      <c r="D3600" t="s">
        <v>27</v>
      </c>
      <c r="E3600" t="s">
        <v>28</v>
      </c>
      <c r="F3600">
        <v>897.41</v>
      </c>
      <c r="G3600" t="s">
        <v>14</v>
      </c>
      <c r="H3600" t="s">
        <v>15</v>
      </c>
      <c r="I3600">
        <v>3.8</v>
      </c>
      <c r="J3600">
        <v>19</v>
      </c>
      <c r="K3600">
        <v>7</v>
      </c>
      <c r="L3600" s="4">
        <v>1107.9135802469134</v>
      </c>
      <c r="M3600" s="4">
        <v>210.50358024691343</v>
      </c>
      <c r="N3600" t="s">
        <v>92</v>
      </c>
    </row>
    <row r="3601" spans="1:14">
      <c r="A3601">
        <v>3600</v>
      </c>
      <c r="B3601">
        <v>52</v>
      </c>
      <c r="C3601" t="s">
        <v>16</v>
      </c>
      <c r="D3601" t="s">
        <v>33</v>
      </c>
      <c r="E3601" t="s">
        <v>40</v>
      </c>
      <c r="F3601">
        <v>86.48</v>
      </c>
      <c r="G3601" t="s">
        <v>24</v>
      </c>
      <c r="H3601" t="s">
        <v>37</v>
      </c>
      <c r="I3601">
        <v>3.2</v>
      </c>
      <c r="J3601">
        <v>22</v>
      </c>
      <c r="K3601">
        <v>6</v>
      </c>
      <c r="L3601" s="4">
        <v>110.87179487179488</v>
      </c>
      <c r="M3601" s="4">
        <v>24.391794871794872</v>
      </c>
      <c r="N3601" t="s">
        <v>93</v>
      </c>
    </row>
    <row r="3602" spans="1:14">
      <c r="A3602">
        <v>3601</v>
      </c>
      <c r="B3602">
        <v>56</v>
      </c>
      <c r="C3602" t="s">
        <v>11</v>
      </c>
      <c r="D3602" t="s">
        <v>33</v>
      </c>
      <c r="E3602" t="s">
        <v>38</v>
      </c>
      <c r="F3602">
        <v>125.07</v>
      </c>
      <c r="G3602" t="s">
        <v>14</v>
      </c>
      <c r="H3602" t="s">
        <v>15</v>
      </c>
      <c r="I3602">
        <v>2.8</v>
      </c>
      <c r="J3602">
        <v>18</v>
      </c>
      <c r="K3602">
        <v>4</v>
      </c>
      <c r="L3602" s="4">
        <v>152.52439024390242</v>
      </c>
      <c r="M3602" s="4">
        <v>27.454390243902424</v>
      </c>
      <c r="N3602" t="s">
        <v>94</v>
      </c>
    </row>
    <row r="3603" spans="1:14">
      <c r="A3603">
        <v>3602</v>
      </c>
      <c r="B3603">
        <v>46</v>
      </c>
      <c r="C3603" t="s">
        <v>16</v>
      </c>
      <c r="D3603" t="s">
        <v>20</v>
      </c>
      <c r="E3603" t="s">
        <v>36</v>
      </c>
      <c r="F3603">
        <v>216.22</v>
      </c>
      <c r="G3603" t="s">
        <v>24</v>
      </c>
      <c r="H3603" t="s">
        <v>15</v>
      </c>
      <c r="I3603">
        <v>3.2</v>
      </c>
      <c r="J3603">
        <v>22</v>
      </c>
      <c r="K3603">
        <v>6</v>
      </c>
      <c r="L3603" s="4">
        <v>277.20512820512818</v>
      </c>
      <c r="M3603" s="4">
        <v>60.985128205128177</v>
      </c>
      <c r="N3603" t="s">
        <v>93</v>
      </c>
    </row>
    <row r="3604" spans="1:14">
      <c r="A3604">
        <v>3603</v>
      </c>
      <c r="B3604">
        <v>55</v>
      </c>
      <c r="C3604" t="s">
        <v>11</v>
      </c>
      <c r="D3604" t="s">
        <v>29</v>
      </c>
      <c r="E3604" t="s">
        <v>51</v>
      </c>
      <c r="F3604">
        <v>29.52</v>
      </c>
      <c r="G3604" t="s">
        <v>19</v>
      </c>
      <c r="H3604" t="s">
        <v>37</v>
      </c>
      <c r="I3604">
        <v>3.8</v>
      </c>
      <c r="J3604">
        <v>4</v>
      </c>
      <c r="K3604">
        <v>2</v>
      </c>
      <c r="L3604" s="4">
        <v>30.75</v>
      </c>
      <c r="M3604" s="4">
        <v>1.2300000000000004</v>
      </c>
      <c r="N3604" t="s">
        <v>94</v>
      </c>
    </row>
    <row r="3605" spans="1:14">
      <c r="A3605">
        <v>3604</v>
      </c>
      <c r="B3605">
        <v>39</v>
      </c>
      <c r="C3605" t="s">
        <v>11</v>
      </c>
      <c r="D3605" t="s">
        <v>41</v>
      </c>
      <c r="E3605" t="s">
        <v>45</v>
      </c>
      <c r="F3605">
        <v>174.95</v>
      </c>
      <c r="G3605" t="s">
        <v>14</v>
      </c>
      <c r="H3605" t="s">
        <v>15</v>
      </c>
      <c r="I3605">
        <v>2.9</v>
      </c>
      <c r="J3605">
        <v>13</v>
      </c>
      <c r="K3605">
        <v>4</v>
      </c>
      <c r="L3605" s="4">
        <v>201.09195402298849</v>
      </c>
      <c r="M3605" s="4">
        <v>26.1419540229885</v>
      </c>
      <c r="N3605" t="s">
        <v>92</v>
      </c>
    </row>
    <row r="3606" spans="1:14">
      <c r="A3606">
        <v>3605</v>
      </c>
      <c r="B3606">
        <v>49</v>
      </c>
      <c r="C3606" t="s">
        <v>16</v>
      </c>
      <c r="D3606" t="s">
        <v>17</v>
      </c>
      <c r="E3606" t="s">
        <v>18</v>
      </c>
      <c r="F3606">
        <v>101.38</v>
      </c>
      <c r="G3606" t="s">
        <v>19</v>
      </c>
      <c r="H3606" t="s">
        <v>15</v>
      </c>
      <c r="I3606">
        <v>3.3</v>
      </c>
      <c r="J3606">
        <v>12</v>
      </c>
      <c r="K3606">
        <v>6</v>
      </c>
      <c r="L3606" s="4">
        <v>115.20454545454545</v>
      </c>
      <c r="M3606" s="4">
        <v>13.824545454545458</v>
      </c>
      <c r="N3606" t="s">
        <v>93</v>
      </c>
    </row>
    <row r="3607" spans="1:14">
      <c r="A3607">
        <v>3606</v>
      </c>
      <c r="B3607">
        <v>53</v>
      </c>
      <c r="C3607" t="s">
        <v>16</v>
      </c>
      <c r="D3607" t="s">
        <v>20</v>
      </c>
      <c r="E3607" t="s">
        <v>39</v>
      </c>
      <c r="F3607">
        <v>61.95</v>
      </c>
      <c r="G3607" t="s">
        <v>24</v>
      </c>
      <c r="H3607" t="s">
        <v>15</v>
      </c>
      <c r="I3607">
        <v>5</v>
      </c>
      <c r="J3607">
        <v>28</v>
      </c>
      <c r="K3607">
        <v>9</v>
      </c>
      <c r="L3607" s="4">
        <v>86.041666666666671</v>
      </c>
      <c r="M3607" s="4">
        <v>24.091666666666669</v>
      </c>
      <c r="N3607" t="s">
        <v>93</v>
      </c>
    </row>
    <row r="3608" spans="1:14">
      <c r="A3608">
        <v>3607</v>
      </c>
      <c r="B3608">
        <v>34</v>
      </c>
      <c r="C3608" t="s">
        <v>11</v>
      </c>
      <c r="D3608" t="s">
        <v>20</v>
      </c>
      <c r="E3608" t="s">
        <v>39</v>
      </c>
      <c r="F3608">
        <v>117.57</v>
      </c>
      <c r="G3608" t="s">
        <v>14</v>
      </c>
      <c r="H3608" t="s">
        <v>15</v>
      </c>
      <c r="I3608">
        <v>4.4000000000000004</v>
      </c>
      <c r="J3608">
        <v>16</v>
      </c>
      <c r="K3608">
        <v>3</v>
      </c>
      <c r="L3608" s="4">
        <v>139.96428571428572</v>
      </c>
      <c r="M3608" s="4">
        <v>22.394285714285729</v>
      </c>
      <c r="N3608" t="s">
        <v>91</v>
      </c>
    </row>
    <row r="3609" spans="1:14">
      <c r="A3609">
        <v>3608</v>
      </c>
      <c r="B3609">
        <v>70</v>
      </c>
      <c r="C3609" t="s">
        <v>11</v>
      </c>
      <c r="D3609" t="s">
        <v>29</v>
      </c>
      <c r="E3609" t="s">
        <v>30</v>
      </c>
      <c r="F3609">
        <v>130.01</v>
      </c>
      <c r="G3609" t="s">
        <v>19</v>
      </c>
      <c r="H3609" t="s">
        <v>15</v>
      </c>
      <c r="I3609">
        <v>4.3</v>
      </c>
      <c r="J3609">
        <v>15</v>
      </c>
      <c r="K3609">
        <v>5</v>
      </c>
      <c r="L3609" s="4">
        <v>152.95294117647057</v>
      </c>
      <c r="M3609" s="4">
        <v>22.942941176470583</v>
      </c>
      <c r="N3609" t="s">
        <v>95</v>
      </c>
    </row>
    <row r="3610" spans="1:14">
      <c r="A3610">
        <v>3609</v>
      </c>
      <c r="B3610">
        <v>69</v>
      </c>
      <c r="C3610" t="s">
        <v>16</v>
      </c>
      <c r="D3610" t="s">
        <v>20</v>
      </c>
      <c r="E3610" t="s">
        <v>36</v>
      </c>
      <c r="F3610">
        <v>225.9</v>
      </c>
      <c r="G3610" t="s">
        <v>24</v>
      </c>
      <c r="H3610" t="s">
        <v>15</v>
      </c>
      <c r="I3610">
        <v>3.8</v>
      </c>
      <c r="J3610">
        <v>22</v>
      </c>
      <c r="K3610">
        <v>6</v>
      </c>
      <c r="L3610" s="4">
        <v>289.61538461538458</v>
      </c>
      <c r="M3610" s="4">
        <v>63.715384615384579</v>
      </c>
      <c r="N3610" t="s">
        <v>95</v>
      </c>
    </row>
    <row r="3611" spans="1:14">
      <c r="A3611">
        <v>3610</v>
      </c>
      <c r="B3611">
        <v>27</v>
      </c>
      <c r="C3611" t="s">
        <v>16</v>
      </c>
      <c r="D3611" t="s">
        <v>20</v>
      </c>
      <c r="E3611" t="s">
        <v>39</v>
      </c>
      <c r="F3611">
        <v>165.66</v>
      </c>
      <c r="G3611" t="s">
        <v>31</v>
      </c>
      <c r="H3611" t="s">
        <v>15</v>
      </c>
      <c r="I3611">
        <v>3.4</v>
      </c>
      <c r="J3611">
        <v>14</v>
      </c>
      <c r="K3611">
        <v>2</v>
      </c>
      <c r="L3611" s="4">
        <v>192.62790697674419</v>
      </c>
      <c r="M3611" s="4">
        <v>26.967906976744189</v>
      </c>
      <c r="N3611" t="s">
        <v>91</v>
      </c>
    </row>
    <row r="3612" spans="1:14">
      <c r="A3612">
        <v>3611</v>
      </c>
      <c r="B3612">
        <v>30</v>
      </c>
      <c r="C3612" t="s">
        <v>16</v>
      </c>
      <c r="D3612" t="s">
        <v>33</v>
      </c>
      <c r="E3612" t="s">
        <v>40</v>
      </c>
      <c r="F3612">
        <v>197.71</v>
      </c>
      <c r="G3612" t="s">
        <v>19</v>
      </c>
      <c r="H3612" t="s">
        <v>15</v>
      </c>
      <c r="I3612">
        <v>3.3</v>
      </c>
      <c r="J3612">
        <v>17</v>
      </c>
      <c r="K3612">
        <v>6</v>
      </c>
      <c r="L3612" s="4">
        <v>238.20481927710844</v>
      </c>
      <c r="M3612" s="4">
        <v>40.494819277108434</v>
      </c>
      <c r="N3612" t="s">
        <v>91</v>
      </c>
    </row>
    <row r="3613" spans="1:14">
      <c r="A3613">
        <v>3612</v>
      </c>
      <c r="B3613">
        <v>58</v>
      </c>
      <c r="C3613" t="s">
        <v>16</v>
      </c>
      <c r="D3613" t="s">
        <v>17</v>
      </c>
      <c r="E3613" t="s">
        <v>48</v>
      </c>
      <c r="F3613">
        <v>104.05</v>
      </c>
      <c r="G3613" t="s">
        <v>14</v>
      </c>
      <c r="H3613" t="s">
        <v>15</v>
      </c>
      <c r="I3613">
        <v>2.8</v>
      </c>
      <c r="J3613">
        <v>6</v>
      </c>
      <c r="K3613">
        <v>3</v>
      </c>
      <c r="L3613" s="4">
        <v>110.69148936170212</v>
      </c>
      <c r="M3613" s="4">
        <v>6.6414893617021278</v>
      </c>
      <c r="N3613" t="s">
        <v>94</v>
      </c>
    </row>
    <row r="3614" spans="1:14">
      <c r="A3614">
        <v>3613</v>
      </c>
      <c r="B3614">
        <v>32</v>
      </c>
      <c r="C3614" t="s">
        <v>16</v>
      </c>
      <c r="D3614" t="s">
        <v>25</v>
      </c>
      <c r="E3614" t="s">
        <v>26</v>
      </c>
      <c r="F3614">
        <v>77.81</v>
      </c>
      <c r="G3614" t="s">
        <v>14</v>
      </c>
      <c r="H3614" t="s">
        <v>15</v>
      </c>
      <c r="I3614">
        <v>4.2</v>
      </c>
      <c r="J3614">
        <v>8</v>
      </c>
      <c r="K3614">
        <v>4</v>
      </c>
      <c r="L3614" s="4">
        <v>84.576086956521735</v>
      </c>
      <c r="M3614" s="4">
        <v>6.7660869565217325</v>
      </c>
      <c r="N3614" t="s">
        <v>91</v>
      </c>
    </row>
    <row r="3615" spans="1:14">
      <c r="A3615">
        <v>3614</v>
      </c>
      <c r="B3615">
        <v>43</v>
      </c>
      <c r="C3615" t="s">
        <v>11</v>
      </c>
      <c r="D3615" t="s">
        <v>33</v>
      </c>
      <c r="E3615" t="s">
        <v>40</v>
      </c>
      <c r="F3615">
        <v>117.91</v>
      </c>
      <c r="G3615" t="s">
        <v>19</v>
      </c>
      <c r="H3615" t="s">
        <v>15</v>
      </c>
      <c r="I3615">
        <v>4</v>
      </c>
      <c r="J3615">
        <v>12</v>
      </c>
      <c r="K3615">
        <v>1</v>
      </c>
      <c r="L3615" s="4">
        <v>133.98863636363635</v>
      </c>
      <c r="M3615" s="4">
        <v>16.078636363636349</v>
      </c>
      <c r="N3615" t="s">
        <v>92</v>
      </c>
    </row>
    <row r="3616" spans="1:14">
      <c r="A3616">
        <v>3615</v>
      </c>
      <c r="B3616">
        <v>26</v>
      </c>
      <c r="C3616" t="s">
        <v>16</v>
      </c>
      <c r="D3616" t="s">
        <v>25</v>
      </c>
      <c r="E3616" t="s">
        <v>54</v>
      </c>
      <c r="F3616">
        <v>70.44</v>
      </c>
      <c r="G3616" t="s">
        <v>24</v>
      </c>
      <c r="H3616" t="s">
        <v>15</v>
      </c>
      <c r="I3616">
        <v>2.5</v>
      </c>
      <c r="J3616">
        <v>19</v>
      </c>
      <c r="K3616">
        <v>7</v>
      </c>
      <c r="L3616" s="4">
        <v>86.962962962962948</v>
      </c>
      <c r="M3616" s="4">
        <v>16.52296296296295</v>
      </c>
      <c r="N3616" t="s">
        <v>91</v>
      </c>
    </row>
    <row r="3617" spans="1:14">
      <c r="A3617">
        <v>3616</v>
      </c>
      <c r="B3617">
        <v>60</v>
      </c>
      <c r="C3617" t="s">
        <v>11</v>
      </c>
      <c r="D3617" t="s">
        <v>12</v>
      </c>
      <c r="E3617" t="s">
        <v>56</v>
      </c>
      <c r="F3617">
        <v>104.64</v>
      </c>
      <c r="G3617" t="s">
        <v>14</v>
      </c>
      <c r="H3617" t="s">
        <v>15</v>
      </c>
      <c r="I3617">
        <v>3.7</v>
      </c>
      <c r="J3617">
        <v>17</v>
      </c>
      <c r="K3617">
        <v>6</v>
      </c>
      <c r="L3617" s="4">
        <v>126.07228915662651</v>
      </c>
      <c r="M3617" s="4">
        <v>21.43228915662651</v>
      </c>
      <c r="N3617" t="s">
        <v>94</v>
      </c>
    </row>
    <row r="3618" spans="1:14">
      <c r="A3618">
        <v>3617</v>
      </c>
      <c r="B3618">
        <v>64</v>
      </c>
      <c r="C3618" t="s">
        <v>11</v>
      </c>
      <c r="D3618" t="s">
        <v>29</v>
      </c>
      <c r="E3618" t="s">
        <v>51</v>
      </c>
      <c r="F3618">
        <v>71.510000000000005</v>
      </c>
      <c r="G3618" t="s">
        <v>24</v>
      </c>
      <c r="H3618" t="s">
        <v>37</v>
      </c>
      <c r="I3618">
        <v>2.9</v>
      </c>
      <c r="J3618">
        <v>28</v>
      </c>
      <c r="K3618">
        <v>9</v>
      </c>
      <c r="L3618" s="4">
        <v>99.319444444444457</v>
      </c>
      <c r="M3618" s="4">
        <v>27.809444444444452</v>
      </c>
      <c r="N3618" t="s">
        <v>94</v>
      </c>
    </row>
    <row r="3619" spans="1:14">
      <c r="A3619">
        <v>3618</v>
      </c>
      <c r="B3619">
        <v>53</v>
      </c>
      <c r="C3619" t="s">
        <v>11</v>
      </c>
      <c r="D3619" t="s">
        <v>29</v>
      </c>
      <c r="E3619" t="s">
        <v>55</v>
      </c>
      <c r="F3619">
        <v>51.04</v>
      </c>
      <c r="G3619" t="s">
        <v>14</v>
      </c>
      <c r="H3619" t="s">
        <v>15</v>
      </c>
      <c r="I3619">
        <v>4.4000000000000004</v>
      </c>
      <c r="J3619">
        <v>19</v>
      </c>
      <c r="K3619">
        <v>7</v>
      </c>
      <c r="L3619" s="4">
        <v>63.012345679012341</v>
      </c>
      <c r="M3619" s="4">
        <v>11.972345679012342</v>
      </c>
      <c r="N3619" t="s">
        <v>93</v>
      </c>
    </row>
    <row r="3620" spans="1:14">
      <c r="A3620">
        <v>3619</v>
      </c>
      <c r="B3620">
        <v>23</v>
      </c>
      <c r="C3620" t="s">
        <v>16</v>
      </c>
      <c r="D3620" t="s">
        <v>17</v>
      </c>
      <c r="E3620" t="s">
        <v>42</v>
      </c>
      <c r="F3620">
        <v>76.95</v>
      </c>
      <c r="G3620" t="s">
        <v>24</v>
      </c>
      <c r="H3620" t="s">
        <v>15</v>
      </c>
      <c r="I3620">
        <v>3.8</v>
      </c>
      <c r="J3620">
        <v>8</v>
      </c>
      <c r="K3620">
        <v>4</v>
      </c>
      <c r="L3620" s="4">
        <v>83.641304347826093</v>
      </c>
      <c r="M3620" s="4">
        <v>6.6913043478260903</v>
      </c>
      <c r="N3620" t="s">
        <v>100</v>
      </c>
    </row>
    <row r="3621" spans="1:14">
      <c r="A3621">
        <v>3620</v>
      </c>
      <c r="B3621">
        <v>32</v>
      </c>
      <c r="C3621" t="s">
        <v>16</v>
      </c>
      <c r="D3621" t="s">
        <v>17</v>
      </c>
      <c r="E3621" t="s">
        <v>42</v>
      </c>
      <c r="F3621">
        <v>81.88</v>
      </c>
      <c r="G3621" t="s">
        <v>31</v>
      </c>
      <c r="H3621" t="s">
        <v>15</v>
      </c>
      <c r="I3621">
        <v>3.9</v>
      </c>
      <c r="J3621">
        <v>8</v>
      </c>
      <c r="K3621">
        <v>4</v>
      </c>
      <c r="L3621" s="4">
        <v>88.999999999999986</v>
      </c>
      <c r="M3621" s="4">
        <v>7.1199999999999903</v>
      </c>
      <c r="N3621" t="s">
        <v>91</v>
      </c>
    </row>
    <row r="3622" spans="1:14">
      <c r="A3622">
        <v>3621</v>
      </c>
      <c r="B3622">
        <v>66</v>
      </c>
      <c r="C3622" t="s">
        <v>16</v>
      </c>
      <c r="D3622" t="s">
        <v>20</v>
      </c>
      <c r="E3622" t="s">
        <v>39</v>
      </c>
      <c r="F3622">
        <v>65.33</v>
      </c>
      <c r="G3622" t="s">
        <v>19</v>
      </c>
      <c r="H3622" t="s">
        <v>15</v>
      </c>
      <c r="I3622">
        <v>3.2</v>
      </c>
      <c r="J3622">
        <v>20</v>
      </c>
      <c r="K3622">
        <v>5</v>
      </c>
      <c r="L3622" s="4">
        <v>81.662499999999994</v>
      </c>
      <c r="M3622" s="4">
        <v>16.332499999999996</v>
      </c>
      <c r="N3622" t="s">
        <v>95</v>
      </c>
    </row>
    <row r="3623" spans="1:14">
      <c r="A3623">
        <v>3622</v>
      </c>
      <c r="B3623">
        <v>47</v>
      </c>
      <c r="C3623" t="s">
        <v>11</v>
      </c>
      <c r="D3623" t="s">
        <v>41</v>
      </c>
      <c r="E3623" t="s">
        <v>45</v>
      </c>
      <c r="F3623">
        <v>52.4</v>
      </c>
      <c r="G3623" t="s">
        <v>24</v>
      </c>
      <c r="H3623" t="s">
        <v>37</v>
      </c>
      <c r="I3623">
        <v>3.7</v>
      </c>
      <c r="J3623">
        <v>24</v>
      </c>
      <c r="K3623">
        <v>7</v>
      </c>
      <c r="L3623" s="4">
        <v>68.94736842105263</v>
      </c>
      <c r="M3623" s="4">
        <v>16.547368421052632</v>
      </c>
      <c r="N3623" t="s">
        <v>93</v>
      </c>
    </row>
    <row r="3624" spans="1:14">
      <c r="A3624">
        <v>3623</v>
      </c>
      <c r="B3624">
        <v>20</v>
      </c>
      <c r="C3624" t="s">
        <v>16</v>
      </c>
      <c r="D3624" t="s">
        <v>33</v>
      </c>
      <c r="E3624" t="s">
        <v>34</v>
      </c>
      <c r="F3624">
        <v>205.07</v>
      </c>
      <c r="G3624" t="s">
        <v>19</v>
      </c>
      <c r="H3624" t="s">
        <v>15</v>
      </c>
      <c r="I3624">
        <v>4.2</v>
      </c>
      <c r="J3624">
        <v>17</v>
      </c>
      <c r="K3624">
        <v>6</v>
      </c>
      <c r="L3624" s="4">
        <v>247.07228915662651</v>
      </c>
      <c r="M3624" s="4">
        <v>42.002289156626517</v>
      </c>
      <c r="N3624" t="s">
        <v>100</v>
      </c>
    </row>
    <row r="3625" spans="1:14">
      <c r="A3625">
        <v>3624</v>
      </c>
      <c r="B3625">
        <v>50</v>
      </c>
      <c r="C3625" t="s">
        <v>11</v>
      </c>
      <c r="D3625" t="s">
        <v>29</v>
      </c>
      <c r="E3625" t="s">
        <v>55</v>
      </c>
      <c r="F3625">
        <v>29.83</v>
      </c>
      <c r="G3625" t="s">
        <v>24</v>
      </c>
      <c r="H3625" t="s">
        <v>15</v>
      </c>
      <c r="I3625">
        <v>2.4</v>
      </c>
      <c r="J3625">
        <v>18</v>
      </c>
      <c r="K3625">
        <v>4</v>
      </c>
      <c r="L3625" s="4">
        <v>36.378048780487802</v>
      </c>
      <c r="M3625" s="4">
        <v>6.5480487804878038</v>
      </c>
      <c r="N3625" t="s">
        <v>93</v>
      </c>
    </row>
    <row r="3626" spans="1:14">
      <c r="A3626">
        <v>3625</v>
      </c>
      <c r="B3626">
        <v>68</v>
      </c>
      <c r="C3626" t="s">
        <v>11</v>
      </c>
      <c r="D3626" t="s">
        <v>20</v>
      </c>
      <c r="E3626" t="s">
        <v>21</v>
      </c>
      <c r="F3626">
        <v>151.76</v>
      </c>
      <c r="G3626" t="s">
        <v>14</v>
      </c>
      <c r="H3626" t="s">
        <v>15</v>
      </c>
      <c r="I3626">
        <v>4.0999999999999996</v>
      </c>
      <c r="J3626">
        <v>14</v>
      </c>
      <c r="K3626">
        <v>7</v>
      </c>
      <c r="L3626" s="4">
        <v>176.46511627906975</v>
      </c>
      <c r="M3626" s="4">
        <v>24.705116279069756</v>
      </c>
      <c r="N3626" t="s">
        <v>95</v>
      </c>
    </row>
    <row r="3627" spans="1:14">
      <c r="A3627">
        <v>3626</v>
      </c>
      <c r="B3627">
        <v>47</v>
      </c>
      <c r="C3627" t="s">
        <v>16</v>
      </c>
      <c r="D3627" t="s">
        <v>25</v>
      </c>
      <c r="E3627" t="s">
        <v>57</v>
      </c>
      <c r="F3627">
        <v>56.84</v>
      </c>
      <c r="G3627" t="s">
        <v>31</v>
      </c>
      <c r="H3627" t="s">
        <v>15</v>
      </c>
      <c r="I3627">
        <v>3.7</v>
      </c>
      <c r="J3627">
        <v>10</v>
      </c>
      <c r="K3627">
        <v>5</v>
      </c>
      <c r="L3627" s="4">
        <v>63.155555555555559</v>
      </c>
      <c r="M3627" s="4">
        <v>6.3155555555555551</v>
      </c>
      <c r="N3627" t="s">
        <v>93</v>
      </c>
    </row>
    <row r="3628" spans="1:14">
      <c r="A3628">
        <v>3627</v>
      </c>
      <c r="B3628">
        <v>66</v>
      </c>
      <c r="C3628" t="s">
        <v>11</v>
      </c>
      <c r="D3628" t="s">
        <v>33</v>
      </c>
      <c r="E3628" t="s">
        <v>38</v>
      </c>
      <c r="F3628">
        <v>228.84</v>
      </c>
      <c r="G3628" t="s">
        <v>19</v>
      </c>
      <c r="H3628" t="s">
        <v>15</v>
      </c>
      <c r="I3628">
        <v>4.0999999999999996</v>
      </c>
      <c r="J3628">
        <v>14</v>
      </c>
      <c r="K3628">
        <v>2</v>
      </c>
      <c r="L3628" s="4">
        <v>266.09302325581399</v>
      </c>
      <c r="M3628" s="4">
        <v>37.253023255813986</v>
      </c>
      <c r="N3628" t="s">
        <v>95</v>
      </c>
    </row>
    <row r="3629" spans="1:14">
      <c r="A3629">
        <v>3628</v>
      </c>
      <c r="B3629">
        <v>53</v>
      </c>
      <c r="C3629" t="s">
        <v>11</v>
      </c>
      <c r="D3629" t="s">
        <v>33</v>
      </c>
      <c r="E3629" t="s">
        <v>40</v>
      </c>
      <c r="F3629">
        <v>130.81</v>
      </c>
      <c r="G3629" t="s">
        <v>31</v>
      </c>
      <c r="H3629" t="s">
        <v>15</v>
      </c>
      <c r="I3629">
        <v>3.8</v>
      </c>
      <c r="J3629">
        <v>16</v>
      </c>
      <c r="K3629">
        <v>8</v>
      </c>
      <c r="L3629" s="4">
        <v>155.72619047619048</v>
      </c>
      <c r="M3629" s="4">
        <v>24.916190476190479</v>
      </c>
      <c r="N3629" t="s">
        <v>93</v>
      </c>
    </row>
    <row r="3630" spans="1:14">
      <c r="A3630">
        <v>3629</v>
      </c>
      <c r="B3630">
        <v>57</v>
      </c>
      <c r="C3630" t="s">
        <v>16</v>
      </c>
      <c r="D3630" t="s">
        <v>33</v>
      </c>
      <c r="E3630" t="s">
        <v>34</v>
      </c>
      <c r="F3630">
        <v>65.53</v>
      </c>
      <c r="G3630" t="s">
        <v>31</v>
      </c>
      <c r="H3630" t="s">
        <v>37</v>
      </c>
      <c r="I3630">
        <v>3.9</v>
      </c>
      <c r="J3630">
        <v>17</v>
      </c>
      <c r="K3630">
        <v>6</v>
      </c>
      <c r="L3630" s="4">
        <v>78.951807228915669</v>
      </c>
      <c r="M3630" s="4">
        <v>13.421807228915668</v>
      </c>
      <c r="N3630" t="s">
        <v>94</v>
      </c>
    </row>
    <row r="3631" spans="1:14">
      <c r="A3631">
        <v>3630</v>
      </c>
      <c r="B3631">
        <v>60</v>
      </c>
      <c r="C3631" t="s">
        <v>11</v>
      </c>
      <c r="D3631" t="s">
        <v>12</v>
      </c>
      <c r="E3631" t="s">
        <v>50</v>
      </c>
      <c r="F3631">
        <v>86.31</v>
      </c>
      <c r="G3631" t="s">
        <v>19</v>
      </c>
      <c r="H3631" t="s">
        <v>15</v>
      </c>
      <c r="I3631">
        <v>4.4000000000000004</v>
      </c>
      <c r="J3631">
        <v>13</v>
      </c>
      <c r="K3631">
        <v>4</v>
      </c>
      <c r="L3631" s="4">
        <v>99.206896551724142</v>
      </c>
      <c r="M3631" s="4">
        <v>12.89689655172414</v>
      </c>
      <c r="N3631" t="s">
        <v>94</v>
      </c>
    </row>
    <row r="3632" spans="1:14">
      <c r="A3632">
        <v>3631</v>
      </c>
      <c r="B3632">
        <v>31</v>
      </c>
      <c r="C3632" t="s">
        <v>16</v>
      </c>
      <c r="D3632" t="s">
        <v>20</v>
      </c>
      <c r="E3632" t="s">
        <v>36</v>
      </c>
      <c r="F3632">
        <v>204.19</v>
      </c>
      <c r="G3632" t="s">
        <v>24</v>
      </c>
      <c r="H3632" t="s">
        <v>15</v>
      </c>
      <c r="I3632">
        <v>3.4</v>
      </c>
      <c r="J3632">
        <v>18</v>
      </c>
      <c r="K3632">
        <v>4</v>
      </c>
      <c r="L3632" s="4">
        <v>249.01219512195121</v>
      </c>
      <c r="M3632" s="4">
        <v>44.822195121951211</v>
      </c>
      <c r="N3632" t="s">
        <v>91</v>
      </c>
    </row>
    <row r="3633" spans="1:14">
      <c r="A3633">
        <v>3632</v>
      </c>
      <c r="B3633">
        <v>68</v>
      </c>
      <c r="C3633" t="s">
        <v>16</v>
      </c>
      <c r="D3633" t="s">
        <v>22</v>
      </c>
      <c r="E3633" t="s">
        <v>23</v>
      </c>
      <c r="F3633">
        <v>289.19</v>
      </c>
      <c r="G3633" t="s">
        <v>24</v>
      </c>
      <c r="H3633" t="s">
        <v>15</v>
      </c>
      <c r="I3633">
        <v>3.5</v>
      </c>
      <c r="J3633">
        <v>9</v>
      </c>
      <c r="K3633">
        <v>2</v>
      </c>
      <c r="L3633" s="4">
        <v>317.79120879120876</v>
      </c>
      <c r="M3633" s="4">
        <v>28.601208791208762</v>
      </c>
      <c r="N3633" t="s">
        <v>95</v>
      </c>
    </row>
    <row r="3634" spans="1:14">
      <c r="A3634">
        <v>3633</v>
      </c>
      <c r="B3634">
        <v>54</v>
      </c>
      <c r="C3634" t="s">
        <v>16</v>
      </c>
      <c r="D3634" t="s">
        <v>20</v>
      </c>
      <c r="E3634" t="s">
        <v>21</v>
      </c>
      <c r="F3634">
        <v>158.37</v>
      </c>
      <c r="G3634" t="s">
        <v>31</v>
      </c>
      <c r="H3634" t="s">
        <v>15</v>
      </c>
      <c r="I3634">
        <v>2.2999999999999998</v>
      </c>
      <c r="J3634">
        <v>12</v>
      </c>
      <c r="K3634">
        <v>6</v>
      </c>
      <c r="L3634" s="4">
        <v>179.96590909090909</v>
      </c>
      <c r="M3634" s="4">
        <v>21.595909090909089</v>
      </c>
      <c r="N3634" t="s">
        <v>93</v>
      </c>
    </row>
    <row r="3635" spans="1:14">
      <c r="A3635">
        <v>3634</v>
      </c>
      <c r="B3635">
        <v>47</v>
      </c>
      <c r="C3635" t="s">
        <v>11</v>
      </c>
      <c r="D3635" t="s">
        <v>41</v>
      </c>
      <c r="E3635" t="s">
        <v>46</v>
      </c>
      <c r="F3635">
        <v>71.25</v>
      </c>
      <c r="G3635" t="s">
        <v>31</v>
      </c>
      <c r="H3635" t="s">
        <v>37</v>
      </c>
      <c r="I3635">
        <v>3.8</v>
      </c>
      <c r="J3635">
        <v>26</v>
      </c>
      <c r="K3635">
        <v>8</v>
      </c>
      <c r="L3635" s="4">
        <v>96.28378378378379</v>
      </c>
      <c r="M3635" s="4">
        <v>25.03378378378379</v>
      </c>
      <c r="N3635" t="s">
        <v>93</v>
      </c>
    </row>
    <row r="3636" spans="1:14">
      <c r="A3636">
        <v>3635</v>
      </c>
      <c r="B3636">
        <v>62</v>
      </c>
      <c r="C3636" t="s">
        <v>11</v>
      </c>
      <c r="D3636" t="s">
        <v>12</v>
      </c>
      <c r="E3636" t="s">
        <v>13</v>
      </c>
      <c r="F3636">
        <v>176.49</v>
      </c>
      <c r="G3636" t="s">
        <v>14</v>
      </c>
      <c r="H3636" t="s">
        <v>15</v>
      </c>
      <c r="I3636">
        <v>3.4</v>
      </c>
      <c r="J3636">
        <v>16</v>
      </c>
      <c r="K3636">
        <v>8</v>
      </c>
      <c r="L3636" s="4">
        <v>210.10714285714289</v>
      </c>
      <c r="M3636" s="4">
        <v>33.617142857142881</v>
      </c>
      <c r="N3636" t="s">
        <v>94</v>
      </c>
    </row>
    <row r="3637" spans="1:14">
      <c r="A3637">
        <v>3636</v>
      </c>
      <c r="B3637">
        <v>33</v>
      </c>
      <c r="C3637" t="s">
        <v>11</v>
      </c>
      <c r="D3637" t="s">
        <v>33</v>
      </c>
      <c r="E3637" t="s">
        <v>38</v>
      </c>
      <c r="F3637">
        <v>60.85</v>
      </c>
      <c r="G3637" t="s">
        <v>14</v>
      </c>
      <c r="H3637" t="s">
        <v>37</v>
      </c>
      <c r="I3637">
        <v>3.3</v>
      </c>
      <c r="J3637">
        <v>12</v>
      </c>
      <c r="K3637">
        <v>6</v>
      </c>
      <c r="L3637" s="4">
        <v>69.14772727272728</v>
      </c>
      <c r="M3637" s="4">
        <v>8.2977272727272791</v>
      </c>
      <c r="N3637" t="s">
        <v>91</v>
      </c>
    </row>
    <row r="3638" spans="1:14">
      <c r="A3638">
        <v>3637</v>
      </c>
      <c r="B3638">
        <v>40</v>
      </c>
      <c r="C3638" t="s">
        <v>16</v>
      </c>
      <c r="D3638" t="s">
        <v>33</v>
      </c>
      <c r="E3638" t="s">
        <v>34</v>
      </c>
      <c r="F3638">
        <v>235.85</v>
      </c>
      <c r="G3638" t="s">
        <v>14</v>
      </c>
      <c r="H3638" t="s">
        <v>15</v>
      </c>
      <c r="I3638">
        <v>4.0999999999999996</v>
      </c>
      <c r="J3638">
        <v>30</v>
      </c>
      <c r="K3638">
        <v>10</v>
      </c>
      <c r="L3638" s="4">
        <v>336.92857142857144</v>
      </c>
      <c r="M3638" s="4">
        <v>101.07857142857145</v>
      </c>
      <c r="N3638" t="s">
        <v>92</v>
      </c>
    </row>
    <row r="3639" spans="1:14">
      <c r="A3639">
        <v>3638</v>
      </c>
      <c r="B3639">
        <v>66</v>
      </c>
      <c r="C3639" t="s">
        <v>16</v>
      </c>
      <c r="D3639" t="s">
        <v>27</v>
      </c>
      <c r="E3639" t="s">
        <v>32</v>
      </c>
      <c r="F3639">
        <v>1417.24</v>
      </c>
      <c r="G3639" t="s">
        <v>24</v>
      </c>
      <c r="H3639" t="s">
        <v>15</v>
      </c>
      <c r="I3639">
        <v>3.3</v>
      </c>
      <c r="J3639">
        <v>23</v>
      </c>
      <c r="K3639">
        <v>9</v>
      </c>
      <c r="L3639" s="4">
        <v>1840.5714285714284</v>
      </c>
      <c r="M3639" s="4">
        <v>423.33142857142843</v>
      </c>
      <c r="N3639" t="s">
        <v>95</v>
      </c>
    </row>
    <row r="3640" spans="1:14">
      <c r="A3640">
        <v>3639</v>
      </c>
      <c r="B3640">
        <v>39</v>
      </c>
      <c r="C3640" t="s">
        <v>11</v>
      </c>
      <c r="D3640" t="s">
        <v>41</v>
      </c>
      <c r="E3640" t="s">
        <v>42</v>
      </c>
      <c r="F3640">
        <v>119.67</v>
      </c>
      <c r="G3640" t="s">
        <v>24</v>
      </c>
      <c r="H3640" t="s">
        <v>15</v>
      </c>
      <c r="I3640">
        <v>4.3</v>
      </c>
      <c r="J3640">
        <v>13</v>
      </c>
      <c r="K3640">
        <v>4</v>
      </c>
      <c r="L3640" s="4">
        <v>137.55172413793105</v>
      </c>
      <c r="M3640" s="4">
        <v>17.881724137931045</v>
      </c>
      <c r="N3640" t="s">
        <v>92</v>
      </c>
    </row>
    <row r="3641" spans="1:14">
      <c r="A3641">
        <v>3640</v>
      </c>
      <c r="B3641">
        <v>63</v>
      </c>
      <c r="C3641" t="s">
        <v>11</v>
      </c>
      <c r="D3641" t="s">
        <v>41</v>
      </c>
      <c r="E3641" t="s">
        <v>46</v>
      </c>
      <c r="F3641">
        <v>77.59</v>
      </c>
      <c r="G3641" t="s">
        <v>31</v>
      </c>
      <c r="H3641" t="s">
        <v>15</v>
      </c>
      <c r="I3641">
        <v>4.5</v>
      </c>
      <c r="J3641">
        <v>18</v>
      </c>
      <c r="K3641">
        <v>4</v>
      </c>
      <c r="L3641" s="4">
        <v>94.621951219512198</v>
      </c>
      <c r="M3641" s="4">
        <v>17.031951219512194</v>
      </c>
      <c r="N3641" t="s">
        <v>94</v>
      </c>
    </row>
    <row r="3642" spans="1:14">
      <c r="A3642">
        <v>3641</v>
      </c>
      <c r="B3642">
        <v>57</v>
      </c>
      <c r="C3642" t="s">
        <v>11</v>
      </c>
      <c r="D3642" t="s">
        <v>33</v>
      </c>
      <c r="E3642" t="s">
        <v>40</v>
      </c>
      <c r="F3642">
        <v>176.39</v>
      </c>
      <c r="G3642" t="s">
        <v>24</v>
      </c>
      <c r="H3642" t="s">
        <v>15</v>
      </c>
      <c r="I3642">
        <v>5</v>
      </c>
      <c r="J3642">
        <v>6</v>
      </c>
      <c r="K3642">
        <v>3</v>
      </c>
      <c r="L3642" s="4">
        <v>187.64893617021275</v>
      </c>
      <c r="M3642" s="4">
        <v>11.258936170212763</v>
      </c>
      <c r="N3642" t="s">
        <v>94</v>
      </c>
    </row>
    <row r="3643" spans="1:14">
      <c r="A3643">
        <v>3642</v>
      </c>
      <c r="B3643">
        <v>50</v>
      </c>
      <c r="C3643" t="s">
        <v>16</v>
      </c>
      <c r="D3643" t="s">
        <v>27</v>
      </c>
      <c r="E3643" t="s">
        <v>53</v>
      </c>
      <c r="F3643">
        <v>2463.27</v>
      </c>
      <c r="G3643" t="s">
        <v>14</v>
      </c>
      <c r="H3643" t="s">
        <v>15</v>
      </c>
      <c r="I3643">
        <v>3.7</v>
      </c>
      <c r="J3643">
        <v>20</v>
      </c>
      <c r="K3643">
        <v>5</v>
      </c>
      <c r="L3643" s="4">
        <v>3079.0874999999996</v>
      </c>
      <c r="M3643" s="4">
        <v>615.81749999999965</v>
      </c>
      <c r="N3643" t="s">
        <v>93</v>
      </c>
    </row>
    <row r="3644" spans="1:14">
      <c r="A3644">
        <v>3643</v>
      </c>
      <c r="B3644">
        <v>65</v>
      </c>
      <c r="C3644" t="s">
        <v>16</v>
      </c>
      <c r="D3644" t="s">
        <v>20</v>
      </c>
      <c r="E3644" t="s">
        <v>21</v>
      </c>
      <c r="F3644">
        <v>210.26</v>
      </c>
      <c r="G3644" t="s">
        <v>31</v>
      </c>
      <c r="H3644" t="s">
        <v>15</v>
      </c>
      <c r="I3644">
        <v>4.5</v>
      </c>
      <c r="J3644">
        <v>19</v>
      </c>
      <c r="K3644">
        <v>7</v>
      </c>
      <c r="L3644" s="4">
        <v>259.5802469135802</v>
      </c>
      <c r="M3644" s="4">
        <v>49.320246913580206</v>
      </c>
      <c r="N3644" t="s">
        <v>95</v>
      </c>
    </row>
    <row r="3645" spans="1:14">
      <c r="A3645">
        <v>3644</v>
      </c>
      <c r="B3645">
        <v>43</v>
      </c>
      <c r="C3645" t="s">
        <v>16</v>
      </c>
      <c r="D3645" t="s">
        <v>33</v>
      </c>
      <c r="E3645" t="s">
        <v>40</v>
      </c>
      <c r="F3645">
        <v>43.08</v>
      </c>
      <c r="G3645" t="s">
        <v>14</v>
      </c>
      <c r="H3645" t="s">
        <v>37</v>
      </c>
      <c r="I3645">
        <v>3.3</v>
      </c>
      <c r="J3645">
        <v>24</v>
      </c>
      <c r="K3645">
        <v>7</v>
      </c>
      <c r="L3645" s="4">
        <v>56.684210526315788</v>
      </c>
      <c r="M3645" s="4">
        <v>13.604210526315789</v>
      </c>
      <c r="N3645" t="s">
        <v>92</v>
      </c>
    </row>
    <row r="3646" spans="1:14">
      <c r="A3646">
        <v>3645</v>
      </c>
      <c r="B3646">
        <v>66</v>
      </c>
      <c r="C3646" t="s">
        <v>16</v>
      </c>
      <c r="D3646" t="s">
        <v>27</v>
      </c>
      <c r="E3646" t="s">
        <v>49</v>
      </c>
      <c r="F3646">
        <v>2061.67</v>
      </c>
      <c r="G3646" t="s">
        <v>24</v>
      </c>
      <c r="H3646" t="s">
        <v>15</v>
      </c>
      <c r="I3646">
        <v>3.8</v>
      </c>
      <c r="J3646">
        <v>11</v>
      </c>
      <c r="K3646">
        <v>3</v>
      </c>
      <c r="L3646" s="4">
        <v>2316.4831460674159</v>
      </c>
      <c r="M3646" s="4">
        <v>254.8131460674158</v>
      </c>
      <c r="N3646" t="s">
        <v>95</v>
      </c>
    </row>
    <row r="3647" spans="1:14">
      <c r="A3647">
        <v>3646</v>
      </c>
      <c r="B3647">
        <v>54</v>
      </c>
      <c r="C3647" t="s">
        <v>11</v>
      </c>
      <c r="D3647" t="s">
        <v>29</v>
      </c>
      <c r="E3647" t="s">
        <v>55</v>
      </c>
      <c r="F3647">
        <v>116.1</v>
      </c>
      <c r="G3647" t="s">
        <v>14</v>
      </c>
      <c r="H3647" t="s">
        <v>15</v>
      </c>
      <c r="I3647">
        <v>3.3</v>
      </c>
      <c r="J3647">
        <v>11</v>
      </c>
      <c r="K3647">
        <v>3</v>
      </c>
      <c r="L3647" s="4">
        <v>130.44943820224719</v>
      </c>
      <c r="M3647" s="4">
        <v>14.3494382022472</v>
      </c>
      <c r="N3647" t="s">
        <v>93</v>
      </c>
    </row>
    <row r="3648" spans="1:14">
      <c r="A3648">
        <v>3647</v>
      </c>
      <c r="B3648">
        <v>21</v>
      </c>
      <c r="C3648" t="s">
        <v>11</v>
      </c>
      <c r="D3648" t="s">
        <v>12</v>
      </c>
      <c r="E3648" t="s">
        <v>56</v>
      </c>
      <c r="F3648">
        <v>74.010000000000005</v>
      </c>
      <c r="G3648" t="s">
        <v>14</v>
      </c>
      <c r="H3648" t="s">
        <v>15</v>
      </c>
      <c r="I3648">
        <v>4.0999999999999996</v>
      </c>
      <c r="J3648">
        <v>22</v>
      </c>
      <c r="K3648">
        <v>6</v>
      </c>
      <c r="L3648" s="4">
        <v>94.884615384615387</v>
      </c>
      <c r="M3648" s="4">
        <v>20.874615384615382</v>
      </c>
      <c r="N3648" t="s">
        <v>100</v>
      </c>
    </row>
    <row r="3649" spans="1:14">
      <c r="A3649">
        <v>3648</v>
      </c>
      <c r="B3649">
        <v>49</v>
      </c>
      <c r="C3649" t="s">
        <v>11</v>
      </c>
      <c r="D3649" t="s">
        <v>25</v>
      </c>
      <c r="E3649" t="s">
        <v>26</v>
      </c>
      <c r="F3649">
        <v>63.04</v>
      </c>
      <c r="G3649" t="s">
        <v>24</v>
      </c>
      <c r="H3649" t="s">
        <v>15</v>
      </c>
      <c r="I3649">
        <v>3.5</v>
      </c>
      <c r="J3649">
        <v>22</v>
      </c>
      <c r="K3649">
        <v>6</v>
      </c>
      <c r="L3649" s="4">
        <v>80.820512820512818</v>
      </c>
      <c r="M3649" s="4">
        <v>17.780512820512818</v>
      </c>
      <c r="N3649" t="s">
        <v>93</v>
      </c>
    </row>
    <row r="3650" spans="1:14">
      <c r="A3650">
        <v>3649</v>
      </c>
      <c r="B3650">
        <v>41</v>
      </c>
      <c r="C3650" t="s">
        <v>16</v>
      </c>
      <c r="D3650" t="s">
        <v>17</v>
      </c>
      <c r="E3650" t="s">
        <v>42</v>
      </c>
      <c r="F3650">
        <v>52.63</v>
      </c>
      <c r="G3650" t="s">
        <v>24</v>
      </c>
      <c r="H3650" t="s">
        <v>37</v>
      </c>
      <c r="I3650">
        <v>4.4000000000000004</v>
      </c>
      <c r="J3650">
        <v>16</v>
      </c>
      <c r="K3650">
        <v>3</v>
      </c>
      <c r="L3650" s="4">
        <v>62.654761904761912</v>
      </c>
      <c r="M3650" s="4">
        <v>10.02476190476191</v>
      </c>
      <c r="N3650" t="s">
        <v>92</v>
      </c>
    </row>
    <row r="3651" spans="1:14">
      <c r="A3651">
        <v>3650</v>
      </c>
      <c r="B3651">
        <v>51</v>
      </c>
      <c r="C3651" t="s">
        <v>16</v>
      </c>
      <c r="D3651" t="s">
        <v>17</v>
      </c>
      <c r="E3651" t="s">
        <v>18</v>
      </c>
      <c r="F3651">
        <v>159.5</v>
      </c>
      <c r="G3651" t="s">
        <v>19</v>
      </c>
      <c r="H3651" t="s">
        <v>15</v>
      </c>
      <c r="I3651">
        <v>4.3</v>
      </c>
      <c r="J3651">
        <v>22</v>
      </c>
      <c r="K3651">
        <v>6</v>
      </c>
      <c r="L3651" s="4">
        <v>204.48717948717947</v>
      </c>
      <c r="M3651" s="4">
        <v>44.987179487179475</v>
      </c>
      <c r="N3651" t="s">
        <v>93</v>
      </c>
    </row>
    <row r="3652" spans="1:14">
      <c r="A3652">
        <v>3651</v>
      </c>
      <c r="B3652">
        <v>63</v>
      </c>
      <c r="C3652" t="s">
        <v>11</v>
      </c>
      <c r="D3652" t="s">
        <v>41</v>
      </c>
      <c r="E3652" t="s">
        <v>44</v>
      </c>
      <c r="F3652">
        <v>128.85</v>
      </c>
      <c r="G3652" t="s">
        <v>24</v>
      </c>
      <c r="H3652" t="s">
        <v>15</v>
      </c>
      <c r="I3652">
        <v>2.9</v>
      </c>
      <c r="J3652">
        <v>11</v>
      </c>
      <c r="K3652">
        <v>3</v>
      </c>
      <c r="L3652" s="4">
        <v>144.77528089887639</v>
      </c>
      <c r="M3652" s="4">
        <v>15.925280898876395</v>
      </c>
      <c r="N3652" t="s">
        <v>94</v>
      </c>
    </row>
    <row r="3653" spans="1:14">
      <c r="A3653">
        <v>3652</v>
      </c>
      <c r="B3653">
        <v>29</v>
      </c>
      <c r="C3653" t="s">
        <v>16</v>
      </c>
      <c r="D3653" t="s">
        <v>20</v>
      </c>
      <c r="E3653" t="s">
        <v>39</v>
      </c>
      <c r="F3653">
        <v>206.04</v>
      </c>
      <c r="G3653" t="s">
        <v>31</v>
      </c>
      <c r="H3653" t="s">
        <v>15</v>
      </c>
      <c r="I3653">
        <v>3.5</v>
      </c>
      <c r="J3653">
        <v>20</v>
      </c>
      <c r="K3653">
        <v>5</v>
      </c>
      <c r="L3653" s="4">
        <v>257.54999999999995</v>
      </c>
      <c r="M3653" s="4">
        <v>51.509999999999962</v>
      </c>
      <c r="N3653" t="s">
        <v>91</v>
      </c>
    </row>
    <row r="3654" spans="1:14">
      <c r="A3654">
        <v>3653</v>
      </c>
      <c r="B3654">
        <v>68</v>
      </c>
      <c r="C3654" t="s">
        <v>11</v>
      </c>
      <c r="D3654" t="s">
        <v>33</v>
      </c>
      <c r="E3654" t="s">
        <v>38</v>
      </c>
      <c r="F3654">
        <v>86.55</v>
      </c>
      <c r="G3654" t="s">
        <v>31</v>
      </c>
      <c r="H3654" t="s">
        <v>15</v>
      </c>
      <c r="I3654">
        <v>5</v>
      </c>
      <c r="J3654">
        <v>28</v>
      </c>
      <c r="K3654">
        <v>9</v>
      </c>
      <c r="L3654" s="4">
        <v>120.20833333333333</v>
      </c>
      <c r="M3654" s="4">
        <v>33.658333333333331</v>
      </c>
      <c r="N3654" t="s">
        <v>95</v>
      </c>
    </row>
    <row r="3655" spans="1:14">
      <c r="A3655">
        <v>3654</v>
      </c>
      <c r="B3655">
        <v>63</v>
      </c>
      <c r="C3655" t="s">
        <v>16</v>
      </c>
      <c r="D3655" t="s">
        <v>20</v>
      </c>
      <c r="E3655" t="s">
        <v>36</v>
      </c>
      <c r="F3655">
        <v>138.76</v>
      </c>
      <c r="G3655" t="s">
        <v>19</v>
      </c>
      <c r="H3655" t="s">
        <v>15</v>
      </c>
      <c r="I3655">
        <v>3.5</v>
      </c>
      <c r="J3655">
        <v>17</v>
      </c>
      <c r="K3655">
        <v>6</v>
      </c>
      <c r="L3655" s="4">
        <v>167.18072289156626</v>
      </c>
      <c r="M3655" s="4">
        <v>28.420722891566271</v>
      </c>
      <c r="N3655" t="s">
        <v>94</v>
      </c>
    </row>
    <row r="3656" spans="1:14">
      <c r="A3656">
        <v>3655</v>
      </c>
      <c r="B3656">
        <v>49</v>
      </c>
      <c r="C3656" t="s">
        <v>11</v>
      </c>
      <c r="D3656" t="s">
        <v>41</v>
      </c>
      <c r="E3656" t="s">
        <v>44</v>
      </c>
      <c r="F3656">
        <v>45.93</v>
      </c>
      <c r="G3656" t="s">
        <v>19</v>
      </c>
      <c r="H3656" t="s">
        <v>15</v>
      </c>
      <c r="I3656">
        <v>5</v>
      </c>
      <c r="J3656">
        <v>22</v>
      </c>
      <c r="K3656">
        <v>6</v>
      </c>
      <c r="L3656" s="4">
        <v>58.88461538461538</v>
      </c>
      <c r="M3656" s="4">
        <v>12.95461538461538</v>
      </c>
      <c r="N3656" t="s">
        <v>93</v>
      </c>
    </row>
    <row r="3657" spans="1:14">
      <c r="A3657">
        <v>3656</v>
      </c>
      <c r="B3657">
        <v>56</v>
      </c>
      <c r="C3657" t="s">
        <v>11</v>
      </c>
      <c r="D3657" t="s">
        <v>41</v>
      </c>
      <c r="E3657" t="s">
        <v>42</v>
      </c>
      <c r="F3657">
        <v>80.56</v>
      </c>
      <c r="G3657" t="s">
        <v>14</v>
      </c>
      <c r="H3657" t="s">
        <v>15</v>
      </c>
      <c r="I3657">
        <v>3.5</v>
      </c>
      <c r="J3657">
        <v>14</v>
      </c>
      <c r="K3657">
        <v>7</v>
      </c>
      <c r="L3657" s="4">
        <v>93.674418604651166</v>
      </c>
      <c r="M3657" s="4">
        <v>13.114418604651163</v>
      </c>
      <c r="N3657" t="s">
        <v>94</v>
      </c>
    </row>
    <row r="3658" spans="1:14">
      <c r="A3658">
        <v>3657</v>
      </c>
      <c r="B3658">
        <v>42</v>
      </c>
      <c r="C3658" t="s">
        <v>16</v>
      </c>
      <c r="D3658" t="s">
        <v>22</v>
      </c>
      <c r="E3658" t="s">
        <v>52</v>
      </c>
      <c r="F3658">
        <v>133.91</v>
      </c>
      <c r="G3658" t="s">
        <v>31</v>
      </c>
      <c r="H3658" t="s">
        <v>15</v>
      </c>
      <c r="I3658">
        <v>3.9</v>
      </c>
      <c r="J3658">
        <v>18</v>
      </c>
      <c r="K3658">
        <v>4</v>
      </c>
      <c r="L3658" s="4">
        <v>163.30487804878047</v>
      </c>
      <c r="M3658" s="4">
        <v>29.39487804878047</v>
      </c>
      <c r="N3658" t="s">
        <v>92</v>
      </c>
    </row>
    <row r="3659" spans="1:14">
      <c r="A3659">
        <v>3658</v>
      </c>
      <c r="B3659">
        <v>34</v>
      </c>
      <c r="C3659" t="s">
        <v>16</v>
      </c>
      <c r="D3659" t="s">
        <v>27</v>
      </c>
      <c r="E3659" t="s">
        <v>49</v>
      </c>
      <c r="F3659">
        <v>739.02</v>
      </c>
      <c r="G3659" t="s">
        <v>14</v>
      </c>
      <c r="H3659" t="s">
        <v>15</v>
      </c>
      <c r="I3659">
        <v>4.3</v>
      </c>
      <c r="J3659">
        <v>30</v>
      </c>
      <c r="K3659">
        <v>10</v>
      </c>
      <c r="L3659" s="4">
        <v>1055.7428571428572</v>
      </c>
      <c r="M3659" s="4">
        <v>316.72285714285726</v>
      </c>
      <c r="N3659" t="s">
        <v>91</v>
      </c>
    </row>
    <row r="3660" spans="1:14">
      <c r="A3660">
        <v>3659</v>
      </c>
      <c r="B3660">
        <v>49</v>
      </c>
      <c r="C3660" t="s">
        <v>16</v>
      </c>
      <c r="D3660" t="s">
        <v>20</v>
      </c>
      <c r="E3660" t="s">
        <v>21</v>
      </c>
      <c r="F3660">
        <v>245.64</v>
      </c>
      <c r="G3660" t="s">
        <v>24</v>
      </c>
      <c r="H3660" t="s">
        <v>15</v>
      </c>
      <c r="I3660">
        <v>4.0999999999999996</v>
      </c>
      <c r="J3660">
        <v>15</v>
      </c>
      <c r="K3660">
        <v>5</v>
      </c>
      <c r="L3660" s="4">
        <v>288.98823529411766</v>
      </c>
      <c r="M3660" s="4">
        <v>43.348235294117671</v>
      </c>
      <c r="N3660" t="s">
        <v>93</v>
      </c>
    </row>
    <row r="3661" spans="1:14">
      <c r="A3661">
        <v>3660</v>
      </c>
      <c r="B3661">
        <v>38</v>
      </c>
      <c r="C3661" t="s">
        <v>16</v>
      </c>
      <c r="D3661" t="s">
        <v>17</v>
      </c>
      <c r="E3661" t="s">
        <v>42</v>
      </c>
      <c r="F3661">
        <v>75.67</v>
      </c>
      <c r="G3661" t="s">
        <v>24</v>
      </c>
      <c r="H3661" t="s">
        <v>37</v>
      </c>
      <c r="I3661">
        <v>3.8</v>
      </c>
      <c r="J3661">
        <v>15</v>
      </c>
      <c r="K3661">
        <v>5</v>
      </c>
      <c r="L3661" s="4">
        <v>89.023529411764713</v>
      </c>
      <c r="M3661" s="4">
        <v>13.353529411764711</v>
      </c>
      <c r="N3661" t="s">
        <v>92</v>
      </c>
    </row>
    <row r="3662" spans="1:14">
      <c r="A3662">
        <v>3661</v>
      </c>
      <c r="B3662">
        <v>51</v>
      </c>
      <c r="C3662" t="s">
        <v>11</v>
      </c>
      <c r="D3662" t="s">
        <v>12</v>
      </c>
      <c r="E3662" t="s">
        <v>56</v>
      </c>
      <c r="F3662">
        <v>102.13</v>
      </c>
      <c r="G3662" t="s">
        <v>31</v>
      </c>
      <c r="H3662" t="s">
        <v>15</v>
      </c>
      <c r="I3662">
        <v>4.0999999999999996</v>
      </c>
      <c r="J3662">
        <v>12</v>
      </c>
      <c r="K3662">
        <v>6</v>
      </c>
      <c r="L3662" s="4">
        <v>116.05681818181817</v>
      </c>
      <c r="M3662" s="4">
        <v>13.926818181818177</v>
      </c>
      <c r="N3662" t="s">
        <v>93</v>
      </c>
    </row>
    <row r="3663" spans="1:14">
      <c r="A3663">
        <v>3662</v>
      </c>
      <c r="B3663">
        <v>50</v>
      </c>
      <c r="C3663" t="s">
        <v>11</v>
      </c>
      <c r="D3663" t="s">
        <v>41</v>
      </c>
      <c r="E3663" t="s">
        <v>42</v>
      </c>
      <c r="F3663">
        <v>193.62</v>
      </c>
      <c r="G3663" t="s">
        <v>14</v>
      </c>
      <c r="H3663" t="s">
        <v>15</v>
      </c>
      <c r="I3663">
        <v>2.9</v>
      </c>
      <c r="J3663">
        <v>19</v>
      </c>
      <c r="K3663">
        <v>7</v>
      </c>
      <c r="L3663" s="4">
        <v>239.03703703703704</v>
      </c>
      <c r="M3663" s="4">
        <v>45.417037037037034</v>
      </c>
      <c r="N3663" t="s">
        <v>93</v>
      </c>
    </row>
    <row r="3664" spans="1:14">
      <c r="A3664">
        <v>3663</v>
      </c>
      <c r="B3664">
        <v>27</v>
      </c>
      <c r="C3664" t="s">
        <v>16</v>
      </c>
      <c r="D3664" t="s">
        <v>17</v>
      </c>
      <c r="E3664" t="s">
        <v>48</v>
      </c>
      <c r="F3664">
        <v>154.24</v>
      </c>
      <c r="G3664" t="s">
        <v>31</v>
      </c>
      <c r="H3664" t="s">
        <v>15</v>
      </c>
      <c r="I3664">
        <v>4.2</v>
      </c>
      <c r="J3664">
        <v>22</v>
      </c>
      <c r="K3664">
        <v>6</v>
      </c>
      <c r="L3664" s="4">
        <v>197.74358974358975</v>
      </c>
      <c r="M3664" s="4">
        <v>43.503589743589743</v>
      </c>
      <c r="N3664" t="s">
        <v>91</v>
      </c>
    </row>
    <row r="3665" spans="1:14">
      <c r="A3665">
        <v>3664</v>
      </c>
      <c r="B3665">
        <v>40</v>
      </c>
      <c r="C3665" t="s">
        <v>16</v>
      </c>
      <c r="D3665" t="s">
        <v>33</v>
      </c>
      <c r="E3665" t="s">
        <v>34</v>
      </c>
      <c r="F3665">
        <v>70.38</v>
      </c>
      <c r="G3665" t="s">
        <v>31</v>
      </c>
      <c r="H3665" t="s">
        <v>15</v>
      </c>
      <c r="I3665">
        <v>4.3</v>
      </c>
      <c r="J3665">
        <v>21</v>
      </c>
      <c r="K3665">
        <v>8</v>
      </c>
      <c r="L3665" s="4">
        <v>89.088607594936704</v>
      </c>
      <c r="M3665" s="4">
        <v>18.708607594936709</v>
      </c>
      <c r="N3665" t="s">
        <v>92</v>
      </c>
    </row>
    <row r="3666" spans="1:14">
      <c r="A3666">
        <v>3665</v>
      </c>
      <c r="B3666">
        <v>43</v>
      </c>
      <c r="C3666" t="s">
        <v>11</v>
      </c>
      <c r="D3666" t="s">
        <v>25</v>
      </c>
      <c r="E3666" t="s">
        <v>54</v>
      </c>
      <c r="F3666">
        <v>42.5</v>
      </c>
      <c r="G3666" t="s">
        <v>31</v>
      </c>
      <c r="H3666" t="s">
        <v>37</v>
      </c>
      <c r="I3666">
        <v>2.4</v>
      </c>
      <c r="J3666">
        <v>9</v>
      </c>
      <c r="K3666">
        <v>2</v>
      </c>
      <c r="L3666" s="4">
        <v>46.703296703296701</v>
      </c>
      <c r="M3666" s="4">
        <v>4.2032967032967008</v>
      </c>
      <c r="N3666" t="s">
        <v>92</v>
      </c>
    </row>
    <row r="3667" spans="1:14">
      <c r="A3667">
        <v>3666</v>
      </c>
      <c r="B3667">
        <v>57</v>
      </c>
      <c r="C3667" t="s">
        <v>11</v>
      </c>
      <c r="D3667" t="s">
        <v>33</v>
      </c>
      <c r="E3667" t="s">
        <v>40</v>
      </c>
      <c r="F3667">
        <v>185.73</v>
      </c>
      <c r="G3667" t="s">
        <v>19</v>
      </c>
      <c r="H3667" t="s">
        <v>15</v>
      </c>
      <c r="I3667">
        <v>5</v>
      </c>
      <c r="J3667">
        <v>17</v>
      </c>
      <c r="K3667">
        <v>6</v>
      </c>
      <c r="L3667" s="4">
        <v>223.77108433734941</v>
      </c>
      <c r="M3667" s="4">
        <v>38.041084337349417</v>
      </c>
      <c r="N3667" t="s">
        <v>94</v>
      </c>
    </row>
    <row r="3668" spans="1:14">
      <c r="A3668">
        <v>3667</v>
      </c>
      <c r="B3668">
        <v>20</v>
      </c>
      <c r="C3668" t="s">
        <v>16</v>
      </c>
      <c r="D3668" t="s">
        <v>27</v>
      </c>
      <c r="E3668" t="s">
        <v>49</v>
      </c>
      <c r="F3668">
        <v>1838.94</v>
      </c>
      <c r="G3668" t="s">
        <v>24</v>
      </c>
      <c r="H3668" t="s">
        <v>15</v>
      </c>
      <c r="I3668">
        <v>3.8</v>
      </c>
      <c r="J3668">
        <v>10</v>
      </c>
      <c r="K3668">
        <v>5</v>
      </c>
      <c r="L3668" s="4">
        <v>2043.2666666666667</v>
      </c>
      <c r="M3668" s="4">
        <v>204.3266666666666</v>
      </c>
      <c r="N3668" t="s">
        <v>100</v>
      </c>
    </row>
    <row r="3669" spans="1:14">
      <c r="A3669">
        <v>3668</v>
      </c>
      <c r="B3669">
        <v>25</v>
      </c>
      <c r="C3669" t="s">
        <v>16</v>
      </c>
      <c r="D3669" t="s">
        <v>20</v>
      </c>
      <c r="E3669" t="s">
        <v>36</v>
      </c>
      <c r="F3669">
        <v>224.19</v>
      </c>
      <c r="G3669" t="s">
        <v>14</v>
      </c>
      <c r="H3669" t="s">
        <v>15</v>
      </c>
      <c r="I3669">
        <v>3.3</v>
      </c>
      <c r="J3669">
        <v>18</v>
      </c>
      <c r="K3669">
        <v>4</v>
      </c>
      <c r="L3669" s="4">
        <v>273.40243902439022</v>
      </c>
      <c r="M3669" s="4">
        <v>49.212439024390221</v>
      </c>
      <c r="N3669" t="s">
        <v>91</v>
      </c>
    </row>
    <row r="3670" spans="1:14">
      <c r="A3670">
        <v>3669</v>
      </c>
      <c r="B3670">
        <v>64</v>
      </c>
      <c r="C3670" t="s">
        <v>16</v>
      </c>
      <c r="D3670" t="s">
        <v>17</v>
      </c>
      <c r="E3670" t="s">
        <v>48</v>
      </c>
      <c r="F3670">
        <v>64.53</v>
      </c>
      <c r="G3670" t="s">
        <v>31</v>
      </c>
      <c r="H3670" t="s">
        <v>37</v>
      </c>
      <c r="I3670">
        <v>3.8</v>
      </c>
      <c r="J3670">
        <v>22</v>
      </c>
      <c r="K3670">
        <v>6</v>
      </c>
      <c r="L3670" s="4">
        <v>82.730769230769226</v>
      </c>
      <c r="M3670" s="4">
        <v>18.200769230769225</v>
      </c>
      <c r="N3670" t="s">
        <v>94</v>
      </c>
    </row>
    <row r="3671" spans="1:14">
      <c r="A3671">
        <v>3670</v>
      </c>
      <c r="B3671">
        <v>43</v>
      </c>
      <c r="C3671" t="s">
        <v>16</v>
      </c>
      <c r="D3671" t="s">
        <v>27</v>
      </c>
      <c r="E3671" t="s">
        <v>53</v>
      </c>
      <c r="F3671">
        <v>907.49</v>
      </c>
      <c r="G3671" t="s">
        <v>24</v>
      </c>
      <c r="H3671" t="s">
        <v>15</v>
      </c>
      <c r="I3671">
        <v>4.3</v>
      </c>
      <c r="J3671">
        <v>8</v>
      </c>
      <c r="K3671">
        <v>4</v>
      </c>
      <c r="L3671" s="4">
        <v>986.4021739130435</v>
      </c>
      <c r="M3671" s="4">
        <v>78.912173913043489</v>
      </c>
      <c r="N3671" t="s">
        <v>92</v>
      </c>
    </row>
    <row r="3672" spans="1:14">
      <c r="A3672">
        <v>3671</v>
      </c>
      <c r="B3672">
        <v>56</v>
      </c>
      <c r="C3672" t="s">
        <v>11</v>
      </c>
      <c r="D3672" t="s">
        <v>29</v>
      </c>
      <c r="E3672" t="s">
        <v>51</v>
      </c>
      <c r="F3672">
        <v>91.75</v>
      </c>
      <c r="G3672" t="s">
        <v>14</v>
      </c>
      <c r="H3672" t="s">
        <v>15</v>
      </c>
      <c r="I3672">
        <v>3.3</v>
      </c>
      <c r="J3672">
        <v>13</v>
      </c>
      <c r="K3672">
        <v>4</v>
      </c>
      <c r="L3672" s="4">
        <v>105.45977011494253</v>
      </c>
      <c r="M3672" s="4">
        <v>13.709770114942529</v>
      </c>
      <c r="N3672" t="s">
        <v>94</v>
      </c>
    </row>
    <row r="3673" spans="1:14">
      <c r="A3673">
        <v>3672</v>
      </c>
      <c r="B3673">
        <v>67</v>
      </c>
      <c r="C3673" t="s">
        <v>16</v>
      </c>
      <c r="D3673" t="s">
        <v>17</v>
      </c>
      <c r="E3673" t="s">
        <v>48</v>
      </c>
      <c r="F3673">
        <v>51.17</v>
      </c>
      <c r="G3673" t="s">
        <v>31</v>
      </c>
      <c r="H3673" t="s">
        <v>37</v>
      </c>
      <c r="I3673">
        <v>4</v>
      </c>
      <c r="J3673">
        <v>14</v>
      </c>
      <c r="K3673">
        <v>2</v>
      </c>
      <c r="L3673" s="4">
        <v>59.5</v>
      </c>
      <c r="M3673" s="4">
        <v>8.3299999999999983</v>
      </c>
      <c r="N3673" t="s">
        <v>95</v>
      </c>
    </row>
    <row r="3674" spans="1:14">
      <c r="A3674">
        <v>3673</v>
      </c>
      <c r="B3674">
        <v>60</v>
      </c>
      <c r="C3674" t="s">
        <v>11</v>
      </c>
      <c r="D3674" t="s">
        <v>12</v>
      </c>
      <c r="E3674" t="s">
        <v>13</v>
      </c>
      <c r="F3674">
        <v>58.89</v>
      </c>
      <c r="G3674" t="s">
        <v>31</v>
      </c>
      <c r="H3674" t="s">
        <v>15</v>
      </c>
      <c r="I3674">
        <v>4.9000000000000004</v>
      </c>
      <c r="J3674">
        <v>12</v>
      </c>
      <c r="K3674">
        <v>1</v>
      </c>
      <c r="L3674" s="4">
        <v>66.920454545454547</v>
      </c>
      <c r="M3674" s="4">
        <v>8.0304545454545462</v>
      </c>
      <c r="N3674" t="s">
        <v>94</v>
      </c>
    </row>
    <row r="3675" spans="1:14">
      <c r="A3675">
        <v>3674</v>
      </c>
      <c r="B3675">
        <v>35</v>
      </c>
      <c r="C3675" t="s">
        <v>16</v>
      </c>
      <c r="D3675" t="s">
        <v>22</v>
      </c>
      <c r="E3675" t="s">
        <v>52</v>
      </c>
      <c r="F3675">
        <v>118.44</v>
      </c>
      <c r="G3675" t="s">
        <v>24</v>
      </c>
      <c r="H3675" t="s">
        <v>15</v>
      </c>
      <c r="I3675">
        <v>4.7</v>
      </c>
      <c r="J3675">
        <v>28</v>
      </c>
      <c r="K3675">
        <v>9</v>
      </c>
      <c r="L3675" s="4">
        <v>164.5</v>
      </c>
      <c r="M3675" s="4">
        <v>46.06</v>
      </c>
      <c r="N3675" t="s">
        <v>92</v>
      </c>
    </row>
    <row r="3676" spans="1:14">
      <c r="A3676">
        <v>3675</v>
      </c>
      <c r="B3676">
        <v>35</v>
      </c>
      <c r="C3676" t="s">
        <v>11</v>
      </c>
      <c r="D3676" t="s">
        <v>12</v>
      </c>
      <c r="E3676" t="s">
        <v>13</v>
      </c>
      <c r="F3676">
        <v>130.35</v>
      </c>
      <c r="G3676" t="s">
        <v>19</v>
      </c>
      <c r="H3676" t="s">
        <v>15</v>
      </c>
      <c r="I3676">
        <v>3.8</v>
      </c>
      <c r="J3676">
        <v>24</v>
      </c>
      <c r="K3676">
        <v>7</v>
      </c>
      <c r="L3676" s="4">
        <v>171.51315789473682</v>
      </c>
      <c r="M3676" s="4">
        <v>41.163157894736827</v>
      </c>
      <c r="N3676" t="s">
        <v>92</v>
      </c>
    </row>
    <row r="3677" spans="1:14">
      <c r="A3677">
        <v>3676</v>
      </c>
      <c r="B3677">
        <v>44</v>
      </c>
      <c r="C3677" t="s">
        <v>11</v>
      </c>
      <c r="D3677" t="s">
        <v>25</v>
      </c>
      <c r="E3677" t="s">
        <v>47</v>
      </c>
      <c r="F3677">
        <v>53.11</v>
      </c>
      <c r="G3677" t="s">
        <v>24</v>
      </c>
      <c r="H3677" t="s">
        <v>37</v>
      </c>
      <c r="I3677">
        <v>3.9</v>
      </c>
      <c r="J3677">
        <v>15</v>
      </c>
      <c r="K3677">
        <v>5</v>
      </c>
      <c r="L3677" s="4">
        <v>62.482352941176472</v>
      </c>
      <c r="M3677" s="4">
        <v>9.372352941176473</v>
      </c>
      <c r="N3677" t="s">
        <v>92</v>
      </c>
    </row>
    <row r="3678" spans="1:14">
      <c r="A3678">
        <v>3677</v>
      </c>
      <c r="B3678">
        <v>47</v>
      </c>
      <c r="C3678" t="s">
        <v>11</v>
      </c>
      <c r="D3678" t="s">
        <v>12</v>
      </c>
      <c r="E3678" t="s">
        <v>13</v>
      </c>
      <c r="F3678">
        <v>72</v>
      </c>
      <c r="G3678" t="s">
        <v>19</v>
      </c>
      <c r="H3678" t="s">
        <v>37</v>
      </c>
      <c r="I3678">
        <v>4.2</v>
      </c>
      <c r="J3678">
        <v>16</v>
      </c>
      <c r="K3678">
        <v>8</v>
      </c>
      <c r="L3678" s="4">
        <v>85.714285714285722</v>
      </c>
      <c r="M3678" s="4">
        <v>13.714285714285722</v>
      </c>
      <c r="N3678" t="s">
        <v>93</v>
      </c>
    </row>
    <row r="3679" spans="1:14">
      <c r="A3679">
        <v>3678</v>
      </c>
      <c r="B3679">
        <v>54</v>
      </c>
      <c r="C3679" t="s">
        <v>16</v>
      </c>
      <c r="D3679" t="s">
        <v>20</v>
      </c>
      <c r="E3679" t="s">
        <v>39</v>
      </c>
      <c r="F3679">
        <v>97.9</v>
      </c>
      <c r="G3679" t="s">
        <v>24</v>
      </c>
      <c r="H3679" t="s">
        <v>15</v>
      </c>
      <c r="I3679">
        <v>3.7</v>
      </c>
      <c r="J3679">
        <v>10</v>
      </c>
      <c r="K3679">
        <v>5</v>
      </c>
      <c r="L3679" s="4">
        <v>108.77777777777779</v>
      </c>
      <c r="M3679" s="4">
        <v>10.87777777777778</v>
      </c>
      <c r="N3679" t="s">
        <v>93</v>
      </c>
    </row>
    <row r="3680" spans="1:14">
      <c r="A3680">
        <v>3679</v>
      </c>
      <c r="B3680">
        <v>70</v>
      </c>
      <c r="C3680" t="s">
        <v>11</v>
      </c>
      <c r="D3680" t="s">
        <v>41</v>
      </c>
      <c r="E3680" t="s">
        <v>45</v>
      </c>
      <c r="F3680">
        <v>131.93</v>
      </c>
      <c r="G3680" t="s">
        <v>14</v>
      </c>
      <c r="H3680" t="s">
        <v>15</v>
      </c>
      <c r="I3680">
        <v>3.3</v>
      </c>
      <c r="J3680">
        <v>16</v>
      </c>
      <c r="K3680">
        <v>3</v>
      </c>
      <c r="L3680" s="4">
        <v>157.05952380952382</v>
      </c>
      <c r="M3680" s="4">
        <v>25.129523809523818</v>
      </c>
      <c r="N3680" t="s">
        <v>95</v>
      </c>
    </row>
    <row r="3681" spans="1:14">
      <c r="A3681">
        <v>3680</v>
      </c>
      <c r="B3681">
        <v>56</v>
      </c>
      <c r="C3681" t="s">
        <v>11</v>
      </c>
      <c r="D3681" t="s">
        <v>41</v>
      </c>
      <c r="E3681" t="s">
        <v>42</v>
      </c>
      <c r="F3681">
        <v>184.09</v>
      </c>
      <c r="G3681" t="s">
        <v>14</v>
      </c>
      <c r="H3681" t="s">
        <v>15</v>
      </c>
      <c r="I3681">
        <v>3.4</v>
      </c>
      <c r="J3681">
        <v>22</v>
      </c>
      <c r="K3681">
        <v>6</v>
      </c>
      <c r="L3681" s="4">
        <v>236.0128205128205</v>
      </c>
      <c r="M3681" s="4">
        <v>51.922820512820493</v>
      </c>
      <c r="N3681" t="s">
        <v>94</v>
      </c>
    </row>
    <row r="3682" spans="1:14">
      <c r="A3682">
        <v>3681</v>
      </c>
      <c r="B3682">
        <v>20</v>
      </c>
      <c r="C3682" t="s">
        <v>11</v>
      </c>
      <c r="D3682" t="s">
        <v>29</v>
      </c>
      <c r="E3682" t="s">
        <v>30</v>
      </c>
      <c r="F3682">
        <v>58.16</v>
      </c>
      <c r="G3682" t="s">
        <v>19</v>
      </c>
      <c r="H3682" t="s">
        <v>37</v>
      </c>
      <c r="I3682">
        <v>4.5</v>
      </c>
      <c r="J3682">
        <v>11</v>
      </c>
      <c r="K3682">
        <v>3</v>
      </c>
      <c r="L3682" s="4">
        <v>65.348314606741567</v>
      </c>
      <c r="M3682" s="4">
        <v>7.1883146067415709</v>
      </c>
      <c r="N3682" t="s">
        <v>100</v>
      </c>
    </row>
    <row r="3683" spans="1:14">
      <c r="A3683">
        <v>3682</v>
      </c>
      <c r="B3683">
        <v>25</v>
      </c>
      <c r="C3683" t="s">
        <v>11</v>
      </c>
      <c r="D3683" t="s">
        <v>12</v>
      </c>
      <c r="E3683" t="s">
        <v>50</v>
      </c>
      <c r="F3683">
        <v>20.67</v>
      </c>
      <c r="G3683" t="s">
        <v>31</v>
      </c>
      <c r="H3683" t="s">
        <v>15</v>
      </c>
      <c r="I3683">
        <v>5</v>
      </c>
      <c r="J3683">
        <v>8</v>
      </c>
      <c r="K3683">
        <v>4</v>
      </c>
      <c r="L3683" s="4">
        <v>22.467391304347828</v>
      </c>
      <c r="M3683" s="4">
        <v>1.7973913043478262</v>
      </c>
      <c r="N3683" t="s">
        <v>91</v>
      </c>
    </row>
    <row r="3684" spans="1:14">
      <c r="A3684">
        <v>3683</v>
      </c>
      <c r="B3684">
        <v>57</v>
      </c>
      <c r="C3684" t="s">
        <v>11</v>
      </c>
      <c r="D3684" t="s">
        <v>29</v>
      </c>
      <c r="E3684" t="s">
        <v>30</v>
      </c>
      <c r="F3684">
        <v>93.07</v>
      </c>
      <c r="G3684" t="s">
        <v>19</v>
      </c>
      <c r="H3684" t="s">
        <v>15</v>
      </c>
      <c r="I3684">
        <v>3.4</v>
      </c>
      <c r="J3684">
        <v>14</v>
      </c>
      <c r="K3684">
        <v>2</v>
      </c>
      <c r="L3684" s="4">
        <v>108.22093023255813</v>
      </c>
      <c r="M3684" s="4">
        <v>15.150930232558139</v>
      </c>
      <c r="N3684" t="s">
        <v>94</v>
      </c>
    </row>
    <row r="3685" spans="1:14">
      <c r="A3685">
        <v>3684</v>
      </c>
      <c r="B3685">
        <v>30</v>
      </c>
      <c r="C3685" t="s">
        <v>11</v>
      </c>
      <c r="D3685" t="s">
        <v>12</v>
      </c>
      <c r="E3685" t="s">
        <v>50</v>
      </c>
      <c r="F3685">
        <v>95.38</v>
      </c>
      <c r="G3685" t="s">
        <v>19</v>
      </c>
      <c r="H3685" t="s">
        <v>15</v>
      </c>
      <c r="I3685">
        <v>5</v>
      </c>
      <c r="J3685">
        <v>10</v>
      </c>
      <c r="K3685">
        <v>5</v>
      </c>
      <c r="L3685" s="4">
        <v>105.97777777777777</v>
      </c>
      <c r="M3685" s="4">
        <v>10.597777777777779</v>
      </c>
      <c r="N3685" t="s">
        <v>91</v>
      </c>
    </row>
    <row r="3686" spans="1:14">
      <c r="A3686">
        <v>3685</v>
      </c>
      <c r="B3686">
        <v>20</v>
      </c>
      <c r="C3686" t="s">
        <v>16</v>
      </c>
      <c r="D3686" t="s">
        <v>20</v>
      </c>
      <c r="E3686" t="s">
        <v>21</v>
      </c>
      <c r="F3686">
        <v>167.54</v>
      </c>
      <c r="G3686" t="s">
        <v>24</v>
      </c>
      <c r="H3686" t="s">
        <v>15</v>
      </c>
      <c r="I3686">
        <v>3.8</v>
      </c>
      <c r="J3686">
        <v>20</v>
      </c>
      <c r="K3686">
        <v>5</v>
      </c>
      <c r="L3686" s="4">
        <v>209.42499999999998</v>
      </c>
      <c r="M3686" s="4">
        <v>41.884999999999991</v>
      </c>
      <c r="N3686" t="s">
        <v>100</v>
      </c>
    </row>
    <row r="3687" spans="1:14">
      <c r="A3687">
        <v>3686</v>
      </c>
      <c r="B3687">
        <v>70</v>
      </c>
      <c r="C3687" t="s">
        <v>16</v>
      </c>
      <c r="D3687" t="s">
        <v>17</v>
      </c>
      <c r="E3687" t="s">
        <v>48</v>
      </c>
      <c r="F3687">
        <v>78.89</v>
      </c>
      <c r="G3687" t="s">
        <v>31</v>
      </c>
      <c r="H3687" t="s">
        <v>15</v>
      </c>
      <c r="I3687">
        <v>3.9</v>
      </c>
      <c r="J3687">
        <v>8</v>
      </c>
      <c r="K3687">
        <v>4</v>
      </c>
      <c r="L3687" s="4">
        <v>85.75</v>
      </c>
      <c r="M3687" s="4">
        <v>6.8599999999999994</v>
      </c>
      <c r="N3687" t="s">
        <v>95</v>
      </c>
    </row>
    <row r="3688" spans="1:14">
      <c r="A3688">
        <v>3687</v>
      </c>
      <c r="B3688">
        <v>28</v>
      </c>
      <c r="C3688" t="s">
        <v>16</v>
      </c>
      <c r="D3688" t="s">
        <v>20</v>
      </c>
      <c r="E3688" t="s">
        <v>21</v>
      </c>
      <c r="F3688">
        <v>39.159999999999997</v>
      </c>
      <c r="G3688" t="s">
        <v>31</v>
      </c>
      <c r="H3688" t="s">
        <v>37</v>
      </c>
      <c r="I3688">
        <v>3.9</v>
      </c>
      <c r="J3688">
        <v>13</v>
      </c>
      <c r="K3688">
        <v>4</v>
      </c>
      <c r="L3688" s="4">
        <v>45.011494252873561</v>
      </c>
      <c r="M3688" s="4">
        <v>5.8514942528735645</v>
      </c>
      <c r="N3688" t="s">
        <v>91</v>
      </c>
    </row>
    <row r="3689" spans="1:14">
      <c r="A3689">
        <v>3688</v>
      </c>
      <c r="B3689">
        <v>35</v>
      </c>
      <c r="C3689" t="s">
        <v>11</v>
      </c>
      <c r="D3689" t="s">
        <v>22</v>
      </c>
      <c r="E3689" t="s">
        <v>23</v>
      </c>
      <c r="F3689">
        <v>299.25</v>
      </c>
      <c r="G3689" t="s">
        <v>24</v>
      </c>
      <c r="H3689" t="s">
        <v>15</v>
      </c>
      <c r="I3689">
        <v>3.4</v>
      </c>
      <c r="J3689">
        <v>10</v>
      </c>
      <c r="K3689">
        <v>5</v>
      </c>
      <c r="L3689" s="4">
        <v>332.5</v>
      </c>
      <c r="M3689" s="4">
        <v>33.25</v>
      </c>
      <c r="N3689" t="s">
        <v>92</v>
      </c>
    </row>
    <row r="3690" spans="1:14">
      <c r="A3690">
        <v>3689</v>
      </c>
      <c r="B3690">
        <v>29</v>
      </c>
      <c r="C3690" t="s">
        <v>11</v>
      </c>
      <c r="D3690" t="s">
        <v>25</v>
      </c>
      <c r="E3690" t="s">
        <v>26</v>
      </c>
      <c r="F3690">
        <v>70.760000000000005</v>
      </c>
      <c r="G3690" t="s">
        <v>14</v>
      </c>
      <c r="H3690" t="s">
        <v>15</v>
      </c>
      <c r="I3690">
        <v>3.8</v>
      </c>
      <c r="J3690">
        <v>13</v>
      </c>
      <c r="K3690">
        <v>4</v>
      </c>
      <c r="L3690" s="4">
        <v>81.333333333333343</v>
      </c>
      <c r="M3690" s="4">
        <v>10.573333333333338</v>
      </c>
      <c r="N3690" t="s">
        <v>91</v>
      </c>
    </row>
    <row r="3691" spans="1:14">
      <c r="A3691">
        <v>3690</v>
      </c>
      <c r="B3691">
        <v>40</v>
      </c>
      <c r="C3691" t="s">
        <v>11</v>
      </c>
      <c r="D3691" t="s">
        <v>41</v>
      </c>
      <c r="E3691" t="s">
        <v>44</v>
      </c>
      <c r="F3691">
        <v>191.37</v>
      </c>
      <c r="G3691" t="s">
        <v>19</v>
      </c>
      <c r="H3691" t="s">
        <v>15</v>
      </c>
      <c r="I3691">
        <v>4.0999999999999996</v>
      </c>
      <c r="J3691">
        <v>16</v>
      </c>
      <c r="K3691">
        <v>3</v>
      </c>
      <c r="L3691" s="4">
        <v>227.82142857142858</v>
      </c>
      <c r="M3691" s="4">
        <v>36.451428571428579</v>
      </c>
      <c r="N3691" t="s">
        <v>92</v>
      </c>
    </row>
    <row r="3692" spans="1:14">
      <c r="A3692">
        <v>3691</v>
      </c>
      <c r="B3692">
        <v>34</v>
      </c>
      <c r="C3692" t="s">
        <v>11</v>
      </c>
      <c r="D3692" t="s">
        <v>33</v>
      </c>
      <c r="E3692" t="s">
        <v>40</v>
      </c>
      <c r="F3692">
        <v>240.46</v>
      </c>
      <c r="G3692" t="s">
        <v>31</v>
      </c>
      <c r="H3692" t="s">
        <v>15</v>
      </c>
      <c r="I3692">
        <v>5</v>
      </c>
      <c r="J3692">
        <v>18</v>
      </c>
      <c r="K3692">
        <v>9</v>
      </c>
      <c r="L3692" s="4">
        <v>293.2439024390244</v>
      </c>
      <c r="M3692" s="4">
        <v>52.783902439024388</v>
      </c>
      <c r="N3692" t="s">
        <v>91</v>
      </c>
    </row>
    <row r="3693" spans="1:14">
      <c r="A3693">
        <v>3692</v>
      </c>
      <c r="B3693">
        <v>57</v>
      </c>
      <c r="C3693" t="s">
        <v>11</v>
      </c>
      <c r="D3693" t="s">
        <v>29</v>
      </c>
      <c r="E3693" t="s">
        <v>51</v>
      </c>
      <c r="F3693">
        <v>134.16</v>
      </c>
      <c r="G3693" t="s">
        <v>31</v>
      </c>
      <c r="H3693" t="s">
        <v>15</v>
      </c>
      <c r="I3693">
        <v>4</v>
      </c>
      <c r="J3693">
        <v>12</v>
      </c>
      <c r="K3693">
        <v>6</v>
      </c>
      <c r="L3693" s="4">
        <v>152.45454545454544</v>
      </c>
      <c r="M3693" s="4">
        <v>18.294545454545442</v>
      </c>
      <c r="N3693" t="s">
        <v>94</v>
      </c>
    </row>
    <row r="3694" spans="1:14">
      <c r="A3694">
        <v>3693</v>
      </c>
      <c r="B3694">
        <v>50</v>
      </c>
      <c r="C3694" t="s">
        <v>11</v>
      </c>
      <c r="D3694" t="s">
        <v>29</v>
      </c>
      <c r="E3694" t="s">
        <v>55</v>
      </c>
      <c r="F3694">
        <v>92.73</v>
      </c>
      <c r="G3694" t="s">
        <v>14</v>
      </c>
      <c r="H3694" t="s">
        <v>15</v>
      </c>
      <c r="I3694">
        <v>4.2</v>
      </c>
      <c r="J3694">
        <v>26</v>
      </c>
      <c r="K3694">
        <v>8</v>
      </c>
      <c r="L3694" s="4">
        <v>125.31081081081082</v>
      </c>
      <c r="M3694" s="4">
        <v>32.580810810810817</v>
      </c>
      <c r="N3694" t="s">
        <v>93</v>
      </c>
    </row>
    <row r="3695" spans="1:14">
      <c r="A3695">
        <v>3694</v>
      </c>
      <c r="B3695">
        <v>60</v>
      </c>
      <c r="C3695" t="s">
        <v>11</v>
      </c>
      <c r="D3695" t="s">
        <v>41</v>
      </c>
      <c r="E3695" t="s">
        <v>45</v>
      </c>
      <c r="F3695">
        <v>169.58</v>
      </c>
      <c r="G3695" t="s">
        <v>14</v>
      </c>
      <c r="H3695" t="s">
        <v>15</v>
      </c>
      <c r="I3695">
        <v>4.8</v>
      </c>
      <c r="J3695">
        <v>23</v>
      </c>
      <c r="K3695">
        <v>9</v>
      </c>
      <c r="L3695" s="4">
        <v>220.23376623376623</v>
      </c>
      <c r="M3695" s="4">
        <v>50.65376623376622</v>
      </c>
      <c r="N3695" t="s">
        <v>94</v>
      </c>
    </row>
    <row r="3696" spans="1:14">
      <c r="A3696">
        <v>3695</v>
      </c>
      <c r="B3696">
        <v>70</v>
      </c>
      <c r="C3696" t="s">
        <v>11</v>
      </c>
      <c r="D3696" t="s">
        <v>41</v>
      </c>
      <c r="E3696" t="s">
        <v>44</v>
      </c>
      <c r="F3696">
        <v>51.99</v>
      </c>
      <c r="G3696" t="s">
        <v>14</v>
      </c>
      <c r="H3696" t="s">
        <v>37</v>
      </c>
      <c r="I3696">
        <v>3.4</v>
      </c>
      <c r="J3696">
        <v>24</v>
      </c>
      <c r="K3696">
        <v>7</v>
      </c>
      <c r="L3696" s="4">
        <v>68.40789473684211</v>
      </c>
      <c r="M3696" s="4">
        <v>16.417894736842108</v>
      </c>
      <c r="N3696" t="s">
        <v>95</v>
      </c>
    </row>
    <row r="3697" spans="1:14">
      <c r="A3697">
        <v>3696</v>
      </c>
      <c r="B3697">
        <v>35</v>
      </c>
      <c r="C3697" t="s">
        <v>11</v>
      </c>
      <c r="D3697" t="s">
        <v>33</v>
      </c>
      <c r="E3697" t="s">
        <v>38</v>
      </c>
      <c r="F3697">
        <v>220.75</v>
      </c>
      <c r="G3697" t="s">
        <v>31</v>
      </c>
      <c r="H3697" t="s">
        <v>15</v>
      </c>
      <c r="I3697">
        <v>3.7</v>
      </c>
      <c r="J3697">
        <v>14</v>
      </c>
      <c r="K3697">
        <v>7</v>
      </c>
      <c r="L3697" s="4">
        <v>256.68604651162792</v>
      </c>
      <c r="M3697" s="4">
        <v>35.936046511627922</v>
      </c>
      <c r="N3697" t="s">
        <v>92</v>
      </c>
    </row>
    <row r="3698" spans="1:14">
      <c r="A3698">
        <v>3697</v>
      </c>
      <c r="B3698">
        <v>31</v>
      </c>
      <c r="C3698" t="s">
        <v>11</v>
      </c>
      <c r="D3698" t="s">
        <v>22</v>
      </c>
      <c r="E3698" t="s">
        <v>23</v>
      </c>
      <c r="F3698">
        <v>86.63</v>
      </c>
      <c r="G3698" t="s">
        <v>14</v>
      </c>
      <c r="H3698" t="s">
        <v>37</v>
      </c>
      <c r="I3698">
        <v>4.5</v>
      </c>
      <c r="J3698">
        <v>20</v>
      </c>
      <c r="K3698">
        <v>10</v>
      </c>
      <c r="L3698" s="4">
        <v>108.28749999999999</v>
      </c>
      <c r="M3698" s="4">
        <v>21.657499999999999</v>
      </c>
      <c r="N3698" t="s">
        <v>91</v>
      </c>
    </row>
    <row r="3699" spans="1:14">
      <c r="A3699">
        <v>3698</v>
      </c>
      <c r="B3699">
        <v>37</v>
      </c>
      <c r="C3699" t="s">
        <v>16</v>
      </c>
      <c r="D3699" t="s">
        <v>25</v>
      </c>
      <c r="E3699" t="s">
        <v>47</v>
      </c>
      <c r="F3699">
        <v>43.63</v>
      </c>
      <c r="G3699" t="s">
        <v>14</v>
      </c>
      <c r="H3699" t="s">
        <v>15</v>
      </c>
      <c r="I3699">
        <v>4.5999999999999996</v>
      </c>
      <c r="J3699">
        <v>16</v>
      </c>
      <c r="K3699">
        <v>3</v>
      </c>
      <c r="L3699" s="4">
        <v>51.940476190476197</v>
      </c>
      <c r="M3699" s="4">
        <v>8.3104761904761943</v>
      </c>
      <c r="N3699" t="s">
        <v>92</v>
      </c>
    </row>
    <row r="3700" spans="1:14">
      <c r="A3700">
        <v>3699</v>
      </c>
      <c r="B3700">
        <v>63</v>
      </c>
      <c r="C3700" t="s">
        <v>16</v>
      </c>
      <c r="D3700" t="s">
        <v>33</v>
      </c>
      <c r="E3700" t="s">
        <v>40</v>
      </c>
      <c r="F3700">
        <v>173.53</v>
      </c>
      <c r="G3700" t="s">
        <v>19</v>
      </c>
      <c r="H3700" t="s">
        <v>15</v>
      </c>
      <c r="I3700">
        <v>4.4000000000000004</v>
      </c>
      <c r="J3700">
        <v>16</v>
      </c>
      <c r="K3700">
        <v>3</v>
      </c>
      <c r="L3700" s="4">
        <v>206.58333333333334</v>
      </c>
      <c r="M3700" s="4">
        <v>33.053333333333342</v>
      </c>
      <c r="N3700" t="s">
        <v>94</v>
      </c>
    </row>
    <row r="3701" spans="1:14">
      <c r="A3701">
        <v>3700</v>
      </c>
      <c r="B3701">
        <v>46</v>
      </c>
      <c r="C3701" t="s">
        <v>16</v>
      </c>
      <c r="D3701" t="s">
        <v>22</v>
      </c>
      <c r="E3701" t="s">
        <v>23</v>
      </c>
      <c r="F3701">
        <v>162.93</v>
      </c>
      <c r="G3701" t="s">
        <v>14</v>
      </c>
      <c r="H3701" t="s">
        <v>15</v>
      </c>
      <c r="I3701">
        <v>4.7</v>
      </c>
      <c r="J3701">
        <v>18</v>
      </c>
      <c r="K3701">
        <v>4</v>
      </c>
      <c r="L3701" s="4">
        <v>198.69512195121951</v>
      </c>
      <c r="M3701" s="4">
        <v>35.765121951219498</v>
      </c>
      <c r="N3701" t="s">
        <v>93</v>
      </c>
    </row>
    <row r="3702" spans="1:14">
      <c r="A3702">
        <v>3701</v>
      </c>
      <c r="B3702">
        <v>35</v>
      </c>
      <c r="C3702" t="s">
        <v>11</v>
      </c>
      <c r="D3702" t="s">
        <v>29</v>
      </c>
      <c r="E3702" t="s">
        <v>55</v>
      </c>
      <c r="F3702">
        <v>75.510000000000005</v>
      </c>
      <c r="G3702" t="s">
        <v>19</v>
      </c>
      <c r="H3702" t="s">
        <v>15</v>
      </c>
      <c r="I3702">
        <v>4.0999999999999996</v>
      </c>
      <c r="J3702">
        <v>17</v>
      </c>
      <c r="K3702">
        <v>6</v>
      </c>
      <c r="L3702" s="4">
        <v>90.975903614457849</v>
      </c>
      <c r="M3702" s="4">
        <v>15.465903614457844</v>
      </c>
      <c r="N3702" t="s">
        <v>92</v>
      </c>
    </row>
    <row r="3703" spans="1:14">
      <c r="A3703">
        <v>3702</v>
      </c>
      <c r="B3703">
        <v>42</v>
      </c>
      <c r="C3703" t="s">
        <v>11</v>
      </c>
      <c r="D3703" t="s">
        <v>33</v>
      </c>
      <c r="E3703" t="s">
        <v>40</v>
      </c>
      <c r="F3703">
        <v>148.02000000000001</v>
      </c>
      <c r="G3703" t="s">
        <v>24</v>
      </c>
      <c r="H3703" t="s">
        <v>15</v>
      </c>
      <c r="I3703">
        <v>2.7</v>
      </c>
      <c r="J3703">
        <v>12</v>
      </c>
      <c r="K3703">
        <v>6</v>
      </c>
      <c r="L3703" s="4">
        <v>168.20454545454547</v>
      </c>
      <c r="M3703" s="4">
        <v>20.184545454545457</v>
      </c>
      <c r="N3703" t="s">
        <v>92</v>
      </c>
    </row>
    <row r="3704" spans="1:14">
      <c r="A3704">
        <v>3703</v>
      </c>
      <c r="B3704">
        <v>47</v>
      </c>
      <c r="C3704" t="s">
        <v>11</v>
      </c>
      <c r="D3704" t="s">
        <v>29</v>
      </c>
      <c r="E3704" t="s">
        <v>51</v>
      </c>
      <c r="F3704">
        <v>31.89</v>
      </c>
      <c r="G3704" t="s">
        <v>24</v>
      </c>
      <c r="H3704" t="s">
        <v>37</v>
      </c>
      <c r="I3704">
        <v>4.3</v>
      </c>
      <c r="J3704">
        <v>13</v>
      </c>
      <c r="K3704">
        <v>4</v>
      </c>
      <c r="L3704" s="4">
        <v>36.655172413793103</v>
      </c>
      <c r="M3704" s="4">
        <v>4.7651724137931026</v>
      </c>
      <c r="N3704" t="s">
        <v>93</v>
      </c>
    </row>
    <row r="3705" spans="1:14">
      <c r="A3705">
        <v>3704</v>
      </c>
      <c r="B3705">
        <v>62</v>
      </c>
      <c r="C3705" t="s">
        <v>16</v>
      </c>
      <c r="D3705" t="s">
        <v>22</v>
      </c>
      <c r="E3705" t="s">
        <v>43</v>
      </c>
      <c r="F3705">
        <v>36.04</v>
      </c>
      <c r="G3705" t="s">
        <v>24</v>
      </c>
      <c r="H3705" t="s">
        <v>37</v>
      </c>
      <c r="I3705">
        <v>3.7</v>
      </c>
      <c r="J3705">
        <v>18</v>
      </c>
      <c r="K3705">
        <v>4</v>
      </c>
      <c r="L3705" s="4">
        <v>43.951219512195117</v>
      </c>
      <c r="M3705" s="4">
        <v>7.9112195121951174</v>
      </c>
      <c r="N3705" t="s">
        <v>94</v>
      </c>
    </row>
    <row r="3706" spans="1:14">
      <c r="A3706">
        <v>3705</v>
      </c>
      <c r="B3706">
        <v>47</v>
      </c>
      <c r="C3706" t="s">
        <v>11</v>
      </c>
      <c r="D3706" t="s">
        <v>29</v>
      </c>
      <c r="E3706" t="s">
        <v>51</v>
      </c>
      <c r="F3706">
        <v>110.64</v>
      </c>
      <c r="G3706" t="s">
        <v>24</v>
      </c>
      <c r="H3706" t="s">
        <v>15</v>
      </c>
      <c r="I3706">
        <v>4.0999999999999996</v>
      </c>
      <c r="J3706">
        <v>10</v>
      </c>
      <c r="K3706">
        <v>5</v>
      </c>
      <c r="L3706" s="4">
        <v>122.93333333333334</v>
      </c>
      <c r="M3706" s="4">
        <v>12.293333333333337</v>
      </c>
      <c r="N3706" t="s">
        <v>93</v>
      </c>
    </row>
    <row r="3707" spans="1:14">
      <c r="A3707">
        <v>3706</v>
      </c>
      <c r="B3707">
        <v>70</v>
      </c>
      <c r="C3707" t="s">
        <v>11</v>
      </c>
      <c r="D3707" t="s">
        <v>41</v>
      </c>
      <c r="E3707" t="s">
        <v>44</v>
      </c>
      <c r="F3707">
        <v>166.68</v>
      </c>
      <c r="G3707" t="s">
        <v>19</v>
      </c>
      <c r="H3707" t="s">
        <v>15</v>
      </c>
      <c r="I3707">
        <v>3.5</v>
      </c>
      <c r="J3707">
        <v>2</v>
      </c>
      <c r="K3707">
        <v>1</v>
      </c>
      <c r="L3707" s="4">
        <v>170.08163265306123</v>
      </c>
      <c r="M3707" s="4">
        <v>3.4016326530612275</v>
      </c>
      <c r="N3707" t="s">
        <v>95</v>
      </c>
    </row>
    <row r="3708" spans="1:14">
      <c r="A3708">
        <v>3707</v>
      </c>
      <c r="B3708">
        <v>56</v>
      </c>
      <c r="C3708" t="s">
        <v>11</v>
      </c>
      <c r="D3708" t="s">
        <v>33</v>
      </c>
      <c r="E3708" t="s">
        <v>34</v>
      </c>
      <c r="F3708">
        <v>239.19</v>
      </c>
      <c r="G3708" t="s">
        <v>19</v>
      </c>
      <c r="H3708" t="s">
        <v>15</v>
      </c>
      <c r="I3708">
        <v>5</v>
      </c>
      <c r="J3708">
        <v>20</v>
      </c>
      <c r="K3708">
        <v>5</v>
      </c>
      <c r="L3708" s="4">
        <v>298.98749999999995</v>
      </c>
      <c r="M3708" s="4">
        <v>59.797499999999957</v>
      </c>
      <c r="N3708" t="s">
        <v>94</v>
      </c>
    </row>
    <row r="3709" spans="1:14">
      <c r="A3709">
        <v>3708</v>
      </c>
      <c r="B3709">
        <v>38</v>
      </c>
      <c r="C3709" t="s">
        <v>16</v>
      </c>
      <c r="D3709" t="s">
        <v>17</v>
      </c>
      <c r="E3709" t="s">
        <v>18</v>
      </c>
      <c r="F3709">
        <v>51.09</v>
      </c>
      <c r="G3709" t="s">
        <v>31</v>
      </c>
      <c r="H3709" t="s">
        <v>37</v>
      </c>
      <c r="I3709">
        <v>4.5999999999999996</v>
      </c>
      <c r="J3709">
        <v>6</v>
      </c>
      <c r="K3709">
        <v>3</v>
      </c>
      <c r="L3709" s="4">
        <v>54.351063829787243</v>
      </c>
      <c r="M3709" s="4">
        <v>3.2610638297872399</v>
      </c>
      <c r="N3709" t="s">
        <v>92</v>
      </c>
    </row>
    <row r="3710" spans="1:14">
      <c r="A3710">
        <v>3709</v>
      </c>
      <c r="B3710">
        <v>67</v>
      </c>
      <c r="C3710" t="s">
        <v>16</v>
      </c>
      <c r="D3710" t="s">
        <v>27</v>
      </c>
      <c r="E3710" t="s">
        <v>49</v>
      </c>
      <c r="F3710">
        <v>2033.97</v>
      </c>
      <c r="G3710" t="s">
        <v>14</v>
      </c>
      <c r="H3710" t="s">
        <v>15</v>
      </c>
      <c r="I3710">
        <v>4.3</v>
      </c>
      <c r="J3710">
        <v>20</v>
      </c>
      <c r="K3710">
        <v>5</v>
      </c>
      <c r="L3710" s="4">
        <v>2542.4625000000001</v>
      </c>
      <c r="M3710" s="4">
        <v>508.49250000000006</v>
      </c>
      <c r="N3710" t="s">
        <v>95</v>
      </c>
    </row>
    <row r="3711" spans="1:14">
      <c r="A3711">
        <v>3710</v>
      </c>
      <c r="B3711">
        <v>32</v>
      </c>
      <c r="C3711" t="s">
        <v>11</v>
      </c>
      <c r="D3711" t="s">
        <v>29</v>
      </c>
      <c r="E3711" t="s">
        <v>30</v>
      </c>
      <c r="F3711">
        <v>25.5</v>
      </c>
      <c r="G3711" t="s">
        <v>19</v>
      </c>
      <c r="H3711" t="s">
        <v>15</v>
      </c>
      <c r="I3711">
        <v>4.3</v>
      </c>
      <c r="J3711">
        <v>21</v>
      </c>
      <c r="K3711">
        <v>8</v>
      </c>
      <c r="L3711" s="4">
        <v>32.278481012658226</v>
      </c>
      <c r="M3711" s="4">
        <v>6.7784810126582258</v>
      </c>
      <c r="N3711" t="s">
        <v>91</v>
      </c>
    </row>
    <row r="3712" spans="1:14">
      <c r="A3712">
        <v>3711</v>
      </c>
      <c r="B3712">
        <v>41</v>
      </c>
      <c r="C3712" t="s">
        <v>11</v>
      </c>
      <c r="D3712" t="s">
        <v>33</v>
      </c>
      <c r="E3712" t="s">
        <v>38</v>
      </c>
      <c r="F3712">
        <v>194.63</v>
      </c>
      <c r="G3712" t="s">
        <v>14</v>
      </c>
      <c r="H3712" t="s">
        <v>15</v>
      </c>
      <c r="I3712">
        <v>3.6</v>
      </c>
      <c r="J3712">
        <v>15</v>
      </c>
      <c r="K3712">
        <v>5</v>
      </c>
      <c r="L3712" s="4">
        <v>228.97647058823529</v>
      </c>
      <c r="M3712" s="4">
        <v>34.346470588235292</v>
      </c>
      <c r="N3712" t="s">
        <v>92</v>
      </c>
    </row>
    <row r="3713" spans="1:14">
      <c r="A3713">
        <v>3712</v>
      </c>
      <c r="B3713">
        <v>65</v>
      </c>
      <c r="C3713" t="s">
        <v>16</v>
      </c>
      <c r="D3713" t="s">
        <v>25</v>
      </c>
      <c r="E3713" t="s">
        <v>57</v>
      </c>
      <c r="F3713">
        <v>56.5</v>
      </c>
      <c r="G3713" t="s">
        <v>31</v>
      </c>
      <c r="H3713" t="s">
        <v>15</v>
      </c>
      <c r="I3713">
        <v>3.4</v>
      </c>
      <c r="J3713">
        <v>20</v>
      </c>
      <c r="K3713">
        <v>5</v>
      </c>
      <c r="L3713" s="4">
        <v>70.625</v>
      </c>
      <c r="M3713" s="4">
        <v>14.125</v>
      </c>
      <c r="N3713" t="s">
        <v>95</v>
      </c>
    </row>
    <row r="3714" spans="1:14">
      <c r="A3714">
        <v>3713</v>
      </c>
      <c r="B3714">
        <v>46</v>
      </c>
      <c r="C3714" t="s">
        <v>11</v>
      </c>
      <c r="D3714" t="s">
        <v>12</v>
      </c>
      <c r="E3714" t="s">
        <v>56</v>
      </c>
      <c r="F3714">
        <v>118.52</v>
      </c>
      <c r="G3714" t="s">
        <v>19</v>
      </c>
      <c r="H3714" t="s">
        <v>15</v>
      </c>
      <c r="I3714">
        <v>5</v>
      </c>
      <c r="J3714">
        <v>26</v>
      </c>
      <c r="K3714">
        <v>8</v>
      </c>
      <c r="L3714" s="4">
        <v>160.16216216216216</v>
      </c>
      <c r="M3714" s="4">
        <v>41.642162162162165</v>
      </c>
      <c r="N3714" t="s">
        <v>93</v>
      </c>
    </row>
    <row r="3715" spans="1:14">
      <c r="A3715">
        <v>3714</v>
      </c>
      <c r="B3715">
        <v>50</v>
      </c>
      <c r="C3715" t="s">
        <v>16</v>
      </c>
      <c r="D3715" t="s">
        <v>25</v>
      </c>
      <c r="E3715" t="s">
        <v>57</v>
      </c>
      <c r="F3715">
        <v>30.62</v>
      </c>
      <c r="G3715" t="s">
        <v>14</v>
      </c>
      <c r="H3715" t="s">
        <v>15</v>
      </c>
      <c r="I3715">
        <v>4.2</v>
      </c>
      <c r="J3715">
        <v>26</v>
      </c>
      <c r="K3715">
        <v>8</v>
      </c>
      <c r="L3715" s="4">
        <v>41.378378378378379</v>
      </c>
      <c r="M3715" s="4">
        <v>10.758378378378378</v>
      </c>
      <c r="N3715" t="s">
        <v>93</v>
      </c>
    </row>
    <row r="3716" spans="1:14">
      <c r="A3716">
        <v>3715</v>
      </c>
      <c r="B3716">
        <v>21</v>
      </c>
      <c r="C3716" t="s">
        <v>11</v>
      </c>
      <c r="D3716" t="s">
        <v>33</v>
      </c>
      <c r="E3716" t="s">
        <v>38</v>
      </c>
      <c r="F3716">
        <v>225.81</v>
      </c>
      <c r="G3716" t="s">
        <v>24</v>
      </c>
      <c r="H3716" t="s">
        <v>15</v>
      </c>
      <c r="I3716">
        <v>3.2</v>
      </c>
      <c r="J3716">
        <v>17</v>
      </c>
      <c r="K3716">
        <v>6</v>
      </c>
      <c r="L3716" s="4">
        <v>272.06024096385545</v>
      </c>
      <c r="M3716" s="4">
        <v>46.250240963855447</v>
      </c>
      <c r="N3716" t="s">
        <v>100</v>
      </c>
    </row>
    <row r="3717" spans="1:14">
      <c r="A3717">
        <v>3716</v>
      </c>
      <c r="B3717">
        <v>38</v>
      </c>
      <c r="C3717" t="s">
        <v>16</v>
      </c>
      <c r="D3717" t="s">
        <v>20</v>
      </c>
      <c r="E3717" t="s">
        <v>36</v>
      </c>
      <c r="F3717">
        <v>42.08</v>
      </c>
      <c r="G3717" t="s">
        <v>14</v>
      </c>
      <c r="H3717" t="s">
        <v>37</v>
      </c>
      <c r="I3717">
        <v>4.0999999999999996</v>
      </c>
      <c r="J3717">
        <v>6</v>
      </c>
      <c r="K3717">
        <v>3</v>
      </c>
      <c r="L3717" s="4">
        <v>44.765957446808514</v>
      </c>
      <c r="M3717" s="4">
        <v>2.6859574468085157</v>
      </c>
      <c r="N3717" t="s">
        <v>92</v>
      </c>
    </row>
    <row r="3718" spans="1:14">
      <c r="A3718">
        <v>3717</v>
      </c>
      <c r="B3718">
        <v>22</v>
      </c>
      <c r="C3718" t="s">
        <v>16</v>
      </c>
      <c r="D3718" t="s">
        <v>20</v>
      </c>
      <c r="E3718" t="s">
        <v>39</v>
      </c>
      <c r="F3718">
        <v>78.2</v>
      </c>
      <c r="G3718" t="s">
        <v>19</v>
      </c>
      <c r="H3718" t="s">
        <v>37</v>
      </c>
      <c r="I3718">
        <v>4.0999999999999996</v>
      </c>
      <c r="J3718">
        <v>15</v>
      </c>
      <c r="K3718">
        <v>5</v>
      </c>
      <c r="L3718" s="4">
        <v>92</v>
      </c>
      <c r="M3718" s="4">
        <v>13.799999999999997</v>
      </c>
      <c r="N3718" t="s">
        <v>100</v>
      </c>
    </row>
    <row r="3719" spans="1:14">
      <c r="A3719">
        <v>3718</v>
      </c>
      <c r="B3719">
        <v>51</v>
      </c>
      <c r="C3719" t="s">
        <v>16</v>
      </c>
      <c r="D3719" t="s">
        <v>20</v>
      </c>
      <c r="E3719" t="s">
        <v>36</v>
      </c>
      <c r="F3719">
        <v>238.8</v>
      </c>
      <c r="G3719" t="s">
        <v>24</v>
      </c>
      <c r="H3719" t="s">
        <v>15</v>
      </c>
      <c r="I3719">
        <v>3.2</v>
      </c>
      <c r="J3719">
        <v>10</v>
      </c>
      <c r="K3719">
        <v>5</v>
      </c>
      <c r="L3719" s="4">
        <v>265.33333333333331</v>
      </c>
      <c r="M3719" s="4">
        <v>26.533333333333303</v>
      </c>
      <c r="N3719" t="s">
        <v>93</v>
      </c>
    </row>
    <row r="3720" spans="1:14">
      <c r="A3720">
        <v>3719</v>
      </c>
      <c r="B3720">
        <v>29</v>
      </c>
      <c r="C3720" t="s">
        <v>11</v>
      </c>
      <c r="D3720" t="s">
        <v>33</v>
      </c>
      <c r="E3720" t="s">
        <v>34</v>
      </c>
      <c r="F3720">
        <v>232.13</v>
      </c>
      <c r="G3720" t="s">
        <v>14</v>
      </c>
      <c r="H3720" t="s">
        <v>15</v>
      </c>
      <c r="I3720">
        <v>3.8</v>
      </c>
      <c r="J3720">
        <v>16</v>
      </c>
      <c r="K3720">
        <v>8</v>
      </c>
      <c r="L3720" s="4">
        <v>276.34523809523807</v>
      </c>
      <c r="M3720" s="4">
        <v>44.215238095238078</v>
      </c>
      <c r="N3720" t="s">
        <v>91</v>
      </c>
    </row>
    <row r="3721" spans="1:14">
      <c r="A3721">
        <v>3720</v>
      </c>
      <c r="B3721">
        <v>43</v>
      </c>
      <c r="C3721" t="s">
        <v>16</v>
      </c>
      <c r="D3721" t="s">
        <v>17</v>
      </c>
      <c r="E3721" t="s">
        <v>18</v>
      </c>
      <c r="F3721">
        <v>63.05</v>
      </c>
      <c r="G3721" t="s">
        <v>24</v>
      </c>
      <c r="H3721" t="s">
        <v>15</v>
      </c>
      <c r="I3721">
        <v>3.6</v>
      </c>
      <c r="J3721">
        <v>9</v>
      </c>
      <c r="K3721">
        <v>2</v>
      </c>
      <c r="L3721" s="4">
        <v>69.285714285714278</v>
      </c>
      <c r="M3721" s="4">
        <v>6.2357142857142804</v>
      </c>
      <c r="N3721" t="s">
        <v>92</v>
      </c>
    </row>
    <row r="3722" spans="1:14">
      <c r="A3722">
        <v>3721</v>
      </c>
      <c r="B3722">
        <v>58</v>
      </c>
      <c r="C3722" t="s">
        <v>16</v>
      </c>
      <c r="D3722" t="s">
        <v>20</v>
      </c>
      <c r="E3722" t="s">
        <v>21</v>
      </c>
      <c r="F3722">
        <v>103.55</v>
      </c>
      <c r="G3722" t="s">
        <v>14</v>
      </c>
      <c r="H3722" t="s">
        <v>15</v>
      </c>
      <c r="I3722">
        <v>3.3</v>
      </c>
      <c r="J3722">
        <v>11</v>
      </c>
      <c r="K3722">
        <v>3</v>
      </c>
      <c r="L3722" s="4">
        <v>116.34831460674157</v>
      </c>
      <c r="M3722" s="4">
        <v>12.79831460674157</v>
      </c>
      <c r="N3722" t="s">
        <v>94</v>
      </c>
    </row>
    <row r="3723" spans="1:14">
      <c r="A3723">
        <v>3722</v>
      </c>
      <c r="B3723">
        <v>62</v>
      </c>
      <c r="C3723" t="s">
        <v>16</v>
      </c>
      <c r="D3723" t="s">
        <v>25</v>
      </c>
      <c r="E3723" t="s">
        <v>54</v>
      </c>
      <c r="F3723">
        <v>21.14</v>
      </c>
      <c r="G3723" t="s">
        <v>14</v>
      </c>
      <c r="H3723" t="s">
        <v>37</v>
      </c>
      <c r="I3723">
        <v>4.0999999999999996</v>
      </c>
      <c r="J3723">
        <v>11</v>
      </c>
      <c r="K3723">
        <v>3</v>
      </c>
      <c r="L3723" s="4">
        <v>23.752808988764045</v>
      </c>
      <c r="M3723" s="4">
        <v>2.6128089887640442</v>
      </c>
      <c r="N3723" t="s">
        <v>94</v>
      </c>
    </row>
    <row r="3724" spans="1:14">
      <c r="A3724">
        <v>3723</v>
      </c>
      <c r="B3724">
        <v>69</v>
      </c>
      <c r="C3724" t="s">
        <v>11</v>
      </c>
      <c r="D3724" t="s">
        <v>12</v>
      </c>
      <c r="E3724" t="s">
        <v>50</v>
      </c>
      <c r="F3724">
        <v>175.97</v>
      </c>
      <c r="G3724" t="s">
        <v>24</v>
      </c>
      <c r="H3724" t="s">
        <v>15</v>
      </c>
      <c r="I3724">
        <v>3.4</v>
      </c>
      <c r="J3724">
        <v>8</v>
      </c>
      <c r="K3724">
        <v>4</v>
      </c>
      <c r="L3724" s="4">
        <v>191.27173913043478</v>
      </c>
      <c r="M3724" s="4">
        <v>15.301739130434783</v>
      </c>
      <c r="N3724" t="s">
        <v>95</v>
      </c>
    </row>
    <row r="3725" spans="1:14">
      <c r="A3725">
        <v>3724</v>
      </c>
      <c r="B3725">
        <v>37</v>
      </c>
      <c r="C3725" t="s">
        <v>11</v>
      </c>
      <c r="D3725" t="s">
        <v>12</v>
      </c>
      <c r="E3725" t="s">
        <v>50</v>
      </c>
      <c r="F3725">
        <v>175.84</v>
      </c>
      <c r="G3725" t="s">
        <v>19</v>
      </c>
      <c r="H3725" t="s">
        <v>15</v>
      </c>
      <c r="I3725">
        <v>3.9</v>
      </c>
      <c r="J3725">
        <v>15</v>
      </c>
      <c r="K3725">
        <v>5</v>
      </c>
      <c r="L3725" s="4">
        <v>206.87058823529412</v>
      </c>
      <c r="M3725" s="4">
        <v>31.030588235294118</v>
      </c>
      <c r="N3725" t="s">
        <v>92</v>
      </c>
    </row>
    <row r="3726" spans="1:14">
      <c r="A3726">
        <v>3725</v>
      </c>
      <c r="B3726">
        <v>44</v>
      </c>
      <c r="C3726" t="s">
        <v>16</v>
      </c>
      <c r="D3726" t="s">
        <v>33</v>
      </c>
      <c r="E3726" t="s">
        <v>38</v>
      </c>
      <c r="F3726">
        <v>199.68</v>
      </c>
      <c r="G3726" t="s">
        <v>31</v>
      </c>
      <c r="H3726" t="s">
        <v>15</v>
      </c>
      <c r="I3726">
        <v>4.5999999999999996</v>
      </c>
      <c r="J3726">
        <v>12</v>
      </c>
      <c r="K3726">
        <v>6</v>
      </c>
      <c r="L3726" s="4">
        <v>226.90909090909091</v>
      </c>
      <c r="M3726" s="4">
        <v>27.2290909090909</v>
      </c>
      <c r="N3726" t="s">
        <v>92</v>
      </c>
    </row>
    <row r="3727" spans="1:14">
      <c r="A3727">
        <v>3726</v>
      </c>
      <c r="B3727">
        <v>56</v>
      </c>
      <c r="C3727" t="s">
        <v>11</v>
      </c>
      <c r="D3727" t="s">
        <v>12</v>
      </c>
      <c r="E3727" t="s">
        <v>56</v>
      </c>
      <c r="F3727">
        <v>121.61</v>
      </c>
      <c r="G3727" t="s">
        <v>24</v>
      </c>
      <c r="H3727" t="s">
        <v>15</v>
      </c>
      <c r="I3727">
        <v>3.8</v>
      </c>
      <c r="J3727">
        <v>8</v>
      </c>
      <c r="K3727">
        <v>4</v>
      </c>
      <c r="L3727" s="4">
        <v>132.18478260869566</v>
      </c>
      <c r="M3727" s="4">
        <v>10.574782608695656</v>
      </c>
      <c r="N3727" t="s">
        <v>94</v>
      </c>
    </row>
    <row r="3728" spans="1:14">
      <c r="A3728">
        <v>3727</v>
      </c>
      <c r="B3728">
        <v>35</v>
      </c>
      <c r="C3728" t="s">
        <v>16</v>
      </c>
      <c r="D3728" t="s">
        <v>27</v>
      </c>
      <c r="E3728" t="s">
        <v>32</v>
      </c>
      <c r="F3728">
        <v>2019.58</v>
      </c>
      <c r="G3728" t="s">
        <v>14</v>
      </c>
      <c r="H3728" t="s">
        <v>15</v>
      </c>
      <c r="I3728">
        <v>3</v>
      </c>
      <c r="J3728">
        <v>17</v>
      </c>
      <c r="K3728">
        <v>6</v>
      </c>
      <c r="L3728" s="4">
        <v>2433.2289156626507</v>
      </c>
      <c r="M3728" s="4">
        <v>413.64891566265078</v>
      </c>
      <c r="N3728" t="s">
        <v>92</v>
      </c>
    </row>
    <row r="3729" spans="1:14">
      <c r="A3729">
        <v>3728</v>
      </c>
      <c r="B3729">
        <v>35</v>
      </c>
      <c r="C3729" t="s">
        <v>11</v>
      </c>
      <c r="D3729" t="s">
        <v>29</v>
      </c>
      <c r="E3729" t="s">
        <v>55</v>
      </c>
      <c r="F3729">
        <v>53.04</v>
      </c>
      <c r="G3729" t="s">
        <v>19</v>
      </c>
      <c r="H3729" t="s">
        <v>15</v>
      </c>
      <c r="I3729">
        <v>3.5</v>
      </c>
      <c r="J3729">
        <v>20</v>
      </c>
      <c r="K3729">
        <v>5</v>
      </c>
      <c r="L3729" s="4">
        <v>66.3</v>
      </c>
      <c r="M3729" s="4">
        <v>13.259999999999998</v>
      </c>
      <c r="N3729" t="s">
        <v>92</v>
      </c>
    </row>
    <row r="3730" spans="1:14">
      <c r="A3730">
        <v>3729</v>
      </c>
      <c r="B3730">
        <v>62</v>
      </c>
      <c r="C3730" t="s">
        <v>11</v>
      </c>
      <c r="D3730" t="s">
        <v>41</v>
      </c>
      <c r="E3730" t="s">
        <v>45</v>
      </c>
      <c r="F3730">
        <v>149.16</v>
      </c>
      <c r="G3730" t="s">
        <v>14</v>
      </c>
      <c r="H3730" t="s">
        <v>15</v>
      </c>
      <c r="I3730">
        <v>3.5</v>
      </c>
      <c r="J3730">
        <v>20</v>
      </c>
      <c r="K3730">
        <v>5</v>
      </c>
      <c r="L3730" s="4">
        <v>186.45</v>
      </c>
      <c r="M3730" s="4">
        <v>37.289999999999992</v>
      </c>
      <c r="N3730" t="s">
        <v>94</v>
      </c>
    </row>
    <row r="3731" spans="1:14">
      <c r="A3731">
        <v>3730</v>
      </c>
      <c r="B3731">
        <v>48</v>
      </c>
      <c r="C3731" t="s">
        <v>11</v>
      </c>
      <c r="D3731" t="s">
        <v>33</v>
      </c>
      <c r="E3731" t="s">
        <v>38</v>
      </c>
      <c r="F3731">
        <v>165.93</v>
      </c>
      <c r="G3731" t="s">
        <v>14</v>
      </c>
      <c r="H3731" t="s">
        <v>15</v>
      </c>
      <c r="I3731">
        <v>3</v>
      </c>
      <c r="J3731">
        <v>16</v>
      </c>
      <c r="K3731">
        <v>3</v>
      </c>
      <c r="L3731" s="4">
        <v>197.53571428571431</v>
      </c>
      <c r="M3731" s="4">
        <v>31.605714285714299</v>
      </c>
      <c r="N3731" t="s">
        <v>93</v>
      </c>
    </row>
    <row r="3732" spans="1:14">
      <c r="A3732">
        <v>3731</v>
      </c>
      <c r="B3732">
        <v>38</v>
      </c>
      <c r="C3732" t="s">
        <v>11</v>
      </c>
      <c r="D3732" t="s">
        <v>33</v>
      </c>
      <c r="E3732" t="s">
        <v>38</v>
      </c>
      <c r="F3732">
        <v>138.47</v>
      </c>
      <c r="G3732" t="s">
        <v>14</v>
      </c>
      <c r="H3732" t="s">
        <v>15</v>
      </c>
      <c r="I3732">
        <v>4.0999999999999996</v>
      </c>
      <c r="J3732">
        <v>20</v>
      </c>
      <c r="K3732">
        <v>5</v>
      </c>
      <c r="L3732" s="4">
        <v>173.08749999999998</v>
      </c>
      <c r="M3732" s="4">
        <v>34.617499999999978</v>
      </c>
      <c r="N3732" t="s">
        <v>92</v>
      </c>
    </row>
    <row r="3733" spans="1:14">
      <c r="A3733">
        <v>3732</v>
      </c>
      <c r="B3733">
        <v>49</v>
      </c>
      <c r="C3733" t="s">
        <v>11</v>
      </c>
      <c r="D3733" t="s">
        <v>41</v>
      </c>
      <c r="E3733" t="s">
        <v>42</v>
      </c>
      <c r="F3733">
        <v>61.75</v>
      </c>
      <c r="G3733" t="s">
        <v>31</v>
      </c>
      <c r="H3733" t="s">
        <v>37</v>
      </c>
      <c r="I3733">
        <v>2.9</v>
      </c>
      <c r="J3733">
        <v>4</v>
      </c>
      <c r="K3733">
        <v>2</v>
      </c>
      <c r="L3733" s="4">
        <v>64.322916666666671</v>
      </c>
      <c r="M3733" s="4">
        <v>2.5729166666666714</v>
      </c>
      <c r="N3733" t="s">
        <v>93</v>
      </c>
    </row>
    <row r="3734" spans="1:14">
      <c r="A3734">
        <v>3733</v>
      </c>
      <c r="B3734">
        <v>25</v>
      </c>
      <c r="C3734" t="s">
        <v>16</v>
      </c>
      <c r="D3734" t="s">
        <v>17</v>
      </c>
      <c r="E3734" t="s">
        <v>35</v>
      </c>
      <c r="F3734">
        <v>186.83</v>
      </c>
      <c r="G3734" t="s">
        <v>31</v>
      </c>
      <c r="H3734" t="s">
        <v>15</v>
      </c>
      <c r="I3734">
        <v>3.3</v>
      </c>
      <c r="J3734">
        <v>20</v>
      </c>
      <c r="K3734">
        <v>5</v>
      </c>
      <c r="L3734" s="4">
        <v>233.53749999999999</v>
      </c>
      <c r="M3734" s="4">
        <v>46.707499999999982</v>
      </c>
      <c r="N3734" t="s">
        <v>91</v>
      </c>
    </row>
    <row r="3735" spans="1:14">
      <c r="A3735">
        <v>3734</v>
      </c>
      <c r="B3735">
        <v>32</v>
      </c>
      <c r="C3735" t="s">
        <v>11</v>
      </c>
      <c r="D3735" t="s">
        <v>22</v>
      </c>
      <c r="E3735" t="s">
        <v>43</v>
      </c>
      <c r="F3735">
        <v>161.13</v>
      </c>
      <c r="G3735" t="s">
        <v>14</v>
      </c>
      <c r="H3735" t="s">
        <v>15</v>
      </c>
      <c r="I3735">
        <v>4.5999999999999996</v>
      </c>
      <c r="J3735">
        <v>24</v>
      </c>
      <c r="K3735">
        <v>7</v>
      </c>
      <c r="L3735" s="4">
        <v>212.01315789473682</v>
      </c>
      <c r="M3735" s="4">
        <v>50.883157894736826</v>
      </c>
      <c r="N3735" t="s">
        <v>91</v>
      </c>
    </row>
    <row r="3736" spans="1:14">
      <c r="A3736">
        <v>3735</v>
      </c>
      <c r="B3736">
        <v>24</v>
      </c>
      <c r="C3736" t="s">
        <v>11</v>
      </c>
      <c r="D3736" t="s">
        <v>25</v>
      </c>
      <c r="E3736" t="s">
        <v>26</v>
      </c>
      <c r="F3736">
        <v>34.75</v>
      </c>
      <c r="G3736" t="s">
        <v>24</v>
      </c>
      <c r="H3736" t="s">
        <v>37</v>
      </c>
      <c r="I3736">
        <v>3.1</v>
      </c>
      <c r="J3736">
        <v>20</v>
      </c>
      <c r="K3736">
        <v>5</v>
      </c>
      <c r="L3736" s="4">
        <v>43.4375</v>
      </c>
      <c r="M3736" s="4">
        <v>8.6875</v>
      </c>
      <c r="N3736" t="s">
        <v>100</v>
      </c>
    </row>
    <row r="3737" spans="1:14">
      <c r="A3737">
        <v>3736</v>
      </c>
      <c r="B3737">
        <v>52</v>
      </c>
      <c r="C3737" t="s">
        <v>16</v>
      </c>
      <c r="D3737" t="s">
        <v>20</v>
      </c>
      <c r="E3737" t="s">
        <v>39</v>
      </c>
      <c r="F3737">
        <v>40.54</v>
      </c>
      <c r="G3737" t="s">
        <v>14</v>
      </c>
      <c r="H3737" t="s">
        <v>15</v>
      </c>
      <c r="I3737">
        <v>5</v>
      </c>
      <c r="J3737">
        <v>15</v>
      </c>
      <c r="K3737">
        <v>5</v>
      </c>
      <c r="L3737" s="4">
        <v>47.694117647058825</v>
      </c>
      <c r="M3737" s="4">
        <v>7.1541176470588255</v>
      </c>
      <c r="N3737" t="s">
        <v>93</v>
      </c>
    </row>
    <row r="3738" spans="1:14">
      <c r="A3738">
        <v>3737</v>
      </c>
      <c r="B3738">
        <v>38</v>
      </c>
      <c r="C3738" t="s">
        <v>16</v>
      </c>
      <c r="D3738" t="s">
        <v>17</v>
      </c>
      <c r="E3738" t="s">
        <v>35</v>
      </c>
      <c r="F3738">
        <v>156.15</v>
      </c>
      <c r="G3738" t="s">
        <v>24</v>
      </c>
      <c r="H3738" t="s">
        <v>15</v>
      </c>
      <c r="I3738">
        <v>4.9000000000000004</v>
      </c>
      <c r="J3738">
        <v>18</v>
      </c>
      <c r="K3738">
        <v>4</v>
      </c>
      <c r="L3738" s="4">
        <v>190.42682926829266</v>
      </c>
      <c r="M3738" s="4">
        <v>34.276829268292659</v>
      </c>
      <c r="N3738" t="s">
        <v>92</v>
      </c>
    </row>
    <row r="3739" spans="1:14">
      <c r="A3739">
        <v>3738</v>
      </c>
      <c r="B3739">
        <v>30</v>
      </c>
      <c r="C3739" t="s">
        <v>11</v>
      </c>
      <c r="D3739" t="s">
        <v>41</v>
      </c>
      <c r="E3739" t="s">
        <v>45</v>
      </c>
      <c r="F3739">
        <v>53.27</v>
      </c>
      <c r="G3739" t="s">
        <v>14</v>
      </c>
      <c r="H3739" t="s">
        <v>37</v>
      </c>
      <c r="I3739">
        <v>3.2</v>
      </c>
      <c r="J3739">
        <v>22</v>
      </c>
      <c r="K3739">
        <v>6</v>
      </c>
      <c r="L3739" s="4">
        <v>68.294871794871796</v>
      </c>
      <c r="M3739" s="4">
        <v>15.024871794871792</v>
      </c>
      <c r="N3739" t="s">
        <v>91</v>
      </c>
    </row>
    <row r="3740" spans="1:14">
      <c r="A3740">
        <v>3739</v>
      </c>
      <c r="B3740">
        <v>70</v>
      </c>
      <c r="C3740" t="s">
        <v>11</v>
      </c>
      <c r="D3740" t="s">
        <v>41</v>
      </c>
      <c r="E3740" t="s">
        <v>44</v>
      </c>
      <c r="F3740">
        <v>90.81</v>
      </c>
      <c r="G3740" t="s">
        <v>19</v>
      </c>
      <c r="H3740" t="s">
        <v>37</v>
      </c>
      <c r="I3740">
        <v>4</v>
      </c>
      <c r="J3740">
        <v>8</v>
      </c>
      <c r="K3740">
        <v>4</v>
      </c>
      <c r="L3740" s="4">
        <v>98.706521739130437</v>
      </c>
      <c r="M3740" s="4">
        <v>7.896521739130435</v>
      </c>
      <c r="N3740" t="s">
        <v>95</v>
      </c>
    </row>
    <row r="3741" spans="1:14">
      <c r="A3741">
        <v>3740</v>
      </c>
      <c r="B3741">
        <v>23</v>
      </c>
      <c r="C3741" t="s">
        <v>11</v>
      </c>
      <c r="D3741" t="s">
        <v>41</v>
      </c>
      <c r="E3741" t="s">
        <v>45</v>
      </c>
      <c r="F3741">
        <v>101.78</v>
      </c>
      <c r="G3741" t="s">
        <v>24</v>
      </c>
      <c r="H3741" t="s">
        <v>15</v>
      </c>
      <c r="I3741">
        <v>2.4</v>
      </c>
      <c r="J3741">
        <v>16</v>
      </c>
      <c r="K3741">
        <v>3</v>
      </c>
      <c r="L3741" s="4">
        <v>121.16666666666667</v>
      </c>
      <c r="M3741" s="4">
        <v>19.38666666666667</v>
      </c>
      <c r="N3741" t="s">
        <v>100</v>
      </c>
    </row>
    <row r="3742" spans="1:14">
      <c r="A3742">
        <v>3741</v>
      </c>
      <c r="B3742">
        <v>52</v>
      </c>
      <c r="C3742" t="s">
        <v>16</v>
      </c>
      <c r="D3742" t="s">
        <v>33</v>
      </c>
      <c r="E3742" t="s">
        <v>34</v>
      </c>
      <c r="F3742">
        <v>83.51</v>
      </c>
      <c r="G3742" t="s">
        <v>14</v>
      </c>
      <c r="H3742" t="s">
        <v>15</v>
      </c>
      <c r="I3742">
        <v>3.5</v>
      </c>
      <c r="J3742">
        <v>15</v>
      </c>
      <c r="K3742">
        <v>5</v>
      </c>
      <c r="L3742" s="4">
        <v>98.247058823529414</v>
      </c>
      <c r="M3742" s="4">
        <v>14.737058823529409</v>
      </c>
      <c r="N3742" t="s">
        <v>93</v>
      </c>
    </row>
    <row r="3743" spans="1:14">
      <c r="A3743">
        <v>3742</v>
      </c>
      <c r="B3743">
        <v>35</v>
      </c>
      <c r="C3743" t="s">
        <v>11</v>
      </c>
      <c r="D3743" t="s">
        <v>41</v>
      </c>
      <c r="E3743" t="s">
        <v>45</v>
      </c>
      <c r="F3743">
        <v>156.25</v>
      </c>
      <c r="G3743" t="s">
        <v>31</v>
      </c>
      <c r="H3743" t="s">
        <v>15</v>
      </c>
      <c r="I3743">
        <v>4.0999999999999996</v>
      </c>
      <c r="J3743">
        <v>15</v>
      </c>
      <c r="K3743">
        <v>5</v>
      </c>
      <c r="L3743" s="4">
        <v>183.82352941176472</v>
      </c>
      <c r="M3743" s="4">
        <v>27.573529411764724</v>
      </c>
      <c r="N3743" t="s">
        <v>92</v>
      </c>
    </row>
    <row r="3744" spans="1:14">
      <c r="A3744">
        <v>3743</v>
      </c>
      <c r="B3744">
        <v>61</v>
      </c>
      <c r="C3744" t="s">
        <v>11</v>
      </c>
      <c r="D3744" t="s">
        <v>33</v>
      </c>
      <c r="E3744" t="s">
        <v>38</v>
      </c>
      <c r="F3744">
        <v>240.97</v>
      </c>
      <c r="G3744" t="s">
        <v>19</v>
      </c>
      <c r="H3744" t="s">
        <v>15</v>
      </c>
      <c r="I3744">
        <v>4</v>
      </c>
      <c r="J3744">
        <v>26</v>
      </c>
      <c r="K3744">
        <v>8</v>
      </c>
      <c r="L3744" s="4">
        <v>325.63513513513516</v>
      </c>
      <c r="M3744" s="4">
        <v>84.665135135135159</v>
      </c>
      <c r="N3744" t="s">
        <v>94</v>
      </c>
    </row>
    <row r="3745" spans="1:14">
      <c r="A3745">
        <v>3744</v>
      </c>
      <c r="B3745">
        <v>25</v>
      </c>
      <c r="C3745" t="s">
        <v>11</v>
      </c>
      <c r="D3745" t="s">
        <v>33</v>
      </c>
      <c r="E3745" t="s">
        <v>40</v>
      </c>
      <c r="F3745">
        <v>161.52000000000001</v>
      </c>
      <c r="G3745" t="s">
        <v>31</v>
      </c>
      <c r="H3745" t="s">
        <v>15</v>
      </c>
      <c r="I3745">
        <v>4.2</v>
      </c>
      <c r="J3745">
        <v>10</v>
      </c>
      <c r="K3745">
        <v>5</v>
      </c>
      <c r="L3745" s="4">
        <v>179.46666666666667</v>
      </c>
      <c r="M3745" s="4">
        <v>17.946666666666658</v>
      </c>
      <c r="N3745" t="s">
        <v>91</v>
      </c>
    </row>
    <row r="3746" spans="1:14">
      <c r="A3746">
        <v>3745</v>
      </c>
      <c r="B3746">
        <v>60</v>
      </c>
      <c r="C3746" t="s">
        <v>16</v>
      </c>
      <c r="D3746" t="s">
        <v>22</v>
      </c>
      <c r="E3746" t="s">
        <v>43</v>
      </c>
      <c r="F3746">
        <v>52.07</v>
      </c>
      <c r="G3746" t="s">
        <v>24</v>
      </c>
      <c r="H3746" t="s">
        <v>15</v>
      </c>
      <c r="I3746">
        <v>5</v>
      </c>
      <c r="J3746">
        <v>18</v>
      </c>
      <c r="K3746">
        <v>4</v>
      </c>
      <c r="L3746" s="4">
        <v>63.499999999999993</v>
      </c>
      <c r="M3746" s="4">
        <v>11.429999999999993</v>
      </c>
      <c r="N3746" t="s">
        <v>94</v>
      </c>
    </row>
    <row r="3747" spans="1:14">
      <c r="A3747">
        <v>3746</v>
      </c>
      <c r="B3747">
        <v>21</v>
      </c>
      <c r="C3747" t="s">
        <v>11</v>
      </c>
      <c r="D3747" t="s">
        <v>29</v>
      </c>
      <c r="E3747" t="s">
        <v>55</v>
      </c>
      <c r="F3747">
        <v>41.3</v>
      </c>
      <c r="G3747" t="s">
        <v>14</v>
      </c>
      <c r="H3747" t="s">
        <v>37</v>
      </c>
      <c r="I3747">
        <v>3.8</v>
      </c>
      <c r="J3747">
        <v>8</v>
      </c>
      <c r="K3747">
        <v>4</v>
      </c>
      <c r="L3747" s="4">
        <v>44.891304347826079</v>
      </c>
      <c r="M3747" s="4">
        <v>3.5913043478260818</v>
      </c>
      <c r="N3747" t="s">
        <v>100</v>
      </c>
    </row>
    <row r="3748" spans="1:14">
      <c r="A3748">
        <v>3747</v>
      </c>
      <c r="B3748">
        <v>59</v>
      </c>
      <c r="C3748" t="s">
        <v>11</v>
      </c>
      <c r="D3748" t="s">
        <v>12</v>
      </c>
      <c r="E3748" t="s">
        <v>50</v>
      </c>
      <c r="F3748">
        <v>77.78</v>
      </c>
      <c r="G3748" t="s">
        <v>31</v>
      </c>
      <c r="H3748" t="s">
        <v>37</v>
      </c>
      <c r="I3748">
        <v>4</v>
      </c>
      <c r="J3748">
        <v>13</v>
      </c>
      <c r="K3748">
        <v>4</v>
      </c>
      <c r="L3748" s="4">
        <v>89.402298850574709</v>
      </c>
      <c r="M3748" s="4">
        <v>11.622298850574708</v>
      </c>
      <c r="N3748" t="s">
        <v>94</v>
      </c>
    </row>
    <row r="3749" spans="1:14">
      <c r="A3749">
        <v>3748</v>
      </c>
      <c r="B3749">
        <v>51</v>
      </c>
      <c r="C3749" t="s">
        <v>11</v>
      </c>
      <c r="D3749" t="s">
        <v>22</v>
      </c>
      <c r="E3749" t="s">
        <v>23</v>
      </c>
      <c r="F3749">
        <v>74.72</v>
      </c>
      <c r="G3749" t="s">
        <v>19</v>
      </c>
      <c r="H3749" t="s">
        <v>15</v>
      </c>
      <c r="I3749">
        <v>4</v>
      </c>
      <c r="J3749">
        <v>8</v>
      </c>
      <c r="K3749">
        <v>4</v>
      </c>
      <c r="L3749" s="4">
        <v>81.217391304347828</v>
      </c>
      <c r="M3749" s="4">
        <v>6.4973913043478291</v>
      </c>
      <c r="N3749" t="s">
        <v>93</v>
      </c>
    </row>
    <row r="3750" spans="1:14">
      <c r="A3750">
        <v>3749</v>
      </c>
      <c r="B3750">
        <v>39</v>
      </c>
      <c r="C3750" t="s">
        <v>11</v>
      </c>
      <c r="D3750" t="s">
        <v>33</v>
      </c>
      <c r="E3750" t="s">
        <v>34</v>
      </c>
      <c r="F3750">
        <v>88.03</v>
      </c>
      <c r="G3750" t="s">
        <v>14</v>
      </c>
      <c r="H3750" t="s">
        <v>37</v>
      </c>
      <c r="I3750">
        <v>4</v>
      </c>
      <c r="J3750">
        <v>10</v>
      </c>
      <c r="K3750">
        <v>5</v>
      </c>
      <c r="L3750" s="4">
        <v>97.811111111111103</v>
      </c>
      <c r="M3750" s="4">
        <v>9.7811111111111018</v>
      </c>
      <c r="N3750" t="s">
        <v>92</v>
      </c>
    </row>
    <row r="3751" spans="1:14">
      <c r="A3751">
        <v>3750</v>
      </c>
      <c r="B3751">
        <v>23</v>
      </c>
      <c r="C3751" t="s">
        <v>11</v>
      </c>
      <c r="D3751" t="s">
        <v>41</v>
      </c>
      <c r="E3751" t="s">
        <v>42</v>
      </c>
      <c r="F3751">
        <v>83.7</v>
      </c>
      <c r="G3751" t="s">
        <v>19</v>
      </c>
      <c r="H3751" t="s">
        <v>37</v>
      </c>
      <c r="I3751">
        <v>3.3</v>
      </c>
      <c r="J3751">
        <v>20</v>
      </c>
      <c r="K3751">
        <v>5</v>
      </c>
      <c r="L3751" s="4">
        <v>104.625</v>
      </c>
      <c r="M3751" s="4">
        <v>20.924999999999997</v>
      </c>
      <c r="N3751" t="s">
        <v>100</v>
      </c>
    </row>
    <row r="3752" spans="1:14">
      <c r="A3752">
        <v>3751</v>
      </c>
      <c r="B3752">
        <v>43</v>
      </c>
      <c r="C3752" t="s">
        <v>11</v>
      </c>
      <c r="D3752" t="s">
        <v>41</v>
      </c>
      <c r="E3752" t="s">
        <v>46</v>
      </c>
      <c r="F3752">
        <v>87.63</v>
      </c>
      <c r="G3752" t="s">
        <v>14</v>
      </c>
      <c r="H3752" t="s">
        <v>37</v>
      </c>
      <c r="I3752">
        <v>4.5999999999999996</v>
      </c>
      <c r="J3752">
        <v>4</v>
      </c>
      <c r="K3752">
        <v>2</v>
      </c>
      <c r="L3752" s="4">
        <v>91.28125</v>
      </c>
      <c r="M3752" s="4">
        <v>3.6512500000000045</v>
      </c>
      <c r="N3752" t="s">
        <v>92</v>
      </c>
    </row>
    <row r="3753" spans="1:14">
      <c r="A3753">
        <v>3752</v>
      </c>
      <c r="B3753">
        <v>53</v>
      </c>
      <c r="C3753" t="s">
        <v>11</v>
      </c>
      <c r="D3753" t="s">
        <v>29</v>
      </c>
      <c r="E3753" t="s">
        <v>30</v>
      </c>
      <c r="F3753">
        <v>78.650000000000006</v>
      </c>
      <c r="G3753" t="s">
        <v>14</v>
      </c>
      <c r="H3753" t="s">
        <v>15</v>
      </c>
      <c r="I3753">
        <v>3.6</v>
      </c>
      <c r="J3753">
        <v>12</v>
      </c>
      <c r="K3753">
        <v>6</v>
      </c>
      <c r="L3753" s="4">
        <v>89.375</v>
      </c>
      <c r="M3753" s="4">
        <v>10.724999999999994</v>
      </c>
      <c r="N3753" t="s">
        <v>93</v>
      </c>
    </row>
    <row r="3754" spans="1:14">
      <c r="A3754">
        <v>3753</v>
      </c>
      <c r="B3754">
        <v>37</v>
      </c>
      <c r="C3754" t="s">
        <v>11</v>
      </c>
      <c r="D3754" t="s">
        <v>12</v>
      </c>
      <c r="E3754" t="s">
        <v>56</v>
      </c>
      <c r="F3754">
        <v>29.21</v>
      </c>
      <c r="G3754" t="s">
        <v>31</v>
      </c>
      <c r="H3754" t="s">
        <v>15</v>
      </c>
      <c r="I3754">
        <v>4.0999999999999996</v>
      </c>
      <c r="J3754">
        <v>11</v>
      </c>
      <c r="K3754">
        <v>3</v>
      </c>
      <c r="L3754" s="4">
        <v>32.820224719101127</v>
      </c>
      <c r="M3754" s="4">
        <v>3.6102247191011259</v>
      </c>
      <c r="N3754" t="s">
        <v>92</v>
      </c>
    </row>
    <row r="3755" spans="1:14">
      <c r="A3755">
        <v>3754</v>
      </c>
      <c r="B3755">
        <v>54</v>
      </c>
      <c r="C3755" t="s">
        <v>11</v>
      </c>
      <c r="D3755" t="s">
        <v>20</v>
      </c>
      <c r="E3755" t="s">
        <v>39</v>
      </c>
      <c r="F3755">
        <v>107.34</v>
      </c>
      <c r="G3755" t="s">
        <v>31</v>
      </c>
      <c r="H3755" t="s">
        <v>15</v>
      </c>
      <c r="I3755">
        <v>3.5</v>
      </c>
      <c r="J3755">
        <v>19</v>
      </c>
      <c r="K3755">
        <v>7</v>
      </c>
      <c r="L3755" s="4">
        <v>132.5185185185185</v>
      </c>
      <c r="M3755" s="4">
        <v>25.178518518518501</v>
      </c>
      <c r="N3755" t="s">
        <v>93</v>
      </c>
    </row>
    <row r="3756" spans="1:14">
      <c r="A3756">
        <v>3755</v>
      </c>
      <c r="B3756">
        <v>56</v>
      </c>
      <c r="C3756" t="s">
        <v>16</v>
      </c>
      <c r="D3756" t="s">
        <v>33</v>
      </c>
      <c r="E3756" t="s">
        <v>40</v>
      </c>
      <c r="F3756">
        <v>241.91</v>
      </c>
      <c r="G3756" t="s">
        <v>31</v>
      </c>
      <c r="H3756" t="s">
        <v>15</v>
      </c>
      <c r="I3756">
        <v>3.5</v>
      </c>
      <c r="J3756">
        <v>16</v>
      </c>
      <c r="K3756">
        <v>3</v>
      </c>
      <c r="L3756" s="4">
        <v>287.98809523809524</v>
      </c>
      <c r="M3756" s="4">
        <v>46.078095238095244</v>
      </c>
      <c r="N3756" t="s">
        <v>94</v>
      </c>
    </row>
    <row r="3757" spans="1:14">
      <c r="A3757">
        <v>3756</v>
      </c>
      <c r="B3757">
        <v>31</v>
      </c>
      <c r="C3757" t="s">
        <v>11</v>
      </c>
      <c r="D3757" t="s">
        <v>29</v>
      </c>
      <c r="E3757" t="s">
        <v>55</v>
      </c>
      <c r="F3757">
        <v>105.94</v>
      </c>
      <c r="G3757" t="s">
        <v>31</v>
      </c>
      <c r="H3757" t="s">
        <v>15</v>
      </c>
      <c r="I3757">
        <v>3.3</v>
      </c>
      <c r="J3757">
        <v>16</v>
      </c>
      <c r="K3757">
        <v>3</v>
      </c>
      <c r="L3757" s="4">
        <v>126.11904761904762</v>
      </c>
      <c r="M3757" s="4">
        <v>20.179047619047623</v>
      </c>
      <c r="N3757" t="s">
        <v>91</v>
      </c>
    </row>
    <row r="3758" spans="1:14">
      <c r="A3758">
        <v>3757</v>
      </c>
      <c r="B3758">
        <v>47</v>
      </c>
      <c r="C3758" t="s">
        <v>16</v>
      </c>
      <c r="D3758" t="s">
        <v>17</v>
      </c>
      <c r="E3758" t="s">
        <v>48</v>
      </c>
      <c r="F3758">
        <v>100.06</v>
      </c>
      <c r="G3758" t="s">
        <v>14</v>
      </c>
      <c r="H3758" t="s">
        <v>15</v>
      </c>
      <c r="I3758">
        <v>3.7</v>
      </c>
      <c r="J3758">
        <v>18</v>
      </c>
      <c r="K3758">
        <v>4</v>
      </c>
      <c r="L3758" s="4">
        <v>122.02439024390243</v>
      </c>
      <c r="M3758" s="4">
        <v>21.964390243902429</v>
      </c>
      <c r="N3758" t="s">
        <v>93</v>
      </c>
    </row>
    <row r="3759" spans="1:14">
      <c r="A3759">
        <v>3758</v>
      </c>
      <c r="B3759">
        <v>41</v>
      </c>
      <c r="C3759" t="s">
        <v>11</v>
      </c>
      <c r="D3759" t="s">
        <v>20</v>
      </c>
      <c r="E3759" t="s">
        <v>39</v>
      </c>
      <c r="F3759">
        <v>53.69</v>
      </c>
      <c r="G3759" t="s">
        <v>19</v>
      </c>
      <c r="H3759" t="s">
        <v>37</v>
      </c>
      <c r="I3759">
        <v>3.7</v>
      </c>
      <c r="J3759">
        <v>21</v>
      </c>
      <c r="K3759">
        <v>8</v>
      </c>
      <c r="L3759" s="4">
        <v>67.962025316455694</v>
      </c>
      <c r="M3759" s="4">
        <v>14.272025316455696</v>
      </c>
      <c r="N3759" t="s">
        <v>92</v>
      </c>
    </row>
    <row r="3760" spans="1:14">
      <c r="A3760">
        <v>3759</v>
      </c>
      <c r="B3760">
        <v>69</v>
      </c>
      <c r="C3760" t="s">
        <v>16</v>
      </c>
      <c r="D3760" t="s">
        <v>17</v>
      </c>
      <c r="E3760" t="s">
        <v>48</v>
      </c>
      <c r="F3760">
        <v>95.85</v>
      </c>
      <c r="G3760" t="s">
        <v>14</v>
      </c>
      <c r="H3760" t="s">
        <v>15</v>
      </c>
      <c r="I3760">
        <v>4.3</v>
      </c>
      <c r="J3760">
        <v>12</v>
      </c>
      <c r="K3760">
        <v>6</v>
      </c>
      <c r="L3760" s="4">
        <v>108.92045454545453</v>
      </c>
      <c r="M3760" s="4">
        <v>13.070454545454538</v>
      </c>
      <c r="N3760" t="s">
        <v>95</v>
      </c>
    </row>
    <row r="3761" spans="1:14">
      <c r="A3761">
        <v>3760</v>
      </c>
      <c r="B3761">
        <v>25</v>
      </c>
      <c r="C3761" t="s">
        <v>11</v>
      </c>
      <c r="D3761" t="s">
        <v>12</v>
      </c>
      <c r="E3761" t="s">
        <v>13</v>
      </c>
      <c r="F3761">
        <v>177.89</v>
      </c>
      <c r="G3761" t="s">
        <v>19</v>
      </c>
      <c r="H3761" t="s">
        <v>15</v>
      </c>
      <c r="I3761">
        <v>3.7</v>
      </c>
      <c r="J3761">
        <v>16</v>
      </c>
      <c r="K3761">
        <v>8</v>
      </c>
      <c r="L3761" s="4">
        <v>211.77380952380952</v>
      </c>
      <c r="M3761" s="4">
        <v>33.883809523809532</v>
      </c>
      <c r="N3761" t="s">
        <v>91</v>
      </c>
    </row>
    <row r="3762" spans="1:14">
      <c r="A3762">
        <v>3761</v>
      </c>
      <c r="B3762">
        <v>57</v>
      </c>
      <c r="C3762" t="s">
        <v>11</v>
      </c>
      <c r="D3762" t="s">
        <v>12</v>
      </c>
      <c r="E3762" t="s">
        <v>50</v>
      </c>
      <c r="F3762">
        <v>97</v>
      </c>
      <c r="G3762" t="s">
        <v>24</v>
      </c>
      <c r="H3762" t="s">
        <v>37</v>
      </c>
      <c r="I3762">
        <v>4.0999999999999996</v>
      </c>
      <c r="J3762">
        <v>24</v>
      </c>
      <c r="K3762">
        <v>7</v>
      </c>
      <c r="L3762" s="4">
        <v>127.63157894736842</v>
      </c>
      <c r="M3762" s="4">
        <v>30.631578947368425</v>
      </c>
      <c r="N3762" t="s">
        <v>94</v>
      </c>
    </row>
    <row r="3763" spans="1:14">
      <c r="A3763">
        <v>3762</v>
      </c>
      <c r="B3763">
        <v>43</v>
      </c>
      <c r="C3763" t="s">
        <v>16</v>
      </c>
      <c r="D3763" t="s">
        <v>33</v>
      </c>
      <c r="E3763" t="s">
        <v>40</v>
      </c>
      <c r="F3763">
        <v>135.26</v>
      </c>
      <c r="G3763" t="s">
        <v>19</v>
      </c>
      <c r="H3763" t="s">
        <v>15</v>
      </c>
      <c r="I3763">
        <v>4.3</v>
      </c>
      <c r="J3763">
        <v>28</v>
      </c>
      <c r="K3763">
        <v>9</v>
      </c>
      <c r="L3763" s="4">
        <v>187.86111111111111</v>
      </c>
      <c r="M3763" s="4">
        <v>52.601111111111123</v>
      </c>
      <c r="N3763" t="s">
        <v>92</v>
      </c>
    </row>
    <row r="3764" spans="1:14">
      <c r="A3764">
        <v>3763</v>
      </c>
      <c r="B3764">
        <v>55</v>
      </c>
      <c r="C3764" t="s">
        <v>16</v>
      </c>
      <c r="D3764" t="s">
        <v>20</v>
      </c>
      <c r="E3764" t="s">
        <v>39</v>
      </c>
      <c r="F3764">
        <v>153.94999999999999</v>
      </c>
      <c r="G3764" t="s">
        <v>19</v>
      </c>
      <c r="H3764" t="s">
        <v>15</v>
      </c>
      <c r="I3764">
        <v>3.4</v>
      </c>
      <c r="J3764">
        <v>13</v>
      </c>
      <c r="K3764">
        <v>4</v>
      </c>
      <c r="L3764" s="4">
        <v>176.95402298850573</v>
      </c>
      <c r="M3764" s="4">
        <v>23.004022988505739</v>
      </c>
      <c r="N3764" t="s">
        <v>94</v>
      </c>
    </row>
    <row r="3765" spans="1:14">
      <c r="A3765">
        <v>3764</v>
      </c>
      <c r="B3765">
        <v>55</v>
      </c>
      <c r="C3765" t="s">
        <v>16</v>
      </c>
      <c r="D3765" t="s">
        <v>20</v>
      </c>
      <c r="E3765" t="s">
        <v>39</v>
      </c>
      <c r="F3765">
        <v>73.22</v>
      </c>
      <c r="G3765" t="s">
        <v>19</v>
      </c>
      <c r="H3765" t="s">
        <v>37</v>
      </c>
      <c r="I3765">
        <v>3</v>
      </c>
      <c r="J3765">
        <v>17</v>
      </c>
      <c r="K3765">
        <v>6</v>
      </c>
      <c r="L3765" s="4">
        <v>88.216867469879517</v>
      </c>
      <c r="M3765" s="4">
        <v>14.996867469879518</v>
      </c>
      <c r="N3765" t="s">
        <v>94</v>
      </c>
    </row>
    <row r="3766" spans="1:14">
      <c r="A3766">
        <v>3765</v>
      </c>
      <c r="B3766">
        <v>59</v>
      </c>
      <c r="C3766" t="s">
        <v>11</v>
      </c>
      <c r="D3766" t="s">
        <v>41</v>
      </c>
      <c r="E3766" t="s">
        <v>44</v>
      </c>
      <c r="F3766">
        <v>78.739999999999995</v>
      </c>
      <c r="G3766" t="s">
        <v>14</v>
      </c>
      <c r="H3766" t="s">
        <v>15</v>
      </c>
      <c r="I3766">
        <v>3.9</v>
      </c>
      <c r="J3766">
        <v>17</v>
      </c>
      <c r="K3766">
        <v>6</v>
      </c>
      <c r="L3766" s="4">
        <v>94.867469879518069</v>
      </c>
      <c r="M3766" s="4">
        <v>16.127469879518074</v>
      </c>
      <c r="N3766" t="s">
        <v>94</v>
      </c>
    </row>
    <row r="3767" spans="1:14">
      <c r="A3767">
        <v>3766</v>
      </c>
      <c r="B3767">
        <v>59</v>
      </c>
      <c r="C3767" t="s">
        <v>16</v>
      </c>
      <c r="D3767" t="s">
        <v>20</v>
      </c>
      <c r="E3767" t="s">
        <v>39</v>
      </c>
      <c r="F3767">
        <v>193.24</v>
      </c>
      <c r="G3767" t="s">
        <v>14</v>
      </c>
      <c r="H3767" t="s">
        <v>15</v>
      </c>
      <c r="I3767">
        <v>4.0999999999999996</v>
      </c>
      <c r="J3767">
        <v>8</v>
      </c>
      <c r="K3767">
        <v>4</v>
      </c>
      <c r="L3767" s="4">
        <v>210.04347826086956</v>
      </c>
      <c r="M3767" s="4">
        <v>16.803478260869554</v>
      </c>
      <c r="N3767" t="s">
        <v>94</v>
      </c>
    </row>
    <row r="3768" spans="1:14">
      <c r="A3768">
        <v>3767</v>
      </c>
      <c r="B3768">
        <v>58</v>
      </c>
      <c r="C3768" t="s">
        <v>11</v>
      </c>
      <c r="D3768" t="s">
        <v>41</v>
      </c>
      <c r="E3768" t="s">
        <v>46</v>
      </c>
      <c r="F3768">
        <v>123.99</v>
      </c>
      <c r="G3768" t="s">
        <v>31</v>
      </c>
      <c r="H3768" t="s">
        <v>15</v>
      </c>
      <c r="I3768">
        <v>4.3</v>
      </c>
      <c r="J3768">
        <v>12</v>
      </c>
      <c r="K3768">
        <v>6</v>
      </c>
      <c r="L3768" s="4">
        <v>140.89772727272725</v>
      </c>
      <c r="M3768" s="4">
        <v>16.907727272727257</v>
      </c>
      <c r="N3768" t="s">
        <v>94</v>
      </c>
    </row>
    <row r="3769" spans="1:14">
      <c r="A3769">
        <v>3768</v>
      </c>
      <c r="B3769">
        <v>31</v>
      </c>
      <c r="C3769" t="s">
        <v>11</v>
      </c>
      <c r="D3769" t="s">
        <v>12</v>
      </c>
      <c r="E3769" t="s">
        <v>13</v>
      </c>
      <c r="F3769">
        <v>127.18</v>
      </c>
      <c r="G3769" t="s">
        <v>31</v>
      </c>
      <c r="H3769" t="s">
        <v>15</v>
      </c>
      <c r="I3769">
        <v>3.3</v>
      </c>
      <c r="J3769">
        <v>10</v>
      </c>
      <c r="K3769">
        <v>5</v>
      </c>
      <c r="L3769" s="4">
        <v>141.3111111111111</v>
      </c>
      <c r="M3769" s="4">
        <v>14.131111111111096</v>
      </c>
      <c r="N3769" t="s">
        <v>91</v>
      </c>
    </row>
    <row r="3770" spans="1:14">
      <c r="A3770">
        <v>3769</v>
      </c>
      <c r="B3770">
        <v>42</v>
      </c>
      <c r="C3770" t="s">
        <v>16</v>
      </c>
      <c r="D3770" t="s">
        <v>27</v>
      </c>
      <c r="E3770" t="s">
        <v>49</v>
      </c>
      <c r="F3770">
        <v>2662.7</v>
      </c>
      <c r="G3770" t="s">
        <v>31</v>
      </c>
      <c r="H3770" t="s">
        <v>15</v>
      </c>
      <c r="I3770">
        <v>3.6</v>
      </c>
      <c r="J3770">
        <v>19</v>
      </c>
      <c r="K3770">
        <v>7</v>
      </c>
      <c r="L3770" s="4">
        <v>3287.2839506172836</v>
      </c>
      <c r="M3770" s="4">
        <v>624.58395061728379</v>
      </c>
      <c r="N3770" t="s">
        <v>92</v>
      </c>
    </row>
    <row r="3771" spans="1:14">
      <c r="A3771">
        <v>3770</v>
      </c>
      <c r="B3771">
        <v>68</v>
      </c>
      <c r="C3771" t="s">
        <v>16</v>
      </c>
      <c r="D3771" t="s">
        <v>33</v>
      </c>
      <c r="E3771" t="s">
        <v>34</v>
      </c>
      <c r="F3771">
        <v>207</v>
      </c>
      <c r="G3771" t="s">
        <v>31</v>
      </c>
      <c r="H3771" t="s">
        <v>15</v>
      </c>
      <c r="I3771">
        <v>5</v>
      </c>
      <c r="J3771">
        <v>26</v>
      </c>
      <c r="K3771">
        <v>8</v>
      </c>
      <c r="L3771" s="4">
        <v>279.72972972972974</v>
      </c>
      <c r="M3771" s="4">
        <v>72.72972972972974</v>
      </c>
      <c r="N3771" t="s">
        <v>95</v>
      </c>
    </row>
    <row r="3772" spans="1:14">
      <c r="A3772">
        <v>3771</v>
      </c>
      <c r="B3772">
        <v>54</v>
      </c>
      <c r="C3772" t="s">
        <v>11</v>
      </c>
      <c r="D3772" t="s">
        <v>12</v>
      </c>
      <c r="E3772" t="s">
        <v>13</v>
      </c>
      <c r="F3772">
        <v>148.96</v>
      </c>
      <c r="G3772" t="s">
        <v>14</v>
      </c>
      <c r="H3772" t="s">
        <v>15</v>
      </c>
      <c r="I3772">
        <v>4</v>
      </c>
      <c r="J3772">
        <v>22</v>
      </c>
      <c r="K3772">
        <v>6</v>
      </c>
      <c r="L3772" s="4">
        <v>190.97435897435898</v>
      </c>
      <c r="M3772" s="4">
        <v>42.01435897435897</v>
      </c>
      <c r="N3772" t="s">
        <v>93</v>
      </c>
    </row>
    <row r="3773" spans="1:14">
      <c r="A3773">
        <v>3772</v>
      </c>
      <c r="B3773">
        <v>33</v>
      </c>
      <c r="C3773" t="s">
        <v>16</v>
      </c>
      <c r="D3773" t="s">
        <v>17</v>
      </c>
      <c r="E3773" t="s">
        <v>48</v>
      </c>
      <c r="F3773">
        <v>91.42</v>
      </c>
      <c r="G3773" t="s">
        <v>14</v>
      </c>
      <c r="H3773" t="s">
        <v>37</v>
      </c>
      <c r="I3773">
        <v>4.5</v>
      </c>
      <c r="J3773">
        <v>14</v>
      </c>
      <c r="K3773">
        <v>2</v>
      </c>
      <c r="L3773" s="4">
        <v>106.30232558139535</v>
      </c>
      <c r="M3773" s="4">
        <v>14.882325581395349</v>
      </c>
      <c r="N3773" t="s">
        <v>91</v>
      </c>
    </row>
    <row r="3774" spans="1:14">
      <c r="A3774">
        <v>3773</v>
      </c>
      <c r="B3774">
        <v>45</v>
      </c>
      <c r="C3774" t="s">
        <v>11</v>
      </c>
      <c r="D3774" t="s">
        <v>33</v>
      </c>
      <c r="E3774" t="s">
        <v>38</v>
      </c>
      <c r="F3774">
        <v>153.68</v>
      </c>
      <c r="G3774" t="s">
        <v>19</v>
      </c>
      <c r="H3774" t="s">
        <v>15</v>
      </c>
      <c r="I3774">
        <v>4</v>
      </c>
      <c r="J3774">
        <v>20</v>
      </c>
      <c r="K3774">
        <v>5</v>
      </c>
      <c r="L3774" s="4">
        <v>192.1</v>
      </c>
      <c r="M3774" s="4">
        <v>38.419999999999987</v>
      </c>
      <c r="N3774" t="s">
        <v>93</v>
      </c>
    </row>
    <row r="3775" spans="1:14">
      <c r="A3775">
        <v>3774</v>
      </c>
      <c r="B3775">
        <v>68</v>
      </c>
      <c r="C3775" t="s">
        <v>16</v>
      </c>
      <c r="D3775" t="s">
        <v>20</v>
      </c>
      <c r="E3775" t="s">
        <v>39</v>
      </c>
      <c r="F3775">
        <v>110.62</v>
      </c>
      <c r="G3775" t="s">
        <v>14</v>
      </c>
      <c r="H3775" t="s">
        <v>15</v>
      </c>
      <c r="I3775">
        <v>3.9</v>
      </c>
      <c r="J3775">
        <v>15</v>
      </c>
      <c r="K3775">
        <v>5</v>
      </c>
      <c r="L3775" s="4">
        <v>130.14117647058825</v>
      </c>
      <c r="M3775" s="4">
        <v>19.521176470588244</v>
      </c>
      <c r="N3775" t="s">
        <v>95</v>
      </c>
    </row>
    <row r="3776" spans="1:14">
      <c r="A3776">
        <v>3775</v>
      </c>
      <c r="B3776">
        <v>43</v>
      </c>
      <c r="C3776" t="s">
        <v>11</v>
      </c>
      <c r="D3776" t="s">
        <v>12</v>
      </c>
      <c r="E3776" t="s">
        <v>56</v>
      </c>
      <c r="F3776">
        <v>178.57</v>
      </c>
      <c r="G3776" t="s">
        <v>14</v>
      </c>
      <c r="H3776" t="s">
        <v>15</v>
      </c>
      <c r="I3776">
        <v>3.2</v>
      </c>
      <c r="J3776">
        <v>16</v>
      </c>
      <c r="K3776">
        <v>3</v>
      </c>
      <c r="L3776" s="4">
        <v>212.58333333333334</v>
      </c>
      <c r="M3776" s="4">
        <v>34.01333333333335</v>
      </c>
      <c r="N3776" t="s">
        <v>92</v>
      </c>
    </row>
    <row r="3777" spans="1:14">
      <c r="A3777">
        <v>3776</v>
      </c>
      <c r="B3777">
        <v>23</v>
      </c>
      <c r="C3777" t="s">
        <v>16</v>
      </c>
      <c r="D3777" t="s">
        <v>17</v>
      </c>
      <c r="E3777" t="s">
        <v>48</v>
      </c>
      <c r="F3777">
        <v>84.91</v>
      </c>
      <c r="G3777" t="s">
        <v>24</v>
      </c>
      <c r="H3777" t="s">
        <v>15</v>
      </c>
      <c r="I3777">
        <v>2.6</v>
      </c>
      <c r="J3777">
        <v>18</v>
      </c>
      <c r="K3777">
        <v>9</v>
      </c>
      <c r="L3777" s="4">
        <v>103.54878048780486</v>
      </c>
      <c r="M3777" s="4">
        <v>18.638780487804866</v>
      </c>
      <c r="N3777" t="s">
        <v>100</v>
      </c>
    </row>
    <row r="3778" spans="1:14">
      <c r="A3778">
        <v>3777</v>
      </c>
      <c r="B3778">
        <v>59</v>
      </c>
      <c r="C3778" t="s">
        <v>11</v>
      </c>
      <c r="D3778" t="s">
        <v>12</v>
      </c>
      <c r="E3778" t="s">
        <v>50</v>
      </c>
      <c r="F3778">
        <v>95.39</v>
      </c>
      <c r="G3778" t="s">
        <v>14</v>
      </c>
      <c r="H3778" t="s">
        <v>15</v>
      </c>
      <c r="I3778">
        <v>5</v>
      </c>
      <c r="J3778">
        <v>9</v>
      </c>
      <c r="K3778">
        <v>2</v>
      </c>
      <c r="L3778" s="4">
        <v>104.82417582417582</v>
      </c>
      <c r="M3778" s="4">
        <v>9.4341758241758242</v>
      </c>
      <c r="N3778" t="s">
        <v>94</v>
      </c>
    </row>
    <row r="3779" spans="1:14">
      <c r="A3779">
        <v>3778</v>
      </c>
      <c r="B3779">
        <v>21</v>
      </c>
      <c r="C3779" t="s">
        <v>16</v>
      </c>
      <c r="D3779" t="s">
        <v>27</v>
      </c>
      <c r="E3779" t="s">
        <v>32</v>
      </c>
      <c r="F3779">
        <v>1512.5</v>
      </c>
      <c r="G3779" t="s">
        <v>19</v>
      </c>
      <c r="H3779" t="s">
        <v>15</v>
      </c>
      <c r="I3779">
        <v>4</v>
      </c>
      <c r="J3779">
        <v>15</v>
      </c>
      <c r="K3779">
        <v>5</v>
      </c>
      <c r="L3779" s="4">
        <v>1779.4117647058824</v>
      </c>
      <c r="M3779" s="4">
        <v>266.91176470588243</v>
      </c>
      <c r="N3779" t="s">
        <v>100</v>
      </c>
    </row>
    <row r="3780" spans="1:14">
      <c r="A3780">
        <v>3779</v>
      </c>
      <c r="B3780">
        <v>35</v>
      </c>
      <c r="C3780" t="s">
        <v>11</v>
      </c>
      <c r="D3780" t="s">
        <v>33</v>
      </c>
      <c r="E3780" t="s">
        <v>38</v>
      </c>
      <c r="F3780">
        <v>68.790000000000006</v>
      </c>
      <c r="G3780" t="s">
        <v>19</v>
      </c>
      <c r="H3780" t="s">
        <v>37</v>
      </c>
      <c r="I3780">
        <v>5</v>
      </c>
      <c r="J3780">
        <v>20</v>
      </c>
      <c r="K3780">
        <v>5</v>
      </c>
      <c r="L3780" s="4">
        <v>85.987499999999997</v>
      </c>
      <c r="M3780" s="4">
        <v>17.197499999999991</v>
      </c>
      <c r="N3780" t="s">
        <v>92</v>
      </c>
    </row>
    <row r="3781" spans="1:14">
      <c r="A3781">
        <v>3780</v>
      </c>
      <c r="B3781">
        <v>26</v>
      </c>
      <c r="C3781" t="s">
        <v>11</v>
      </c>
      <c r="D3781" t="s">
        <v>29</v>
      </c>
      <c r="E3781" t="s">
        <v>55</v>
      </c>
      <c r="F3781">
        <v>30.17</v>
      </c>
      <c r="G3781" t="s">
        <v>19</v>
      </c>
      <c r="H3781" t="s">
        <v>15</v>
      </c>
      <c r="I3781">
        <v>2.8</v>
      </c>
      <c r="J3781">
        <v>13</v>
      </c>
      <c r="K3781">
        <v>4</v>
      </c>
      <c r="L3781" s="4">
        <v>34.678160919540232</v>
      </c>
      <c r="M3781" s="4">
        <v>4.5081609195402308</v>
      </c>
      <c r="N3781" t="s">
        <v>91</v>
      </c>
    </row>
    <row r="3782" spans="1:14">
      <c r="A3782">
        <v>3781</v>
      </c>
      <c r="B3782">
        <v>40</v>
      </c>
      <c r="C3782" t="s">
        <v>16</v>
      </c>
      <c r="D3782" t="s">
        <v>20</v>
      </c>
      <c r="E3782" t="s">
        <v>36</v>
      </c>
      <c r="F3782">
        <v>199.87</v>
      </c>
      <c r="G3782" t="s">
        <v>14</v>
      </c>
      <c r="H3782" t="s">
        <v>15</v>
      </c>
      <c r="I3782">
        <v>3.1</v>
      </c>
      <c r="J3782">
        <v>7</v>
      </c>
      <c r="K3782">
        <v>1</v>
      </c>
      <c r="L3782" s="4">
        <v>214.91397849462368</v>
      </c>
      <c r="M3782" s="4">
        <v>15.043978494623673</v>
      </c>
      <c r="N3782" t="s">
        <v>92</v>
      </c>
    </row>
    <row r="3783" spans="1:14">
      <c r="A3783">
        <v>3782</v>
      </c>
      <c r="B3783">
        <v>24</v>
      </c>
      <c r="C3783" t="s">
        <v>11</v>
      </c>
      <c r="D3783" t="s">
        <v>29</v>
      </c>
      <c r="E3783" t="s">
        <v>55</v>
      </c>
      <c r="F3783">
        <v>47.98</v>
      </c>
      <c r="G3783" t="s">
        <v>31</v>
      </c>
      <c r="H3783" t="s">
        <v>15</v>
      </c>
      <c r="I3783">
        <v>4.5999999999999996</v>
      </c>
      <c r="J3783">
        <v>4</v>
      </c>
      <c r="K3783">
        <v>2</v>
      </c>
      <c r="L3783" s="4">
        <v>49.979166666666664</v>
      </c>
      <c r="M3783" s="4">
        <v>1.9991666666666674</v>
      </c>
      <c r="N3783" t="s">
        <v>100</v>
      </c>
    </row>
    <row r="3784" spans="1:14">
      <c r="A3784">
        <v>3783</v>
      </c>
      <c r="B3784">
        <v>68</v>
      </c>
      <c r="C3784" t="s">
        <v>11</v>
      </c>
      <c r="D3784" t="s">
        <v>41</v>
      </c>
      <c r="E3784" t="s">
        <v>45</v>
      </c>
      <c r="F3784">
        <v>184.65</v>
      </c>
      <c r="G3784" t="s">
        <v>31</v>
      </c>
      <c r="H3784" t="s">
        <v>15</v>
      </c>
      <c r="I3784">
        <v>3.4</v>
      </c>
      <c r="J3784">
        <v>14</v>
      </c>
      <c r="K3784">
        <v>2</v>
      </c>
      <c r="L3784" s="4">
        <v>214.7093023255814</v>
      </c>
      <c r="M3784" s="4">
        <v>30.059302325581399</v>
      </c>
      <c r="N3784" t="s">
        <v>95</v>
      </c>
    </row>
    <row r="3785" spans="1:14">
      <c r="A3785">
        <v>3784</v>
      </c>
      <c r="B3785">
        <v>39</v>
      </c>
      <c r="C3785" t="s">
        <v>11</v>
      </c>
      <c r="D3785" t="s">
        <v>20</v>
      </c>
      <c r="E3785" t="s">
        <v>21</v>
      </c>
      <c r="F3785">
        <v>101.5</v>
      </c>
      <c r="G3785" t="s">
        <v>31</v>
      </c>
      <c r="H3785" t="s">
        <v>15</v>
      </c>
      <c r="I3785">
        <v>4.5</v>
      </c>
      <c r="J3785">
        <v>20</v>
      </c>
      <c r="K3785">
        <v>5</v>
      </c>
      <c r="L3785" s="4">
        <v>126.875</v>
      </c>
      <c r="M3785" s="4">
        <v>25.375</v>
      </c>
      <c r="N3785" t="s">
        <v>92</v>
      </c>
    </row>
    <row r="3786" spans="1:14">
      <c r="A3786">
        <v>3785</v>
      </c>
      <c r="B3786">
        <v>27</v>
      </c>
      <c r="C3786" t="s">
        <v>16</v>
      </c>
      <c r="D3786" t="s">
        <v>27</v>
      </c>
      <c r="E3786" t="s">
        <v>28</v>
      </c>
      <c r="F3786">
        <v>502.45</v>
      </c>
      <c r="G3786" t="s">
        <v>24</v>
      </c>
      <c r="H3786" t="s">
        <v>15</v>
      </c>
      <c r="I3786">
        <v>5</v>
      </c>
      <c r="J3786">
        <v>16</v>
      </c>
      <c r="K3786">
        <v>3</v>
      </c>
      <c r="L3786" s="4">
        <v>598.15476190476193</v>
      </c>
      <c r="M3786" s="4">
        <v>95.704761904761938</v>
      </c>
      <c r="N3786" t="s">
        <v>91</v>
      </c>
    </row>
    <row r="3787" spans="1:14">
      <c r="A3787">
        <v>3786</v>
      </c>
      <c r="B3787">
        <v>29</v>
      </c>
      <c r="C3787" t="s">
        <v>11</v>
      </c>
      <c r="D3787" t="s">
        <v>29</v>
      </c>
      <c r="E3787" t="s">
        <v>55</v>
      </c>
      <c r="F3787">
        <v>137</v>
      </c>
      <c r="G3787" t="s">
        <v>14</v>
      </c>
      <c r="H3787" t="s">
        <v>15</v>
      </c>
      <c r="I3787">
        <v>4.7</v>
      </c>
      <c r="J3787">
        <v>22</v>
      </c>
      <c r="K3787">
        <v>6</v>
      </c>
      <c r="L3787" s="4">
        <v>175.64102564102564</v>
      </c>
      <c r="M3787" s="4">
        <v>38.641025641025635</v>
      </c>
      <c r="N3787" t="s">
        <v>91</v>
      </c>
    </row>
    <row r="3788" spans="1:14">
      <c r="A3788">
        <v>3787</v>
      </c>
      <c r="B3788">
        <v>21</v>
      </c>
      <c r="C3788" t="s">
        <v>16</v>
      </c>
      <c r="D3788" t="s">
        <v>20</v>
      </c>
      <c r="E3788" t="s">
        <v>39</v>
      </c>
      <c r="F3788">
        <v>137.18</v>
      </c>
      <c r="G3788" t="s">
        <v>31</v>
      </c>
      <c r="H3788" t="s">
        <v>15</v>
      </c>
      <c r="I3788">
        <v>2.8</v>
      </c>
      <c r="J3788">
        <v>12</v>
      </c>
      <c r="K3788">
        <v>6</v>
      </c>
      <c r="L3788" s="4">
        <v>155.88636363636365</v>
      </c>
      <c r="M3788" s="4">
        <v>18.706363636363648</v>
      </c>
      <c r="N3788" t="s">
        <v>100</v>
      </c>
    </row>
    <row r="3789" spans="1:14">
      <c r="A3789">
        <v>3788</v>
      </c>
      <c r="B3789">
        <v>52</v>
      </c>
      <c r="C3789" t="s">
        <v>11</v>
      </c>
      <c r="D3789" t="s">
        <v>20</v>
      </c>
      <c r="E3789" t="s">
        <v>21</v>
      </c>
      <c r="F3789">
        <v>129.61000000000001</v>
      </c>
      <c r="G3789" t="s">
        <v>14</v>
      </c>
      <c r="H3789" t="s">
        <v>15</v>
      </c>
      <c r="I3789">
        <v>3.8</v>
      </c>
      <c r="J3789">
        <v>11</v>
      </c>
      <c r="K3789">
        <v>3</v>
      </c>
      <c r="L3789" s="4">
        <v>145.62921348314609</v>
      </c>
      <c r="M3789" s="4">
        <v>16.019213483146075</v>
      </c>
      <c r="N3789" t="s">
        <v>93</v>
      </c>
    </row>
    <row r="3790" spans="1:14">
      <c r="A3790">
        <v>3789</v>
      </c>
      <c r="B3790">
        <v>39</v>
      </c>
      <c r="C3790" t="s">
        <v>11</v>
      </c>
      <c r="D3790" t="s">
        <v>33</v>
      </c>
      <c r="E3790" t="s">
        <v>40</v>
      </c>
      <c r="F3790">
        <v>129.19</v>
      </c>
      <c r="G3790" t="s">
        <v>19</v>
      </c>
      <c r="H3790" t="s">
        <v>15</v>
      </c>
      <c r="I3790">
        <v>3.5</v>
      </c>
      <c r="J3790">
        <v>11</v>
      </c>
      <c r="K3790">
        <v>3</v>
      </c>
      <c r="L3790" s="4">
        <v>145.15730337078651</v>
      </c>
      <c r="M3790" s="4">
        <v>15.96730337078651</v>
      </c>
      <c r="N3790" t="s">
        <v>92</v>
      </c>
    </row>
    <row r="3791" spans="1:14">
      <c r="A3791">
        <v>3790</v>
      </c>
      <c r="B3791">
        <v>65</v>
      </c>
      <c r="C3791" t="s">
        <v>16</v>
      </c>
      <c r="D3791" t="s">
        <v>20</v>
      </c>
      <c r="E3791" t="s">
        <v>21</v>
      </c>
      <c r="F3791">
        <v>154.65</v>
      </c>
      <c r="G3791" t="s">
        <v>24</v>
      </c>
      <c r="H3791" t="s">
        <v>15</v>
      </c>
      <c r="I3791">
        <v>3.1</v>
      </c>
      <c r="J3791">
        <v>18</v>
      </c>
      <c r="K3791">
        <v>4</v>
      </c>
      <c r="L3791" s="4">
        <v>188.59756097560975</v>
      </c>
      <c r="M3791" s="4">
        <v>33.947560975609747</v>
      </c>
      <c r="N3791" t="s">
        <v>95</v>
      </c>
    </row>
    <row r="3792" spans="1:14">
      <c r="A3792">
        <v>3791</v>
      </c>
      <c r="B3792">
        <v>67</v>
      </c>
      <c r="C3792" t="s">
        <v>11</v>
      </c>
      <c r="D3792" t="s">
        <v>41</v>
      </c>
      <c r="E3792" t="s">
        <v>42</v>
      </c>
      <c r="F3792">
        <v>54.55</v>
      </c>
      <c r="G3792" t="s">
        <v>14</v>
      </c>
      <c r="H3792" t="s">
        <v>15</v>
      </c>
      <c r="I3792">
        <v>4.7</v>
      </c>
      <c r="J3792">
        <v>19</v>
      </c>
      <c r="K3792">
        <v>7</v>
      </c>
      <c r="L3792" s="4">
        <v>67.34567901234567</v>
      </c>
      <c r="M3792" s="4">
        <v>12.795679012345673</v>
      </c>
      <c r="N3792" t="s">
        <v>95</v>
      </c>
    </row>
    <row r="3793" spans="1:14">
      <c r="A3793">
        <v>3792</v>
      </c>
      <c r="B3793">
        <v>21</v>
      </c>
      <c r="C3793" t="s">
        <v>16</v>
      </c>
      <c r="D3793" t="s">
        <v>20</v>
      </c>
      <c r="E3793" t="s">
        <v>36</v>
      </c>
      <c r="F3793">
        <v>77.209999999999994</v>
      </c>
      <c r="G3793" t="s">
        <v>19</v>
      </c>
      <c r="H3793" t="s">
        <v>15</v>
      </c>
      <c r="I3793">
        <v>4.3</v>
      </c>
      <c r="J3793">
        <v>19</v>
      </c>
      <c r="K3793">
        <v>7</v>
      </c>
      <c r="L3793" s="4">
        <v>95.320987654320973</v>
      </c>
      <c r="M3793" s="4">
        <v>18.110987654320979</v>
      </c>
      <c r="N3793" t="s">
        <v>100</v>
      </c>
    </row>
    <row r="3794" spans="1:14">
      <c r="A3794">
        <v>3793</v>
      </c>
      <c r="B3794">
        <v>62</v>
      </c>
      <c r="C3794" t="s">
        <v>16</v>
      </c>
      <c r="D3794" t="s">
        <v>27</v>
      </c>
      <c r="E3794" t="s">
        <v>49</v>
      </c>
      <c r="F3794">
        <v>1865.21</v>
      </c>
      <c r="G3794" t="s">
        <v>24</v>
      </c>
      <c r="H3794" t="s">
        <v>15</v>
      </c>
      <c r="I3794">
        <v>3.9</v>
      </c>
      <c r="J3794">
        <v>14</v>
      </c>
      <c r="K3794">
        <v>2</v>
      </c>
      <c r="L3794" s="4">
        <v>2168.8488372093025</v>
      </c>
      <c r="M3794" s="4">
        <v>303.63883720930244</v>
      </c>
      <c r="N3794" t="s">
        <v>94</v>
      </c>
    </row>
    <row r="3795" spans="1:14">
      <c r="A3795">
        <v>3794</v>
      </c>
      <c r="B3795">
        <v>52</v>
      </c>
      <c r="C3795" t="s">
        <v>11</v>
      </c>
      <c r="D3795" t="s">
        <v>29</v>
      </c>
      <c r="E3795" t="s">
        <v>55</v>
      </c>
      <c r="F3795">
        <v>97.56</v>
      </c>
      <c r="G3795" t="s">
        <v>31</v>
      </c>
      <c r="H3795" t="s">
        <v>15</v>
      </c>
      <c r="I3795">
        <v>3.6</v>
      </c>
      <c r="J3795">
        <v>15</v>
      </c>
      <c r="K3795">
        <v>5</v>
      </c>
      <c r="L3795" s="4">
        <v>114.7764705882353</v>
      </c>
      <c r="M3795" s="4">
        <v>17.216470588235296</v>
      </c>
      <c r="N3795" t="s">
        <v>93</v>
      </c>
    </row>
    <row r="3796" spans="1:14">
      <c r="A3796">
        <v>3795</v>
      </c>
      <c r="B3796">
        <v>28</v>
      </c>
      <c r="C3796" t="s">
        <v>16</v>
      </c>
      <c r="D3796" t="s">
        <v>27</v>
      </c>
      <c r="E3796" t="s">
        <v>32</v>
      </c>
      <c r="F3796">
        <v>2248.23</v>
      </c>
      <c r="G3796" t="s">
        <v>19</v>
      </c>
      <c r="H3796" t="s">
        <v>15</v>
      </c>
      <c r="I3796">
        <v>3.6</v>
      </c>
      <c r="J3796">
        <v>23</v>
      </c>
      <c r="K3796">
        <v>9</v>
      </c>
      <c r="L3796" s="4">
        <v>2919.7792207792209</v>
      </c>
      <c r="M3796" s="4">
        <v>671.54922077922083</v>
      </c>
      <c r="N3796" t="s">
        <v>91</v>
      </c>
    </row>
    <row r="3797" spans="1:14">
      <c r="A3797">
        <v>3796</v>
      </c>
      <c r="B3797">
        <v>59</v>
      </c>
      <c r="C3797" t="s">
        <v>11</v>
      </c>
      <c r="D3797" t="s">
        <v>25</v>
      </c>
      <c r="E3797" t="s">
        <v>54</v>
      </c>
      <c r="F3797">
        <v>26.78</v>
      </c>
      <c r="G3797" t="s">
        <v>24</v>
      </c>
      <c r="H3797" t="s">
        <v>15</v>
      </c>
      <c r="I3797">
        <v>5</v>
      </c>
      <c r="J3797">
        <v>19</v>
      </c>
      <c r="K3797">
        <v>7</v>
      </c>
      <c r="L3797" s="4">
        <v>33.061728395061728</v>
      </c>
      <c r="M3797" s="4">
        <v>6.2817283950617266</v>
      </c>
      <c r="N3797" t="s">
        <v>94</v>
      </c>
    </row>
    <row r="3798" spans="1:14">
      <c r="A3798">
        <v>3797</v>
      </c>
      <c r="B3798">
        <v>67</v>
      </c>
      <c r="C3798" t="s">
        <v>11</v>
      </c>
      <c r="D3798" t="s">
        <v>29</v>
      </c>
      <c r="E3798" t="s">
        <v>30</v>
      </c>
      <c r="F3798">
        <v>99.35</v>
      </c>
      <c r="G3798" t="s">
        <v>14</v>
      </c>
      <c r="H3798" t="s">
        <v>37</v>
      </c>
      <c r="I3798">
        <v>4</v>
      </c>
      <c r="J3798">
        <v>15</v>
      </c>
      <c r="K3798">
        <v>5</v>
      </c>
      <c r="L3798" s="4">
        <v>116.88235294117646</v>
      </c>
      <c r="M3798" s="4">
        <v>17.53235294117647</v>
      </c>
      <c r="N3798" t="s">
        <v>95</v>
      </c>
    </row>
    <row r="3799" spans="1:14">
      <c r="A3799">
        <v>3798</v>
      </c>
      <c r="B3799">
        <v>35</v>
      </c>
      <c r="C3799" t="s">
        <v>16</v>
      </c>
      <c r="D3799" t="s">
        <v>27</v>
      </c>
      <c r="E3799" t="s">
        <v>32</v>
      </c>
      <c r="F3799">
        <v>1797.25</v>
      </c>
      <c r="G3799" t="s">
        <v>24</v>
      </c>
      <c r="H3799" t="s">
        <v>15</v>
      </c>
      <c r="I3799">
        <v>4.5</v>
      </c>
      <c r="J3799">
        <v>8</v>
      </c>
      <c r="K3799">
        <v>4</v>
      </c>
      <c r="L3799" s="4">
        <v>1953.532608695652</v>
      </c>
      <c r="M3799" s="4">
        <v>156.28260869565202</v>
      </c>
      <c r="N3799" t="s">
        <v>92</v>
      </c>
    </row>
    <row r="3800" spans="1:14">
      <c r="A3800">
        <v>3799</v>
      </c>
      <c r="B3800">
        <v>68</v>
      </c>
      <c r="C3800" t="s">
        <v>16</v>
      </c>
      <c r="D3800" t="s">
        <v>27</v>
      </c>
      <c r="E3800" t="s">
        <v>53</v>
      </c>
      <c r="F3800">
        <v>2202.2600000000002</v>
      </c>
      <c r="G3800" t="s">
        <v>19</v>
      </c>
      <c r="H3800" t="s">
        <v>15</v>
      </c>
      <c r="I3800">
        <v>3.9</v>
      </c>
      <c r="J3800">
        <v>15</v>
      </c>
      <c r="K3800">
        <v>5</v>
      </c>
      <c r="L3800" s="4">
        <v>2590.8941176470594</v>
      </c>
      <c r="M3800" s="4">
        <v>388.63411764705916</v>
      </c>
      <c r="N3800" t="s">
        <v>95</v>
      </c>
    </row>
    <row r="3801" spans="1:14">
      <c r="A3801">
        <v>3800</v>
      </c>
      <c r="B3801">
        <v>43</v>
      </c>
      <c r="C3801" t="s">
        <v>11</v>
      </c>
      <c r="D3801" t="s">
        <v>12</v>
      </c>
      <c r="E3801" t="s">
        <v>56</v>
      </c>
      <c r="F3801">
        <v>109.12</v>
      </c>
      <c r="G3801" t="s">
        <v>24</v>
      </c>
      <c r="H3801" t="s">
        <v>15</v>
      </c>
      <c r="I3801">
        <v>3.6</v>
      </c>
      <c r="J3801">
        <v>16</v>
      </c>
      <c r="K3801">
        <v>3</v>
      </c>
      <c r="L3801" s="4">
        <v>129.90476190476193</v>
      </c>
      <c r="M3801" s="4">
        <v>20.784761904761922</v>
      </c>
      <c r="N3801" t="s">
        <v>92</v>
      </c>
    </row>
    <row r="3802" spans="1:14">
      <c r="A3802">
        <v>3801</v>
      </c>
      <c r="B3802">
        <v>21</v>
      </c>
      <c r="C3802" t="s">
        <v>11</v>
      </c>
      <c r="D3802" t="s">
        <v>29</v>
      </c>
      <c r="E3802" t="s">
        <v>55</v>
      </c>
      <c r="F3802">
        <v>76.900000000000006</v>
      </c>
      <c r="G3802" t="s">
        <v>19</v>
      </c>
      <c r="H3802" t="s">
        <v>15</v>
      </c>
      <c r="I3802">
        <v>4.9000000000000004</v>
      </c>
      <c r="J3802">
        <v>17</v>
      </c>
      <c r="K3802">
        <v>6</v>
      </c>
      <c r="L3802" s="4">
        <v>92.650602409638566</v>
      </c>
      <c r="M3802" s="4">
        <v>15.75060240963856</v>
      </c>
      <c r="N3802" t="s">
        <v>100</v>
      </c>
    </row>
    <row r="3803" spans="1:14">
      <c r="A3803">
        <v>3802</v>
      </c>
      <c r="B3803">
        <v>51</v>
      </c>
      <c r="C3803" t="s">
        <v>11</v>
      </c>
      <c r="D3803" t="s">
        <v>12</v>
      </c>
      <c r="E3803" t="s">
        <v>56</v>
      </c>
      <c r="F3803">
        <v>99.61</v>
      </c>
      <c r="G3803" t="s">
        <v>24</v>
      </c>
      <c r="H3803" t="s">
        <v>15</v>
      </c>
      <c r="I3803">
        <v>3.8</v>
      </c>
      <c r="J3803">
        <v>20</v>
      </c>
      <c r="K3803">
        <v>10</v>
      </c>
      <c r="L3803" s="4">
        <v>124.51249999999999</v>
      </c>
      <c r="M3803" s="4">
        <v>24.902499999999989</v>
      </c>
      <c r="N3803" t="s">
        <v>93</v>
      </c>
    </row>
    <row r="3804" spans="1:14">
      <c r="A3804">
        <v>3803</v>
      </c>
      <c r="B3804">
        <v>64</v>
      </c>
      <c r="C3804" t="s">
        <v>11</v>
      </c>
      <c r="D3804" t="s">
        <v>29</v>
      </c>
      <c r="E3804" t="s">
        <v>30</v>
      </c>
      <c r="F3804">
        <v>81.88</v>
      </c>
      <c r="G3804" t="s">
        <v>14</v>
      </c>
      <c r="H3804" t="s">
        <v>37</v>
      </c>
      <c r="I3804">
        <v>4.5999999999999996</v>
      </c>
      <c r="J3804">
        <v>18</v>
      </c>
      <c r="K3804">
        <v>4</v>
      </c>
      <c r="L3804" s="4">
        <v>99.853658536585357</v>
      </c>
      <c r="M3804" s="4">
        <v>17.973658536585361</v>
      </c>
      <c r="N3804" t="s">
        <v>94</v>
      </c>
    </row>
    <row r="3805" spans="1:14">
      <c r="A3805">
        <v>3804</v>
      </c>
      <c r="B3805">
        <v>38</v>
      </c>
      <c r="C3805" t="s">
        <v>11</v>
      </c>
      <c r="D3805" t="s">
        <v>20</v>
      </c>
      <c r="E3805" t="s">
        <v>36</v>
      </c>
      <c r="F3805">
        <v>211.85</v>
      </c>
      <c r="G3805" t="s">
        <v>31</v>
      </c>
      <c r="H3805" t="s">
        <v>15</v>
      </c>
      <c r="I3805">
        <v>4.5</v>
      </c>
      <c r="J3805">
        <v>2</v>
      </c>
      <c r="K3805">
        <v>1</v>
      </c>
      <c r="L3805" s="4">
        <v>216.17346938775509</v>
      </c>
      <c r="M3805" s="4">
        <v>4.3234693877550967</v>
      </c>
      <c r="N3805" t="s">
        <v>92</v>
      </c>
    </row>
    <row r="3806" spans="1:14">
      <c r="A3806">
        <v>3805</v>
      </c>
      <c r="B3806">
        <v>60</v>
      </c>
      <c r="C3806" t="s">
        <v>11</v>
      </c>
      <c r="D3806" t="s">
        <v>29</v>
      </c>
      <c r="E3806" t="s">
        <v>51</v>
      </c>
      <c r="F3806">
        <v>72.84</v>
      </c>
      <c r="G3806" t="s">
        <v>19</v>
      </c>
      <c r="H3806" t="s">
        <v>15</v>
      </c>
      <c r="I3806">
        <v>4.5</v>
      </c>
      <c r="J3806">
        <v>13</v>
      </c>
      <c r="K3806">
        <v>4</v>
      </c>
      <c r="L3806" s="4">
        <v>83.724137931034491</v>
      </c>
      <c r="M3806" s="4">
        <v>10.884137931034488</v>
      </c>
      <c r="N3806" t="s">
        <v>94</v>
      </c>
    </row>
    <row r="3807" spans="1:14">
      <c r="A3807">
        <v>3806</v>
      </c>
      <c r="B3807">
        <v>33</v>
      </c>
      <c r="C3807" t="s">
        <v>11</v>
      </c>
      <c r="D3807" t="s">
        <v>12</v>
      </c>
      <c r="E3807" t="s">
        <v>56</v>
      </c>
      <c r="F3807">
        <v>126.38</v>
      </c>
      <c r="G3807" t="s">
        <v>24</v>
      </c>
      <c r="H3807" t="s">
        <v>15</v>
      </c>
      <c r="I3807">
        <v>2.8</v>
      </c>
      <c r="J3807">
        <v>12</v>
      </c>
      <c r="K3807">
        <v>6</v>
      </c>
      <c r="L3807" s="4">
        <v>143.61363636363635</v>
      </c>
      <c r="M3807" s="4">
        <v>17.23363636363635</v>
      </c>
      <c r="N3807" t="s">
        <v>91</v>
      </c>
    </row>
    <row r="3808" spans="1:14">
      <c r="A3808">
        <v>3807</v>
      </c>
      <c r="B3808">
        <v>25</v>
      </c>
      <c r="C3808" t="s">
        <v>11</v>
      </c>
      <c r="D3808" t="s">
        <v>20</v>
      </c>
      <c r="E3808" t="s">
        <v>39</v>
      </c>
      <c r="F3808">
        <v>91.07</v>
      </c>
      <c r="G3808" t="s">
        <v>31</v>
      </c>
      <c r="H3808" t="s">
        <v>15</v>
      </c>
      <c r="I3808">
        <v>4.0999999999999996</v>
      </c>
      <c r="J3808">
        <v>30</v>
      </c>
      <c r="K3808">
        <v>10</v>
      </c>
      <c r="L3808" s="4">
        <v>130.1</v>
      </c>
      <c r="M3808" s="4">
        <v>39.03</v>
      </c>
      <c r="N3808" t="s">
        <v>91</v>
      </c>
    </row>
    <row r="3809" spans="1:14">
      <c r="A3809">
        <v>3808</v>
      </c>
      <c r="B3809">
        <v>42</v>
      </c>
      <c r="C3809" t="s">
        <v>16</v>
      </c>
      <c r="D3809" t="s">
        <v>17</v>
      </c>
      <c r="E3809" t="s">
        <v>48</v>
      </c>
      <c r="F3809">
        <v>104.3</v>
      </c>
      <c r="G3809" t="s">
        <v>31</v>
      </c>
      <c r="H3809" t="s">
        <v>15</v>
      </c>
      <c r="I3809">
        <v>4.7</v>
      </c>
      <c r="J3809">
        <v>11</v>
      </c>
      <c r="K3809">
        <v>3</v>
      </c>
      <c r="L3809" s="4">
        <v>117.19101123595505</v>
      </c>
      <c r="M3809" s="4">
        <v>12.891011235955048</v>
      </c>
      <c r="N3809" t="s">
        <v>92</v>
      </c>
    </row>
    <row r="3810" spans="1:14">
      <c r="A3810">
        <v>3809</v>
      </c>
      <c r="B3810">
        <v>36</v>
      </c>
      <c r="C3810" t="s">
        <v>11</v>
      </c>
      <c r="D3810" t="s">
        <v>33</v>
      </c>
      <c r="E3810" t="s">
        <v>34</v>
      </c>
      <c r="F3810">
        <v>142.78</v>
      </c>
      <c r="G3810" t="s">
        <v>19</v>
      </c>
      <c r="H3810" t="s">
        <v>15</v>
      </c>
      <c r="I3810">
        <v>3.7</v>
      </c>
      <c r="J3810">
        <v>24</v>
      </c>
      <c r="K3810">
        <v>7</v>
      </c>
      <c r="L3810" s="4">
        <v>187.86842105263159</v>
      </c>
      <c r="M3810" s="4">
        <v>45.088421052631588</v>
      </c>
      <c r="N3810" t="s">
        <v>92</v>
      </c>
    </row>
    <row r="3811" spans="1:14">
      <c r="A3811">
        <v>3810</v>
      </c>
      <c r="B3811">
        <v>64</v>
      </c>
      <c r="C3811" t="s">
        <v>11</v>
      </c>
      <c r="D3811" t="s">
        <v>41</v>
      </c>
      <c r="E3811" t="s">
        <v>44</v>
      </c>
      <c r="F3811">
        <v>152.88</v>
      </c>
      <c r="G3811" t="s">
        <v>14</v>
      </c>
      <c r="H3811" t="s">
        <v>15</v>
      </c>
      <c r="I3811">
        <v>4</v>
      </c>
      <c r="J3811">
        <v>12</v>
      </c>
      <c r="K3811">
        <v>6</v>
      </c>
      <c r="L3811" s="4">
        <v>173.72727272727272</v>
      </c>
      <c r="M3811" s="4">
        <v>20.847272727272724</v>
      </c>
      <c r="N3811" t="s">
        <v>94</v>
      </c>
    </row>
    <row r="3812" spans="1:14">
      <c r="A3812">
        <v>3811</v>
      </c>
      <c r="B3812">
        <v>33</v>
      </c>
      <c r="C3812" t="s">
        <v>11</v>
      </c>
      <c r="D3812" t="s">
        <v>12</v>
      </c>
      <c r="E3812" t="s">
        <v>56</v>
      </c>
      <c r="F3812">
        <v>92.62</v>
      </c>
      <c r="G3812" t="s">
        <v>14</v>
      </c>
      <c r="H3812" t="s">
        <v>15</v>
      </c>
      <c r="I3812">
        <v>3.4</v>
      </c>
      <c r="J3812">
        <v>10</v>
      </c>
      <c r="K3812">
        <v>5</v>
      </c>
      <c r="L3812" s="4">
        <v>102.91111111111111</v>
      </c>
      <c r="M3812" s="4">
        <v>10.291111111111107</v>
      </c>
      <c r="N3812" t="s">
        <v>91</v>
      </c>
    </row>
    <row r="3813" spans="1:14">
      <c r="A3813">
        <v>3812</v>
      </c>
      <c r="B3813">
        <v>24</v>
      </c>
      <c r="C3813" t="s">
        <v>11</v>
      </c>
      <c r="D3813" t="s">
        <v>29</v>
      </c>
      <c r="E3813" t="s">
        <v>51</v>
      </c>
      <c r="F3813">
        <v>35.21</v>
      </c>
      <c r="G3813" t="s">
        <v>31</v>
      </c>
      <c r="H3813" t="s">
        <v>15</v>
      </c>
      <c r="I3813">
        <v>3.5</v>
      </c>
      <c r="J3813">
        <v>7</v>
      </c>
      <c r="K3813">
        <v>1</v>
      </c>
      <c r="L3813" s="4">
        <v>37.860215053763447</v>
      </c>
      <c r="M3813" s="4">
        <v>2.6502150537634463</v>
      </c>
      <c r="N3813" t="s">
        <v>100</v>
      </c>
    </row>
    <row r="3814" spans="1:14">
      <c r="A3814">
        <v>3813</v>
      </c>
      <c r="B3814">
        <v>55</v>
      </c>
      <c r="C3814" t="s">
        <v>11</v>
      </c>
      <c r="D3814" t="s">
        <v>29</v>
      </c>
      <c r="E3814" t="s">
        <v>51</v>
      </c>
      <c r="F3814">
        <v>63.85</v>
      </c>
      <c r="G3814" t="s">
        <v>24</v>
      </c>
      <c r="H3814" t="s">
        <v>15</v>
      </c>
      <c r="I3814">
        <v>4</v>
      </c>
      <c r="J3814">
        <v>17</v>
      </c>
      <c r="K3814">
        <v>6</v>
      </c>
      <c r="L3814" s="4">
        <v>76.927710843373504</v>
      </c>
      <c r="M3814" s="4">
        <v>13.077710843373502</v>
      </c>
      <c r="N3814" t="s">
        <v>94</v>
      </c>
    </row>
    <row r="3815" spans="1:14">
      <c r="A3815">
        <v>3814</v>
      </c>
      <c r="B3815">
        <v>31</v>
      </c>
      <c r="C3815" t="s">
        <v>16</v>
      </c>
      <c r="D3815" t="s">
        <v>27</v>
      </c>
      <c r="E3815" t="s">
        <v>32</v>
      </c>
      <c r="F3815">
        <v>1015.78</v>
      </c>
      <c r="G3815" t="s">
        <v>14</v>
      </c>
      <c r="H3815" t="s">
        <v>15</v>
      </c>
      <c r="I3815">
        <v>3.7</v>
      </c>
      <c r="J3815">
        <v>12</v>
      </c>
      <c r="K3815">
        <v>6</v>
      </c>
      <c r="L3815" s="4">
        <v>1154.2954545454545</v>
      </c>
      <c r="M3815" s="4">
        <v>138.51545454545453</v>
      </c>
      <c r="N3815" t="s">
        <v>91</v>
      </c>
    </row>
    <row r="3816" spans="1:14">
      <c r="A3816">
        <v>3815</v>
      </c>
      <c r="B3816">
        <v>49</v>
      </c>
      <c r="C3816" t="s">
        <v>16</v>
      </c>
      <c r="D3816" t="s">
        <v>17</v>
      </c>
      <c r="E3816" t="s">
        <v>42</v>
      </c>
      <c r="F3816">
        <v>60.79</v>
      </c>
      <c r="G3816" t="s">
        <v>14</v>
      </c>
      <c r="H3816" t="s">
        <v>15</v>
      </c>
      <c r="I3816">
        <v>3.9</v>
      </c>
      <c r="J3816">
        <v>4</v>
      </c>
      <c r="K3816">
        <v>2</v>
      </c>
      <c r="L3816" s="4">
        <v>63.322916666666671</v>
      </c>
      <c r="M3816" s="4">
        <v>2.5329166666666723</v>
      </c>
      <c r="N3816" t="s">
        <v>93</v>
      </c>
    </row>
    <row r="3817" spans="1:14">
      <c r="A3817">
        <v>3816</v>
      </c>
      <c r="B3817">
        <v>61</v>
      </c>
      <c r="C3817" t="s">
        <v>11</v>
      </c>
      <c r="D3817" t="s">
        <v>41</v>
      </c>
      <c r="E3817" t="s">
        <v>46</v>
      </c>
      <c r="F3817">
        <v>189.41</v>
      </c>
      <c r="G3817" t="s">
        <v>24</v>
      </c>
      <c r="H3817" t="s">
        <v>15</v>
      </c>
      <c r="I3817">
        <v>3.2</v>
      </c>
      <c r="J3817">
        <v>6</v>
      </c>
      <c r="K3817">
        <v>3</v>
      </c>
      <c r="L3817" s="4">
        <v>201.5</v>
      </c>
      <c r="M3817" s="4">
        <v>12.090000000000003</v>
      </c>
      <c r="N3817" t="s">
        <v>94</v>
      </c>
    </row>
    <row r="3818" spans="1:14">
      <c r="A3818">
        <v>3817</v>
      </c>
      <c r="B3818">
        <v>24</v>
      </c>
      <c r="C3818" t="s">
        <v>16</v>
      </c>
      <c r="D3818" t="s">
        <v>25</v>
      </c>
      <c r="E3818" t="s">
        <v>57</v>
      </c>
      <c r="F3818">
        <v>38.06</v>
      </c>
      <c r="G3818" t="s">
        <v>19</v>
      </c>
      <c r="H3818" t="s">
        <v>37</v>
      </c>
      <c r="I3818">
        <v>4.7</v>
      </c>
      <c r="J3818">
        <v>20</v>
      </c>
      <c r="K3818">
        <v>5</v>
      </c>
      <c r="L3818" s="4">
        <v>47.575000000000003</v>
      </c>
      <c r="M3818" s="4">
        <v>9.5150000000000006</v>
      </c>
      <c r="N3818" t="s">
        <v>100</v>
      </c>
    </row>
    <row r="3819" spans="1:14">
      <c r="A3819">
        <v>3818</v>
      </c>
      <c r="B3819">
        <v>32</v>
      </c>
      <c r="C3819" t="s">
        <v>11</v>
      </c>
      <c r="D3819" t="s">
        <v>29</v>
      </c>
      <c r="E3819" t="s">
        <v>55</v>
      </c>
      <c r="F3819">
        <v>148.62</v>
      </c>
      <c r="G3819" t="s">
        <v>14</v>
      </c>
      <c r="H3819" t="s">
        <v>15</v>
      </c>
      <c r="I3819">
        <v>3.1</v>
      </c>
      <c r="J3819">
        <v>4</v>
      </c>
      <c r="K3819">
        <v>2</v>
      </c>
      <c r="L3819" s="4">
        <v>154.8125</v>
      </c>
      <c r="M3819" s="4">
        <v>6.1924999999999955</v>
      </c>
      <c r="N3819" t="s">
        <v>91</v>
      </c>
    </row>
    <row r="3820" spans="1:14">
      <c r="A3820">
        <v>3819</v>
      </c>
      <c r="B3820">
        <v>39</v>
      </c>
      <c r="C3820" t="s">
        <v>16</v>
      </c>
      <c r="D3820" t="s">
        <v>25</v>
      </c>
      <c r="E3820" t="s">
        <v>47</v>
      </c>
      <c r="F3820">
        <v>70.510000000000005</v>
      </c>
      <c r="G3820" t="s">
        <v>31</v>
      </c>
      <c r="H3820" t="s">
        <v>15</v>
      </c>
      <c r="I3820">
        <v>4.0999999999999996</v>
      </c>
      <c r="J3820">
        <v>18</v>
      </c>
      <c r="K3820">
        <v>4</v>
      </c>
      <c r="L3820" s="4">
        <v>85.987804878048777</v>
      </c>
      <c r="M3820" s="4">
        <v>15.477804878048772</v>
      </c>
      <c r="N3820" t="s">
        <v>92</v>
      </c>
    </row>
    <row r="3821" spans="1:14">
      <c r="A3821">
        <v>3820</v>
      </c>
      <c r="B3821">
        <v>47</v>
      </c>
      <c r="C3821" t="s">
        <v>16</v>
      </c>
      <c r="D3821" t="s">
        <v>17</v>
      </c>
      <c r="E3821" t="s">
        <v>35</v>
      </c>
      <c r="F3821">
        <v>86.22</v>
      </c>
      <c r="G3821" t="s">
        <v>14</v>
      </c>
      <c r="H3821" t="s">
        <v>37</v>
      </c>
      <c r="I3821">
        <v>5</v>
      </c>
      <c r="J3821">
        <v>28</v>
      </c>
      <c r="K3821">
        <v>9</v>
      </c>
      <c r="L3821" s="4">
        <v>119.75</v>
      </c>
      <c r="M3821" s="4">
        <v>33.53</v>
      </c>
      <c r="N3821" t="s">
        <v>93</v>
      </c>
    </row>
    <row r="3822" spans="1:14">
      <c r="A3822">
        <v>3821</v>
      </c>
      <c r="B3822">
        <v>41</v>
      </c>
      <c r="C3822" t="s">
        <v>16</v>
      </c>
      <c r="D3822" t="s">
        <v>25</v>
      </c>
      <c r="E3822" t="s">
        <v>54</v>
      </c>
      <c r="F3822">
        <v>14.42</v>
      </c>
      <c r="G3822" t="s">
        <v>31</v>
      </c>
      <c r="H3822" t="s">
        <v>37</v>
      </c>
      <c r="I3822">
        <v>3.8</v>
      </c>
      <c r="J3822">
        <v>16</v>
      </c>
      <c r="K3822">
        <v>3</v>
      </c>
      <c r="L3822" s="4">
        <v>17.166666666666668</v>
      </c>
      <c r="M3822" s="4">
        <v>2.7466666666666679</v>
      </c>
      <c r="N3822" t="s">
        <v>92</v>
      </c>
    </row>
    <row r="3823" spans="1:14">
      <c r="A3823">
        <v>3822</v>
      </c>
      <c r="B3823">
        <v>70</v>
      </c>
      <c r="C3823" t="s">
        <v>16</v>
      </c>
      <c r="D3823" t="s">
        <v>17</v>
      </c>
      <c r="E3823" t="s">
        <v>48</v>
      </c>
      <c r="F3823">
        <v>189.46</v>
      </c>
      <c r="G3823" t="s">
        <v>31</v>
      </c>
      <c r="H3823" t="s">
        <v>15</v>
      </c>
      <c r="I3823">
        <v>4.3</v>
      </c>
      <c r="J3823">
        <v>20</v>
      </c>
      <c r="K3823">
        <v>5</v>
      </c>
      <c r="L3823" s="4">
        <v>236.82499999999999</v>
      </c>
      <c r="M3823" s="4">
        <v>47.364999999999981</v>
      </c>
      <c r="N3823" t="s">
        <v>95</v>
      </c>
    </row>
    <row r="3824" spans="1:14">
      <c r="A3824">
        <v>3823</v>
      </c>
      <c r="B3824">
        <v>56</v>
      </c>
      <c r="C3824" t="s">
        <v>11</v>
      </c>
      <c r="D3824" t="s">
        <v>29</v>
      </c>
      <c r="E3824" t="s">
        <v>30</v>
      </c>
      <c r="F3824">
        <v>68.849999999999994</v>
      </c>
      <c r="G3824" t="s">
        <v>14</v>
      </c>
      <c r="H3824" t="s">
        <v>37</v>
      </c>
      <c r="I3824">
        <v>5</v>
      </c>
      <c r="J3824">
        <v>10</v>
      </c>
      <c r="K3824">
        <v>5</v>
      </c>
      <c r="L3824" s="4">
        <v>76.499999999999986</v>
      </c>
      <c r="M3824" s="4">
        <v>7.6499999999999915</v>
      </c>
      <c r="N3824" t="s">
        <v>94</v>
      </c>
    </row>
    <row r="3825" spans="1:14">
      <c r="A3825">
        <v>3824</v>
      </c>
      <c r="B3825">
        <v>30</v>
      </c>
      <c r="C3825" t="s">
        <v>16</v>
      </c>
      <c r="D3825" t="s">
        <v>27</v>
      </c>
      <c r="E3825" t="s">
        <v>28</v>
      </c>
      <c r="F3825">
        <v>1289.45</v>
      </c>
      <c r="G3825" t="s">
        <v>19</v>
      </c>
      <c r="H3825" t="s">
        <v>15</v>
      </c>
      <c r="I3825">
        <v>3.9</v>
      </c>
      <c r="J3825">
        <v>24</v>
      </c>
      <c r="K3825">
        <v>7</v>
      </c>
      <c r="L3825" s="4">
        <v>1696.6447368421052</v>
      </c>
      <c r="M3825" s="4">
        <v>407.19473684210516</v>
      </c>
      <c r="N3825" t="s">
        <v>91</v>
      </c>
    </row>
    <row r="3826" spans="1:14">
      <c r="A3826">
        <v>3825</v>
      </c>
      <c r="B3826">
        <v>37</v>
      </c>
      <c r="C3826" t="s">
        <v>16</v>
      </c>
      <c r="D3826" t="s">
        <v>20</v>
      </c>
      <c r="E3826" t="s">
        <v>39</v>
      </c>
      <c r="F3826">
        <v>152.16</v>
      </c>
      <c r="G3826" t="s">
        <v>14</v>
      </c>
      <c r="H3826" t="s">
        <v>15</v>
      </c>
      <c r="I3826">
        <v>2.9</v>
      </c>
      <c r="J3826">
        <v>18</v>
      </c>
      <c r="K3826">
        <v>4</v>
      </c>
      <c r="L3826" s="4">
        <v>185.56097560975607</v>
      </c>
      <c r="M3826" s="4">
        <v>33.400975609756074</v>
      </c>
      <c r="N3826" t="s">
        <v>92</v>
      </c>
    </row>
    <row r="3827" spans="1:14">
      <c r="A3827">
        <v>3826</v>
      </c>
      <c r="B3827">
        <v>37</v>
      </c>
      <c r="C3827" t="s">
        <v>11</v>
      </c>
      <c r="D3827" t="s">
        <v>12</v>
      </c>
      <c r="E3827" t="s">
        <v>13</v>
      </c>
      <c r="F3827">
        <v>108.77</v>
      </c>
      <c r="G3827" t="s">
        <v>31</v>
      </c>
      <c r="H3827" t="s">
        <v>15</v>
      </c>
      <c r="I3827">
        <v>4.2</v>
      </c>
      <c r="J3827">
        <v>12</v>
      </c>
      <c r="K3827">
        <v>6</v>
      </c>
      <c r="L3827" s="4">
        <v>123.60227272727272</v>
      </c>
      <c r="M3827" s="4">
        <v>14.832272727272724</v>
      </c>
      <c r="N3827" t="s">
        <v>92</v>
      </c>
    </row>
    <row r="3828" spans="1:14">
      <c r="A3828">
        <v>3827</v>
      </c>
      <c r="B3828">
        <v>57</v>
      </c>
      <c r="C3828" t="s">
        <v>16</v>
      </c>
      <c r="D3828" t="s">
        <v>20</v>
      </c>
      <c r="E3828" t="s">
        <v>36</v>
      </c>
      <c r="F3828">
        <v>102.42</v>
      </c>
      <c r="G3828" t="s">
        <v>14</v>
      </c>
      <c r="H3828" t="s">
        <v>15</v>
      </c>
      <c r="I3828">
        <v>3.5</v>
      </c>
      <c r="J3828">
        <v>2</v>
      </c>
      <c r="K3828">
        <v>1</v>
      </c>
      <c r="L3828" s="4">
        <v>104.51020408163265</v>
      </c>
      <c r="M3828" s="4">
        <v>2.090204081632649</v>
      </c>
      <c r="N3828" t="s">
        <v>94</v>
      </c>
    </row>
    <row r="3829" spans="1:14">
      <c r="A3829">
        <v>3828</v>
      </c>
      <c r="B3829">
        <v>35</v>
      </c>
      <c r="C3829" t="s">
        <v>11</v>
      </c>
      <c r="D3829" t="s">
        <v>12</v>
      </c>
      <c r="E3829" t="s">
        <v>56</v>
      </c>
      <c r="F3829">
        <v>89.77</v>
      </c>
      <c r="G3829" t="s">
        <v>19</v>
      </c>
      <c r="H3829" t="s">
        <v>15</v>
      </c>
      <c r="I3829">
        <v>3.6</v>
      </c>
      <c r="J3829">
        <v>6</v>
      </c>
      <c r="K3829">
        <v>3</v>
      </c>
      <c r="L3829" s="4">
        <v>95.5</v>
      </c>
      <c r="M3829" s="4">
        <v>5.730000000000004</v>
      </c>
      <c r="N3829" t="s">
        <v>92</v>
      </c>
    </row>
    <row r="3830" spans="1:14">
      <c r="A3830">
        <v>3829</v>
      </c>
      <c r="B3830">
        <v>66</v>
      </c>
      <c r="C3830" t="s">
        <v>16</v>
      </c>
      <c r="D3830" t="s">
        <v>27</v>
      </c>
      <c r="E3830" t="s">
        <v>49</v>
      </c>
      <c r="F3830">
        <v>2342.16</v>
      </c>
      <c r="G3830" t="s">
        <v>31</v>
      </c>
      <c r="H3830" t="s">
        <v>15</v>
      </c>
      <c r="I3830">
        <v>3.7</v>
      </c>
      <c r="J3830">
        <v>23</v>
      </c>
      <c r="K3830">
        <v>9</v>
      </c>
      <c r="L3830" s="4">
        <v>3041.7662337662337</v>
      </c>
      <c r="M3830" s="4">
        <v>699.6062337662338</v>
      </c>
      <c r="N3830" t="s">
        <v>95</v>
      </c>
    </row>
    <row r="3831" spans="1:14">
      <c r="A3831">
        <v>3830</v>
      </c>
      <c r="B3831">
        <v>54</v>
      </c>
      <c r="C3831" t="s">
        <v>11</v>
      </c>
      <c r="D3831" t="s">
        <v>29</v>
      </c>
      <c r="E3831" t="s">
        <v>51</v>
      </c>
      <c r="F3831">
        <v>101.65</v>
      </c>
      <c r="G3831" t="s">
        <v>31</v>
      </c>
      <c r="H3831" t="s">
        <v>15</v>
      </c>
      <c r="I3831">
        <v>3.9</v>
      </c>
      <c r="J3831">
        <v>12</v>
      </c>
      <c r="K3831">
        <v>6</v>
      </c>
      <c r="L3831" s="4">
        <v>115.51136363636364</v>
      </c>
      <c r="M3831" s="4">
        <v>13.861363636363635</v>
      </c>
      <c r="N3831" t="s">
        <v>93</v>
      </c>
    </row>
    <row r="3832" spans="1:14">
      <c r="A3832">
        <v>3831</v>
      </c>
      <c r="B3832">
        <v>57</v>
      </c>
      <c r="C3832" t="s">
        <v>11</v>
      </c>
      <c r="D3832" t="s">
        <v>20</v>
      </c>
      <c r="E3832" t="s">
        <v>39</v>
      </c>
      <c r="F3832">
        <v>194.84</v>
      </c>
      <c r="G3832" t="s">
        <v>19</v>
      </c>
      <c r="H3832" t="s">
        <v>15</v>
      </c>
      <c r="I3832">
        <v>4.7</v>
      </c>
      <c r="J3832">
        <v>22</v>
      </c>
      <c r="K3832">
        <v>6</v>
      </c>
      <c r="L3832" s="4">
        <v>249.7948717948718</v>
      </c>
      <c r="M3832" s="4">
        <v>54.954871794871792</v>
      </c>
      <c r="N3832" t="s">
        <v>94</v>
      </c>
    </row>
    <row r="3833" spans="1:14">
      <c r="A3833">
        <v>3832</v>
      </c>
      <c r="B3833">
        <v>27</v>
      </c>
      <c r="C3833" t="s">
        <v>16</v>
      </c>
      <c r="D3833" t="s">
        <v>27</v>
      </c>
      <c r="E3833" t="s">
        <v>32</v>
      </c>
      <c r="F3833">
        <v>1483.08</v>
      </c>
      <c r="G3833" t="s">
        <v>19</v>
      </c>
      <c r="H3833" t="s">
        <v>15</v>
      </c>
      <c r="I3833">
        <v>4.0999999999999996</v>
      </c>
      <c r="J3833">
        <v>16</v>
      </c>
      <c r="K3833">
        <v>3</v>
      </c>
      <c r="L3833" s="4">
        <v>1765.5714285714284</v>
      </c>
      <c r="M3833" s="4">
        <v>282.49142857142851</v>
      </c>
      <c r="N3833" t="s">
        <v>91</v>
      </c>
    </row>
    <row r="3834" spans="1:14">
      <c r="A3834">
        <v>3833</v>
      </c>
      <c r="B3834">
        <v>66</v>
      </c>
      <c r="C3834" t="s">
        <v>11</v>
      </c>
      <c r="D3834" t="s">
        <v>25</v>
      </c>
      <c r="E3834" t="s">
        <v>57</v>
      </c>
      <c r="F3834">
        <v>16.63</v>
      </c>
      <c r="G3834" t="s">
        <v>19</v>
      </c>
      <c r="H3834" t="s">
        <v>37</v>
      </c>
      <c r="I3834">
        <v>3</v>
      </c>
      <c r="J3834">
        <v>15</v>
      </c>
      <c r="K3834">
        <v>5</v>
      </c>
      <c r="L3834" s="4">
        <v>19.564705882352939</v>
      </c>
      <c r="M3834" s="4">
        <v>2.9347058823529402</v>
      </c>
      <c r="N3834" t="s">
        <v>95</v>
      </c>
    </row>
    <row r="3835" spans="1:14">
      <c r="A3835">
        <v>3834</v>
      </c>
      <c r="B3835">
        <v>45</v>
      </c>
      <c r="C3835" t="s">
        <v>16</v>
      </c>
      <c r="D3835" t="s">
        <v>20</v>
      </c>
      <c r="E3835" t="s">
        <v>21</v>
      </c>
      <c r="F3835">
        <v>191.91</v>
      </c>
      <c r="G3835" t="s">
        <v>24</v>
      </c>
      <c r="H3835" t="s">
        <v>15</v>
      </c>
      <c r="I3835">
        <v>3</v>
      </c>
      <c r="J3835">
        <v>8</v>
      </c>
      <c r="K3835">
        <v>4</v>
      </c>
      <c r="L3835" s="4">
        <v>208.5978260869565</v>
      </c>
      <c r="M3835" s="4">
        <v>16.687826086956505</v>
      </c>
      <c r="N3835" t="s">
        <v>93</v>
      </c>
    </row>
    <row r="3836" spans="1:14">
      <c r="A3836">
        <v>3835</v>
      </c>
      <c r="B3836">
        <v>48</v>
      </c>
      <c r="C3836" t="s">
        <v>16</v>
      </c>
      <c r="D3836" t="s">
        <v>17</v>
      </c>
      <c r="E3836" t="s">
        <v>48</v>
      </c>
      <c r="F3836">
        <v>114.46</v>
      </c>
      <c r="G3836" t="s">
        <v>14</v>
      </c>
      <c r="H3836" t="s">
        <v>15</v>
      </c>
      <c r="I3836">
        <v>3.5</v>
      </c>
      <c r="J3836">
        <v>7</v>
      </c>
      <c r="K3836">
        <v>1</v>
      </c>
      <c r="L3836" s="4">
        <v>123.0752688172043</v>
      </c>
      <c r="M3836" s="4">
        <v>8.6152688172043099</v>
      </c>
      <c r="N3836" t="s">
        <v>93</v>
      </c>
    </row>
    <row r="3837" spans="1:14">
      <c r="A3837">
        <v>3836</v>
      </c>
      <c r="B3837">
        <v>44</v>
      </c>
      <c r="C3837" t="s">
        <v>16</v>
      </c>
      <c r="D3837" t="s">
        <v>22</v>
      </c>
      <c r="E3837" t="s">
        <v>23</v>
      </c>
      <c r="F3837">
        <v>194.94</v>
      </c>
      <c r="G3837" t="s">
        <v>14</v>
      </c>
      <c r="H3837" t="s">
        <v>15</v>
      </c>
      <c r="I3837">
        <v>2.6</v>
      </c>
      <c r="J3837">
        <v>20</v>
      </c>
      <c r="K3837">
        <v>5</v>
      </c>
      <c r="L3837" s="4">
        <v>243.67499999999998</v>
      </c>
      <c r="M3837" s="4">
        <v>48.734999999999985</v>
      </c>
      <c r="N3837" t="s">
        <v>92</v>
      </c>
    </row>
    <row r="3838" spans="1:14">
      <c r="A3838">
        <v>3837</v>
      </c>
      <c r="B3838">
        <v>42</v>
      </c>
      <c r="C3838" t="s">
        <v>11</v>
      </c>
      <c r="D3838" t="s">
        <v>41</v>
      </c>
      <c r="E3838" t="s">
        <v>46</v>
      </c>
      <c r="F3838">
        <v>161.16999999999999</v>
      </c>
      <c r="G3838" t="s">
        <v>19</v>
      </c>
      <c r="H3838" t="s">
        <v>15</v>
      </c>
      <c r="I3838">
        <v>3.2</v>
      </c>
      <c r="J3838">
        <v>10</v>
      </c>
      <c r="K3838">
        <v>5</v>
      </c>
      <c r="L3838" s="4">
        <v>179.07777777777775</v>
      </c>
      <c r="M3838" s="4">
        <v>17.907777777777767</v>
      </c>
      <c r="N3838" t="s">
        <v>92</v>
      </c>
    </row>
    <row r="3839" spans="1:14">
      <c r="A3839">
        <v>3838</v>
      </c>
      <c r="B3839">
        <v>21</v>
      </c>
      <c r="C3839" t="s">
        <v>11</v>
      </c>
      <c r="D3839" t="s">
        <v>29</v>
      </c>
      <c r="E3839" t="s">
        <v>51</v>
      </c>
      <c r="F3839">
        <v>128.63</v>
      </c>
      <c r="G3839" t="s">
        <v>19</v>
      </c>
      <c r="H3839" t="s">
        <v>15</v>
      </c>
      <c r="I3839">
        <v>3.7</v>
      </c>
      <c r="J3839">
        <v>16</v>
      </c>
      <c r="K3839">
        <v>3</v>
      </c>
      <c r="L3839" s="4">
        <v>153.13095238095238</v>
      </c>
      <c r="M3839" s="4">
        <v>24.500952380952384</v>
      </c>
      <c r="N3839" t="s">
        <v>100</v>
      </c>
    </row>
    <row r="3840" spans="1:14">
      <c r="A3840">
        <v>3839</v>
      </c>
      <c r="B3840">
        <v>42</v>
      </c>
      <c r="C3840" t="s">
        <v>16</v>
      </c>
      <c r="D3840" t="s">
        <v>27</v>
      </c>
      <c r="E3840" t="s">
        <v>28</v>
      </c>
      <c r="F3840">
        <v>1995.79</v>
      </c>
      <c r="G3840" t="s">
        <v>31</v>
      </c>
      <c r="H3840" t="s">
        <v>15</v>
      </c>
      <c r="I3840">
        <v>3</v>
      </c>
      <c r="J3840">
        <v>4</v>
      </c>
      <c r="K3840">
        <v>2</v>
      </c>
      <c r="L3840" s="4">
        <v>2078.9479166666665</v>
      </c>
      <c r="M3840" s="4">
        <v>83.157916666666551</v>
      </c>
      <c r="N3840" t="s">
        <v>92</v>
      </c>
    </row>
    <row r="3841" spans="1:14">
      <c r="A3841">
        <v>3840</v>
      </c>
      <c r="B3841">
        <v>57</v>
      </c>
      <c r="C3841" t="s">
        <v>16</v>
      </c>
      <c r="D3841" t="s">
        <v>33</v>
      </c>
      <c r="E3841" t="s">
        <v>40</v>
      </c>
      <c r="F3841">
        <v>184.11</v>
      </c>
      <c r="G3841" t="s">
        <v>19</v>
      </c>
      <c r="H3841" t="s">
        <v>15</v>
      </c>
      <c r="I3841">
        <v>3.4</v>
      </c>
      <c r="J3841">
        <v>17</v>
      </c>
      <c r="K3841">
        <v>6</v>
      </c>
      <c r="L3841" s="4">
        <v>221.81927710843377</v>
      </c>
      <c r="M3841" s="4">
        <v>37.709277108433753</v>
      </c>
      <c r="N3841" t="s">
        <v>94</v>
      </c>
    </row>
    <row r="3842" spans="1:14">
      <c r="A3842">
        <v>3841</v>
      </c>
      <c r="B3842">
        <v>31</v>
      </c>
      <c r="C3842" t="s">
        <v>11</v>
      </c>
      <c r="D3842" t="s">
        <v>41</v>
      </c>
      <c r="E3842" t="s">
        <v>45</v>
      </c>
      <c r="F3842">
        <v>42.28</v>
      </c>
      <c r="G3842" t="s">
        <v>14</v>
      </c>
      <c r="H3842" t="s">
        <v>15</v>
      </c>
      <c r="I3842">
        <v>4.2</v>
      </c>
      <c r="J3842">
        <v>8</v>
      </c>
      <c r="K3842">
        <v>4</v>
      </c>
      <c r="L3842" s="4">
        <v>45.956521739130437</v>
      </c>
      <c r="M3842" s="4">
        <v>3.6765217391304361</v>
      </c>
      <c r="N3842" t="s">
        <v>91</v>
      </c>
    </row>
    <row r="3843" spans="1:14">
      <c r="A3843">
        <v>3842</v>
      </c>
      <c r="B3843">
        <v>34</v>
      </c>
      <c r="C3843" t="s">
        <v>11</v>
      </c>
      <c r="D3843" t="s">
        <v>25</v>
      </c>
      <c r="E3843" t="s">
        <v>47</v>
      </c>
      <c r="F3843">
        <v>32.97</v>
      </c>
      <c r="G3843" t="s">
        <v>19</v>
      </c>
      <c r="H3843" t="s">
        <v>37</v>
      </c>
      <c r="I3843">
        <v>2.2000000000000002</v>
      </c>
      <c r="J3843">
        <v>22</v>
      </c>
      <c r="K3843">
        <v>6</v>
      </c>
      <c r="L3843" s="4">
        <v>42.269230769230766</v>
      </c>
      <c r="M3843" s="4">
        <v>9.2992307692307676</v>
      </c>
      <c r="N3843" t="s">
        <v>91</v>
      </c>
    </row>
    <row r="3844" spans="1:14">
      <c r="A3844">
        <v>3843</v>
      </c>
      <c r="B3844">
        <v>36</v>
      </c>
      <c r="C3844" t="s">
        <v>16</v>
      </c>
      <c r="D3844" t="s">
        <v>17</v>
      </c>
      <c r="E3844" t="s">
        <v>42</v>
      </c>
      <c r="F3844">
        <v>177.58</v>
      </c>
      <c r="G3844" t="s">
        <v>14</v>
      </c>
      <c r="H3844" t="s">
        <v>15</v>
      </c>
      <c r="I3844">
        <v>5</v>
      </c>
      <c r="J3844">
        <v>20</v>
      </c>
      <c r="K3844">
        <v>5</v>
      </c>
      <c r="L3844" s="4">
        <v>221.97499999999999</v>
      </c>
      <c r="M3844" s="4">
        <v>44.394999999999982</v>
      </c>
      <c r="N3844" t="s">
        <v>92</v>
      </c>
    </row>
    <row r="3845" spans="1:14">
      <c r="A3845">
        <v>3844</v>
      </c>
      <c r="B3845">
        <v>52</v>
      </c>
      <c r="C3845" t="s">
        <v>16</v>
      </c>
      <c r="D3845" t="s">
        <v>25</v>
      </c>
      <c r="E3845" t="s">
        <v>47</v>
      </c>
      <c r="F3845">
        <v>28.33</v>
      </c>
      <c r="G3845" t="s">
        <v>31</v>
      </c>
      <c r="H3845" t="s">
        <v>15</v>
      </c>
      <c r="I3845">
        <v>2.6</v>
      </c>
      <c r="J3845">
        <v>10</v>
      </c>
      <c r="K3845">
        <v>5</v>
      </c>
      <c r="L3845" s="4">
        <v>31.477777777777774</v>
      </c>
      <c r="M3845" s="4">
        <v>3.147777777777776</v>
      </c>
      <c r="N3845" t="s">
        <v>93</v>
      </c>
    </row>
    <row r="3846" spans="1:14">
      <c r="A3846">
        <v>3845</v>
      </c>
      <c r="B3846">
        <v>56</v>
      </c>
      <c r="C3846" t="s">
        <v>16</v>
      </c>
      <c r="D3846" t="s">
        <v>27</v>
      </c>
      <c r="E3846" t="s">
        <v>53</v>
      </c>
      <c r="F3846">
        <v>1509.77</v>
      </c>
      <c r="G3846" t="s">
        <v>19</v>
      </c>
      <c r="H3846" t="s">
        <v>15</v>
      </c>
      <c r="I3846">
        <v>4.0999999999999996</v>
      </c>
      <c r="J3846">
        <v>8</v>
      </c>
      <c r="K3846">
        <v>4</v>
      </c>
      <c r="L3846" s="4">
        <v>1641.0543478260868</v>
      </c>
      <c r="M3846" s="4">
        <v>131.28434782608679</v>
      </c>
      <c r="N3846" t="s">
        <v>94</v>
      </c>
    </row>
    <row r="3847" spans="1:14">
      <c r="A3847">
        <v>3846</v>
      </c>
      <c r="B3847">
        <v>22</v>
      </c>
      <c r="C3847" t="s">
        <v>16</v>
      </c>
      <c r="D3847" t="s">
        <v>33</v>
      </c>
      <c r="E3847" t="s">
        <v>34</v>
      </c>
      <c r="F3847">
        <v>221.34</v>
      </c>
      <c r="G3847" t="s">
        <v>31</v>
      </c>
      <c r="H3847" t="s">
        <v>15</v>
      </c>
      <c r="I3847">
        <v>3</v>
      </c>
      <c r="J3847">
        <v>9</v>
      </c>
      <c r="K3847">
        <v>2</v>
      </c>
      <c r="L3847" s="4">
        <v>243.23076923076923</v>
      </c>
      <c r="M3847" s="4">
        <v>21.890769230769223</v>
      </c>
      <c r="N3847" t="s">
        <v>100</v>
      </c>
    </row>
    <row r="3848" spans="1:14">
      <c r="A3848">
        <v>3847</v>
      </c>
      <c r="B3848">
        <v>25</v>
      </c>
      <c r="C3848" t="s">
        <v>16</v>
      </c>
      <c r="D3848" t="s">
        <v>33</v>
      </c>
      <c r="E3848" t="s">
        <v>34</v>
      </c>
      <c r="F3848">
        <v>129.19999999999999</v>
      </c>
      <c r="G3848" t="s">
        <v>24</v>
      </c>
      <c r="H3848" t="s">
        <v>15</v>
      </c>
      <c r="I3848">
        <v>3.8</v>
      </c>
      <c r="J3848">
        <v>11</v>
      </c>
      <c r="K3848">
        <v>3</v>
      </c>
      <c r="L3848" s="4">
        <v>145.16853932584269</v>
      </c>
      <c r="M3848" s="4">
        <v>15.968539325842698</v>
      </c>
      <c r="N3848" t="s">
        <v>91</v>
      </c>
    </row>
    <row r="3849" spans="1:14">
      <c r="A3849">
        <v>3848</v>
      </c>
      <c r="B3849">
        <v>33</v>
      </c>
      <c r="C3849" t="s">
        <v>11</v>
      </c>
      <c r="D3849" t="s">
        <v>29</v>
      </c>
      <c r="E3849" t="s">
        <v>51</v>
      </c>
      <c r="F3849">
        <v>33.51</v>
      </c>
      <c r="G3849" t="s">
        <v>24</v>
      </c>
      <c r="H3849" t="s">
        <v>15</v>
      </c>
      <c r="I3849">
        <v>3.8</v>
      </c>
      <c r="J3849">
        <v>16</v>
      </c>
      <c r="K3849">
        <v>8</v>
      </c>
      <c r="L3849" s="4">
        <v>39.892857142857139</v>
      </c>
      <c r="M3849" s="4">
        <v>6.3828571428571408</v>
      </c>
      <c r="N3849" t="s">
        <v>91</v>
      </c>
    </row>
    <row r="3850" spans="1:14">
      <c r="A3850">
        <v>3849</v>
      </c>
      <c r="B3850">
        <v>60</v>
      </c>
      <c r="C3850" t="s">
        <v>11</v>
      </c>
      <c r="D3850" t="s">
        <v>41</v>
      </c>
      <c r="E3850" t="s">
        <v>42</v>
      </c>
      <c r="F3850">
        <v>73.260000000000005</v>
      </c>
      <c r="G3850" t="s">
        <v>24</v>
      </c>
      <c r="H3850" t="s">
        <v>15</v>
      </c>
      <c r="I3850">
        <v>3</v>
      </c>
      <c r="J3850">
        <v>9</v>
      </c>
      <c r="K3850">
        <v>2</v>
      </c>
      <c r="L3850" s="4">
        <v>80.505494505494511</v>
      </c>
      <c r="M3850" s="4">
        <v>7.2454945054945057</v>
      </c>
      <c r="N3850" t="s">
        <v>94</v>
      </c>
    </row>
    <row r="3851" spans="1:14">
      <c r="A3851">
        <v>3850</v>
      </c>
      <c r="B3851">
        <v>22</v>
      </c>
      <c r="C3851" t="s">
        <v>16</v>
      </c>
      <c r="D3851" t="s">
        <v>27</v>
      </c>
      <c r="E3851" t="s">
        <v>53</v>
      </c>
      <c r="F3851">
        <v>2440.87</v>
      </c>
      <c r="G3851" t="s">
        <v>31</v>
      </c>
      <c r="H3851" t="s">
        <v>15</v>
      </c>
      <c r="I3851">
        <v>3.7</v>
      </c>
      <c r="J3851">
        <v>22</v>
      </c>
      <c r="K3851">
        <v>6</v>
      </c>
      <c r="L3851" s="4">
        <v>3129.3205128205127</v>
      </c>
      <c r="M3851" s="4">
        <v>688.45051282051281</v>
      </c>
      <c r="N3851" t="s">
        <v>100</v>
      </c>
    </row>
    <row r="3852" spans="1:14">
      <c r="A3852">
        <v>3851</v>
      </c>
      <c r="B3852">
        <v>35</v>
      </c>
      <c r="C3852" t="s">
        <v>11</v>
      </c>
      <c r="D3852" t="s">
        <v>22</v>
      </c>
      <c r="E3852" t="s">
        <v>52</v>
      </c>
      <c r="F3852">
        <v>164.39</v>
      </c>
      <c r="G3852" t="s">
        <v>31</v>
      </c>
      <c r="H3852" t="s">
        <v>15</v>
      </c>
      <c r="I3852">
        <v>3.9</v>
      </c>
      <c r="J3852">
        <v>15</v>
      </c>
      <c r="K3852">
        <v>5</v>
      </c>
      <c r="L3852" s="4">
        <v>193.39999999999998</v>
      </c>
      <c r="M3852" s="4">
        <v>29.009999999999991</v>
      </c>
      <c r="N3852" t="s">
        <v>92</v>
      </c>
    </row>
    <row r="3853" spans="1:14">
      <c r="A3853">
        <v>3852</v>
      </c>
      <c r="B3853">
        <v>35</v>
      </c>
      <c r="C3853" t="s">
        <v>11</v>
      </c>
      <c r="D3853" t="s">
        <v>12</v>
      </c>
      <c r="E3853" t="s">
        <v>13</v>
      </c>
      <c r="F3853">
        <v>72.819999999999993</v>
      </c>
      <c r="G3853" t="s">
        <v>19</v>
      </c>
      <c r="H3853" t="s">
        <v>37</v>
      </c>
      <c r="I3853">
        <v>5</v>
      </c>
      <c r="J3853">
        <v>24</v>
      </c>
      <c r="K3853">
        <v>7</v>
      </c>
      <c r="L3853" s="4">
        <v>95.815789473684205</v>
      </c>
      <c r="M3853" s="4">
        <v>22.995789473684212</v>
      </c>
      <c r="N3853" t="s">
        <v>92</v>
      </c>
    </row>
    <row r="3854" spans="1:14">
      <c r="A3854">
        <v>3853</v>
      </c>
      <c r="B3854">
        <v>22</v>
      </c>
      <c r="C3854" t="s">
        <v>11</v>
      </c>
      <c r="D3854" t="s">
        <v>33</v>
      </c>
      <c r="E3854" t="s">
        <v>38</v>
      </c>
      <c r="F3854">
        <v>195.2</v>
      </c>
      <c r="G3854" t="s">
        <v>31</v>
      </c>
      <c r="H3854" t="s">
        <v>15</v>
      </c>
      <c r="I3854">
        <v>3.6</v>
      </c>
      <c r="J3854">
        <v>17</v>
      </c>
      <c r="K3854">
        <v>6</v>
      </c>
      <c r="L3854" s="4">
        <v>235.18072289156626</v>
      </c>
      <c r="M3854" s="4">
        <v>39.980722891566273</v>
      </c>
      <c r="N3854" t="s">
        <v>100</v>
      </c>
    </row>
    <row r="3855" spans="1:14">
      <c r="A3855">
        <v>3854</v>
      </c>
      <c r="B3855">
        <v>52</v>
      </c>
      <c r="C3855" t="s">
        <v>11</v>
      </c>
      <c r="D3855" t="s">
        <v>33</v>
      </c>
      <c r="E3855" t="s">
        <v>38</v>
      </c>
      <c r="F3855">
        <v>165.9</v>
      </c>
      <c r="G3855" t="s">
        <v>19</v>
      </c>
      <c r="H3855" t="s">
        <v>15</v>
      </c>
      <c r="I3855">
        <v>3.3</v>
      </c>
      <c r="J3855">
        <v>7</v>
      </c>
      <c r="K3855">
        <v>1</v>
      </c>
      <c r="L3855" s="4">
        <v>178.38709677419357</v>
      </c>
      <c r="M3855" s="4">
        <v>12.48709677419356</v>
      </c>
      <c r="N3855" t="s">
        <v>93</v>
      </c>
    </row>
    <row r="3856" spans="1:14">
      <c r="A3856">
        <v>3855</v>
      </c>
      <c r="B3856">
        <v>57</v>
      </c>
      <c r="C3856" t="s">
        <v>16</v>
      </c>
      <c r="D3856" t="s">
        <v>20</v>
      </c>
      <c r="E3856" t="s">
        <v>36</v>
      </c>
      <c r="F3856">
        <v>53.33</v>
      </c>
      <c r="G3856" t="s">
        <v>14</v>
      </c>
      <c r="H3856" t="s">
        <v>15</v>
      </c>
      <c r="I3856">
        <v>3.7</v>
      </c>
      <c r="J3856">
        <v>15</v>
      </c>
      <c r="K3856">
        <v>5</v>
      </c>
      <c r="L3856" s="4">
        <v>62.741176470588236</v>
      </c>
      <c r="M3856" s="4">
        <v>9.4111764705882379</v>
      </c>
      <c r="N3856" t="s">
        <v>94</v>
      </c>
    </row>
    <row r="3857" spans="1:14">
      <c r="A3857">
        <v>3856</v>
      </c>
      <c r="B3857">
        <v>43</v>
      </c>
      <c r="C3857" t="s">
        <v>16</v>
      </c>
      <c r="D3857" t="s">
        <v>20</v>
      </c>
      <c r="E3857" t="s">
        <v>36</v>
      </c>
      <c r="F3857">
        <v>186.13</v>
      </c>
      <c r="G3857" t="s">
        <v>31</v>
      </c>
      <c r="H3857" t="s">
        <v>15</v>
      </c>
      <c r="I3857">
        <v>2.7</v>
      </c>
      <c r="J3857">
        <v>8</v>
      </c>
      <c r="K3857">
        <v>4</v>
      </c>
      <c r="L3857" s="4">
        <v>202.31521739130434</v>
      </c>
      <c r="M3857" s="4">
        <v>16.185217391304349</v>
      </c>
      <c r="N3857" t="s">
        <v>92</v>
      </c>
    </row>
    <row r="3858" spans="1:14">
      <c r="A3858">
        <v>3857</v>
      </c>
      <c r="B3858">
        <v>51</v>
      </c>
      <c r="C3858" t="s">
        <v>16</v>
      </c>
      <c r="D3858" t="s">
        <v>17</v>
      </c>
      <c r="E3858" t="s">
        <v>35</v>
      </c>
      <c r="F3858">
        <v>71.650000000000006</v>
      </c>
      <c r="G3858" t="s">
        <v>31</v>
      </c>
      <c r="H3858" t="s">
        <v>37</v>
      </c>
      <c r="I3858">
        <v>4.2</v>
      </c>
      <c r="J3858">
        <v>19</v>
      </c>
      <c r="K3858">
        <v>7</v>
      </c>
      <c r="L3858" s="4">
        <v>88.456790123456798</v>
      </c>
      <c r="M3858" s="4">
        <v>16.806790123456793</v>
      </c>
      <c r="N3858" t="s">
        <v>93</v>
      </c>
    </row>
    <row r="3859" spans="1:14">
      <c r="A3859">
        <v>3858</v>
      </c>
      <c r="B3859">
        <v>55</v>
      </c>
      <c r="C3859" t="s">
        <v>16</v>
      </c>
      <c r="D3859" t="s">
        <v>20</v>
      </c>
      <c r="E3859" t="s">
        <v>36</v>
      </c>
      <c r="F3859">
        <v>128.66999999999999</v>
      </c>
      <c r="G3859" t="s">
        <v>19</v>
      </c>
      <c r="H3859" t="s">
        <v>15</v>
      </c>
      <c r="I3859">
        <v>4.0999999999999996</v>
      </c>
      <c r="J3859">
        <v>20</v>
      </c>
      <c r="K3859">
        <v>5</v>
      </c>
      <c r="L3859" s="4">
        <v>160.83749999999998</v>
      </c>
      <c r="M3859" s="4">
        <v>32.16749999999999</v>
      </c>
      <c r="N3859" t="s">
        <v>94</v>
      </c>
    </row>
    <row r="3860" spans="1:14">
      <c r="A3860">
        <v>3859</v>
      </c>
      <c r="B3860">
        <v>68</v>
      </c>
      <c r="C3860" t="s">
        <v>11</v>
      </c>
      <c r="D3860" t="s">
        <v>29</v>
      </c>
      <c r="E3860" t="s">
        <v>51</v>
      </c>
      <c r="F3860">
        <v>72.5</v>
      </c>
      <c r="G3860" t="s">
        <v>14</v>
      </c>
      <c r="H3860" t="s">
        <v>37</v>
      </c>
      <c r="I3860">
        <v>3</v>
      </c>
      <c r="J3860">
        <v>28</v>
      </c>
      <c r="K3860">
        <v>9</v>
      </c>
      <c r="L3860" s="4">
        <v>100.69444444444444</v>
      </c>
      <c r="M3860" s="4">
        <v>28.194444444444443</v>
      </c>
      <c r="N3860" t="s">
        <v>95</v>
      </c>
    </row>
    <row r="3861" spans="1:14">
      <c r="A3861">
        <v>3860</v>
      </c>
      <c r="B3861">
        <v>61</v>
      </c>
      <c r="C3861" t="s">
        <v>11</v>
      </c>
      <c r="D3861" t="s">
        <v>25</v>
      </c>
      <c r="E3861" t="s">
        <v>54</v>
      </c>
      <c r="F3861">
        <v>25.6</v>
      </c>
      <c r="G3861" t="s">
        <v>19</v>
      </c>
      <c r="H3861" t="s">
        <v>37</v>
      </c>
      <c r="I3861">
        <v>4</v>
      </c>
      <c r="J3861">
        <v>13</v>
      </c>
      <c r="K3861">
        <v>4</v>
      </c>
      <c r="L3861" s="4">
        <v>29.425287356321842</v>
      </c>
      <c r="M3861" s="4">
        <v>3.8252873563218408</v>
      </c>
      <c r="N3861" t="s">
        <v>94</v>
      </c>
    </row>
    <row r="3862" spans="1:14">
      <c r="A3862">
        <v>3861</v>
      </c>
      <c r="B3862">
        <v>54</v>
      </c>
      <c r="C3862" t="s">
        <v>11</v>
      </c>
      <c r="D3862" t="s">
        <v>41</v>
      </c>
      <c r="E3862" t="s">
        <v>42</v>
      </c>
      <c r="F3862">
        <v>48.92</v>
      </c>
      <c r="G3862" t="s">
        <v>31</v>
      </c>
      <c r="H3862" t="s">
        <v>15</v>
      </c>
      <c r="I3862">
        <v>4.2</v>
      </c>
      <c r="J3862">
        <v>22</v>
      </c>
      <c r="K3862">
        <v>6</v>
      </c>
      <c r="L3862" s="4">
        <v>62.717948717948715</v>
      </c>
      <c r="M3862" s="4">
        <v>13.797948717948714</v>
      </c>
      <c r="N3862" t="s">
        <v>93</v>
      </c>
    </row>
    <row r="3863" spans="1:14">
      <c r="A3863">
        <v>3862</v>
      </c>
      <c r="B3863">
        <v>65</v>
      </c>
      <c r="C3863" t="s">
        <v>11</v>
      </c>
      <c r="D3863" t="s">
        <v>12</v>
      </c>
      <c r="E3863" t="s">
        <v>13</v>
      </c>
      <c r="F3863">
        <v>82.14</v>
      </c>
      <c r="G3863" t="s">
        <v>31</v>
      </c>
      <c r="H3863" t="s">
        <v>37</v>
      </c>
      <c r="I3863">
        <v>3.3</v>
      </c>
      <c r="J3863">
        <v>17</v>
      </c>
      <c r="K3863">
        <v>6</v>
      </c>
      <c r="L3863" s="4">
        <v>98.963855421686759</v>
      </c>
      <c r="M3863" s="4">
        <v>16.823855421686758</v>
      </c>
      <c r="N3863" t="s">
        <v>95</v>
      </c>
    </row>
    <row r="3864" spans="1:14">
      <c r="A3864">
        <v>3863</v>
      </c>
      <c r="B3864">
        <v>42</v>
      </c>
      <c r="C3864" t="s">
        <v>16</v>
      </c>
      <c r="D3864" t="s">
        <v>33</v>
      </c>
      <c r="E3864" t="s">
        <v>34</v>
      </c>
      <c r="F3864">
        <v>74.959999999999994</v>
      </c>
      <c r="G3864" t="s">
        <v>24</v>
      </c>
      <c r="H3864" t="s">
        <v>37</v>
      </c>
      <c r="I3864">
        <v>2.4</v>
      </c>
      <c r="J3864">
        <v>22</v>
      </c>
      <c r="K3864">
        <v>6</v>
      </c>
      <c r="L3864" s="4">
        <v>96.102564102564088</v>
      </c>
      <c r="M3864" s="4">
        <v>21.142564102564094</v>
      </c>
      <c r="N3864" t="s">
        <v>92</v>
      </c>
    </row>
    <row r="3865" spans="1:14">
      <c r="A3865">
        <v>3864</v>
      </c>
      <c r="B3865">
        <v>53</v>
      </c>
      <c r="C3865" t="s">
        <v>11</v>
      </c>
      <c r="D3865" t="s">
        <v>25</v>
      </c>
      <c r="E3865" t="s">
        <v>47</v>
      </c>
      <c r="F3865">
        <v>36.549999999999997</v>
      </c>
      <c r="G3865" t="s">
        <v>19</v>
      </c>
      <c r="H3865" t="s">
        <v>15</v>
      </c>
      <c r="I3865">
        <v>3.8</v>
      </c>
      <c r="J3865">
        <v>15</v>
      </c>
      <c r="K3865">
        <v>5</v>
      </c>
      <c r="L3865" s="4">
        <v>43</v>
      </c>
      <c r="M3865" s="4">
        <v>6.4500000000000028</v>
      </c>
      <c r="N3865" t="s">
        <v>93</v>
      </c>
    </row>
    <row r="3866" spans="1:14">
      <c r="A3866">
        <v>3865</v>
      </c>
      <c r="B3866">
        <v>25</v>
      </c>
      <c r="C3866" t="s">
        <v>16</v>
      </c>
      <c r="D3866" t="s">
        <v>20</v>
      </c>
      <c r="E3866" t="s">
        <v>21</v>
      </c>
      <c r="F3866">
        <v>162.61000000000001</v>
      </c>
      <c r="G3866" t="s">
        <v>24</v>
      </c>
      <c r="H3866" t="s">
        <v>15</v>
      </c>
      <c r="I3866">
        <v>4.7</v>
      </c>
      <c r="J3866">
        <v>16</v>
      </c>
      <c r="K3866">
        <v>3</v>
      </c>
      <c r="L3866" s="4">
        <v>193.58333333333334</v>
      </c>
      <c r="M3866" s="4">
        <v>30.973333333333329</v>
      </c>
      <c r="N3866" t="s">
        <v>91</v>
      </c>
    </row>
    <row r="3867" spans="1:14">
      <c r="A3867">
        <v>3866</v>
      </c>
      <c r="B3867">
        <v>49</v>
      </c>
      <c r="C3867" t="s">
        <v>16</v>
      </c>
      <c r="D3867" t="s">
        <v>20</v>
      </c>
      <c r="E3867" t="s">
        <v>21</v>
      </c>
      <c r="F3867">
        <v>75.87</v>
      </c>
      <c r="G3867" t="s">
        <v>19</v>
      </c>
      <c r="H3867" t="s">
        <v>37</v>
      </c>
      <c r="I3867">
        <v>3</v>
      </c>
      <c r="J3867">
        <v>11</v>
      </c>
      <c r="K3867">
        <v>3</v>
      </c>
      <c r="L3867" s="4">
        <v>85.247191011235955</v>
      </c>
      <c r="M3867" s="4">
        <v>9.3771910112359507</v>
      </c>
      <c r="N3867" t="s">
        <v>93</v>
      </c>
    </row>
    <row r="3868" spans="1:14">
      <c r="A3868">
        <v>3867</v>
      </c>
      <c r="B3868">
        <v>59</v>
      </c>
      <c r="C3868" t="s">
        <v>11</v>
      </c>
      <c r="D3868" t="s">
        <v>25</v>
      </c>
      <c r="E3868" t="s">
        <v>47</v>
      </c>
      <c r="F3868">
        <v>16.71</v>
      </c>
      <c r="G3868" t="s">
        <v>31</v>
      </c>
      <c r="H3868" t="s">
        <v>15</v>
      </c>
      <c r="I3868">
        <v>3.9</v>
      </c>
      <c r="J3868">
        <v>17</v>
      </c>
      <c r="K3868">
        <v>6</v>
      </c>
      <c r="L3868" s="4">
        <v>20.132530120481931</v>
      </c>
      <c r="M3868" s="4">
        <v>3.4225301204819303</v>
      </c>
      <c r="N3868" t="s">
        <v>94</v>
      </c>
    </row>
    <row r="3869" spans="1:14">
      <c r="A3869">
        <v>3868</v>
      </c>
      <c r="B3869">
        <v>66</v>
      </c>
      <c r="C3869" t="s">
        <v>11</v>
      </c>
      <c r="D3869" t="s">
        <v>12</v>
      </c>
      <c r="E3869" t="s">
        <v>13</v>
      </c>
      <c r="F3869">
        <v>118.57</v>
      </c>
      <c r="G3869" t="s">
        <v>14</v>
      </c>
      <c r="H3869" t="s">
        <v>15</v>
      </c>
      <c r="I3869">
        <v>2.9</v>
      </c>
      <c r="J3869">
        <v>15</v>
      </c>
      <c r="K3869">
        <v>5</v>
      </c>
      <c r="L3869" s="4">
        <v>139.49411764705883</v>
      </c>
      <c r="M3869" s="4">
        <v>20.924117647058836</v>
      </c>
      <c r="N3869" t="s">
        <v>95</v>
      </c>
    </row>
    <row r="3870" spans="1:14">
      <c r="A3870">
        <v>3869</v>
      </c>
      <c r="B3870">
        <v>26</v>
      </c>
      <c r="C3870" t="s">
        <v>11</v>
      </c>
      <c r="D3870" t="s">
        <v>41</v>
      </c>
      <c r="E3870" t="s">
        <v>42</v>
      </c>
      <c r="F3870">
        <v>71.72</v>
      </c>
      <c r="G3870" t="s">
        <v>19</v>
      </c>
      <c r="H3870" t="s">
        <v>15</v>
      </c>
      <c r="I3870">
        <v>3.5</v>
      </c>
      <c r="J3870">
        <v>21</v>
      </c>
      <c r="K3870">
        <v>8</v>
      </c>
      <c r="L3870" s="4">
        <v>90.784810126582272</v>
      </c>
      <c r="M3870" s="4">
        <v>19.064810126582273</v>
      </c>
      <c r="N3870" t="s">
        <v>91</v>
      </c>
    </row>
    <row r="3871" spans="1:14">
      <c r="A3871">
        <v>3870</v>
      </c>
      <c r="B3871">
        <v>64</v>
      </c>
      <c r="C3871" t="s">
        <v>11</v>
      </c>
      <c r="D3871" t="s">
        <v>22</v>
      </c>
      <c r="E3871" t="s">
        <v>52</v>
      </c>
      <c r="F3871">
        <v>280.58999999999997</v>
      </c>
      <c r="G3871" t="s">
        <v>31</v>
      </c>
      <c r="H3871" t="s">
        <v>15</v>
      </c>
      <c r="I3871">
        <v>4.9000000000000004</v>
      </c>
      <c r="J3871">
        <v>17</v>
      </c>
      <c r="K3871">
        <v>6</v>
      </c>
      <c r="L3871" s="4">
        <v>338.06024096385539</v>
      </c>
      <c r="M3871" s="4">
        <v>57.470240963855417</v>
      </c>
      <c r="N3871" t="s">
        <v>94</v>
      </c>
    </row>
    <row r="3872" spans="1:14">
      <c r="A3872">
        <v>3871</v>
      </c>
      <c r="B3872">
        <v>46</v>
      </c>
      <c r="C3872" t="s">
        <v>11</v>
      </c>
      <c r="D3872" t="s">
        <v>41</v>
      </c>
      <c r="E3872" t="s">
        <v>42</v>
      </c>
      <c r="F3872">
        <v>121.97</v>
      </c>
      <c r="G3872" t="s">
        <v>31</v>
      </c>
      <c r="H3872" t="s">
        <v>15</v>
      </c>
      <c r="I3872">
        <v>4.5999999999999996</v>
      </c>
      <c r="J3872">
        <v>26</v>
      </c>
      <c r="K3872">
        <v>8</v>
      </c>
      <c r="L3872" s="4">
        <v>164.82432432432432</v>
      </c>
      <c r="M3872" s="4">
        <v>42.854324324324324</v>
      </c>
      <c r="N3872" t="s">
        <v>93</v>
      </c>
    </row>
    <row r="3873" spans="1:14">
      <c r="A3873">
        <v>3872</v>
      </c>
      <c r="B3873">
        <v>62</v>
      </c>
      <c r="C3873" t="s">
        <v>16</v>
      </c>
      <c r="D3873" t="s">
        <v>20</v>
      </c>
      <c r="E3873" t="s">
        <v>39</v>
      </c>
      <c r="F3873">
        <v>125.84</v>
      </c>
      <c r="G3873" t="s">
        <v>14</v>
      </c>
      <c r="H3873" t="s">
        <v>15</v>
      </c>
      <c r="I3873">
        <v>3.9</v>
      </c>
      <c r="J3873">
        <v>8</v>
      </c>
      <c r="K3873">
        <v>4</v>
      </c>
      <c r="L3873" s="4">
        <v>136.78260869565216</v>
      </c>
      <c r="M3873" s="4">
        <v>10.942608695652154</v>
      </c>
      <c r="N3873" t="s">
        <v>94</v>
      </c>
    </row>
    <row r="3874" spans="1:14">
      <c r="A3874">
        <v>3873</v>
      </c>
      <c r="B3874">
        <v>43</v>
      </c>
      <c r="C3874" t="s">
        <v>16</v>
      </c>
      <c r="D3874" t="s">
        <v>20</v>
      </c>
      <c r="E3874" t="s">
        <v>39</v>
      </c>
      <c r="F3874">
        <v>199.76</v>
      </c>
      <c r="G3874" t="s">
        <v>31</v>
      </c>
      <c r="H3874" t="s">
        <v>15</v>
      </c>
      <c r="I3874">
        <v>2.4</v>
      </c>
      <c r="J3874">
        <v>24</v>
      </c>
      <c r="K3874">
        <v>7</v>
      </c>
      <c r="L3874" s="4">
        <v>262.84210526315786</v>
      </c>
      <c r="M3874" s="4">
        <v>63.082105263157871</v>
      </c>
      <c r="N3874" t="s">
        <v>92</v>
      </c>
    </row>
    <row r="3875" spans="1:14">
      <c r="A3875">
        <v>3874</v>
      </c>
      <c r="B3875">
        <v>63</v>
      </c>
      <c r="C3875" t="s">
        <v>16</v>
      </c>
      <c r="D3875" t="s">
        <v>20</v>
      </c>
      <c r="E3875" t="s">
        <v>21</v>
      </c>
      <c r="F3875">
        <v>245.47</v>
      </c>
      <c r="G3875" t="s">
        <v>19</v>
      </c>
      <c r="H3875" t="s">
        <v>15</v>
      </c>
      <c r="I3875">
        <v>4.0999999999999996</v>
      </c>
      <c r="J3875">
        <v>12</v>
      </c>
      <c r="K3875">
        <v>6</v>
      </c>
      <c r="L3875" s="4">
        <v>278.94318181818181</v>
      </c>
      <c r="M3875" s="4">
        <v>33.473181818181814</v>
      </c>
      <c r="N3875" t="s">
        <v>94</v>
      </c>
    </row>
    <row r="3876" spans="1:14">
      <c r="A3876">
        <v>3875</v>
      </c>
      <c r="B3876">
        <v>36</v>
      </c>
      <c r="C3876" t="s">
        <v>11</v>
      </c>
      <c r="D3876" t="s">
        <v>29</v>
      </c>
      <c r="E3876" t="s">
        <v>51</v>
      </c>
      <c r="F3876">
        <v>63.27</v>
      </c>
      <c r="G3876" t="s">
        <v>31</v>
      </c>
      <c r="H3876" t="s">
        <v>15</v>
      </c>
      <c r="I3876">
        <v>2.8</v>
      </c>
      <c r="J3876">
        <v>12</v>
      </c>
      <c r="K3876">
        <v>6</v>
      </c>
      <c r="L3876" s="4">
        <v>71.89772727272728</v>
      </c>
      <c r="M3876" s="4">
        <v>8.6277272727272774</v>
      </c>
      <c r="N3876" t="s">
        <v>92</v>
      </c>
    </row>
    <row r="3877" spans="1:14">
      <c r="A3877">
        <v>3876</v>
      </c>
      <c r="B3877">
        <v>48</v>
      </c>
      <c r="C3877" t="s">
        <v>11</v>
      </c>
      <c r="D3877" t="s">
        <v>33</v>
      </c>
      <c r="E3877" t="s">
        <v>38</v>
      </c>
      <c r="F3877">
        <v>71.12</v>
      </c>
      <c r="G3877" t="s">
        <v>14</v>
      </c>
      <c r="H3877" t="s">
        <v>15</v>
      </c>
      <c r="I3877">
        <v>4.2</v>
      </c>
      <c r="J3877">
        <v>18</v>
      </c>
      <c r="K3877">
        <v>4</v>
      </c>
      <c r="L3877" s="4">
        <v>86.731707317073173</v>
      </c>
      <c r="M3877" s="4">
        <v>15.611707317073169</v>
      </c>
      <c r="N3877" t="s">
        <v>93</v>
      </c>
    </row>
    <row r="3878" spans="1:14">
      <c r="A3878">
        <v>3877</v>
      </c>
      <c r="B3878">
        <v>52</v>
      </c>
      <c r="C3878" t="s">
        <v>11</v>
      </c>
      <c r="D3878" t="s">
        <v>22</v>
      </c>
      <c r="E3878" t="s">
        <v>43</v>
      </c>
      <c r="F3878">
        <v>71.95</v>
      </c>
      <c r="G3878" t="s">
        <v>31</v>
      </c>
      <c r="H3878" t="s">
        <v>37</v>
      </c>
      <c r="I3878">
        <v>3.6</v>
      </c>
      <c r="J3878">
        <v>21</v>
      </c>
      <c r="K3878">
        <v>8</v>
      </c>
      <c r="L3878" s="4">
        <v>91.075949367088612</v>
      </c>
      <c r="M3878" s="4">
        <v>19.125949367088609</v>
      </c>
      <c r="N3878" t="s">
        <v>93</v>
      </c>
    </row>
    <row r="3879" spans="1:14">
      <c r="A3879">
        <v>3878</v>
      </c>
      <c r="B3879">
        <v>34</v>
      </c>
      <c r="C3879" t="s">
        <v>16</v>
      </c>
      <c r="D3879" t="s">
        <v>22</v>
      </c>
      <c r="E3879" t="s">
        <v>52</v>
      </c>
      <c r="F3879">
        <v>199.66</v>
      </c>
      <c r="G3879" t="s">
        <v>24</v>
      </c>
      <c r="H3879" t="s">
        <v>15</v>
      </c>
      <c r="I3879">
        <v>3.3</v>
      </c>
      <c r="J3879">
        <v>8</v>
      </c>
      <c r="K3879">
        <v>4</v>
      </c>
      <c r="L3879" s="4">
        <v>217.02173913043478</v>
      </c>
      <c r="M3879" s="4">
        <v>17.361739130434785</v>
      </c>
      <c r="N3879" t="s">
        <v>91</v>
      </c>
    </row>
    <row r="3880" spans="1:14">
      <c r="A3880">
        <v>3879</v>
      </c>
      <c r="B3880">
        <v>46</v>
      </c>
      <c r="C3880" t="s">
        <v>11</v>
      </c>
      <c r="D3880" t="s">
        <v>12</v>
      </c>
      <c r="E3880" t="s">
        <v>13</v>
      </c>
      <c r="F3880">
        <v>52.31</v>
      </c>
      <c r="G3880" t="s">
        <v>24</v>
      </c>
      <c r="H3880" t="s">
        <v>37</v>
      </c>
      <c r="I3880">
        <v>5</v>
      </c>
      <c r="J3880">
        <v>22</v>
      </c>
      <c r="K3880">
        <v>6</v>
      </c>
      <c r="L3880" s="4">
        <v>67.064102564102569</v>
      </c>
      <c r="M3880" s="4">
        <v>14.754102564102567</v>
      </c>
      <c r="N3880" t="s">
        <v>93</v>
      </c>
    </row>
    <row r="3881" spans="1:14">
      <c r="A3881">
        <v>3880</v>
      </c>
      <c r="B3881">
        <v>35</v>
      </c>
      <c r="C3881" t="s">
        <v>11</v>
      </c>
      <c r="D3881" t="s">
        <v>29</v>
      </c>
      <c r="E3881" t="s">
        <v>55</v>
      </c>
      <c r="F3881">
        <v>92</v>
      </c>
      <c r="G3881" t="s">
        <v>31</v>
      </c>
      <c r="H3881" t="s">
        <v>37</v>
      </c>
      <c r="I3881">
        <v>4.8</v>
      </c>
      <c r="J3881">
        <v>30</v>
      </c>
      <c r="K3881">
        <v>10</v>
      </c>
      <c r="L3881" s="4">
        <v>131.42857142857144</v>
      </c>
      <c r="M3881" s="4">
        <v>39.428571428571445</v>
      </c>
      <c r="N3881" t="s">
        <v>92</v>
      </c>
    </row>
    <row r="3882" spans="1:14">
      <c r="A3882">
        <v>3881</v>
      </c>
      <c r="B3882">
        <v>39</v>
      </c>
      <c r="C3882" t="s">
        <v>11</v>
      </c>
      <c r="D3882" t="s">
        <v>12</v>
      </c>
      <c r="E3882" t="s">
        <v>56</v>
      </c>
      <c r="F3882">
        <v>41.86</v>
      </c>
      <c r="G3882" t="s">
        <v>19</v>
      </c>
      <c r="H3882" t="s">
        <v>15</v>
      </c>
      <c r="I3882">
        <v>2.8</v>
      </c>
      <c r="J3882">
        <v>18</v>
      </c>
      <c r="K3882">
        <v>4</v>
      </c>
      <c r="L3882" s="4">
        <v>51.048780487804876</v>
      </c>
      <c r="M3882" s="4">
        <v>9.1887804878048769</v>
      </c>
      <c r="N3882" t="s">
        <v>92</v>
      </c>
    </row>
    <row r="3883" spans="1:14">
      <c r="A3883">
        <v>3882</v>
      </c>
      <c r="B3883">
        <v>67</v>
      </c>
      <c r="C3883" t="s">
        <v>11</v>
      </c>
      <c r="D3883" t="s">
        <v>33</v>
      </c>
      <c r="E3883" t="s">
        <v>40</v>
      </c>
      <c r="F3883">
        <v>134.68</v>
      </c>
      <c r="G3883" t="s">
        <v>31</v>
      </c>
      <c r="H3883" t="s">
        <v>15</v>
      </c>
      <c r="I3883">
        <v>4.0999999999999996</v>
      </c>
      <c r="J3883">
        <v>15</v>
      </c>
      <c r="K3883">
        <v>5</v>
      </c>
      <c r="L3883" s="4">
        <v>158.44705882352943</v>
      </c>
      <c r="M3883" s="4">
        <v>23.767058823529425</v>
      </c>
      <c r="N3883" t="s">
        <v>95</v>
      </c>
    </row>
    <row r="3884" spans="1:14">
      <c r="A3884">
        <v>3883</v>
      </c>
      <c r="B3884">
        <v>52</v>
      </c>
      <c r="C3884" t="s">
        <v>16</v>
      </c>
      <c r="D3884" t="s">
        <v>20</v>
      </c>
      <c r="E3884" t="s">
        <v>21</v>
      </c>
      <c r="F3884">
        <v>91.41</v>
      </c>
      <c r="G3884" t="s">
        <v>14</v>
      </c>
      <c r="H3884" t="s">
        <v>37</v>
      </c>
      <c r="I3884">
        <v>2.9</v>
      </c>
      <c r="J3884">
        <v>6</v>
      </c>
      <c r="K3884">
        <v>3</v>
      </c>
      <c r="L3884" s="4">
        <v>97.244680851063833</v>
      </c>
      <c r="M3884" s="4">
        <v>5.8346808510638368</v>
      </c>
      <c r="N3884" t="s">
        <v>93</v>
      </c>
    </row>
    <row r="3885" spans="1:14">
      <c r="A3885">
        <v>3884</v>
      </c>
      <c r="B3885">
        <v>29</v>
      </c>
      <c r="C3885" t="s">
        <v>11</v>
      </c>
      <c r="D3885" t="s">
        <v>25</v>
      </c>
      <c r="E3885" t="s">
        <v>47</v>
      </c>
      <c r="F3885">
        <v>29.99</v>
      </c>
      <c r="G3885" t="s">
        <v>31</v>
      </c>
      <c r="H3885" t="s">
        <v>15</v>
      </c>
      <c r="I3885">
        <v>4.5</v>
      </c>
      <c r="J3885">
        <v>17</v>
      </c>
      <c r="K3885">
        <v>6</v>
      </c>
      <c r="L3885" s="4">
        <v>36.132530120481924</v>
      </c>
      <c r="M3885" s="4">
        <v>6.1425301204819256</v>
      </c>
      <c r="N3885" t="s">
        <v>91</v>
      </c>
    </row>
    <row r="3886" spans="1:14">
      <c r="A3886">
        <v>3885</v>
      </c>
      <c r="B3886">
        <v>55</v>
      </c>
      <c r="C3886" t="s">
        <v>16</v>
      </c>
      <c r="D3886" t="s">
        <v>22</v>
      </c>
      <c r="E3886" t="s">
        <v>43</v>
      </c>
      <c r="F3886">
        <v>261.19</v>
      </c>
      <c r="G3886" t="s">
        <v>19</v>
      </c>
      <c r="H3886" t="s">
        <v>15</v>
      </c>
      <c r="I3886">
        <v>3.2</v>
      </c>
      <c r="J3886">
        <v>24</v>
      </c>
      <c r="K3886">
        <v>7</v>
      </c>
      <c r="L3886" s="4">
        <v>343.67105263157896</v>
      </c>
      <c r="M3886" s="4">
        <v>82.481052631578962</v>
      </c>
      <c r="N3886" t="s">
        <v>94</v>
      </c>
    </row>
    <row r="3887" spans="1:14">
      <c r="A3887">
        <v>3886</v>
      </c>
      <c r="B3887">
        <v>70</v>
      </c>
      <c r="C3887" t="s">
        <v>16</v>
      </c>
      <c r="D3887" t="s">
        <v>33</v>
      </c>
      <c r="E3887" t="s">
        <v>38</v>
      </c>
      <c r="F3887">
        <v>87.98</v>
      </c>
      <c r="G3887" t="s">
        <v>19</v>
      </c>
      <c r="H3887" t="s">
        <v>15</v>
      </c>
      <c r="I3887">
        <v>3.2</v>
      </c>
      <c r="J3887">
        <v>12</v>
      </c>
      <c r="K3887">
        <v>6</v>
      </c>
      <c r="L3887" s="4">
        <v>99.977272727272734</v>
      </c>
      <c r="M3887" s="4">
        <v>11.99727272727273</v>
      </c>
      <c r="N3887" t="s">
        <v>95</v>
      </c>
    </row>
    <row r="3888" spans="1:14">
      <c r="A3888">
        <v>3887</v>
      </c>
      <c r="B3888">
        <v>41</v>
      </c>
      <c r="C3888" t="s">
        <v>16</v>
      </c>
      <c r="D3888" t="s">
        <v>17</v>
      </c>
      <c r="E3888" t="s">
        <v>35</v>
      </c>
      <c r="F3888">
        <v>152.87</v>
      </c>
      <c r="G3888" t="s">
        <v>31</v>
      </c>
      <c r="H3888" t="s">
        <v>15</v>
      </c>
      <c r="I3888">
        <v>4.5</v>
      </c>
      <c r="J3888">
        <v>12</v>
      </c>
      <c r="K3888">
        <v>6</v>
      </c>
      <c r="L3888" s="4">
        <v>173.71590909090909</v>
      </c>
      <c r="M3888" s="4">
        <v>20.845909090909089</v>
      </c>
      <c r="N3888" t="s">
        <v>92</v>
      </c>
    </row>
    <row r="3889" spans="1:14">
      <c r="A3889">
        <v>3888</v>
      </c>
      <c r="B3889">
        <v>24</v>
      </c>
      <c r="C3889" t="s">
        <v>16</v>
      </c>
      <c r="D3889" t="s">
        <v>22</v>
      </c>
      <c r="E3889" t="s">
        <v>52</v>
      </c>
      <c r="F3889">
        <v>160.16999999999999</v>
      </c>
      <c r="G3889" t="s">
        <v>19</v>
      </c>
      <c r="H3889" t="s">
        <v>15</v>
      </c>
      <c r="I3889">
        <v>3.7</v>
      </c>
      <c r="J3889">
        <v>18</v>
      </c>
      <c r="K3889">
        <v>4</v>
      </c>
      <c r="L3889" s="4">
        <v>195.32926829268288</v>
      </c>
      <c r="M3889" s="4">
        <v>35.159268292682896</v>
      </c>
      <c r="N3889" t="s">
        <v>100</v>
      </c>
    </row>
    <row r="3890" spans="1:14">
      <c r="A3890">
        <v>3889</v>
      </c>
      <c r="B3890">
        <v>61</v>
      </c>
      <c r="C3890" t="s">
        <v>16</v>
      </c>
      <c r="D3890" t="s">
        <v>20</v>
      </c>
      <c r="E3890" t="s">
        <v>21</v>
      </c>
      <c r="F3890">
        <v>92.21</v>
      </c>
      <c r="G3890" t="s">
        <v>19</v>
      </c>
      <c r="H3890" t="s">
        <v>15</v>
      </c>
      <c r="I3890">
        <v>4.2</v>
      </c>
      <c r="J3890">
        <v>10</v>
      </c>
      <c r="K3890">
        <v>5</v>
      </c>
      <c r="L3890" s="4">
        <v>102.45555555555555</v>
      </c>
      <c r="M3890" s="4">
        <v>10.245555555555555</v>
      </c>
      <c r="N3890" t="s">
        <v>94</v>
      </c>
    </row>
    <row r="3891" spans="1:14">
      <c r="A3891">
        <v>3890</v>
      </c>
      <c r="B3891">
        <v>55</v>
      </c>
      <c r="C3891" t="s">
        <v>11</v>
      </c>
      <c r="D3891" t="s">
        <v>41</v>
      </c>
      <c r="E3891" t="s">
        <v>46</v>
      </c>
      <c r="F3891">
        <v>68.75</v>
      </c>
      <c r="G3891" t="s">
        <v>31</v>
      </c>
      <c r="H3891" t="s">
        <v>15</v>
      </c>
      <c r="I3891">
        <v>4.9000000000000004</v>
      </c>
      <c r="J3891">
        <v>9</v>
      </c>
      <c r="K3891">
        <v>2</v>
      </c>
      <c r="L3891" s="4">
        <v>75.54945054945054</v>
      </c>
      <c r="M3891" s="4">
        <v>6.7994505494505404</v>
      </c>
      <c r="N3891" t="s">
        <v>94</v>
      </c>
    </row>
    <row r="3892" spans="1:14">
      <c r="A3892">
        <v>3891</v>
      </c>
      <c r="B3892">
        <v>36</v>
      </c>
      <c r="C3892" t="s">
        <v>16</v>
      </c>
      <c r="D3892" t="s">
        <v>27</v>
      </c>
      <c r="E3892" t="s">
        <v>32</v>
      </c>
      <c r="F3892">
        <v>2199.9299999999998</v>
      </c>
      <c r="G3892" t="s">
        <v>24</v>
      </c>
      <c r="H3892" t="s">
        <v>15</v>
      </c>
      <c r="I3892">
        <v>4.3</v>
      </c>
      <c r="J3892">
        <v>17</v>
      </c>
      <c r="K3892">
        <v>6</v>
      </c>
      <c r="L3892" s="4">
        <v>2650.5180722891564</v>
      </c>
      <c r="M3892" s="4">
        <v>450.58807228915657</v>
      </c>
      <c r="N3892" t="s">
        <v>92</v>
      </c>
    </row>
    <row r="3893" spans="1:14">
      <c r="A3893">
        <v>3892</v>
      </c>
      <c r="B3893">
        <v>67</v>
      </c>
      <c r="C3893" t="s">
        <v>11</v>
      </c>
      <c r="D3893" t="s">
        <v>33</v>
      </c>
      <c r="E3893" t="s">
        <v>38</v>
      </c>
      <c r="F3893">
        <v>191.36</v>
      </c>
      <c r="G3893" t="s">
        <v>24</v>
      </c>
      <c r="H3893" t="s">
        <v>15</v>
      </c>
      <c r="I3893">
        <v>4.0999999999999996</v>
      </c>
      <c r="J3893">
        <v>18</v>
      </c>
      <c r="K3893">
        <v>4</v>
      </c>
      <c r="L3893" s="4">
        <v>233.36585365853659</v>
      </c>
      <c r="M3893" s="4">
        <v>42.00585365853658</v>
      </c>
      <c r="N3893" t="s">
        <v>95</v>
      </c>
    </row>
    <row r="3894" spans="1:14">
      <c r="A3894">
        <v>3893</v>
      </c>
      <c r="B3894">
        <v>50</v>
      </c>
      <c r="C3894" t="s">
        <v>16</v>
      </c>
      <c r="D3894" t="s">
        <v>22</v>
      </c>
      <c r="E3894" t="s">
        <v>52</v>
      </c>
      <c r="F3894">
        <v>55.82</v>
      </c>
      <c r="G3894" t="s">
        <v>19</v>
      </c>
      <c r="H3894" t="s">
        <v>37</v>
      </c>
      <c r="I3894">
        <v>3.7</v>
      </c>
      <c r="J3894">
        <v>16</v>
      </c>
      <c r="K3894">
        <v>3</v>
      </c>
      <c r="L3894" s="4">
        <v>66.452380952380949</v>
      </c>
      <c r="M3894" s="4">
        <v>10.632380952380949</v>
      </c>
      <c r="N3894" t="s">
        <v>93</v>
      </c>
    </row>
    <row r="3895" spans="1:14">
      <c r="A3895">
        <v>3894</v>
      </c>
      <c r="B3895">
        <v>33</v>
      </c>
      <c r="C3895" t="s">
        <v>11</v>
      </c>
      <c r="D3895" t="s">
        <v>33</v>
      </c>
      <c r="E3895" t="s">
        <v>34</v>
      </c>
      <c r="F3895">
        <v>222.12</v>
      </c>
      <c r="G3895" t="s">
        <v>24</v>
      </c>
      <c r="H3895" t="s">
        <v>15</v>
      </c>
      <c r="I3895">
        <v>4.0999999999999996</v>
      </c>
      <c r="J3895">
        <v>10</v>
      </c>
      <c r="K3895">
        <v>5</v>
      </c>
      <c r="L3895" s="4">
        <v>246.8</v>
      </c>
      <c r="M3895" s="4">
        <v>24.680000000000007</v>
      </c>
      <c r="N3895" t="s">
        <v>91</v>
      </c>
    </row>
    <row r="3896" spans="1:14">
      <c r="A3896">
        <v>3895</v>
      </c>
      <c r="B3896">
        <v>33</v>
      </c>
      <c r="C3896" t="s">
        <v>11</v>
      </c>
      <c r="D3896" t="s">
        <v>25</v>
      </c>
      <c r="E3896" t="s">
        <v>47</v>
      </c>
      <c r="F3896">
        <v>78.680000000000007</v>
      </c>
      <c r="G3896" t="s">
        <v>31</v>
      </c>
      <c r="H3896" t="s">
        <v>15</v>
      </c>
      <c r="I3896">
        <v>3.4</v>
      </c>
      <c r="J3896">
        <v>6</v>
      </c>
      <c r="K3896">
        <v>3</v>
      </c>
      <c r="L3896" s="4">
        <v>83.702127659574487</v>
      </c>
      <c r="M3896" s="4">
        <v>5.0221276595744797</v>
      </c>
      <c r="N3896" t="s">
        <v>91</v>
      </c>
    </row>
    <row r="3897" spans="1:14">
      <c r="A3897">
        <v>3896</v>
      </c>
      <c r="B3897">
        <v>53</v>
      </c>
      <c r="C3897" t="s">
        <v>11</v>
      </c>
      <c r="D3897" t="s">
        <v>33</v>
      </c>
      <c r="E3897" t="s">
        <v>34</v>
      </c>
      <c r="F3897">
        <v>151.9</v>
      </c>
      <c r="G3897" t="s">
        <v>31</v>
      </c>
      <c r="H3897" t="s">
        <v>15</v>
      </c>
      <c r="I3897">
        <v>3.5</v>
      </c>
      <c r="J3897">
        <v>7</v>
      </c>
      <c r="K3897">
        <v>1</v>
      </c>
      <c r="L3897" s="4">
        <v>163.33333333333334</v>
      </c>
      <c r="M3897" s="4">
        <v>11.433333333333337</v>
      </c>
      <c r="N3897" t="s">
        <v>93</v>
      </c>
    </row>
    <row r="3898" spans="1:14">
      <c r="A3898">
        <v>3897</v>
      </c>
      <c r="B3898">
        <v>41</v>
      </c>
      <c r="C3898" t="s">
        <v>11</v>
      </c>
      <c r="D3898" t="s">
        <v>41</v>
      </c>
      <c r="E3898" t="s">
        <v>45</v>
      </c>
      <c r="F3898">
        <v>34.340000000000003</v>
      </c>
      <c r="G3898" t="s">
        <v>14</v>
      </c>
      <c r="H3898" t="s">
        <v>37</v>
      </c>
      <c r="I3898">
        <v>3.7</v>
      </c>
      <c r="J3898">
        <v>24</v>
      </c>
      <c r="K3898">
        <v>7</v>
      </c>
      <c r="L3898" s="4">
        <v>45.184210526315795</v>
      </c>
      <c r="M3898" s="4">
        <v>10.844210526315791</v>
      </c>
      <c r="N3898" t="s">
        <v>92</v>
      </c>
    </row>
    <row r="3899" spans="1:14">
      <c r="A3899">
        <v>3898</v>
      </c>
      <c r="B3899">
        <v>44</v>
      </c>
      <c r="C3899" t="s">
        <v>16</v>
      </c>
      <c r="D3899" t="s">
        <v>22</v>
      </c>
      <c r="E3899" t="s">
        <v>52</v>
      </c>
      <c r="F3899">
        <v>193.78</v>
      </c>
      <c r="G3899" t="s">
        <v>14</v>
      </c>
      <c r="H3899" t="s">
        <v>15</v>
      </c>
      <c r="I3899">
        <v>3.9</v>
      </c>
      <c r="J3899">
        <v>11</v>
      </c>
      <c r="K3899">
        <v>3</v>
      </c>
      <c r="L3899" s="4">
        <v>217.73033707865167</v>
      </c>
      <c r="M3899" s="4">
        <v>23.950337078651671</v>
      </c>
      <c r="N3899" t="s">
        <v>92</v>
      </c>
    </row>
    <row r="3900" spans="1:14">
      <c r="A3900">
        <v>3899</v>
      </c>
      <c r="B3900">
        <v>44</v>
      </c>
      <c r="C3900" t="s">
        <v>11</v>
      </c>
      <c r="D3900" t="s">
        <v>33</v>
      </c>
      <c r="E3900" t="s">
        <v>40</v>
      </c>
      <c r="F3900">
        <v>165.49</v>
      </c>
      <c r="G3900" t="s">
        <v>24</v>
      </c>
      <c r="H3900" t="s">
        <v>15</v>
      </c>
      <c r="I3900">
        <v>3.8</v>
      </c>
      <c r="J3900">
        <v>20</v>
      </c>
      <c r="K3900">
        <v>5</v>
      </c>
      <c r="L3900" s="4">
        <v>206.86250000000001</v>
      </c>
      <c r="M3900" s="4">
        <v>41.372500000000002</v>
      </c>
      <c r="N3900" t="s">
        <v>92</v>
      </c>
    </row>
    <row r="3901" spans="1:14">
      <c r="A3901">
        <v>3900</v>
      </c>
      <c r="B3901">
        <v>26</v>
      </c>
      <c r="C3901" t="s">
        <v>11</v>
      </c>
      <c r="D3901" t="s">
        <v>41</v>
      </c>
      <c r="E3901" t="s">
        <v>46</v>
      </c>
      <c r="F3901">
        <v>98.13</v>
      </c>
      <c r="G3901" t="s">
        <v>31</v>
      </c>
      <c r="H3901" t="s">
        <v>37</v>
      </c>
      <c r="I3901">
        <v>3</v>
      </c>
      <c r="J3901">
        <v>15</v>
      </c>
      <c r="K3901">
        <v>5</v>
      </c>
      <c r="L3901" s="4">
        <v>115.4470588235294</v>
      </c>
      <c r="M3901" s="4">
        <v>17.317058823529408</v>
      </c>
      <c r="N3901" t="s">
        <v>91</v>
      </c>
    </row>
    <row r="3902" spans="1:14">
      <c r="A3902">
        <v>3901</v>
      </c>
      <c r="B3902">
        <v>60</v>
      </c>
      <c r="C3902" t="s">
        <v>16</v>
      </c>
      <c r="D3902" t="s">
        <v>17</v>
      </c>
      <c r="E3902" t="s">
        <v>18</v>
      </c>
      <c r="F3902">
        <v>101.85</v>
      </c>
      <c r="G3902" t="s">
        <v>24</v>
      </c>
      <c r="H3902" t="s">
        <v>15</v>
      </c>
      <c r="I3902">
        <v>4.4000000000000004</v>
      </c>
      <c r="J3902">
        <v>10</v>
      </c>
      <c r="K3902">
        <v>5</v>
      </c>
      <c r="L3902" s="4">
        <v>113.16666666666666</v>
      </c>
      <c r="M3902" s="4">
        <v>11.316666666666663</v>
      </c>
      <c r="N3902" t="s">
        <v>94</v>
      </c>
    </row>
    <row r="3903" spans="1:14">
      <c r="A3903">
        <v>3902</v>
      </c>
      <c r="B3903">
        <v>20</v>
      </c>
      <c r="C3903" t="s">
        <v>11</v>
      </c>
      <c r="D3903" t="s">
        <v>29</v>
      </c>
      <c r="E3903" t="s">
        <v>55</v>
      </c>
      <c r="F3903">
        <v>140.1</v>
      </c>
      <c r="G3903" t="s">
        <v>31</v>
      </c>
      <c r="H3903" t="s">
        <v>15</v>
      </c>
      <c r="I3903">
        <v>3.7</v>
      </c>
      <c r="J3903">
        <v>4</v>
      </c>
      <c r="K3903">
        <v>2</v>
      </c>
      <c r="L3903" s="4">
        <v>145.9375</v>
      </c>
      <c r="M3903" s="4">
        <v>5.8375000000000057</v>
      </c>
      <c r="N3903" t="s">
        <v>100</v>
      </c>
    </row>
    <row r="3904" spans="1:14">
      <c r="A3904">
        <v>3903</v>
      </c>
      <c r="B3904">
        <v>45</v>
      </c>
      <c r="C3904" t="s">
        <v>16</v>
      </c>
      <c r="D3904" t="s">
        <v>25</v>
      </c>
      <c r="E3904" t="s">
        <v>47</v>
      </c>
      <c r="F3904">
        <v>8.33</v>
      </c>
      <c r="G3904" t="s">
        <v>19</v>
      </c>
      <c r="H3904" t="s">
        <v>15</v>
      </c>
      <c r="I3904">
        <v>2.7</v>
      </c>
      <c r="J3904">
        <v>12</v>
      </c>
      <c r="K3904">
        <v>6</v>
      </c>
      <c r="L3904" s="4">
        <v>9.4659090909090917</v>
      </c>
      <c r="M3904" s="4">
        <v>1.1359090909090916</v>
      </c>
      <c r="N3904" t="s">
        <v>93</v>
      </c>
    </row>
    <row r="3905" spans="1:14">
      <c r="A3905">
        <v>3904</v>
      </c>
      <c r="B3905">
        <v>41</v>
      </c>
      <c r="C3905" t="s">
        <v>16</v>
      </c>
      <c r="D3905" t="s">
        <v>27</v>
      </c>
      <c r="E3905" t="s">
        <v>28</v>
      </c>
      <c r="F3905">
        <v>2137.8000000000002</v>
      </c>
      <c r="G3905" t="s">
        <v>24</v>
      </c>
      <c r="H3905" t="s">
        <v>15</v>
      </c>
      <c r="I3905">
        <v>2.9</v>
      </c>
      <c r="J3905">
        <v>11</v>
      </c>
      <c r="K3905">
        <v>3</v>
      </c>
      <c r="L3905" s="4">
        <v>2402.0224719101125</v>
      </c>
      <c r="M3905" s="4">
        <v>264.22247191011229</v>
      </c>
      <c r="N3905" t="s">
        <v>92</v>
      </c>
    </row>
    <row r="3906" spans="1:14">
      <c r="A3906">
        <v>3905</v>
      </c>
      <c r="B3906">
        <v>24</v>
      </c>
      <c r="C3906" t="s">
        <v>16</v>
      </c>
      <c r="D3906" t="s">
        <v>27</v>
      </c>
      <c r="E3906" t="s">
        <v>49</v>
      </c>
      <c r="F3906">
        <v>1012.48</v>
      </c>
      <c r="G3906" t="s">
        <v>24</v>
      </c>
      <c r="H3906" t="s">
        <v>15</v>
      </c>
      <c r="I3906">
        <v>5</v>
      </c>
      <c r="J3906">
        <v>12</v>
      </c>
      <c r="K3906">
        <v>6</v>
      </c>
      <c r="L3906" s="4">
        <v>1150.5454545454545</v>
      </c>
      <c r="M3906" s="4">
        <v>138.06545454545449</v>
      </c>
      <c r="N3906" t="s">
        <v>100</v>
      </c>
    </row>
    <row r="3907" spans="1:14">
      <c r="A3907">
        <v>3906</v>
      </c>
      <c r="B3907">
        <v>23</v>
      </c>
      <c r="C3907" t="s">
        <v>16</v>
      </c>
      <c r="D3907" t="s">
        <v>33</v>
      </c>
      <c r="E3907" t="s">
        <v>34</v>
      </c>
      <c r="F3907">
        <v>159.02000000000001</v>
      </c>
      <c r="G3907" t="s">
        <v>19</v>
      </c>
      <c r="H3907" t="s">
        <v>15</v>
      </c>
      <c r="I3907">
        <v>3.4</v>
      </c>
      <c r="J3907">
        <v>6</v>
      </c>
      <c r="K3907">
        <v>3</v>
      </c>
      <c r="L3907" s="4">
        <v>169.17021276595747</v>
      </c>
      <c r="M3907" s="4">
        <v>10.150212765957463</v>
      </c>
      <c r="N3907" t="s">
        <v>100</v>
      </c>
    </row>
    <row r="3908" spans="1:14">
      <c r="A3908">
        <v>3907</v>
      </c>
      <c r="B3908">
        <v>70</v>
      </c>
      <c r="C3908" t="s">
        <v>11</v>
      </c>
      <c r="D3908" t="s">
        <v>29</v>
      </c>
      <c r="E3908" t="s">
        <v>30</v>
      </c>
      <c r="F3908">
        <v>65.099999999999994</v>
      </c>
      <c r="G3908" t="s">
        <v>24</v>
      </c>
      <c r="H3908" t="s">
        <v>37</v>
      </c>
      <c r="I3908">
        <v>3.5</v>
      </c>
      <c r="J3908">
        <v>11</v>
      </c>
      <c r="K3908">
        <v>3</v>
      </c>
      <c r="L3908" s="4">
        <v>73.146067415730329</v>
      </c>
      <c r="M3908" s="4">
        <v>8.0460674157303345</v>
      </c>
      <c r="N3908" t="s">
        <v>95</v>
      </c>
    </row>
    <row r="3909" spans="1:14">
      <c r="A3909">
        <v>3908</v>
      </c>
      <c r="B3909">
        <v>45</v>
      </c>
      <c r="C3909" t="s">
        <v>16</v>
      </c>
      <c r="D3909" t="s">
        <v>27</v>
      </c>
      <c r="E3909" t="s">
        <v>53</v>
      </c>
      <c r="F3909">
        <v>1162.1500000000001</v>
      </c>
      <c r="G3909" t="s">
        <v>19</v>
      </c>
      <c r="H3909" t="s">
        <v>15</v>
      </c>
      <c r="I3909">
        <v>3.9</v>
      </c>
      <c r="J3909">
        <v>9</v>
      </c>
      <c r="K3909">
        <v>2</v>
      </c>
      <c r="L3909" s="4">
        <v>1277.0879120879122</v>
      </c>
      <c r="M3909" s="4">
        <v>114.93791208791208</v>
      </c>
      <c r="N3909" t="s">
        <v>93</v>
      </c>
    </row>
    <row r="3910" spans="1:14">
      <c r="A3910">
        <v>3909</v>
      </c>
      <c r="B3910">
        <v>51</v>
      </c>
      <c r="C3910" t="s">
        <v>16</v>
      </c>
      <c r="D3910" t="s">
        <v>33</v>
      </c>
      <c r="E3910" t="s">
        <v>34</v>
      </c>
      <c r="F3910">
        <v>226.35</v>
      </c>
      <c r="G3910" t="s">
        <v>31</v>
      </c>
      <c r="H3910" t="s">
        <v>15</v>
      </c>
      <c r="I3910">
        <v>4.2</v>
      </c>
      <c r="J3910">
        <v>20</v>
      </c>
      <c r="K3910">
        <v>10</v>
      </c>
      <c r="L3910" s="4">
        <v>282.9375</v>
      </c>
      <c r="M3910" s="4">
        <v>56.587500000000006</v>
      </c>
      <c r="N3910" t="s">
        <v>93</v>
      </c>
    </row>
    <row r="3911" spans="1:14">
      <c r="A3911">
        <v>3910</v>
      </c>
      <c r="B3911">
        <v>38</v>
      </c>
      <c r="C3911" t="s">
        <v>16</v>
      </c>
      <c r="D3911" t="s">
        <v>27</v>
      </c>
      <c r="E3911" t="s">
        <v>49</v>
      </c>
      <c r="F3911">
        <v>1523</v>
      </c>
      <c r="G3911" t="s">
        <v>31</v>
      </c>
      <c r="H3911" t="s">
        <v>15</v>
      </c>
      <c r="I3911">
        <v>5</v>
      </c>
      <c r="J3911">
        <v>32</v>
      </c>
      <c r="K3911">
        <v>11</v>
      </c>
      <c r="L3911" s="4">
        <v>2239.7058823529414</v>
      </c>
      <c r="M3911" s="4">
        <v>716.70588235294144</v>
      </c>
      <c r="N3911" t="s">
        <v>92</v>
      </c>
    </row>
    <row r="3912" spans="1:14">
      <c r="A3912">
        <v>3911</v>
      </c>
      <c r="B3912">
        <v>59</v>
      </c>
      <c r="C3912" t="s">
        <v>16</v>
      </c>
      <c r="D3912" t="s">
        <v>22</v>
      </c>
      <c r="E3912" t="s">
        <v>52</v>
      </c>
      <c r="F3912">
        <v>152.75</v>
      </c>
      <c r="G3912" t="s">
        <v>14</v>
      </c>
      <c r="H3912" t="s">
        <v>15</v>
      </c>
      <c r="I3912">
        <v>3.6</v>
      </c>
      <c r="J3912">
        <v>30</v>
      </c>
      <c r="K3912">
        <v>10</v>
      </c>
      <c r="L3912" s="4">
        <v>218.21428571428572</v>
      </c>
      <c r="M3912" s="4">
        <v>65.464285714285722</v>
      </c>
      <c r="N3912" t="s">
        <v>94</v>
      </c>
    </row>
    <row r="3913" spans="1:14">
      <c r="A3913">
        <v>3912</v>
      </c>
      <c r="B3913">
        <v>42</v>
      </c>
      <c r="C3913" t="s">
        <v>16</v>
      </c>
      <c r="D3913" t="s">
        <v>20</v>
      </c>
      <c r="E3913" t="s">
        <v>36</v>
      </c>
      <c r="F3913">
        <v>243.12</v>
      </c>
      <c r="G3913" t="s">
        <v>14</v>
      </c>
      <c r="H3913" t="s">
        <v>15</v>
      </c>
      <c r="I3913">
        <v>5</v>
      </c>
      <c r="J3913">
        <v>14</v>
      </c>
      <c r="K3913">
        <v>7</v>
      </c>
      <c r="L3913" s="4">
        <v>282.69767441860466</v>
      </c>
      <c r="M3913" s="4">
        <v>39.577674418604659</v>
      </c>
      <c r="N3913" t="s">
        <v>92</v>
      </c>
    </row>
    <row r="3914" spans="1:14">
      <c r="A3914">
        <v>3913</v>
      </c>
      <c r="B3914">
        <v>64</v>
      </c>
      <c r="C3914" t="s">
        <v>16</v>
      </c>
      <c r="D3914" t="s">
        <v>25</v>
      </c>
      <c r="E3914" t="s">
        <v>26</v>
      </c>
      <c r="F3914">
        <v>11.97</v>
      </c>
      <c r="G3914" t="s">
        <v>31</v>
      </c>
      <c r="H3914" t="s">
        <v>15</v>
      </c>
      <c r="I3914">
        <v>4</v>
      </c>
      <c r="J3914">
        <v>9</v>
      </c>
      <c r="K3914">
        <v>2</v>
      </c>
      <c r="L3914" s="4">
        <v>13.153846153846153</v>
      </c>
      <c r="M3914" s="4">
        <v>1.1838461538461527</v>
      </c>
      <c r="N3914" t="s">
        <v>94</v>
      </c>
    </row>
    <row r="3915" spans="1:14">
      <c r="A3915">
        <v>3914</v>
      </c>
      <c r="B3915">
        <v>23</v>
      </c>
      <c r="C3915" t="s">
        <v>16</v>
      </c>
      <c r="D3915" t="s">
        <v>33</v>
      </c>
      <c r="E3915" t="s">
        <v>38</v>
      </c>
      <c r="F3915">
        <v>75.64</v>
      </c>
      <c r="G3915" t="s">
        <v>14</v>
      </c>
      <c r="H3915" t="s">
        <v>15</v>
      </c>
      <c r="I3915">
        <v>2.8</v>
      </c>
      <c r="J3915">
        <v>22</v>
      </c>
      <c r="K3915">
        <v>6</v>
      </c>
      <c r="L3915" s="4">
        <v>96.974358974358978</v>
      </c>
      <c r="M3915" s="4">
        <v>21.334358974358977</v>
      </c>
      <c r="N3915" t="s">
        <v>100</v>
      </c>
    </row>
    <row r="3916" spans="1:14">
      <c r="A3916">
        <v>3915</v>
      </c>
      <c r="B3916">
        <v>31</v>
      </c>
      <c r="C3916" t="s">
        <v>16</v>
      </c>
      <c r="D3916" t="s">
        <v>20</v>
      </c>
      <c r="E3916" t="s">
        <v>21</v>
      </c>
      <c r="F3916">
        <v>107.78</v>
      </c>
      <c r="G3916" t="s">
        <v>14</v>
      </c>
      <c r="H3916" t="s">
        <v>15</v>
      </c>
      <c r="I3916">
        <v>3.5</v>
      </c>
      <c r="J3916">
        <v>15</v>
      </c>
      <c r="K3916">
        <v>5</v>
      </c>
      <c r="L3916" s="4">
        <v>126.80000000000001</v>
      </c>
      <c r="M3916" s="4">
        <v>19.02000000000001</v>
      </c>
      <c r="N3916" t="s">
        <v>91</v>
      </c>
    </row>
    <row r="3917" spans="1:14">
      <c r="A3917">
        <v>3916</v>
      </c>
      <c r="B3917">
        <v>64</v>
      </c>
      <c r="C3917" t="s">
        <v>16</v>
      </c>
      <c r="D3917" t="s">
        <v>20</v>
      </c>
      <c r="E3917" t="s">
        <v>21</v>
      </c>
      <c r="F3917">
        <v>170.99</v>
      </c>
      <c r="G3917" t="s">
        <v>31</v>
      </c>
      <c r="H3917" t="s">
        <v>15</v>
      </c>
      <c r="I3917">
        <v>3.7</v>
      </c>
      <c r="J3917">
        <v>14</v>
      </c>
      <c r="K3917">
        <v>7</v>
      </c>
      <c r="L3917" s="4">
        <v>198.82558139534885</v>
      </c>
      <c r="M3917" s="4">
        <v>27.835581395348839</v>
      </c>
      <c r="N3917" t="s">
        <v>94</v>
      </c>
    </row>
    <row r="3918" spans="1:14">
      <c r="A3918">
        <v>3917</v>
      </c>
      <c r="B3918">
        <v>61</v>
      </c>
      <c r="C3918" t="s">
        <v>11</v>
      </c>
      <c r="D3918" t="s">
        <v>12</v>
      </c>
      <c r="E3918" t="s">
        <v>56</v>
      </c>
      <c r="F3918">
        <v>171.53</v>
      </c>
      <c r="G3918" t="s">
        <v>31</v>
      </c>
      <c r="H3918" t="s">
        <v>15</v>
      </c>
      <c r="I3918">
        <v>3.5</v>
      </c>
      <c r="J3918">
        <v>16</v>
      </c>
      <c r="K3918">
        <v>3</v>
      </c>
      <c r="L3918" s="4">
        <v>204.20238095238096</v>
      </c>
      <c r="M3918" s="4">
        <v>32.672380952380962</v>
      </c>
      <c r="N3918" t="s">
        <v>94</v>
      </c>
    </row>
    <row r="3919" spans="1:14">
      <c r="A3919">
        <v>3918</v>
      </c>
      <c r="B3919">
        <v>27</v>
      </c>
      <c r="C3919" t="s">
        <v>11</v>
      </c>
      <c r="D3919" t="s">
        <v>29</v>
      </c>
      <c r="E3919" t="s">
        <v>55</v>
      </c>
      <c r="F3919">
        <v>76.489999999999995</v>
      </c>
      <c r="G3919" t="s">
        <v>19</v>
      </c>
      <c r="H3919" t="s">
        <v>15</v>
      </c>
      <c r="I3919">
        <v>4.3</v>
      </c>
      <c r="J3919">
        <v>9</v>
      </c>
      <c r="K3919">
        <v>2</v>
      </c>
      <c r="L3919" s="4">
        <v>84.054945054945051</v>
      </c>
      <c r="M3919" s="4">
        <v>7.5649450549450563</v>
      </c>
      <c r="N3919" t="s">
        <v>91</v>
      </c>
    </row>
    <row r="3920" spans="1:14">
      <c r="A3920">
        <v>3919</v>
      </c>
      <c r="B3920">
        <v>22</v>
      </c>
      <c r="C3920" t="s">
        <v>11</v>
      </c>
      <c r="D3920" t="s">
        <v>41</v>
      </c>
      <c r="E3920" t="s">
        <v>42</v>
      </c>
      <c r="F3920">
        <v>180.68</v>
      </c>
      <c r="G3920" t="s">
        <v>24</v>
      </c>
      <c r="H3920" t="s">
        <v>15</v>
      </c>
      <c r="I3920">
        <v>4.5</v>
      </c>
      <c r="J3920">
        <v>21</v>
      </c>
      <c r="K3920">
        <v>8</v>
      </c>
      <c r="L3920" s="4">
        <v>228.70886075949366</v>
      </c>
      <c r="M3920" s="4">
        <v>48.028860759493654</v>
      </c>
      <c r="N3920" t="s">
        <v>100</v>
      </c>
    </row>
    <row r="3921" spans="1:14">
      <c r="A3921">
        <v>3920</v>
      </c>
      <c r="B3921">
        <v>69</v>
      </c>
      <c r="C3921" t="s">
        <v>16</v>
      </c>
      <c r="D3921" t="s">
        <v>20</v>
      </c>
      <c r="E3921" t="s">
        <v>39</v>
      </c>
      <c r="F3921">
        <v>51.3</v>
      </c>
      <c r="G3921" t="s">
        <v>14</v>
      </c>
      <c r="H3921" t="s">
        <v>37</v>
      </c>
      <c r="I3921">
        <v>2.5</v>
      </c>
      <c r="J3921">
        <v>9</v>
      </c>
      <c r="K3921">
        <v>2</v>
      </c>
      <c r="L3921" s="4">
        <v>56.373626373626365</v>
      </c>
      <c r="M3921" s="4">
        <v>5.073626373626368</v>
      </c>
      <c r="N3921" t="s">
        <v>95</v>
      </c>
    </row>
    <row r="3922" spans="1:14">
      <c r="A3922">
        <v>3921</v>
      </c>
      <c r="B3922">
        <v>66</v>
      </c>
      <c r="C3922" t="s">
        <v>16</v>
      </c>
      <c r="D3922" t="s">
        <v>17</v>
      </c>
      <c r="E3922" t="s">
        <v>42</v>
      </c>
      <c r="F3922">
        <v>40.06</v>
      </c>
      <c r="G3922" t="s">
        <v>31</v>
      </c>
      <c r="H3922" t="s">
        <v>37</v>
      </c>
      <c r="I3922">
        <v>3.1</v>
      </c>
      <c r="J3922">
        <v>20</v>
      </c>
      <c r="K3922">
        <v>5</v>
      </c>
      <c r="L3922" s="4">
        <v>50.075000000000003</v>
      </c>
      <c r="M3922" s="4">
        <v>10.015000000000001</v>
      </c>
      <c r="N3922" t="s">
        <v>95</v>
      </c>
    </row>
    <row r="3923" spans="1:14">
      <c r="A3923">
        <v>3922</v>
      </c>
      <c r="B3923">
        <v>39</v>
      </c>
      <c r="C3923" t="s">
        <v>16</v>
      </c>
      <c r="D3923" t="s">
        <v>20</v>
      </c>
      <c r="E3923" t="s">
        <v>39</v>
      </c>
      <c r="F3923">
        <v>149.28</v>
      </c>
      <c r="G3923" t="s">
        <v>24</v>
      </c>
      <c r="H3923" t="s">
        <v>15</v>
      </c>
      <c r="I3923">
        <v>2.9</v>
      </c>
      <c r="J3923">
        <v>15</v>
      </c>
      <c r="K3923">
        <v>5</v>
      </c>
      <c r="L3923" s="4">
        <v>175.62352941176471</v>
      </c>
      <c r="M3923" s="4">
        <v>26.343529411764706</v>
      </c>
      <c r="N3923" t="s">
        <v>92</v>
      </c>
    </row>
    <row r="3924" spans="1:14">
      <c r="A3924">
        <v>3923</v>
      </c>
      <c r="B3924">
        <v>22</v>
      </c>
      <c r="C3924" t="s">
        <v>16</v>
      </c>
      <c r="D3924" t="s">
        <v>33</v>
      </c>
      <c r="E3924" t="s">
        <v>38</v>
      </c>
      <c r="F3924">
        <v>168.49</v>
      </c>
      <c r="G3924" t="s">
        <v>19</v>
      </c>
      <c r="H3924" t="s">
        <v>15</v>
      </c>
      <c r="I3924">
        <v>4.9000000000000004</v>
      </c>
      <c r="J3924">
        <v>19</v>
      </c>
      <c r="K3924">
        <v>7</v>
      </c>
      <c r="L3924" s="4">
        <v>208.01234567901236</v>
      </c>
      <c r="M3924" s="4">
        <v>39.522345679012346</v>
      </c>
      <c r="N3924" t="s">
        <v>100</v>
      </c>
    </row>
    <row r="3925" spans="1:14">
      <c r="A3925">
        <v>3924</v>
      </c>
      <c r="B3925">
        <v>53</v>
      </c>
      <c r="C3925" t="s">
        <v>11</v>
      </c>
      <c r="D3925" t="s">
        <v>33</v>
      </c>
      <c r="E3925" t="s">
        <v>38</v>
      </c>
      <c r="F3925">
        <v>141.58000000000001</v>
      </c>
      <c r="G3925" t="s">
        <v>19</v>
      </c>
      <c r="H3925" t="s">
        <v>15</v>
      </c>
      <c r="I3925">
        <v>1.7</v>
      </c>
      <c r="J3925">
        <v>10</v>
      </c>
      <c r="K3925">
        <v>5</v>
      </c>
      <c r="L3925" s="4">
        <v>157.31111111111113</v>
      </c>
      <c r="M3925" s="4">
        <v>15.731111111111119</v>
      </c>
      <c r="N3925" t="s">
        <v>93</v>
      </c>
    </row>
    <row r="3926" spans="1:14">
      <c r="A3926">
        <v>3925</v>
      </c>
      <c r="B3926">
        <v>50</v>
      </c>
      <c r="C3926" t="s">
        <v>11</v>
      </c>
      <c r="D3926" t="s">
        <v>33</v>
      </c>
      <c r="E3926" t="s">
        <v>38</v>
      </c>
      <c r="F3926">
        <v>227.28</v>
      </c>
      <c r="G3926" t="s">
        <v>19</v>
      </c>
      <c r="H3926" t="s">
        <v>15</v>
      </c>
      <c r="I3926">
        <v>3.8</v>
      </c>
      <c r="J3926">
        <v>16</v>
      </c>
      <c r="K3926">
        <v>3</v>
      </c>
      <c r="L3926" s="4">
        <v>270.57142857142856</v>
      </c>
      <c r="M3926" s="4">
        <v>43.291428571428554</v>
      </c>
      <c r="N3926" t="s">
        <v>93</v>
      </c>
    </row>
    <row r="3927" spans="1:14">
      <c r="A3927">
        <v>3926</v>
      </c>
      <c r="B3927">
        <v>45</v>
      </c>
      <c r="C3927" t="s">
        <v>16</v>
      </c>
      <c r="D3927" t="s">
        <v>17</v>
      </c>
      <c r="E3927" t="s">
        <v>18</v>
      </c>
      <c r="F3927">
        <v>49.65</v>
      </c>
      <c r="G3927" t="s">
        <v>31</v>
      </c>
      <c r="H3927" t="s">
        <v>15</v>
      </c>
      <c r="I3927">
        <v>4.9000000000000004</v>
      </c>
      <c r="J3927">
        <v>26</v>
      </c>
      <c r="K3927">
        <v>8</v>
      </c>
      <c r="L3927" s="4">
        <v>67.094594594594597</v>
      </c>
      <c r="M3927" s="4">
        <v>17.444594594594598</v>
      </c>
      <c r="N3927" t="s">
        <v>93</v>
      </c>
    </row>
    <row r="3928" spans="1:14">
      <c r="A3928">
        <v>3927</v>
      </c>
      <c r="B3928">
        <v>54</v>
      </c>
      <c r="C3928" t="s">
        <v>16</v>
      </c>
      <c r="D3928" t="s">
        <v>17</v>
      </c>
      <c r="E3928" t="s">
        <v>48</v>
      </c>
      <c r="F3928">
        <v>48.95</v>
      </c>
      <c r="G3928" t="s">
        <v>24</v>
      </c>
      <c r="H3928" t="s">
        <v>15</v>
      </c>
      <c r="I3928">
        <v>2.6</v>
      </c>
      <c r="J3928">
        <v>13</v>
      </c>
      <c r="K3928">
        <v>4</v>
      </c>
      <c r="L3928" s="4">
        <v>56.264367816091955</v>
      </c>
      <c r="M3928" s="4">
        <v>7.3143678160919521</v>
      </c>
      <c r="N3928" t="s">
        <v>93</v>
      </c>
    </row>
    <row r="3929" spans="1:14">
      <c r="A3929">
        <v>3928</v>
      </c>
      <c r="B3929">
        <v>38</v>
      </c>
      <c r="C3929" t="s">
        <v>11</v>
      </c>
      <c r="D3929" t="s">
        <v>22</v>
      </c>
      <c r="E3929" t="s">
        <v>43</v>
      </c>
      <c r="F3929">
        <v>289.17</v>
      </c>
      <c r="G3929" t="s">
        <v>24</v>
      </c>
      <c r="H3929" t="s">
        <v>15</v>
      </c>
      <c r="I3929">
        <v>3.9</v>
      </c>
      <c r="J3929">
        <v>6</v>
      </c>
      <c r="K3929">
        <v>3</v>
      </c>
      <c r="L3929" s="4">
        <v>307.62765957446811</v>
      </c>
      <c r="M3929" s="4">
        <v>18.457659574468096</v>
      </c>
      <c r="N3929" t="s">
        <v>92</v>
      </c>
    </row>
    <row r="3930" spans="1:14">
      <c r="A3930">
        <v>3929</v>
      </c>
      <c r="B3930">
        <v>45</v>
      </c>
      <c r="C3930" t="s">
        <v>11</v>
      </c>
      <c r="D3930" t="s">
        <v>12</v>
      </c>
      <c r="E3930" t="s">
        <v>56</v>
      </c>
      <c r="F3930">
        <v>51.88</v>
      </c>
      <c r="G3930" t="s">
        <v>24</v>
      </c>
      <c r="H3930" t="s">
        <v>15</v>
      </c>
      <c r="I3930">
        <v>4.5999999999999996</v>
      </c>
      <c r="J3930">
        <v>8</v>
      </c>
      <c r="K3930">
        <v>4</v>
      </c>
      <c r="L3930" s="4">
        <v>56.391304347826086</v>
      </c>
      <c r="M3930" s="4">
        <v>4.5113043478260835</v>
      </c>
      <c r="N3930" t="s">
        <v>93</v>
      </c>
    </row>
    <row r="3931" spans="1:14">
      <c r="A3931">
        <v>3930</v>
      </c>
      <c r="B3931">
        <v>36</v>
      </c>
      <c r="C3931" t="s">
        <v>11</v>
      </c>
      <c r="D3931" t="s">
        <v>41</v>
      </c>
      <c r="E3931" t="s">
        <v>45</v>
      </c>
      <c r="F3931">
        <v>70.98</v>
      </c>
      <c r="G3931" t="s">
        <v>24</v>
      </c>
      <c r="H3931" t="s">
        <v>37</v>
      </c>
      <c r="I3931">
        <v>3.4</v>
      </c>
      <c r="J3931">
        <v>6</v>
      </c>
      <c r="K3931">
        <v>3</v>
      </c>
      <c r="L3931" s="4">
        <v>75.510638297872347</v>
      </c>
      <c r="M3931" s="4">
        <v>4.5306382978723434</v>
      </c>
      <c r="N3931" t="s">
        <v>92</v>
      </c>
    </row>
    <row r="3932" spans="1:14">
      <c r="A3932">
        <v>3931</v>
      </c>
      <c r="B3932">
        <v>34</v>
      </c>
      <c r="C3932" t="s">
        <v>16</v>
      </c>
      <c r="D3932" t="s">
        <v>17</v>
      </c>
      <c r="E3932" t="s">
        <v>35</v>
      </c>
      <c r="F3932">
        <v>63.17</v>
      </c>
      <c r="G3932" t="s">
        <v>31</v>
      </c>
      <c r="H3932" t="s">
        <v>15</v>
      </c>
      <c r="I3932">
        <v>3.6</v>
      </c>
      <c r="J3932">
        <v>20</v>
      </c>
      <c r="K3932">
        <v>10</v>
      </c>
      <c r="L3932" s="4">
        <v>78.962499999999991</v>
      </c>
      <c r="M3932" s="4">
        <v>15.79249999999999</v>
      </c>
      <c r="N3932" t="s">
        <v>91</v>
      </c>
    </row>
    <row r="3933" spans="1:14">
      <c r="A3933">
        <v>3932</v>
      </c>
      <c r="B3933">
        <v>69</v>
      </c>
      <c r="C3933" t="s">
        <v>16</v>
      </c>
      <c r="D3933" t="s">
        <v>20</v>
      </c>
      <c r="E3933" t="s">
        <v>36</v>
      </c>
      <c r="F3933">
        <v>235.79</v>
      </c>
      <c r="G3933" t="s">
        <v>24</v>
      </c>
      <c r="H3933" t="s">
        <v>15</v>
      </c>
      <c r="I3933">
        <v>3.7</v>
      </c>
      <c r="J3933">
        <v>11</v>
      </c>
      <c r="K3933">
        <v>3</v>
      </c>
      <c r="L3933" s="4">
        <v>264.93258426966293</v>
      </c>
      <c r="M3933" s="4">
        <v>29.142584269662933</v>
      </c>
      <c r="N3933" t="s">
        <v>95</v>
      </c>
    </row>
    <row r="3934" spans="1:14">
      <c r="A3934">
        <v>3933</v>
      </c>
      <c r="B3934">
        <v>25</v>
      </c>
      <c r="C3934" t="s">
        <v>16</v>
      </c>
      <c r="D3934" t="s">
        <v>20</v>
      </c>
      <c r="E3934" t="s">
        <v>39</v>
      </c>
      <c r="F3934">
        <v>156.57</v>
      </c>
      <c r="G3934" t="s">
        <v>24</v>
      </c>
      <c r="H3934" t="s">
        <v>15</v>
      </c>
      <c r="I3934">
        <v>3.5</v>
      </c>
      <c r="J3934">
        <v>17</v>
      </c>
      <c r="K3934">
        <v>6</v>
      </c>
      <c r="L3934" s="4">
        <v>188.63855421686748</v>
      </c>
      <c r="M3934" s="4">
        <v>32.068554216867483</v>
      </c>
      <c r="N3934" t="s">
        <v>91</v>
      </c>
    </row>
    <row r="3935" spans="1:14">
      <c r="A3935">
        <v>3934</v>
      </c>
      <c r="B3935">
        <v>70</v>
      </c>
      <c r="C3935" t="s">
        <v>11</v>
      </c>
      <c r="D3935" t="s">
        <v>25</v>
      </c>
      <c r="E3935" t="s">
        <v>26</v>
      </c>
      <c r="F3935">
        <v>58.72</v>
      </c>
      <c r="G3935" t="s">
        <v>19</v>
      </c>
      <c r="H3935" t="s">
        <v>15</v>
      </c>
      <c r="I3935">
        <v>4.5</v>
      </c>
      <c r="J3935">
        <v>26</v>
      </c>
      <c r="K3935">
        <v>8</v>
      </c>
      <c r="L3935" s="4">
        <v>79.351351351351354</v>
      </c>
      <c r="M3935" s="4">
        <v>20.631351351351356</v>
      </c>
      <c r="N3935" t="s">
        <v>95</v>
      </c>
    </row>
    <row r="3936" spans="1:14">
      <c r="A3936">
        <v>3935</v>
      </c>
      <c r="B3936">
        <v>26</v>
      </c>
      <c r="C3936" t="s">
        <v>16</v>
      </c>
      <c r="D3936" t="s">
        <v>17</v>
      </c>
      <c r="E3936" t="s">
        <v>42</v>
      </c>
      <c r="F3936">
        <v>148.72999999999999</v>
      </c>
      <c r="G3936" t="s">
        <v>24</v>
      </c>
      <c r="H3936" t="s">
        <v>15</v>
      </c>
      <c r="I3936">
        <v>3.5</v>
      </c>
      <c r="J3936">
        <v>20</v>
      </c>
      <c r="K3936">
        <v>5</v>
      </c>
      <c r="L3936" s="4">
        <v>185.91249999999997</v>
      </c>
      <c r="M3936" s="4">
        <v>37.182499999999976</v>
      </c>
      <c r="N3936" t="s">
        <v>91</v>
      </c>
    </row>
    <row r="3937" spans="1:14">
      <c r="A3937">
        <v>3936</v>
      </c>
      <c r="B3937">
        <v>41</v>
      </c>
      <c r="C3937" t="s">
        <v>16</v>
      </c>
      <c r="D3937" t="s">
        <v>27</v>
      </c>
      <c r="E3937" t="s">
        <v>53</v>
      </c>
      <c r="F3937">
        <v>560.16</v>
      </c>
      <c r="G3937" t="s">
        <v>14</v>
      </c>
      <c r="H3937" t="s">
        <v>15</v>
      </c>
      <c r="I3937">
        <v>3.4</v>
      </c>
      <c r="J3937">
        <v>8</v>
      </c>
      <c r="K3937">
        <v>4</v>
      </c>
      <c r="L3937" s="4">
        <v>608.86956521739125</v>
      </c>
      <c r="M3937" s="4">
        <v>48.709565217391287</v>
      </c>
      <c r="N3937" t="s">
        <v>92</v>
      </c>
    </row>
    <row r="3938" spans="1:14">
      <c r="A3938">
        <v>3937</v>
      </c>
      <c r="B3938">
        <v>70</v>
      </c>
      <c r="C3938" t="s">
        <v>11</v>
      </c>
      <c r="D3938" t="s">
        <v>29</v>
      </c>
      <c r="E3938" t="s">
        <v>51</v>
      </c>
      <c r="F3938">
        <v>57.57</v>
      </c>
      <c r="G3938" t="s">
        <v>19</v>
      </c>
      <c r="H3938" t="s">
        <v>15</v>
      </c>
      <c r="I3938">
        <v>4.2</v>
      </c>
      <c r="J3938">
        <v>28</v>
      </c>
      <c r="K3938">
        <v>9</v>
      </c>
      <c r="L3938" s="4">
        <v>79.958333333333343</v>
      </c>
      <c r="M3938" s="4">
        <v>22.388333333333343</v>
      </c>
      <c r="N3938" t="s">
        <v>95</v>
      </c>
    </row>
    <row r="3939" spans="1:14">
      <c r="A3939">
        <v>3938</v>
      </c>
      <c r="B3939">
        <v>67</v>
      </c>
      <c r="C3939" t="s">
        <v>16</v>
      </c>
      <c r="D3939" t="s">
        <v>20</v>
      </c>
      <c r="E3939" t="s">
        <v>21</v>
      </c>
      <c r="F3939">
        <v>177.81</v>
      </c>
      <c r="G3939" t="s">
        <v>31</v>
      </c>
      <c r="H3939" t="s">
        <v>15</v>
      </c>
      <c r="I3939">
        <v>4.4000000000000004</v>
      </c>
      <c r="J3939">
        <v>24</v>
      </c>
      <c r="K3939">
        <v>7</v>
      </c>
      <c r="L3939" s="4">
        <v>233.96052631578948</v>
      </c>
      <c r="M3939" s="4">
        <v>56.150526315789477</v>
      </c>
      <c r="N3939" t="s">
        <v>95</v>
      </c>
    </row>
    <row r="3940" spans="1:14">
      <c r="A3940">
        <v>3939</v>
      </c>
      <c r="B3940">
        <v>51</v>
      </c>
      <c r="C3940" t="s">
        <v>11</v>
      </c>
      <c r="D3940" t="s">
        <v>20</v>
      </c>
      <c r="E3940" t="s">
        <v>21</v>
      </c>
      <c r="F3940">
        <v>184.15</v>
      </c>
      <c r="G3940" t="s">
        <v>14</v>
      </c>
      <c r="H3940" t="s">
        <v>15</v>
      </c>
      <c r="I3940">
        <v>4.5</v>
      </c>
      <c r="J3940">
        <v>19</v>
      </c>
      <c r="K3940">
        <v>7</v>
      </c>
      <c r="L3940" s="4">
        <v>227.34567901234567</v>
      </c>
      <c r="M3940" s="4">
        <v>43.195679012345664</v>
      </c>
      <c r="N3940" t="s">
        <v>93</v>
      </c>
    </row>
    <row r="3941" spans="1:14">
      <c r="A3941">
        <v>3940</v>
      </c>
      <c r="B3941">
        <v>57</v>
      </c>
      <c r="C3941" t="s">
        <v>11</v>
      </c>
      <c r="D3941" t="s">
        <v>29</v>
      </c>
      <c r="E3941" t="s">
        <v>51</v>
      </c>
      <c r="F3941">
        <v>113.42</v>
      </c>
      <c r="G3941" t="s">
        <v>24</v>
      </c>
      <c r="H3941" t="s">
        <v>15</v>
      </c>
      <c r="I3941">
        <v>5</v>
      </c>
      <c r="J3941">
        <v>24</v>
      </c>
      <c r="K3941">
        <v>7</v>
      </c>
      <c r="L3941" s="4">
        <v>149.23684210526315</v>
      </c>
      <c r="M3941" s="4">
        <v>35.816842105263149</v>
      </c>
      <c r="N3941" t="s">
        <v>94</v>
      </c>
    </row>
    <row r="3942" spans="1:14">
      <c r="A3942">
        <v>3941</v>
      </c>
      <c r="B3942">
        <v>43</v>
      </c>
      <c r="C3942" t="s">
        <v>16</v>
      </c>
      <c r="D3942" t="s">
        <v>17</v>
      </c>
      <c r="E3942" t="s">
        <v>18</v>
      </c>
      <c r="F3942">
        <v>73.540000000000006</v>
      </c>
      <c r="G3942" t="s">
        <v>14</v>
      </c>
      <c r="H3942" t="s">
        <v>37</v>
      </c>
      <c r="I3942">
        <v>2.4</v>
      </c>
      <c r="J3942">
        <v>11</v>
      </c>
      <c r="K3942">
        <v>3</v>
      </c>
      <c r="L3942" s="4">
        <v>82.629213483146074</v>
      </c>
      <c r="M3942" s="4">
        <v>9.089213483146068</v>
      </c>
      <c r="N3942" t="s">
        <v>92</v>
      </c>
    </row>
    <row r="3943" spans="1:14">
      <c r="A3943">
        <v>3942</v>
      </c>
      <c r="B3943">
        <v>63</v>
      </c>
      <c r="C3943" t="s">
        <v>11</v>
      </c>
      <c r="D3943" t="s">
        <v>12</v>
      </c>
      <c r="E3943" t="s">
        <v>13</v>
      </c>
      <c r="F3943">
        <v>83.01</v>
      </c>
      <c r="G3943" t="s">
        <v>31</v>
      </c>
      <c r="H3943" t="s">
        <v>15</v>
      </c>
      <c r="I3943">
        <v>2.9</v>
      </c>
      <c r="J3943">
        <v>20</v>
      </c>
      <c r="K3943">
        <v>5</v>
      </c>
      <c r="L3943" s="4">
        <v>103.7625</v>
      </c>
      <c r="M3943" s="4">
        <v>20.752499999999998</v>
      </c>
      <c r="N3943" t="s">
        <v>94</v>
      </c>
    </row>
    <row r="3944" spans="1:14">
      <c r="A3944">
        <v>3943</v>
      </c>
      <c r="B3944">
        <v>42</v>
      </c>
      <c r="C3944" t="s">
        <v>11</v>
      </c>
      <c r="D3944" t="s">
        <v>12</v>
      </c>
      <c r="E3944" t="s">
        <v>56</v>
      </c>
      <c r="F3944">
        <v>136.71</v>
      </c>
      <c r="G3944" t="s">
        <v>24</v>
      </c>
      <c r="H3944" t="s">
        <v>15</v>
      </c>
      <c r="I3944">
        <v>2.2999999999999998</v>
      </c>
      <c r="J3944">
        <v>16</v>
      </c>
      <c r="K3944">
        <v>3</v>
      </c>
      <c r="L3944" s="4">
        <v>162.75000000000003</v>
      </c>
      <c r="M3944" s="4">
        <v>26.04000000000002</v>
      </c>
      <c r="N3944" t="s">
        <v>92</v>
      </c>
    </row>
    <row r="3945" spans="1:14">
      <c r="A3945">
        <v>3944</v>
      </c>
      <c r="B3945">
        <v>46</v>
      </c>
      <c r="C3945" t="s">
        <v>16</v>
      </c>
      <c r="D3945" t="s">
        <v>27</v>
      </c>
      <c r="E3945" t="s">
        <v>32</v>
      </c>
      <c r="F3945">
        <v>1464.71</v>
      </c>
      <c r="G3945" t="s">
        <v>14</v>
      </c>
      <c r="H3945" t="s">
        <v>15</v>
      </c>
      <c r="I3945">
        <v>2.2999999999999998</v>
      </c>
      <c r="J3945">
        <v>12</v>
      </c>
      <c r="K3945">
        <v>6</v>
      </c>
      <c r="L3945" s="4">
        <v>1664.4431818181818</v>
      </c>
      <c r="M3945" s="4">
        <v>199.73318181818172</v>
      </c>
      <c r="N3945" t="s">
        <v>93</v>
      </c>
    </row>
    <row r="3946" spans="1:14">
      <c r="A3946">
        <v>3945</v>
      </c>
      <c r="B3946">
        <v>69</v>
      </c>
      <c r="C3946" t="s">
        <v>16</v>
      </c>
      <c r="D3946" t="s">
        <v>17</v>
      </c>
      <c r="E3946" t="s">
        <v>48</v>
      </c>
      <c r="F3946">
        <v>173.52</v>
      </c>
      <c r="G3946" t="s">
        <v>31</v>
      </c>
      <c r="H3946" t="s">
        <v>15</v>
      </c>
      <c r="I3946">
        <v>3.2</v>
      </c>
      <c r="J3946">
        <v>10</v>
      </c>
      <c r="K3946">
        <v>5</v>
      </c>
      <c r="L3946" s="4">
        <v>192.8</v>
      </c>
      <c r="M3946" s="4">
        <v>19.28</v>
      </c>
      <c r="N3946" t="s">
        <v>95</v>
      </c>
    </row>
    <row r="3947" spans="1:14">
      <c r="A3947">
        <v>3946</v>
      </c>
      <c r="B3947">
        <v>49</v>
      </c>
      <c r="C3947" t="s">
        <v>16</v>
      </c>
      <c r="D3947" t="s">
        <v>27</v>
      </c>
      <c r="E3947" t="s">
        <v>53</v>
      </c>
      <c r="F3947">
        <v>1875.63</v>
      </c>
      <c r="G3947" t="s">
        <v>24</v>
      </c>
      <c r="H3947" t="s">
        <v>15</v>
      </c>
      <c r="I3947">
        <v>3.5</v>
      </c>
      <c r="J3947">
        <v>18</v>
      </c>
      <c r="K3947">
        <v>4</v>
      </c>
      <c r="L3947" s="4">
        <v>2287.3536585365855</v>
      </c>
      <c r="M3947" s="4">
        <v>411.72365853658539</v>
      </c>
      <c r="N3947" t="s">
        <v>93</v>
      </c>
    </row>
    <row r="3948" spans="1:14">
      <c r="A3948">
        <v>3947</v>
      </c>
      <c r="B3948">
        <v>36</v>
      </c>
      <c r="C3948" t="s">
        <v>11</v>
      </c>
      <c r="D3948" t="s">
        <v>29</v>
      </c>
      <c r="E3948" t="s">
        <v>55</v>
      </c>
      <c r="F3948">
        <v>149.27000000000001</v>
      </c>
      <c r="G3948" t="s">
        <v>24</v>
      </c>
      <c r="H3948" t="s">
        <v>15</v>
      </c>
      <c r="I3948">
        <v>3.2</v>
      </c>
      <c r="J3948">
        <v>6</v>
      </c>
      <c r="K3948">
        <v>3</v>
      </c>
      <c r="L3948" s="4">
        <v>158.79787234042556</v>
      </c>
      <c r="M3948" s="4">
        <v>9.5278723404255459</v>
      </c>
      <c r="N3948" t="s">
        <v>92</v>
      </c>
    </row>
    <row r="3949" spans="1:14">
      <c r="A3949">
        <v>3948</v>
      </c>
      <c r="B3949">
        <v>37</v>
      </c>
      <c r="C3949" t="s">
        <v>11</v>
      </c>
      <c r="D3949" t="s">
        <v>33</v>
      </c>
      <c r="E3949" t="s">
        <v>38</v>
      </c>
      <c r="F3949">
        <v>116.16</v>
      </c>
      <c r="G3949" t="s">
        <v>14</v>
      </c>
      <c r="H3949" t="s">
        <v>15</v>
      </c>
      <c r="I3949">
        <v>4.7</v>
      </c>
      <c r="J3949">
        <v>20</v>
      </c>
      <c r="K3949">
        <v>5</v>
      </c>
      <c r="L3949" s="4">
        <v>145.19999999999999</v>
      </c>
      <c r="M3949" s="4">
        <v>29.039999999999992</v>
      </c>
      <c r="N3949" t="s">
        <v>92</v>
      </c>
    </row>
    <row r="3950" spans="1:14">
      <c r="A3950">
        <v>3949</v>
      </c>
      <c r="B3950">
        <v>21</v>
      </c>
      <c r="C3950" t="s">
        <v>11</v>
      </c>
      <c r="D3950" t="s">
        <v>12</v>
      </c>
      <c r="E3950" t="s">
        <v>13</v>
      </c>
      <c r="F3950">
        <v>159.82</v>
      </c>
      <c r="G3950" t="s">
        <v>14</v>
      </c>
      <c r="H3950" t="s">
        <v>15</v>
      </c>
      <c r="I3950">
        <v>3.9</v>
      </c>
      <c r="J3950">
        <v>4</v>
      </c>
      <c r="K3950">
        <v>2</v>
      </c>
      <c r="L3950" s="4">
        <v>166.47916666666666</v>
      </c>
      <c r="M3950" s="4">
        <v>6.659166666666664</v>
      </c>
      <c r="N3950" t="s">
        <v>100</v>
      </c>
    </row>
    <row r="3951" spans="1:14">
      <c r="A3951">
        <v>3950</v>
      </c>
      <c r="B3951">
        <v>70</v>
      </c>
      <c r="C3951" t="s">
        <v>11</v>
      </c>
      <c r="D3951" t="s">
        <v>41</v>
      </c>
      <c r="E3951" t="s">
        <v>45</v>
      </c>
      <c r="F3951">
        <v>53.66</v>
      </c>
      <c r="G3951" t="s">
        <v>31</v>
      </c>
      <c r="H3951" t="s">
        <v>37</v>
      </c>
      <c r="I3951">
        <v>2.6</v>
      </c>
      <c r="J3951">
        <v>20</v>
      </c>
      <c r="K3951">
        <v>5</v>
      </c>
      <c r="L3951" s="4">
        <v>67.074999999999989</v>
      </c>
      <c r="M3951" s="4">
        <v>13.414999999999992</v>
      </c>
      <c r="N3951" t="s">
        <v>95</v>
      </c>
    </row>
    <row r="3952" spans="1:14">
      <c r="A3952">
        <v>3951</v>
      </c>
      <c r="B3952">
        <v>40</v>
      </c>
      <c r="C3952" t="s">
        <v>11</v>
      </c>
      <c r="D3952" t="s">
        <v>41</v>
      </c>
      <c r="E3952" t="s">
        <v>44</v>
      </c>
      <c r="F3952">
        <v>180.23</v>
      </c>
      <c r="G3952" t="s">
        <v>19</v>
      </c>
      <c r="H3952" t="s">
        <v>15</v>
      </c>
      <c r="I3952">
        <v>3.8</v>
      </c>
      <c r="J3952">
        <v>13</v>
      </c>
      <c r="K3952">
        <v>4</v>
      </c>
      <c r="L3952" s="4">
        <v>207.16091954022988</v>
      </c>
      <c r="M3952" s="4">
        <v>26.930919540229894</v>
      </c>
      <c r="N3952" t="s">
        <v>92</v>
      </c>
    </row>
    <row r="3953" spans="1:14">
      <c r="A3953">
        <v>3952</v>
      </c>
      <c r="B3953">
        <v>65</v>
      </c>
      <c r="C3953" t="s">
        <v>16</v>
      </c>
      <c r="D3953" t="s">
        <v>20</v>
      </c>
      <c r="E3953" t="s">
        <v>39</v>
      </c>
      <c r="F3953">
        <v>177.72</v>
      </c>
      <c r="G3953" t="s">
        <v>24</v>
      </c>
      <c r="H3953" t="s">
        <v>15</v>
      </c>
      <c r="I3953">
        <v>3.6</v>
      </c>
      <c r="J3953">
        <v>21</v>
      </c>
      <c r="K3953">
        <v>8</v>
      </c>
      <c r="L3953" s="4">
        <v>224.96202531645568</v>
      </c>
      <c r="M3953" s="4">
        <v>47.242025316455681</v>
      </c>
      <c r="N3953" t="s">
        <v>95</v>
      </c>
    </row>
    <row r="3954" spans="1:14">
      <c r="A3954">
        <v>3953</v>
      </c>
      <c r="B3954">
        <v>65</v>
      </c>
      <c r="C3954" t="s">
        <v>16</v>
      </c>
      <c r="D3954" t="s">
        <v>27</v>
      </c>
      <c r="E3954" t="s">
        <v>32</v>
      </c>
      <c r="F3954">
        <v>2849.33</v>
      </c>
      <c r="G3954" t="s">
        <v>19</v>
      </c>
      <c r="H3954" t="s">
        <v>15</v>
      </c>
      <c r="I3954">
        <v>4.5999999999999996</v>
      </c>
      <c r="J3954">
        <v>18</v>
      </c>
      <c r="K3954">
        <v>4</v>
      </c>
      <c r="L3954" s="4">
        <v>3474.792682926829</v>
      </c>
      <c r="M3954" s="4">
        <v>625.46268292682907</v>
      </c>
      <c r="N3954" t="s">
        <v>95</v>
      </c>
    </row>
    <row r="3955" spans="1:14">
      <c r="A3955">
        <v>3954</v>
      </c>
      <c r="B3955">
        <v>34</v>
      </c>
      <c r="C3955" t="s">
        <v>16</v>
      </c>
      <c r="D3955" t="s">
        <v>25</v>
      </c>
      <c r="E3955" t="s">
        <v>57</v>
      </c>
      <c r="F3955">
        <v>5.92</v>
      </c>
      <c r="G3955" t="s">
        <v>19</v>
      </c>
      <c r="H3955" t="s">
        <v>15</v>
      </c>
      <c r="I3955">
        <v>4.2</v>
      </c>
      <c r="J3955">
        <v>15</v>
      </c>
      <c r="K3955">
        <v>5</v>
      </c>
      <c r="L3955" s="4">
        <v>6.9647058823529413</v>
      </c>
      <c r="M3955" s="4">
        <v>1.0447058823529414</v>
      </c>
      <c r="N3955" t="s">
        <v>91</v>
      </c>
    </row>
    <row r="3956" spans="1:14">
      <c r="A3956">
        <v>3955</v>
      </c>
      <c r="B3956">
        <v>37</v>
      </c>
      <c r="C3956" t="s">
        <v>16</v>
      </c>
      <c r="D3956" t="s">
        <v>20</v>
      </c>
      <c r="E3956" t="s">
        <v>21</v>
      </c>
      <c r="F3956">
        <v>120</v>
      </c>
      <c r="G3956" t="s">
        <v>19</v>
      </c>
      <c r="H3956" t="s">
        <v>15</v>
      </c>
      <c r="I3956">
        <v>2.8</v>
      </c>
      <c r="J3956">
        <v>15</v>
      </c>
      <c r="K3956">
        <v>5</v>
      </c>
      <c r="L3956" s="4">
        <v>141.1764705882353</v>
      </c>
      <c r="M3956" s="4">
        <v>21.176470588235304</v>
      </c>
      <c r="N3956" t="s">
        <v>92</v>
      </c>
    </row>
    <row r="3957" spans="1:14">
      <c r="A3957">
        <v>3956</v>
      </c>
      <c r="B3957">
        <v>35</v>
      </c>
      <c r="C3957" t="s">
        <v>16</v>
      </c>
      <c r="D3957" t="s">
        <v>33</v>
      </c>
      <c r="E3957" t="s">
        <v>34</v>
      </c>
      <c r="F3957">
        <v>151.72999999999999</v>
      </c>
      <c r="G3957" t="s">
        <v>31</v>
      </c>
      <c r="H3957" t="s">
        <v>15</v>
      </c>
      <c r="I3957">
        <v>3.3</v>
      </c>
      <c r="J3957">
        <v>8</v>
      </c>
      <c r="K3957">
        <v>4</v>
      </c>
      <c r="L3957" s="4">
        <v>164.92391304347825</v>
      </c>
      <c r="M3957" s="4">
        <v>13.193913043478261</v>
      </c>
      <c r="N3957" t="s">
        <v>92</v>
      </c>
    </row>
    <row r="3958" spans="1:14">
      <c r="A3958">
        <v>3957</v>
      </c>
      <c r="B3958">
        <v>66</v>
      </c>
      <c r="C3958" t="s">
        <v>16</v>
      </c>
      <c r="D3958" t="s">
        <v>17</v>
      </c>
      <c r="E3958" t="s">
        <v>35</v>
      </c>
      <c r="F3958">
        <v>188.31</v>
      </c>
      <c r="G3958" t="s">
        <v>24</v>
      </c>
      <c r="H3958" t="s">
        <v>15</v>
      </c>
      <c r="I3958">
        <v>5</v>
      </c>
      <c r="J3958">
        <v>6</v>
      </c>
      <c r="K3958">
        <v>3</v>
      </c>
      <c r="L3958" s="4">
        <v>200.32978723404256</v>
      </c>
      <c r="M3958" s="4">
        <v>12.019787234042553</v>
      </c>
      <c r="N3958" t="s">
        <v>95</v>
      </c>
    </row>
    <row r="3959" spans="1:14">
      <c r="A3959">
        <v>3958</v>
      </c>
      <c r="B3959">
        <v>63</v>
      </c>
      <c r="C3959" t="s">
        <v>11</v>
      </c>
      <c r="D3959" t="s">
        <v>22</v>
      </c>
      <c r="E3959" t="s">
        <v>52</v>
      </c>
      <c r="F3959">
        <v>96.14</v>
      </c>
      <c r="G3959" t="s">
        <v>19</v>
      </c>
      <c r="H3959" t="s">
        <v>37</v>
      </c>
      <c r="I3959">
        <v>4.9000000000000004</v>
      </c>
      <c r="J3959">
        <v>24</v>
      </c>
      <c r="K3959">
        <v>7</v>
      </c>
      <c r="L3959" s="4">
        <v>126.5</v>
      </c>
      <c r="M3959" s="4">
        <v>30.36</v>
      </c>
      <c r="N3959" t="s">
        <v>94</v>
      </c>
    </row>
    <row r="3960" spans="1:14">
      <c r="A3960">
        <v>3959</v>
      </c>
      <c r="B3960">
        <v>68</v>
      </c>
      <c r="C3960" t="s">
        <v>11</v>
      </c>
      <c r="D3960" t="s">
        <v>20</v>
      </c>
      <c r="E3960" t="s">
        <v>39</v>
      </c>
      <c r="F3960">
        <v>57.13</v>
      </c>
      <c r="G3960" t="s">
        <v>14</v>
      </c>
      <c r="H3960" t="s">
        <v>37</v>
      </c>
      <c r="I3960">
        <v>3.9</v>
      </c>
      <c r="J3960">
        <v>18</v>
      </c>
      <c r="K3960">
        <v>9</v>
      </c>
      <c r="L3960" s="4">
        <v>69.670731707317074</v>
      </c>
      <c r="M3960" s="4">
        <v>12.540731707317072</v>
      </c>
      <c r="N3960" t="s">
        <v>95</v>
      </c>
    </row>
    <row r="3961" spans="1:14">
      <c r="A3961">
        <v>3960</v>
      </c>
      <c r="B3961">
        <v>58</v>
      </c>
      <c r="C3961" t="s">
        <v>16</v>
      </c>
      <c r="D3961" t="s">
        <v>22</v>
      </c>
      <c r="E3961" t="s">
        <v>52</v>
      </c>
      <c r="F3961">
        <v>53.9</v>
      </c>
      <c r="G3961" t="s">
        <v>24</v>
      </c>
      <c r="H3961" t="s">
        <v>37</v>
      </c>
      <c r="I3961">
        <v>4.4000000000000004</v>
      </c>
      <c r="J3961">
        <v>24</v>
      </c>
      <c r="K3961">
        <v>7</v>
      </c>
      <c r="L3961" s="4">
        <v>70.921052631578945</v>
      </c>
      <c r="M3961" s="4">
        <v>17.021052631578947</v>
      </c>
      <c r="N3961" t="s">
        <v>94</v>
      </c>
    </row>
    <row r="3962" spans="1:14">
      <c r="A3962">
        <v>3961</v>
      </c>
      <c r="B3962">
        <v>48</v>
      </c>
      <c r="C3962" t="s">
        <v>11</v>
      </c>
      <c r="D3962" t="s">
        <v>41</v>
      </c>
      <c r="E3962" t="s">
        <v>46</v>
      </c>
      <c r="F3962">
        <v>108.03</v>
      </c>
      <c r="G3962" t="s">
        <v>19</v>
      </c>
      <c r="H3962" t="s">
        <v>15</v>
      </c>
      <c r="I3962">
        <v>2.9</v>
      </c>
      <c r="J3962">
        <v>13</v>
      </c>
      <c r="K3962">
        <v>4</v>
      </c>
      <c r="L3962" s="4">
        <v>124.17241379310344</v>
      </c>
      <c r="M3962" s="4">
        <v>16.142413793103444</v>
      </c>
      <c r="N3962" t="s">
        <v>93</v>
      </c>
    </row>
    <row r="3963" spans="1:14">
      <c r="A3963">
        <v>3962</v>
      </c>
      <c r="B3963">
        <v>33</v>
      </c>
      <c r="C3963" t="s">
        <v>11</v>
      </c>
      <c r="D3963" t="s">
        <v>12</v>
      </c>
      <c r="E3963" t="s">
        <v>13</v>
      </c>
      <c r="F3963">
        <v>37.950000000000003</v>
      </c>
      <c r="G3963" t="s">
        <v>24</v>
      </c>
      <c r="H3963" t="s">
        <v>37</v>
      </c>
      <c r="I3963">
        <v>4.5</v>
      </c>
      <c r="J3963">
        <v>14</v>
      </c>
      <c r="K3963">
        <v>7</v>
      </c>
      <c r="L3963" s="4">
        <v>44.127906976744192</v>
      </c>
      <c r="M3963" s="4">
        <v>6.1779069767441896</v>
      </c>
      <c r="N3963" t="s">
        <v>91</v>
      </c>
    </row>
    <row r="3964" spans="1:14">
      <c r="A3964">
        <v>3963</v>
      </c>
      <c r="B3964">
        <v>61</v>
      </c>
      <c r="C3964" t="s">
        <v>16</v>
      </c>
      <c r="D3964" t="s">
        <v>20</v>
      </c>
      <c r="E3964" t="s">
        <v>39</v>
      </c>
      <c r="F3964">
        <v>105.24</v>
      </c>
      <c r="G3964" t="s">
        <v>31</v>
      </c>
      <c r="H3964" t="s">
        <v>15</v>
      </c>
      <c r="I3964">
        <v>4.5999999999999996</v>
      </c>
      <c r="J3964">
        <v>12</v>
      </c>
      <c r="K3964">
        <v>6</v>
      </c>
      <c r="L3964" s="4">
        <v>119.59090909090908</v>
      </c>
      <c r="M3964" s="4">
        <v>14.350909090909084</v>
      </c>
      <c r="N3964" t="s">
        <v>94</v>
      </c>
    </row>
    <row r="3965" spans="1:14">
      <c r="A3965">
        <v>3964</v>
      </c>
      <c r="B3965">
        <v>39</v>
      </c>
      <c r="C3965" t="s">
        <v>16</v>
      </c>
      <c r="D3965" t="s">
        <v>27</v>
      </c>
      <c r="E3965" t="s">
        <v>49</v>
      </c>
      <c r="F3965">
        <v>1041.0999999999999</v>
      </c>
      <c r="G3965" t="s">
        <v>24</v>
      </c>
      <c r="H3965" t="s">
        <v>15</v>
      </c>
      <c r="I3965">
        <v>3.4</v>
      </c>
      <c r="J3965">
        <v>19</v>
      </c>
      <c r="K3965">
        <v>7</v>
      </c>
      <c r="L3965" s="4">
        <v>1285.3086419753085</v>
      </c>
      <c r="M3965" s="4">
        <v>244.20864197530864</v>
      </c>
      <c r="N3965" t="s">
        <v>92</v>
      </c>
    </row>
    <row r="3966" spans="1:14">
      <c r="A3966">
        <v>3965</v>
      </c>
      <c r="B3966">
        <v>41</v>
      </c>
      <c r="C3966" t="s">
        <v>16</v>
      </c>
      <c r="D3966" t="s">
        <v>20</v>
      </c>
      <c r="E3966" t="s">
        <v>39</v>
      </c>
      <c r="F3966">
        <v>171.63</v>
      </c>
      <c r="G3966" t="s">
        <v>24</v>
      </c>
      <c r="H3966" t="s">
        <v>15</v>
      </c>
      <c r="I3966">
        <v>4.4000000000000004</v>
      </c>
      <c r="J3966">
        <v>16</v>
      </c>
      <c r="K3966">
        <v>3</v>
      </c>
      <c r="L3966" s="4">
        <v>204.32142857142858</v>
      </c>
      <c r="M3966" s="4">
        <v>32.691428571428588</v>
      </c>
      <c r="N3966" t="s">
        <v>92</v>
      </c>
    </row>
    <row r="3967" spans="1:14">
      <c r="A3967">
        <v>3966</v>
      </c>
      <c r="B3967">
        <v>60</v>
      </c>
      <c r="C3967" t="s">
        <v>11</v>
      </c>
      <c r="D3967" t="s">
        <v>33</v>
      </c>
      <c r="E3967" t="s">
        <v>40</v>
      </c>
      <c r="F3967">
        <v>234.84</v>
      </c>
      <c r="G3967" t="s">
        <v>31</v>
      </c>
      <c r="H3967" t="s">
        <v>15</v>
      </c>
      <c r="I3967">
        <v>5</v>
      </c>
      <c r="J3967">
        <v>29</v>
      </c>
      <c r="K3967">
        <v>12</v>
      </c>
      <c r="L3967" s="4">
        <v>330.76056338028172</v>
      </c>
      <c r="M3967" s="4">
        <v>95.92056338028172</v>
      </c>
      <c r="N3967" t="s">
        <v>94</v>
      </c>
    </row>
    <row r="3968" spans="1:14">
      <c r="A3968">
        <v>3967</v>
      </c>
      <c r="B3968">
        <v>38</v>
      </c>
      <c r="C3968" t="s">
        <v>11</v>
      </c>
      <c r="D3968" t="s">
        <v>33</v>
      </c>
      <c r="E3968" t="s">
        <v>38</v>
      </c>
      <c r="F3968">
        <v>68.16</v>
      </c>
      <c r="G3968" t="s">
        <v>24</v>
      </c>
      <c r="H3968" t="s">
        <v>15</v>
      </c>
      <c r="I3968">
        <v>4.3</v>
      </c>
      <c r="J3968">
        <v>22</v>
      </c>
      <c r="K3968">
        <v>6</v>
      </c>
      <c r="L3968" s="4">
        <v>87.384615384615373</v>
      </c>
      <c r="M3968" s="4">
        <v>19.224615384615376</v>
      </c>
      <c r="N3968" t="s">
        <v>92</v>
      </c>
    </row>
    <row r="3969" spans="1:14">
      <c r="A3969">
        <v>3968</v>
      </c>
      <c r="B3969">
        <v>21</v>
      </c>
      <c r="C3969" t="s">
        <v>16</v>
      </c>
      <c r="D3969" t="s">
        <v>33</v>
      </c>
      <c r="E3969" t="s">
        <v>34</v>
      </c>
      <c r="F3969">
        <v>245.4</v>
      </c>
      <c r="G3969" t="s">
        <v>24</v>
      </c>
      <c r="H3969" t="s">
        <v>15</v>
      </c>
      <c r="I3969">
        <v>3.9</v>
      </c>
      <c r="J3969">
        <v>4</v>
      </c>
      <c r="K3969">
        <v>2</v>
      </c>
      <c r="L3969" s="4">
        <v>255.62500000000003</v>
      </c>
      <c r="M3969" s="4">
        <v>10.225000000000023</v>
      </c>
      <c r="N3969" t="s">
        <v>100</v>
      </c>
    </row>
    <row r="3970" spans="1:14">
      <c r="A3970">
        <v>3969</v>
      </c>
      <c r="B3970">
        <v>56</v>
      </c>
      <c r="C3970" t="s">
        <v>11</v>
      </c>
      <c r="D3970" t="s">
        <v>29</v>
      </c>
      <c r="E3970" t="s">
        <v>30</v>
      </c>
      <c r="F3970">
        <v>79.16</v>
      </c>
      <c r="G3970" t="s">
        <v>24</v>
      </c>
      <c r="H3970" t="s">
        <v>37</v>
      </c>
      <c r="I3970">
        <v>3</v>
      </c>
      <c r="J3970">
        <v>9</v>
      </c>
      <c r="K3970">
        <v>2</v>
      </c>
      <c r="L3970" s="4">
        <v>86.989010989010978</v>
      </c>
      <c r="M3970" s="4">
        <v>7.8290109890109818</v>
      </c>
      <c r="N3970" t="s">
        <v>94</v>
      </c>
    </row>
    <row r="3971" spans="1:14">
      <c r="A3971">
        <v>3970</v>
      </c>
      <c r="B3971">
        <v>51</v>
      </c>
      <c r="C3971" t="s">
        <v>11</v>
      </c>
      <c r="D3971" t="s">
        <v>33</v>
      </c>
      <c r="E3971" t="s">
        <v>38</v>
      </c>
      <c r="F3971">
        <v>88.4</v>
      </c>
      <c r="G3971" t="s">
        <v>14</v>
      </c>
      <c r="H3971" t="s">
        <v>37</v>
      </c>
      <c r="I3971">
        <v>4</v>
      </c>
      <c r="J3971">
        <v>6</v>
      </c>
      <c r="K3971">
        <v>3</v>
      </c>
      <c r="L3971" s="4">
        <v>94.042553191489375</v>
      </c>
      <c r="M3971" s="4">
        <v>5.6425531914893696</v>
      </c>
      <c r="N3971" t="s">
        <v>93</v>
      </c>
    </row>
    <row r="3972" spans="1:14">
      <c r="A3972">
        <v>3971</v>
      </c>
      <c r="B3972">
        <v>27</v>
      </c>
      <c r="C3972" t="s">
        <v>11</v>
      </c>
      <c r="D3972" t="s">
        <v>22</v>
      </c>
      <c r="E3972" t="s">
        <v>23</v>
      </c>
      <c r="F3972">
        <v>271.83999999999997</v>
      </c>
      <c r="G3972" t="s">
        <v>19</v>
      </c>
      <c r="H3972" t="s">
        <v>15</v>
      </c>
      <c r="I3972">
        <v>3.5</v>
      </c>
      <c r="J3972">
        <v>12</v>
      </c>
      <c r="K3972">
        <v>6</v>
      </c>
      <c r="L3972" s="4">
        <v>308.90909090909088</v>
      </c>
      <c r="M3972" s="4">
        <v>37.069090909090903</v>
      </c>
      <c r="N3972" t="s">
        <v>91</v>
      </c>
    </row>
    <row r="3973" spans="1:14">
      <c r="A3973">
        <v>3972</v>
      </c>
      <c r="B3973">
        <v>68</v>
      </c>
      <c r="C3973" t="s">
        <v>11</v>
      </c>
      <c r="D3973" t="s">
        <v>12</v>
      </c>
      <c r="E3973" t="s">
        <v>13</v>
      </c>
      <c r="F3973">
        <v>119.54</v>
      </c>
      <c r="G3973" t="s">
        <v>24</v>
      </c>
      <c r="H3973" t="s">
        <v>15</v>
      </c>
      <c r="I3973">
        <v>3.8</v>
      </c>
      <c r="J3973">
        <v>4</v>
      </c>
      <c r="K3973">
        <v>2</v>
      </c>
      <c r="L3973" s="4">
        <v>124.52083333333334</v>
      </c>
      <c r="M3973" s="4">
        <v>4.9808333333333366</v>
      </c>
      <c r="N3973" t="s">
        <v>95</v>
      </c>
    </row>
    <row r="3974" spans="1:14">
      <c r="A3974">
        <v>3973</v>
      </c>
      <c r="B3974">
        <v>20</v>
      </c>
      <c r="C3974" t="s">
        <v>16</v>
      </c>
      <c r="D3974" t="s">
        <v>33</v>
      </c>
      <c r="E3974" t="s">
        <v>40</v>
      </c>
      <c r="F3974">
        <v>99.98</v>
      </c>
      <c r="G3974" t="s">
        <v>14</v>
      </c>
      <c r="H3974" t="s">
        <v>37</v>
      </c>
      <c r="I3974">
        <v>4.3</v>
      </c>
      <c r="J3974">
        <v>4</v>
      </c>
      <c r="K3974">
        <v>2</v>
      </c>
      <c r="L3974" s="4">
        <v>104.14583333333334</v>
      </c>
      <c r="M3974" s="4">
        <v>4.1658333333333388</v>
      </c>
      <c r="N3974" t="s">
        <v>100</v>
      </c>
    </row>
    <row r="3975" spans="1:14">
      <c r="A3975">
        <v>3974</v>
      </c>
      <c r="B3975">
        <v>51</v>
      </c>
      <c r="C3975" t="s">
        <v>11</v>
      </c>
      <c r="D3975" t="s">
        <v>29</v>
      </c>
      <c r="E3975" t="s">
        <v>30</v>
      </c>
      <c r="F3975">
        <v>98.45</v>
      </c>
      <c r="G3975" t="s">
        <v>24</v>
      </c>
      <c r="H3975" t="s">
        <v>37</v>
      </c>
      <c r="I3975">
        <v>4</v>
      </c>
      <c r="J3975">
        <v>20</v>
      </c>
      <c r="K3975">
        <v>5</v>
      </c>
      <c r="L3975" s="4">
        <v>123.0625</v>
      </c>
      <c r="M3975" s="4">
        <v>24.612499999999997</v>
      </c>
      <c r="N3975" t="s">
        <v>93</v>
      </c>
    </row>
    <row r="3976" spans="1:14">
      <c r="A3976">
        <v>3975</v>
      </c>
      <c r="B3976">
        <v>52</v>
      </c>
      <c r="C3976" t="s">
        <v>16</v>
      </c>
      <c r="D3976" t="s">
        <v>33</v>
      </c>
      <c r="E3976" t="s">
        <v>34</v>
      </c>
      <c r="F3976">
        <v>152.72</v>
      </c>
      <c r="G3976" t="s">
        <v>14</v>
      </c>
      <c r="H3976" t="s">
        <v>15</v>
      </c>
      <c r="I3976">
        <v>3.6</v>
      </c>
      <c r="J3976">
        <v>19</v>
      </c>
      <c r="K3976">
        <v>7</v>
      </c>
      <c r="L3976" s="4">
        <v>188.54320987654319</v>
      </c>
      <c r="M3976" s="4">
        <v>35.823209876543189</v>
      </c>
      <c r="N3976" t="s">
        <v>93</v>
      </c>
    </row>
    <row r="3977" spans="1:14">
      <c r="A3977">
        <v>3976</v>
      </c>
      <c r="B3977">
        <v>36</v>
      </c>
      <c r="C3977" t="s">
        <v>16</v>
      </c>
      <c r="D3977" t="s">
        <v>33</v>
      </c>
      <c r="E3977" t="s">
        <v>38</v>
      </c>
      <c r="F3977">
        <v>149.22999999999999</v>
      </c>
      <c r="G3977" t="s">
        <v>24</v>
      </c>
      <c r="H3977" t="s">
        <v>15</v>
      </c>
      <c r="I3977">
        <v>4.2</v>
      </c>
      <c r="J3977">
        <v>13</v>
      </c>
      <c r="K3977">
        <v>4</v>
      </c>
      <c r="L3977" s="4">
        <v>171.5287356321839</v>
      </c>
      <c r="M3977" s="4">
        <v>22.298735632183906</v>
      </c>
      <c r="N3977" t="s">
        <v>92</v>
      </c>
    </row>
    <row r="3978" spans="1:14">
      <c r="A3978">
        <v>3977</v>
      </c>
      <c r="B3978">
        <v>57</v>
      </c>
      <c r="C3978" t="s">
        <v>11</v>
      </c>
      <c r="D3978" t="s">
        <v>33</v>
      </c>
      <c r="E3978" t="s">
        <v>34</v>
      </c>
      <c r="F3978">
        <v>222.63</v>
      </c>
      <c r="G3978" t="s">
        <v>14</v>
      </c>
      <c r="H3978" t="s">
        <v>15</v>
      </c>
      <c r="I3978">
        <v>3.9</v>
      </c>
      <c r="J3978">
        <v>14</v>
      </c>
      <c r="K3978">
        <v>2</v>
      </c>
      <c r="L3978" s="4">
        <v>258.87209302325579</v>
      </c>
      <c r="M3978" s="4">
        <v>36.242093023255791</v>
      </c>
      <c r="N3978" t="s">
        <v>94</v>
      </c>
    </row>
    <row r="3979" spans="1:14">
      <c r="A3979">
        <v>3978</v>
      </c>
      <c r="B3979">
        <v>60</v>
      </c>
      <c r="C3979" t="s">
        <v>11</v>
      </c>
      <c r="D3979" t="s">
        <v>33</v>
      </c>
      <c r="E3979" t="s">
        <v>40</v>
      </c>
      <c r="F3979">
        <v>180.72</v>
      </c>
      <c r="G3979" t="s">
        <v>31</v>
      </c>
      <c r="H3979" t="s">
        <v>15</v>
      </c>
      <c r="I3979">
        <v>3.7</v>
      </c>
      <c r="J3979">
        <v>4</v>
      </c>
      <c r="K3979">
        <v>2</v>
      </c>
      <c r="L3979" s="4">
        <v>188.25</v>
      </c>
      <c r="M3979" s="4">
        <v>7.5300000000000011</v>
      </c>
      <c r="N3979" t="s">
        <v>94</v>
      </c>
    </row>
    <row r="3980" spans="1:14">
      <c r="A3980">
        <v>3979</v>
      </c>
      <c r="B3980">
        <v>61</v>
      </c>
      <c r="C3980" t="s">
        <v>16</v>
      </c>
      <c r="D3980" t="s">
        <v>33</v>
      </c>
      <c r="E3980" t="s">
        <v>38</v>
      </c>
      <c r="F3980">
        <v>223.63</v>
      </c>
      <c r="G3980" t="s">
        <v>19</v>
      </c>
      <c r="H3980" t="s">
        <v>15</v>
      </c>
      <c r="I3980">
        <v>2.4</v>
      </c>
      <c r="J3980">
        <v>10</v>
      </c>
      <c r="K3980">
        <v>5</v>
      </c>
      <c r="L3980" s="4">
        <v>248.47777777777776</v>
      </c>
      <c r="M3980" s="4">
        <v>24.847777777777765</v>
      </c>
      <c r="N3980" t="s">
        <v>94</v>
      </c>
    </row>
    <row r="3981" spans="1:14">
      <c r="A3981">
        <v>3980</v>
      </c>
      <c r="B3981">
        <v>43</v>
      </c>
      <c r="C3981" t="s">
        <v>16</v>
      </c>
      <c r="D3981" t="s">
        <v>27</v>
      </c>
      <c r="E3981" t="s">
        <v>28</v>
      </c>
      <c r="F3981">
        <v>2843.54</v>
      </c>
      <c r="G3981" t="s">
        <v>14</v>
      </c>
      <c r="H3981" t="s">
        <v>15</v>
      </c>
      <c r="I3981">
        <v>4.7</v>
      </c>
      <c r="J3981">
        <v>12</v>
      </c>
      <c r="K3981">
        <v>6</v>
      </c>
      <c r="L3981" s="4">
        <v>3231.2954545454545</v>
      </c>
      <c r="M3981" s="4">
        <v>387.75545454545454</v>
      </c>
      <c r="N3981" t="s">
        <v>92</v>
      </c>
    </row>
    <row r="3982" spans="1:14">
      <c r="A3982">
        <v>3981</v>
      </c>
      <c r="B3982">
        <v>21</v>
      </c>
      <c r="C3982" t="s">
        <v>16</v>
      </c>
      <c r="D3982" t="s">
        <v>20</v>
      </c>
      <c r="E3982" t="s">
        <v>21</v>
      </c>
      <c r="F3982">
        <v>84.88</v>
      </c>
      <c r="G3982" t="s">
        <v>14</v>
      </c>
      <c r="H3982" t="s">
        <v>37</v>
      </c>
      <c r="I3982">
        <v>3.5</v>
      </c>
      <c r="J3982">
        <v>12</v>
      </c>
      <c r="K3982">
        <v>6</v>
      </c>
      <c r="L3982" s="4">
        <v>96.454545454545453</v>
      </c>
      <c r="M3982" s="4">
        <v>11.574545454545458</v>
      </c>
      <c r="N3982" t="s">
        <v>100</v>
      </c>
    </row>
    <row r="3983" spans="1:14">
      <c r="A3983">
        <v>3982</v>
      </c>
      <c r="B3983">
        <v>31</v>
      </c>
      <c r="C3983" t="s">
        <v>16</v>
      </c>
      <c r="D3983" t="s">
        <v>27</v>
      </c>
      <c r="E3983" t="s">
        <v>28</v>
      </c>
      <c r="F3983">
        <v>2371.4899999999998</v>
      </c>
      <c r="G3983" t="s">
        <v>24</v>
      </c>
      <c r="H3983" t="s">
        <v>15</v>
      </c>
      <c r="I3983">
        <v>4.5</v>
      </c>
      <c r="J3983">
        <v>8</v>
      </c>
      <c r="K3983">
        <v>4</v>
      </c>
      <c r="L3983" s="4">
        <v>2577.70652173913</v>
      </c>
      <c r="M3983" s="4">
        <v>206.21652173913026</v>
      </c>
      <c r="N3983" t="s">
        <v>91</v>
      </c>
    </row>
    <row r="3984" spans="1:14">
      <c r="A3984">
        <v>3983</v>
      </c>
      <c r="B3984">
        <v>62</v>
      </c>
      <c r="C3984" t="s">
        <v>16</v>
      </c>
      <c r="D3984" t="s">
        <v>20</v>
      </c>
      <c r="E3984" t="s">
        <v>39</v>
      </c>
      <c r="F3984">
        <v>150.02000000000001</v>
      </c>
      <c r="G3984" t="s">
        <v>14</v>
      </c>
      <c r="H3984" t="s">
        <v>15</v>
      </c>
      <c r="I3984">
        <v>3.8</v>
      </c>
      <c r="J3984">
        <v>20</v>
      </c>
      <c r="K3984">
        <v>10</v>
      </c>
      <c r="L3984" s="4">
        <v>187.52500000000001</v>
      </c>
      <c r="M3984" s="4">
        <v>37.504999999999995</v>
      </c>
      <c r="N3984" t="s">
        <v>94</v>
      </c>
    </row>
    <row r="3985" spans="1:14">
      <c r="A3985">
        <v>3984</v>
      </c>
      <c r="B3985">
        <v>63</v>
      </c>
      <c r="C3985" t="s">
        <v>16</v>
      </c>
      <c r="D3985" t="s">
        <v>17</v>
      </c>
      <c r="E3985" t="s">
        <v>42</v>
      </c>
      <c r="F3985">
        <v>136.77000000000001</v>
      </c>
      <c r="G3985" t="s">
        <v>24</v>
      </c>
      <c r="H3985" t="s">
        <v>15</v>
      </c>
      <c r="I3985">
        <v>4.5</v>
      </c>
      <c r="J3985">
        <v>14</v>
      </c>
      <c r="K3985">
        <v>2</v>
      </c>
      <c r="L3985" s="4">
        <v>159.03488372093025</v>
      </c>
      <c r="M3985" s="4">
        <v>22.264883720930243</v>
      </c>
      <c r="N3985" t="s">
        <v>94</v>
      </c>
    </row>
    <row r="3986" spans="1:14">
      <c r="A3986">
        <v>3985</v>
      </c>
      <c r="B3986">
        <v>66</v>
      </c>
      <c r="C3986" t="s">
        <v>16</v>
      </c>
      <c r="D3986" t="s">
        <v>27</v>
      </c>
      <c r="E3986" t="s">
        <v>32</v>
      </c>
      <c r="F3986">
        <v>2709.03</v>
      </c>
      <c r="G3986" t="s">
        <v>31</v>
      </c>
      <c r="H3986" t="s">
        <v>15</v>
      </c>
      <c r="I3986">
        <v>2</v>
      </c>
      <c r="J3986">
        <v>20</v>
      </c>
      <c r="K3986">
        <v>10</v>
      </c>
      <c r="L3986" s="4">
        <v>3386.2874999999999</v>
      </c>
      <c r="M3986" s="4">
        <v>677.25749999999971</v>
      </c>
      <c r="N3986" t="s">
        <v>95</v>
      </c>
    </row>
    <row r="3987" spans="1:14">
      <c r="A3987">
        <v>3986</v>
      </c>
      <c r="B3987">
        <v>31</v>
      </c>
      <c r="C3987" t="s">
        <v>11</v>
      </c>
      <c r="D3987" t="s">
        <v>41</v>
      </c>
      <c r="E3987" t="s">
        <v>44</v>
      </c>
      <c r="F3987">
        <v>147.94999999999999</v>
      </c>
      <c r="G3987" t="s">
        <v>19</v>
      </c>
      <c r="H3987" t="s">
        <v>15</v>
      </c>
      <c r="I3987">
        <v>3.5</v>
      </c>
      <c r="J3987">
        <v>17</v>
      </c>
      <c r="K3987">
        <v>6</v>
      </c>
      <c r="L3987" s="4">
        <v>178.25301204819277</v>
      </c>
      <c r="M3987" s="4">
        <v>30.303012048192784</v>
      </c>
      <c r="N3987" t="s">
        <v>91</v>
      </c>
    </row>
    <row r="3988" spans="1:14">
      <c r="A3988">
        <v>3987</v>
      </c>
      <c r="B3988">
        <v>42</v>
      </c>
      <c r="C3988" t="s">
        <v>16</v>
      </c>
      <c r="D3988" t="s">
        <v>20</v>
      </c>
      <c r="E3988" t="s">
        <v>21</v>
      </c>
      <c r="F3988">
        <v>114.5</v>
      </c>
      <c r="G3988" t="s">
        <v>19</v>
      </c>
      <c r="H3988" t="s">
        <v>15</v>
      </c>
      <c r="I3988">
        <v>2.8</v>
      </c>
      <c r="J3988">
        <v>14</v>
      </c>
      <c r="K3988">
        <v>2</v>
      </c>
      <c r="L3988" s="4">
        <v>133.13953488372093</v>
      </c>
      <c r="M3988" s="4">
        <v>18.639534883720927</v>
      </c>
      <c r="N3988" t="s">
        <v>92</v>
      </c>
    </row>
    <row r="3989" spans="1:14">
      <c r="A3989">
        <v>3988</v>
      </c>
      <c r="B3989">
        <v>34</v>
      </c>
      <c r="C3989" t="s">
        <v>16</v>
      </c>
      <c r="D3989" t="s">
        <v>20</v>
      </c>
      <c r="E3989" t="s">
        <v>39</v>
      </c>
      <c r="F3989">
        <v>238.61</v>
      </c>
      <c r="G3989" t="s">
        <v>31</v>
      </c>
      <c r="H3989" t="s">
        <v>15</v>
      </c>
      <c r="I3989">
        <v>3.9</v>
      </c>
      <c r="J3989">
        <v>11</v>
      </c>
      <c r="K3989">
        <v>3</v>
      </c>
      <c r="L3989" s="4">
        <v>268.10112359550561</v>
      </c>
      <c r="M3989" s="4">
        <v>29.491123595505599</v>
      </c>
      <c r="N3989" t="s">
        <v>91</v>
      </c>
    </row>
    <row r="3990" spans="1:14">
      <c r="A3990">
        <v>3989</v>
      </c>
      <c r="B3990">
        <v>61</v>
      </c>
      <c r="C3990" t="s">
        <v>16</v>
      </c>
      <c r="D3990" t="s">
        <v>27</v>
      </c>
      <c r="E3990" t="s">
        <v>28</v>
      </c>
      <c r="F3990">
        <v>2513.3200000000002</v>
      </c>
      <c r="G3990" t="s">
        <v>24</v>
      </c>
      <c r="H3990" t="s">
        <v>15</v>
      </c>
      <c r="I3990">
        <v>3.6</v>
      </c>
      <c r="J3990">
        <v>6</v>
      </c>
      <c r="K3990">
        <v>3</v>
      </c>
      <c r="L3990" s="4">
        <v>2673.744680851064</v>
      </c>
      <c r="M3990" s="4">
        <v>160.42468085106384</v>
      </c>
      <c r="N3990" t="s">
        <v>94</v>
      </c>
    </row>
    <row r="3991" spans="1:14">
      <c r="A3991">
        <v>3990</v>
      </c>
      <c r="B3991">
        <v>47</v>
      </c>
      <c r="C3991" t="s">
        <v>16</v>
      </c>
      <c r="D3991" t="s">
        <v>20</v>
      </c>
      <c r="E3991" t="s">
        <v>36</v>
      </c>
      <c r="F3991">
        <v>221.85</v>
      </c>
      <c r="G3991" t="s">
        <v>19</v>
      </c>
      <c r="H3991" t="s">
        <v>15</v>
      </c>
      <c r="I3991">
        <v>4.4000000000000004</v>
      </c>
      <c r="J3991">
        <v>16</v>
      </c>
      <c r="K3991">
        <v>3</v>
      </c>
      <c r="L3991" s="4">
        <v>264.10714285714283</v>
      </c>
      <c r="M3991" s="4">
        <v>42.257142857142838</v>
      </c>
      <c r="N3991" t="s">
        <v>93</v>
      </c>
    </row>
    <row r="3992" spans="1:14">
      <c r="A3992">
        <v>3991</v>
      </c>
      <c r="B3992">
        <v>39</v>
      </c>
      <c r="C3992" t="s">
        <v>16</v>
      </c>
      <c r="D3992" t="s">
        <v>33</v>
      </c>
      <c r="E3992" t="s">
        <v>40</v>
      </c>
      <c r="F3992">
        <v>217.91</v>
      </c>
      <c r="G3992" t="s">
        <v>19</v>
      </c>
      <c r="H3992" t="s">
        <v>15</v>
      </c>
      <c r="I3992">
        <v>3</v>
      </c>
      <c r="J3992">
        <v>20</v>
      </c>
      <c r="K3992">
        <v>5</v>
      </c>
      <c r="L3992" s="4">
        <v>272.38749999999999</v>
      </c>
      <c r="M3992" s="4">
        <v>54.477499999999992</v>
      </c>
      <c r="N3992" t="s">
        <v>92</v>
      </c>
    </row>
    <row r="3993" spans="1:14">
      <c r="A3993">
        <v>3992</v>
      </c>
      <c r="B3993">
        <v>29</v>
      </c>
      <c r="C3993" t="s">
        <v>16</v>
      </c>
      <c r="D3993" t="s">
        <v>33</v>
      </c>
      <c r="E3993" t="s">
        <v>40</v>
      </c>
      <c r="F3993">
        <v>88.9</v>
      </c>
      <c r="G3993" t="s">
        <v>31</v>
      </c>
      <c r="H3993" t="s">
        <v>37</v>
      </c>
      <c r="I3993">
        <v>2.8</v>
      </c>
      <c r="J3993">
        <v>15</v>
      </c>
      <c r="K3993">
        <v>5</v>
      </c>
      <c r="L3993" s="4">
        <v>104.58823529411765</v>
      </c>
      <c r="M3993" s="4">
        <v>15.688235294117646</v>
      </c>
      <c r="N3993" t="s">
        <v>91</v>
      </c>
    </row>
    <row r="3994" spans="1:14">
      <c r="A3994">
        <v>3993</v>
      </c>
      <c r="B3994">
        <v>49</v>
      </c>
      <c r="C3994" t="s">
        <v>11</v>
      </c>
      <c r="D3994" t="s">
        <v>22</v>
      </c>
      <c r="E3994" t="s">
        <v>23</v>
      </c>
      <c r="F3994">
        <v>248.98</v>
      </c>
      <c r="G3994" t="s">
        <v>19</v>
      </c>
      <c r="H3994" t="s">
        <v>15</v>
      </c>
      <c r="I3994">
        <v>3.8</v>
      </c>
      <c r="J3994">
        <v>23</v>
      </c>
      <c r="K3994">
        <v>9</v>
      </c>
      <c r="L3994" s="4">
        <v>323.35064935064935</v>
      </c>
      <c r="M3994" s="4">
        <v>74.370649350649359</v>
      </c>
      <c r="N3994" t="s">
        <v>93</v>
      </c>
    </row>
    <row r="3995" spans="1:14">
      <c r="A3995">
        <v>3994</v>
      </c>
      <c r="B3995">
        <v>28</v>
      </c>
      <c r="C3995" t="s">
        <v>11</v>
      </c>
      <c r="D3995" t="s">
        <v>22</v>
      </c>
      <c r="E3995" t="s">
        <v>23</v>
      </c>
      <c r="F3995">
        <v>225.31</v>
      </c>
      <c r="G3995" t="s">
        <v>24</v>
      </c>
      <c r="H3995" t="s">
        <v>15</v>
      </c>
      <c r="I3995">
        <v>3.9</v>
      </c>
      <c r="J3995">
        <v>10</v>
      </c>
      <c r="K3995">
        <v>5</v>
      </c>
      <c r="L3995" s="4">
        <v>250.34444444444443</v>
      </c>
      <c r="M3995" s="4">
        <v>25.034444444444432</v>
      </c>
      <c r="N3995" t="s">
        <v>91</v>
      </c>
    </row>
    <row r="3996" spans="1:14">
      <c r="A3996">
        <v>3995</v>
      </c>
      <c r="B3996">
        <v>23</v>
      </c>
      <c r="C3996" t="s">
        <v>11</v>
      </c>
      <c r="D3996" t="s">
        <v>12</v>
      </c>
      <c r="E3996" t="s">
        <v>13</v>
      </c>
      <c r="F3996">
        <v>163.88</v>
      </c>
      <c r="G3996" t="s">
        <v>19</v>
      </c>
      <c r="H3996" t="s">
        <v>15</v>
      </c>
      <c r="I3996">
        <v>4.7</v>
      </c>
      <c r="J3996">
        <v>12</v>
      </c>
      <c r="K3996">
        <v>6</v>
      </c>
      <c r="L3996" s="4">
        <v>186.22727272727272</v>
      </c>
      <c r="M3996" s="4">
        <v>22.347272727272724</v>
      </c>
      <c r="N3996" t="s">
        <v>100</v>
      </c>
    </row>
    <row r="3997" spans="1:14">
      <c r="A3997">
        <v>3996</v>
      </c>
      <c r="B3997">
        <v>28</v>
      </c>
      <c r="C3997" t="s">
        <v>11</v>
      </c>
      <c r="D3997" t="s">
        <v>12</v>
      </c>
      <c r="E3997" t="s">
        <v>13</v>
      </c>
      <c r="F3997">
        <v>139.87</v>
      </c>
      <c r="G3997" t="s">
        <v>31</v>
      </c>
      <c r="H3997" t="s">
        <v>15</v>
      </c>
      <c r="I3997">
        <v>4.8</v>
      </c>
      <c r="J3997">
        <v>15</v>
      </c>
      <c r="K3997">
        <v>5</v>
      </c>
      <c r="L3997" s="4">
        <v>164.5529411764706</v>
      </c>
      <c r="M3997" s="4">
        <v>24.682941176470592</v>
      </c>
      <c r="N3997" t="s">
        <v>91</v>
      </c>
    </row>
    <row r="3998" spans="1:14">
      <c r="A3998">
        <v>3997</v>
      </c>
      <c r="B3998">
        <v>67</v>
      </c>
      <c r="C3998" t="s">
        <v>11</v>
      </c>
      <c r="D3998" t="s">
        <v>12</v>
      </c>
      <c r="E3998" t="s">
        <v>13</v>
      </c>
      <c r="F3998">
        <v>133.21</v>
      </c>
      <c r="G3998" t="s">
        <v>31</v>
      </c>
      <c r="H3998" t="s">
        <v>15</v>
      </c>
      <c r="I3998">
        <v>4.5999999999999996</v>
      </c>
      <c r="J3998">
        <v>12</v>
      </c>
      <c r="K3998">
        <v>6</v>
      </c>
      <c r="L3998" s="4">
        <v>151.375</v>
      </c>
      <c r="M3998" s="4">
        <v>18.164999999999992</v>
      </c>
      <c r="N3998" t="s">
        <v>95</v>
      </c>
    </row>
    <row r="3999" spans="1:14">
      <c r="A3999">
        <v>3998</v>
      </c>
      <c r="B3999">
        <v>63</v>
      </c>
      <c r="C3999" t="s">
        <v>11</v>
      </c>
      <c r="D3999" t="s">
        <v>12</v>
      </c>
      <c r="E3999" t="s">
        <v>13</v>
      </c>
      <c r="F3999">
        <v>138.94</v>
      </c>
      <c r="G3999" t="s">
        <v>31</v>
      </c>
      <c r="H3999" t="s">
        <v>15</v>
      </c>
      <c r="I3999">
        <v>3.8</v>
      </c>
      <c r="J3999">
        <v>18</v>
      </c>
      <c r="K3999">
        <v>9</v>
      </c>
      <c r="L3999" s="4">
        <v>169.43902439024387</v>
      </c>
      <c r="M3999" s="4">
        <v>30.499024390243875</v>
      </c>
      <c r="N3999" t="s">
        <v>94</v>
      </c>
    </row>
    <row r="4000" spans="1:14">
      <c r="A4000">
        <v>3999</v>
      </c>
      <c r="B4000">
        <v>38</v>
      </c>
      <c r="C4000" t="s">
        <v>11</v>
      </c>
      <c r="D4000" t="s">
        <v>20</v>
      </c>
      <c r="E4000" t="s">
        <v>39</v>
      </c>
      <c r="F4000">
        <v>52.35</v>
      </c>
      <c r="G4000" t="s">
        <v>19</v>
      </c>
      <c r="H4000" t="s">
        <v>15</v>
      </c>
      <c r="I4000">
        <v>4.0999999999999996</v>
      </c>
      <c r="J4000">
        <v>21</v>
      </c>
      <c r="K4000">
        <v>8</v>
      </c>
      <c r="L4000" s="4">
        <v>66.265822784810126</v>
      </c>
      <c r="M4000" s="4">
        <v>13.915822784810125</v>
      </c>
      <c r="N4000" t="s">
        <v>92</v>
      </c>
    </row>
    <row r="4001" spans="1:14">
      <c r="A4001">
        <v>4000</v>
      </c>
      <c r="B4001">
        <v>41</v>
      </c>
      <c r="C4001" t="s">
        <v>16</v>
      </c>
      <c r="D4001" t="s">
        <v>17</v>
      </c>
      <c r="E4001" t="s">
        <v>42</v>
      </c>
      <c r="F4001">
        <v>36.25</v>
      </c>
      <c r="G4001" t="s">
        <v>14</v>
      </c>
      <c r="H4001" t="s">
        <v>37</v>
      </c>
      <c r="I4001">
        <v>4.5999999999999996</v>
      </c>
      <c r="J4001">
        <v>18</v>
      </c>
      <c r="K4001">
        <v>4</v>
      </c>
      <c r="L4001" s="4">
        <v>44.207317073170728</v>
      </c>
      <c r="M4001" s="4">
        <v>7.9573170731707279</v>
      </c>
      <c r="N4001" t="s">
        <v>92</v>
      </c>
    </row>
    <row r="4002" spans="1:14">
      <c r="A4002">
        <v>4001</v>
      </c>
      <c r="B4002">
        <v>50</v>
      </c>
      <c r="C4002" t="s">
        <v>16</v>
      </c>
      <c r="D4002" t="s">
        <v>17</v>
      </c>
      <c r="E4002" t="s">
        <v>35</v>
      </c>
      <c r="F4002">
        <v>96.94</v>
      </c>
      <c r="G4002" t="s">
        <v>31</v>
      </c>
      <c r="H4002" t="s">
        <v>37</v>
      </c>
      <c r="I4002">
        <v>3.6</v>
      </c>
      <c r="J4002">
        <v>6</v>
      </c>
      <c r="K4002">
        <v>3</v>
      </c>
      <c r="L4002" s="4">
        <v>103.12765957446808</v>
      </c>
      <c r="M4002" s="4">
        <v>6.1876595744680856</v>
      </c>
      <c r="N4002" t="s">
        <v>93</v>
      </c>
    </row>
    <row r="4003" spans="1:14">
      <c r="A4003">
        <v>4002</v>
      </c>
      <c r="B4003">
        <v>65</v>
      </c>
      <c r="C4003" t="s">
        <v>11</v>
      </c>
      <c r="D4003" t="s">
        <v>41</v>
      </c>
      <c r="E4003" t="s">
        <v>42</v>
      </c>
      <c r="F4003">
        <v>170.25</v>
      </c>
      <c r="G4003" t="s">
        <v>14</v>
      </c>
      <c r="H4003" t="s">
        <v>15</v>
      </c>
      <c r="I4003">
        <v>4.7</v>
      </c>
      <c r="J4003">
        <v>26</v>
      </c>
      <c r="K4003">
        <v>8</v>
      </c>
      <c r="L4003" s="4">
        <v>230.06756756756758</v>
      </c>
      <c r="M4003" s="4">
        <v>59.817567567567579</v>
      </c>
      <c r="N4003" t="s">
        <v>95</v>
      </c>
    </row>
    <row r="4004" spans="1:14">
      <c r="A4004">
        <v>4003</v>
      </c>
      <c r="B4004">
        <v>49</v>
      </c>
      <c r="C4004" t="s">
        <v>16</v>
      </c>
      <c r="D4004" t="s">
        <v>20</v>
      </c>
      <c r="E4004" t="s">
        <v>39</v>
      </c>
      <c r="F4004">
        <v>190.85</v>
      </c>
      <c r="G4004" t="s">
        <v>19</v>
      </c>
      <c r="H4004" t="s">
        <v>15</v>
      </c>
      <c r="I4004">
        <v>4</v>
      </c>
      <c r="J4004">
        <v>14</v>
      </c>
      <c r="K4004">
        <v>7</v>
      </c>
      <c r="L4004" s="4">
        <v>221.91860465116278</v>
      </c>
      <c r="M4004" s="4">
        <v>31.068604651162786</v>
      </c>
      <c r="N4004" t="s">
        <v>93</v>
      </c>
    </row>
    <row r="4005" spans="1:14">
      <c r="A4005">
        <v>4004</v>
      </c>
      <c r="B4005">
        <v>41</v>
      </c>
      <c r="C4005" t="s">
        <v>16</v>
      </c>
      <c r="D4005" t="s">
        <v>17</v>
      </c>
      <c r="E4005" t="s">
        <v>18</v>
      </c>
      <c r="F4005">
        <v>106.08</v>
      </c>
      <c r="G4005" t="s">
        <v>14</v>
      </c>
      <c r="H4005" t="s">
        <v>15</v>
      </c>
      <c r="I4005">
        <v>4.0999999999999996</v>
      </c>
      <c r="J4005">
        <v>9</v>
      </c>
      <c r="K4005">
        <v>2</v>
      </c>
      <c r="L4005" s="4">
        <v>116.57142857142857</v>
      </c>
      <c r="M4005" s="4">
        <v>10.491428571428571</v>
      </c>
      <c r="N4005" t="s">
        <v>92</v>
      </c>
    </row>
    <row r="4006" spans="1:14">
      <c r="A4006">
        <v>4005</v>
      </c>
      <c r="B4006">
        <v>24</v>
      </c>
      <c r="C4006" t="s">
        <v>11</v>
      </c>
      <c r="D4006" t="s">
        <v>29</v>
      </c>
      <c r="E4006" t="s">
        <v>51</v>
      </c>
      <c r="F4006">
        <v>124.83</v>
      </c>
      <c r="G4006" t="s">
        <v>24</v>
      </c>
      <c r="H4006" t="s">
        <v>15</v>
      </c>
      <c r="I4006">
        <v>2.6</v>
      </c>
      <c r="J4006">
        <v>12</v>
      </c>
      <c r="K4006">
        <v>1</v>
      </c>
      <c r="L4006" s="4">
        <v>141.85227272727272</v>
      </c>
      <c r="M4006" s="4">
        <v>17.022272727272721</v>
      </c>
      <c r="N4006" t="s">
        <v>100</v>
      </c>
    </row>
    <row r="4007" spans="1:14">
      <c r="A4007">
        <v>4006</v>
      </c>
      <c r="B4007">
        <v>27</v>
      </c>
      <c r="C4007" t="s">
        <v>11</v>
      </c>
      <c r="D4007" t="s">
        <v>29</v>
      </c>
      <c r="E4007" t="s">
        <v>55</v>
      </c>
      <c r="F4007">
        <v>140.07</v>
      </c>
      <c r="G4007" t="s">
        <v>31</v>
      </c>
      <c r="H4007" t="s">
        <v>15</v>
      </c>
      <c r="I4007">
        <v>3.2</v>
      </c>
      <c r="J4007">
        <v>11</v>
      </c>
      <c r="K4007">
        <v>3</v>
      </c>
      <c r="L4007" s="4">
        <v>157.38202247191009</v>
      </c>
      <c r="M4007" s="4">
        <v>17.312022471910097</v>
      </c>
      <c r="N4007" t="s">
        <v>91</v>
      </c>
    </row>
    <row r="4008" spans="1:14">
      <c r="A4008">
        <v>4007</v>
      </c>
      <c r="B4008">
        <v>50</v>
      </c>
      <c r="C4008" t="s">
        <v>11</v>
      </c>
      <c r="D4008" t="s">
        <v>25</v>
      </c>
      <c r="E4008" t="s">
        <v>26</v>
      </c>
      <c r="F4008">
        <v>72.930000000000007</v>
      </c>
      <c r="G4008" t="s">
        <v>24</v>
      </c>
      <c r="H4008" t="s">
        <v>37</v>
      </c>
      <c r="I4008">
        <v>3.8</v>
      </c>
      <c r="J4008">
        <v>10</v>
      </c>
      <c r="K4008">
        <v>5</v>
      </c>
      <c r="L4008" s="4">
        <v>81.033333333333346</v>
      </c>
      <c r="M4008" s="4">
        <v>8.1033333333333388</v>
      </c>
      <c r="N4008" t="s">
        <v>93</v>
      </c>
    </row>
    <row r="4009" spans="1:14">
      <c r="A4009">
        <v>4008</v>
      </c>
      <c r="B4009">
        <v>36</v>
      </c>
      <c r="C4009" t="s">
        <v>11</v>
      </c>
      <c r="D4009" t="s">
        <v>29</v>
      </c>
      <c r="E4009" t="s">
        <v>51</v>
      </c>
      <c r="F4009">
        <v>122.19</v>
      </c>
      <c r="G4009" t="s">
        <v>24</v>
      </c>
      <c r="H4009" t="s">
        <v>15</v>
      </c>
      <c r="I4009">
        <v>3.8</v>
      </c>
      <c r="J4009">
        <v>12</v>
      </c>
      <c r="K4009">
        <v>6</v>
      </c>
      <c r="L4009" s="4">
        <v>138.85227272727272</v>
      </c>
      <c r="M4009" s="4">
        <v>16.662272727272722</v>
      </c>
      <c r="N4009" t="s">
        <v>92</v>
      </c>
    </row>
    <row r="4010" spans="1:14">
      <c r="A4010">
        <v>4009</v>
      </c>
      <c r="B4010">
        <v>52</v>
      </c>
      <c r="C4010" t="s">
        <v>16</v>
      </c>
      <c r="D4010" t="s">
        <v>27</v>
      </c>
      <c r="E4010" t="s">
        <v>32</v>
      </c>
      <c r="F4010">
        <v>1169.3900000000001</v>
      </c>
      <c r="G4010" t="s">
        <v>31</v>
      </c>
      <c r="H4010" t="s">
        <v>15</v>
      </c>
      <c r="I4010">
        <v>3</v>
      </c>
      <c r="J4010">
        <v>20</v>
      </c>
      <c r="K4010">
        <v>10</v>
      </c>
      <c r="L4010" s="4">
        <v>1461.7375</v>
      </c>
      <c r="M4010" s="4">
        <v>292.34749999999985</v>
      </c>
      <c r="N4010" t="s">
        <v>93</v>
      </c>
    </row>
    <row r="4011" spans="1:14">
      <c r="A4011">
        <v>4010</v>
      </c>
      <c r="B4011">
        <v>66</v>
      </c>
      <c r="C4011" t="s">
        <v>11</v>
      </c>
      <c r="D4011" t="s">
        <v>20</v>
      </c>
      <c r="E4011" t="s">
        <v>21</v>
      </c>
      <c r="F4011">
        <v>195.24</v>
      </c>
      <c r="G4011" t="s">
        <v>24</v>
      </c>
      <c r="H4011" t="s">
        <v>15</v>
      </c>
      <c r="I4011">
        <v>5</v>
      </c>
      <c r="J4011">
        <v>18</v>
      </c>
      <c r="K4011">
        <v>4</v>
      </c>
      <c r="L4011" s="4">
        <v>238.09756097560975</v>
      </c>
      <c r="M4011" s="4">
        <v>42.857560975609744</v>
      </c>
      <c r="N4011" t="s">
        <v>95</v>
      </c>
    </row>
    <row r="4012" spans="1:14">
      <c r="A4012">
        <v>4011</v>
      </c>
      <c r="B4012">
        <v>70</v>
      </c>
      <c r="C4012" t="s">
        <v>11</v>
      </c>
      <c r="D4012" t="s">
        <v>41</v>
      </c>
      <c r="E4012" t="s">
        <v>44</v>
      </c>
      <c r="F4012">
        <v>199.98</v>
      </c>
      <c r="G4012" t="s">
        <v>19</v>
      </c>
      <c r="H4012" t="s">
        <v>15</v>
      </c>
      <c r="I4012">
        <v>4</v>
      </c>
      <c r="J4012">
        <v>13</v>
      </c>
      <c r="K4012">
        <v>4</v>
      </c>
      <c r="L4012" s="4">
        <v>229.86206896551724</v>
      </c>
      <c r="M4012" s="4">
        <v>29.882068965517249</v>
      </c>
      <c r="N4012" t="s">
        <v>95</v>
      </c>
    </row>
    <row r="4013" spans="1:14">
      <c r="A4013">
        <v>4012</v>
      </c>
      <c r="B4013">
        <v>44</v>
      </c>
      <c r="C4013" t="s">
        <v>11</v>
      </c>
      <c r="D4013" t="s">
        <v>41</v>
      </c>
      <c r="E4013" t="s">
        <v>44</v>
      </c>
      <c r="F4013">
        <v>81.96</v>
      </c>
      <c r="G4013" t="s">
        <v>14</v>
      </c>
      <c r="H4013" t="s">
        <v>37</v>
      </c>
      <c r="I4013">
        <v>2.7</v>
      </c>
      <c r="J4013">
        <v>10</v>
      </c>
      <c r="K4013">
        <v>5</v>
      </c>
      <c r="L4013" s="4">
        <v>91.066666666666663</v>
      </c>
      <c r="M4013" s="4">
        <v>9.1066666666666691</v>
      </c>
      <c r="N4013" t="s">
        <v>92</v>
      </c>
    </row>
    <row r="4014" spans="1:14">
      <c r="A4014">
        <v>4013</v>
      </c>
      <c r="B4014">
        <v>64</v>
      </c>
      <c r="C4014" t="s">
        <v>11</v>
      </c>
      <c r="D4014" t="s">
        <v>41</v>
      </c>
      <c r="E4014" t="s">
        <v>45</v>
      </c>
      <c r="F4014">
        <v>168.24</v>
      </c>
      <c r="G4014" t="s">
        <v>24</v>
      </c>
      <c r="H4014" t="s">
        <v>15</v>
      </c>
      <c r="I4014">
        <v>3.1</v>
      </c>
      <c r="J4014">
        <v>4</v>
      </c>
      <c r="K4014">
        <v>2</v>
      </c>
      <c r="L4014" s="4">
        <v>175.25000000000003</v>
      </c>
      <c r="M4014" s="4">
        <v>7.0100000000000193</v>
      </c>
      <c r="N4014" t="s">
        <v>94</v>
      </c>
    </row>
    <row r="4015" spans="1:14">
      <c r="A4015">
        <v>4014</v>
      </c>
      <c r="B4015">
        <v>37</v>
      </c>
      <c r="C4015" t="s">
        <v>11</v>
      </c>
      <c r="D4015" t="s">
        <v>29</v>
      </c>
      <c r="E4015" t="s">
        <v>30</v>
      </c>
      <c r="F4015">
        <v>38</v>
      </c>
      <c r="G4015" t="s">
        <v>14</v>
      </c>
      <c r="H4015" t="s">
        <v>15</v>
      </c>
      <c r="I4015">
        <v>4</v>
      </c>
      <c r="J4015">
        <v>16</v>
      </c>
      <c r="K4015">
        <v>8</v>
      </c>
      <c r="L4015" s="4">
        <v>45.238095238095241</v>
      </c>
      <c r="M4015" s="4">
        <v>7.2380952380952408</v>
      </c>
      <c r="N4015" t="s">
        <v>92</v>
      </c>
    </row>
    <row r="4016" spans="1:14">
      <c r="A4016">
        <v>4015</v>
      </c>
      <c r="B4016">
        <v>36</v>
      </c>
      <c r="C4016" t="s">
        <v>16</v>
      </c>
      <c r="D4016" t="s">
        <v>20</v>
      </c>
      <c r="E4016" t="s">
        <v>21</v>
      </c>
      <c r="F4016">
        <v>37.32</v>
      </c>
      <c r="G4016" t="s">
        <v>24</v>
      </c>
      <c r="H4016" t="s">
        <v>15</v>
      </c>
      <c r="I4016">
        <v>5</v>
      </c>
      <c r="J4016">
        <v>23</v>
      </c>
      <c r="K4016">
        <v>9</v>
      </c>
      <c r="L4016" s="4">
        <v>48.467532467532465</v>
      </c>
      <c r="M4016" s="4">
        <v>11.147532467532464</v>
      </c>
      <c r="N4016" t="s">
        <v>92</v>
      </c>
    </row>
    <row r="4017" spans="1:14">
      <c r="A4017">
        <v>4016</v>
      </c>
      <c r="B4017">
        <v>58</v>
      </c>
      <c r="C4017" t="s">
        <v>11</v>
      </c>
      <c r="D4017" t="s">
        <v>12</v>
      </c>
      <c r="E4017" t="s">
        <v>56</v>
      </c>
      <c r="F4017">
        <v>152.99</v>
      </c>
      <c r="G4017" t="s">
        <v>31</v>
      </c>
      <c r="H4017" t="s">
        <v>15</v>
      </c>
      <c r="I4017">
        <v>3.2</v>
      </c>
      <c r="J4017">
        <v>17</v>
      </c>
      <c r="K4017">
        <v>6</v>
      </c>
      <c r="L4017" s="4">
        <v>184.32530120481928</v>
      </c>
      <c r="M4017" s="4">
        <v>31.335301204819274</v>
      </c>
      <c r="N4017" t="s">
        <v>94</v>
      </c>
    </row>
    <row r="4018" spans="1:14">
      <c r="A4018">
        <v>4017</v>
      </c>
      <c r="B4018">
        <v>65</v>
      </c>
      <c r="C4018" t="s">
        <v>11</v>
      </c>
      <c r="D4018" t="s">
        <v>12</v>
      </c>
      <c r="E4018" t="s">
        <v>56</v>
      </c>
      <c r="F4018">
        <v>88.31</v>
      </c>
      <c r="G4018" t="s">
        <v>14</v>
      </c>
      <c r="H4018" t="s">
        <v>15</v>
      </c>
      <c r="I4018">
        <v>3.8</v>
      </c>
      <c r="J4018">
        <v>18</v>
      </c>
      <c r="K4018">
        <v>4</v>
      </c>
      <c r="L4018" s="4">
        <v>107.69512195121951</v>
      </c>
      <c r="M4018" s="4">
        <v>19.385121951219503</v>
      </c>
      <c r="N4018" t="s">
        <v>95</v>
      </c>
    </row>
    <row r="4019" spans="1:14">
      <c r="A4019">
        <v>4018</v>
      </c>
      <c r="B4019">
        <v>35</v>
      </c>
      <c r="C4019" t="s">
        <v>16</v>
      </c>
      <c r="D4019" t="s">
        <v>17</v>
      </c>
      <c r="E4019" t="s">
        <v>18</v>
      </c>
      <c r="F4019">
        <v>49.5</v>
      </c>
      <c r="G4019" t="s">
        <v>19</v>
      </c>
      <c r="H4019" t="s">
        <v>37</v>
      </c>
      <c r="I4019">
        <v>4.5999999999999996</v>
      </c>
      <c r="J4019">
        <v>18</v>
      </c>
      <c r="K4019">
        <v>4</v>
      </c>
      <c r="L4019" s="4">
        <v>60.365853658536579</v>
      </c>
      <c r="M4019" s="4">
        <v>10.865853658536579</v>
      </c>
      <c r="N4019" t="s">
        <v>92</v>
      </c>
    </row>
    <row r="4020" spans="1:14">
      <c r="A4020">
        <v>4019</v>
      </c>
      <c r="B4020">
        <v>41</v>
      </c>
      <c r="C4020" t="s">
        <v>16</v>
      </c>
      <c r="D4020" t="s">
        <v>20</v>
      </c>
      <c r="E4020" t="s">
        <v>21</v>
      </c>
      <c r="F4020">
        <v>201</v>
      </c>
      <c r="G4020" t="s">
        <v>31</v>
      </c>
      <c r="H4020" t="s">
        <v>15</v>
      </c>
      <c r="I4020">
        <v>4.5999999999999996</v>
      </c>
      <c r="J4020">
        <v>4</v>
      </c>
      <c r="K4020">
        <v>2</v>
      </c>
      <c r="L4020" s="4">
        <v>209.375</v>
      </c>
      <c r="M4020" s="4">
        <v>8.375</v>
      </c>
      <c r="N4020" t="s">
        <v>92</v>
      </c>
    </row>
    <row r="4021" spans="1:14">
      <c r="A4021">
        <v>4020</v>
      </c>
      <c r="B4021">
        <v>52</v>
      </c>
      <c r="C4021" t="s">
        <v>11</v>
      </c>
      <c r="D4021" t="s">
        <v>12</v>
      </c>
      <c r="E4021" t="s">
        <v>56</v>
      </c>
      <c r="F4021">
        <v>85.67</v>
      </c>
      <c r="G4021" t="s">
        <v>31</v>
      </c>
      <c r="H4021" t="s">
        <v>37</v>
      </c>
      <c r="I4021">
        <v>2.7</v>
      </c>
      <c r="J4021">
        <v>8</v>
      </c>
      <c r="K4021">
        <v>4</v>
      </c>
      <c r="L4021" s="4">
        <v>93.119565217391298</v>
      </c>
      <c r="M4021" s="4">
        <v>7.4495652173912958</v>
      </c>
      <c r="N4021" t="s">
        <v>93</v>
      </c>
    </row>
    <row r="4022" spans="1:14">
      <c r="A4022">
        <v>4021</v>
      </c>
      <c r="B4022">
        <v>41</v>
      </c>
      <c r="C4022" t="s">
        <v>16</v>
      </c>
      <c r="D4022" t="s">
        <v>25</v>
      </c>
      <c r="E4022" t="s">
        <v>26</v>
      </c>
      <c r="F4022">
        <v>35.58</v>
      </c>
      <c r="G4022" t="s">
        <v>24</v>
      </c>
      <c r="H4022" t="s">
        <v>15</v>
      </c>
      <c r="I4022">
        <v>4.4000000000000004</v>
      </c>
      <c r="J4022">
        <v>24</v>
      </c>
      <c r="K4022">
        <v>7</v>
      </c>
      <c r="L4022" s="4">
        <v>46.815789473684205</v>
      </c>
      <c r="M4022" s="4">
        <v>11.235789473684207</v>
      </c>
      <c r="N4022" t="s">
        <v>92</v>
      </c>
    </row>
    <row r="4023" spans="1:14">
      <c r="A4023">
        <v>4022</v>
      </c>
      <c r="B4023">
        <v>28</v>
      </c>
      <c r="C4023" t="s">
        <v>11</v>
      </c>
      <c r="D4023" t="s">
        <v>29</v>
      </c>
      <c r="E4023" t="s">
        <v>55</v>
      </c>
      <c r="F4023">
        <v>132.91</v>
      </c>
      <c r="G4023" t="s">
        <v>19</v>
      </c>
      <c r="H4023" t="s">
        <v>15</v>
      </c>
      <c r="I4023">
        <v>3.4</v>
      </c>
      <c r="J4023">
        <v>10</v>
      </c>
      <c r="K4023">
        <v>5</v>
      </c>
      <c r="L4023" s="4">
        <v>147.67777777777778</v>
      </c>
      <c r="M4023" s="4">
        <v>14.767777777777781</v>
      </c>
      <c r="N4023" t="s">
        <v>91</v>
      </c>
    </row>
    <row r="4024" spans="1:14">
      <c r="A4024">
        <v>4023</v>
      </c>
      <c r="B4024">
        <v>54</v>
      </c>
      <c r="C4024" t="s">
        <v>11</v>
      </c>
      <c r="D4024" t="s">
        <v>41</v>
      </c>
      <c r="E4024" t="s">
        <v>42</v>
      </c>
      <c r="F4024">
        <v>41.9</v>
      </c>
      <c r="G4024" t="s">
        <v>19</v>
      </c>
      <c r="H4024" t="s">
        <v>37</v>
      </c>
      <c r="I4024">
        <v>3.3</v>
      </c>
      <c r="J4024">
        <v>14</v>
      </c>
      <c r="K4024">
        <v>2</v>
      </c>
      <c r="L4024" s="4">
        <v>48.720930232558139</v>
      </c>
      <c r="M4024" s="4">
        <v>6.8209302325581405</v>
      </c>
      <c r="N4024" t="s">
        <v>93</v>
      </c>
    </row>
    <row r="4025" spans="1:14">
      <c r="A4025">
        <v>4024</v>
      </c>
      <c r="B4025">
        <v>62</v>
      </c>
      <c r="C4025" t="s">
        <v>16</v>
      </c>
      <c r="D4025" t="s">
        <v>33</v>
      </c>
      <c r="E4025" t="s">
        <v>34</v>
      </c>
      <c r="F4025">
        <v>237.74</v>
      </c>
      <c r="G4025" t="s">
        <v>19</v>
      </c>
      <c r="H4025" t="s">
        <v>15</v>
      </c>
      <c r="I4025">
        <v>3.1</v>
      </c>
      <c r="J4025">
        <v>16</v>
      </c>
      <c r="K4025">
        <v>8</v>
      </c>
      <c r="L4025" s="4">
        <v>283.02380952380952</v>
      </c>
      <c r="M4025" s="4">
        <v>45.283809523809509</v>
      </c>
      <c r="N4025" t="s">
        <v>94</v>
      </c>
    </row>
    <row r="4026" spans="1:14">
      <c r="A4026">
        <v>4025</v>
      </c>
      <c r="B4026">
        <v>66</v>
      </c>
      <c r="C4026" t="s">
        <v>11</v>
      </c>
      <c r="D4026" t="s">
        <v>29</v>
      </c>
      <c r="E4026" t="s">
        <v>55</v>
      </c>
      <c r="F4026">
        <v>66.59</v>
      </c>
      <c r="G4026" t="s">
        <v>14</v>
      </c>
      <c r="H4026" t="s">
        <v>15</v>
      </c>
      <c r="I4026">
        <v>3.4</v>
      </c>
      <c r="J4026">
        <v>22</v>
      </c>
      <c r="K4026">
        <v>6</v>
      </c>
      <c r="L4026" s="4">
        <v>85.371794871794876</v>
      </c>
      <c r="M4026" s="4">
        <v>18.781794871794872</v>
      </c>
      <c r="N4026" t="s">
        <v>95</v>
      </c>
    </row>
    <row r="4027" spans="1:14">
      <c r="A4027">
        <v>4026</v>
      </c>
      <c r="B4027">
        <v>35</v>
      </c>
      <c r="C4027" t="s">
        <v>11</v>
      </c>
      <c r="D4027" t="s">
        <v>20</v>
      </c>
      <c r="E4027" t="s">
        <v>39</v>
      </c>
      <c r="F4027">
        <v>127.31</v>
      </c>
      <c r="G4027" t="s">
        <v>14</v>
      </c>
      <c r="H4027" t="s">
        <v>15</v>
      </c>
      <c r="I4027">
        <v>3.1</v>
      </c>
      <c r="J4027">
        <v>17</v>
      </c>
      <c r="K4027">
        <v>6</v>
      </c>
      <c r="L4027" s="4">
        <v>153.3855421686747</v>
      </c>
      <c r="M4027" s="4">
        <v>26.075542168674701</v>
      </c>
      <c r="N4027" t="s">
        <v>92</v>
      </c>
    </row>
    <row r="4028" spans="1:14">
      <c r="A4028">
        <v>4027</v>
      </c>
      <c r="B4028">
        <v>59</v>
      </c>
      <c r="C4028" t="s">
        <v>11</v>
      </c>
      <c r="D4028" t="s">
        <v>22</v>
      </c>
      <c r="E4028" t="s">
        <v>23</v>
      </c>
      <c r="F4028">
        <v>123.5</v>
      </c>
      <c r="G4028" t="s">
        <v>31</v>
      </c>
      <c r="H4028" t="s">
        <v>15</v>
      </c>
      <c r="I4028">
        <v>3.3</v>
      </c>
      <c r="J4028">
        <v>22</v>
      </c>
      <c r="K4028">
        <v>11</v>
      </c>
      <c r="L4028" s="4">
        <v>158.33333333333331</v>
      </c>
      <c r="M4028" s="4">
        <v>34.833333333333314</v>
      </c>
      <c r="N4028" t="s">
        <v>94</v>
      </c>
    </row>
    <row r="4029" spans="1:14">
      <c r="A4029">
        <v>4028</v>
      </c>
      <c r="B4029">
        <v>65</v>
      </c>
      <c r="C4029" t="s">
        <v>11</v>
      </c>
      <c r="D4029" t="s">
        <v>33</v>
      </c>
      <c r="E4029" t="s">
        <v>38</v>
      </c>
      <c r="F4029">
        <v>187.64</v>
      </c>
      <c r="G4029" t="s">
        <v>31</v>
      </c>
      <c r="H4029" t="s">
        <v>15</v>
      </c>
      <c r="I4029">
        <v>4.0999999999999996</v>
      </c>
      <c r="J4029">
        <v>26</v>
      </c>
      <c r="K4029">
        <v>8</v>
      </c>
      <c r="L4029" s="4">
        <v>253.56756756756755</v>
      </c>
      <c r="M4029" s="4">
        <v>65.927567567567564</v>
      </c>
      <c r="N4029" t="s">
        <v>95</v>
      </c>
    </row>
    <row r="4030" spans="1:14">
      <c r="A4030">
        <v>4029</v>
      </c>
      <c r="B4030">
        <v>33</v>
      </c>
      <c r="C4030" t="s">
        <v>16</v>
      </c>
      <c r="D4030" t="s">
        <v>33</v>
      </c>
      <c r="E4030" t="s">
        <v>40</v>
      </c>
      <c r="F4030">
        <v>156.02000000000001</v>
      </c>
      <c r="G4030" t="s">
        <v>19</v>
      </c>
      <c r="H4030" t="s">
        <v>15</v>
      </c>
      <c r="I4030">
        <v>4.5999999999999996</v>
      </c>
      <c r="J4030">
        <v>13</v>
      </c>
      <c r="K4030">
        <v>4</v>
      </c>
      <c r="L4030" s="4">
        <v>179.33333333333334</v>
      </c>
      <c r="M4030" s="4">
        <v>23.313333333333333</v>
      </c>
      <c r="N4030" t="s">
        <v>91</v>
      </c>
    </row>
    <row r="4031" spans="1:14">
      <c r="A4031">
        <v>4030</v>
      </c>
      <c r="B4031">
        <v>37</v>
      </c>
      <c r="C4031" t="s">
        <v>11</v>
      </c>
      <c r="D4031" t="s">
        <v>29</v>
      </c>
      <c r="E4031" t="s">
        <v>30</v>
      </c>
      <c r="F4031">
        <v>21.66</v>
      </c>
      <c r="G4031" t="s">
        <v>24</v>
      </c>
      <c r="H4031" t="s">
        <v>15</v>
      </c>
      <c r="I4031">
        <v>2.9</v>
      </c>
      <c r="J4031">
        <v>10</v>
      </c>
      <c r="K4031">
        <v>5</v>
      </c>
      <c r="L4031" s="4">
        <v>24.066666666666666</v>
      </c>
      <c r="M4031" s="4">
        <v>2.4066666666666663</v>
      </c>
      <c r="N4031" t="s">
        <v>92</v>
      </c>
    </row>
    <row r="4032" spans="1:14">
      <c r="A4032">
        <v>4031</v>
      </c>
      <c r="B4032">
        <v>66</v>
      </c>
      <c r="C4032" t="s">
        <v>11</v>
      </c>
      <c r="D4032" t="s">
        <v>12</v>
      </c>
      <c r="E4032" t="s">
        <v>50</v>
      </c>
      <c r="F4032">
        <v>155.30000000000001</v>
      </c>
      <c r="G4032" t="s">
        <v>14</v>
      </c>
      <c r="H4032" t="s">
        <v>15</v>
      </c>
      <c r="I4032">
        <v>2.8</v>
      </c>
      <c r="J4032">
        <v>10</v>
      </c>
      <c r="K4032">
        <v>5</v>
      </c>
      <c r="L4032" s="4">
        <v>172.55555555555557</v>
      </c>
      <c r="M4032" s="4">
        <v>17.25555555555556</v>
      </c>
      <c r="N4032" t="s">
        <v>95</v>
      </c>
    </row>
    <row r="4033" spans="1:14">
      <c r="A4033">
        <v>4032</v>
      </c>
      <c r="B4033">
        <v>62</v>
      </c>
      <c r="C4033" t="s">
        <v>11</v>
      </c>
      <c r="D4033" t="s">
        <v>33</v>
      </c>
      <c r="E4033" t="s">
        <v>40</v>
      </c>
      <c r="F4033">
        <v>112.89</v>
      </c>
      <c r="G4033" t="s">
        <v>19</v>
      </c>
      <c r="H4033" t="s">
        <v>15</v>
      </c>
      <c r="I4033">
        <v>3.8</v>
      </c>
      <c r="J4033">
        <v>20</v>
      </c>
      <c r="K4033">
        <v>10</v>
      </c>
      <c r="L4033" s="4">
        <v>141.11249999999998</v>
      </c>
      <c r="M4033" s="4">
        <v>28.222499999999982</v>
      </c>
      <c r="N4033" t="s">
        <v>94</v>
      </c>
    </row>
    <row r="4034" spans="1:14">
      <c r="A4034">
        <v>4033</v>
      </c>
      <c r="B4034">
        <v>22</v>
      </c>
      <c r="C4034" t="s">
        <v>11</v>
      </c>
      <c r="D4034" t="s">
        <v>12</v>
      </c>
      <c r="E4034" t="s">
        <v>13</v>
      </c>
      <c r="F4034">
        <v>66.64</v>
      </c>
      <c r="G4034" t="s">
        <v>24</v>
      </c>
      <c r="H4034" t="s">
        <v>37</v>
      </c>
      <c r="I4034">
        <v>3</v>
      </c>
      <c r="J4034">
        <v>15</v>
      </c>
      <c r="K4034">
        <v>5</v>
      </c>
      <c r="L4034" s="4">
        <v>78.400000000000006</v>
      </c>
      <c r="M4034" s="4">
        <v>11.760000000000005</v>
      </c>
      <c r="N4034" t="s">
        <v>100</v>
      </c>
    </row>
    <row r="4035" spans="1:14">
      <c r="A4035">
        <v>4034</v>
      </c>
      <c r="B4035">
        <v>29</v>
      </c>
      <c r="C4035" t="s">
        <v>16</v>
      </c>
      <c r="D4035" t="s">
        <v>33</v>
      </c>
      <c r="E4035" t="s">
        <v>38</v>
      </c>
      <c r="F4035">
        <v>139.43</v>
      </c>
      <c r="G4035" t="s">
        <v>19</v>
      </c>
      <c r="H4035" t="s">
        <v>15</v>
      </c>
      <c r="I4035">
        <v>3.3</v>
      </c>
      <c r="J4035">
        <v>13</v>
      </c>
      <c r="K4035">
        <v>4</v>
      </c>
      <c r="L4035" s="4">
        <v>160.26436781609198</v>
      </c>
      <c r="M4035" s="4">
        <v>20.834367816091969</v>
      </c>
      <c r="N4035" t="s">
        <v>91</v>
      </c>
    </row>
    <row r="4036" spans="1:14">
      <c r="A4036">
        <v>4035</v>
      </c>
      <c r="B4036">
        <v>52</v>
      </c>
      <c r="C4036" t="s">
        <v>11</v>
      </c>
      <c r="D4036" t="s">
        <v>29</v>
      </c>
      <c r="E4036" t="s">
        <v>55</v>
      </c>
      <c r="F4036">
        <v>106.44</v>
      </c>
      <c r="G4036" t="s">
        <v>31</v>
      </c>
      <c r="H4036" t="s">
        <v>15</v>
      </c>
      <c r="I4036">
        <v>4.5</v>
      </c>
      <c r="J4036">
        <v>18</v>
      </c>
      <c r="K4036">
        <v>4</v>
      </c>
      <c r="L4036" s="4">
        <v>129.80487804878047</v>
      </c>
      <c r="M4036" s="4">
        <v>23.364878048780469</v>
      </c>
      <c r="N4036" t="s">
        <v>93</v>
      </c>
    </row>
    <row r="4037" spans="1:14">
      <c r="A4037">
        <v>4036</v>
      </c>
      <c r="B4037">
        <v>47</v>
      </c>
      <c r="C4037" t="s">
        <v>11</v>
      </c>
      <c r="D4037" t="s">
        <v>41</v>
      </c>
      <c r="E4037" t="s">
        <v>45</v>
      </c>
      <c r="F4037">
        <v>79.709999999999994</v>
      </c>
      <c r="G4037" t="s">
        <v>14</v>
      </c>
      <c r="H4037" t="s">
        <v>37</v>
      </c>
      <c r="I4037">
        <v>3.3</v>
      </c>
      <c r="J4037">
        <v>6</v>
      </c>
      <c r="K4037">
        <v>3</v>
      </c>
      <c r="L4037" s="4">
        <v>84.797872340425528</v>
      </c>
      <c r="M4037" s="4">
        <v>5.0878723404255339</v>
      </c>
      <c r="N4037" t="s">
        <v>93</v>
      </c>
    </row>
    <row r="4038" spans="1:14">
      <c r="A4038">
        <v>4037</v>
      </c>
      <c r="B4038">
        <v>67</v>
      </c>
      <c r="C4038" t="s">
        <v>16</v>
      </c>
      <c r="D4038" t="s">
        <v>17</v>
      </c>
      <c r="E4038" t="s">
        <v>35</v>
      </c>
      <c r="F4038">
        <v>188.64</v>
      </c>
      <c r="G4038" t="s">
        <v>24</v>
      </c>
      <c r="H4038" t="s">
        <v>15</v>
      </c>
      <c r="I4038">
        <v>4.5</v>
      </c>
      <c r="J4038">
        <v>20</v>
      </c>
      <c r="K4038">
        <v>5</v>
      </c>
      <c r="L4038" s="4">
        <v>235.79999999999998</v>
      </c>
      <c r="M4038" s="4">
        <v>47.16</v>
      </c>
      <c r="N4038" t="s">
        <v>95</v>
      </c>
    </row>
    <row r="4039" spans="1:14">
      <c r="A4039">
        <v>4038</v>
      </c>
      <c r="B4039">
        <v>34</v>
      </c>
      <c r="C4039" t="s">
        <v>16</v>
      </c>
      <c r="D4039" t="s">
        <v>22</v>
      </c>
      <c r="E4039" t="s">
        <v>52</v>
      </c>
      <c r="F4039">
        <v>136.71</v>
      </c>
      <c r="G4039" t="s">
        <v>24</v>
      </c>
      <c r="H4039" t="s">
        <v>15</v>
      </c>
      <c r="I4039">
        <v>4</v>
      </c>
      <c r="J4039">
        <v>14</v>
      </c>
      <c r="K4039">
        <v>7</v>
      </c>
      <c r="L4039" s="4">
        <v>158.96511627906978</v>
      </c>
      <c r="M4039" s="4">
        <v>22.255116279069767</v>
      </c>
      <c r="N4039" t="s">
        <v>91</v>
      </c>
    </row>
    <row r="4040" spans="1:14">
      <c r="A4040">
        <v>4039</v>
      </c>
      <c r="B4040">
        <v>42</v>
      </c>
      <c r="C4040" t="s">
        <v>11</v>
      </c>
      <c r="D4040" t="s">
        <v>33</v>
      </c>
      <c r="E4040" t="s">
        <v>34</v>
      </c>
      <c r="F4040">
        <v>211.73</v>
      </c>
      <c r="G4040" t="s">
        <v>24</v>
      </c>
      <c r="H4040" t="s">
        <v>15</v>
      </c>
      <c r="I4040">
        <v>4.5999999999999996</v>
      </c>
      <c r="J4040">
        <v>17</v>
      </c>
      <c r="K4040">
        <v>6</v>
      </c>
      <c r="L4040" s="4">
        <v>255.09638554216866</v>
      </c>
      <c r="M4040" s="4">
        <v>43.366385542168672</v>
      </c>
      <c r="N4040" t="s">
        <v>92</v>
      </c>
    </row>
    <row r="4041" spans="1:14">
      <c r="A4041">
        <v>4040</v>
      </c>
      <c r="B4041">
        <v>51</v>
      </c>
      <c r="C4041" t="s">
        <v>11</v>
      </c>
      <c r="D4041" t="s">
        <v>29</v>
      </c>
      <c r="E4041" t="s">
        <v>55</v>
      </c>
      <c r="F4041">
        <v>86.9</v>
      </c>
      <c r="G4041" t="s">
        <v>31</v>
      </c>
      <c r="H4041" t="s">
        <v>15</v>
      </c>
      <c r="I4041">
        <v>4</v>
      </c>
      <c r="J4041">
        <v>16</v>
      </c>
      <c r="K4041">
        <v>8</v>
      </c>
      <c r="L4041" s="4">
        <v>103.45238095238096</v>
      </c>
      <c r="M4041" s="4">
        <v>16.552380952380958</v>
      </c>
      <c r="N4041" t="s">
        <v>93</v>
      </c>
    </row>
    <row r="4042" spans="1:14">
      <c r="A4042">
        <v>4041</v>
      </c>
      <c r="B4042">
        <v>51</v>
      </c>
      <c r="C4042" t="s">
        <v>11</v>
      </c>
      <c r="D4042" t="s">
        <v>33</v>
      </c>
      <c r="E4042" t="s">
        <v>40</v>
      </c>
      <c r="F4042">
        <v>80.319999999999993</v>
      </c>
      <c r="G4042" t="s">
        <v>31</v>
      </c>
      <c r="H4042" t="s">
        <v>37</v>
      </c>
      <c r="I4042">
        <v>4</v>
      </c>
      <c r="J4042">
        <v>25</v>
      </c>
      <c r="K4042">
        <v>10</v>
      </c>
      <c r="L4042" s="4">
        <v>107.09333333333332</v>
      </c>
      <c r="M4042" s="4">
        <v>26.773333333333326</v>
      </c>
      <c r="N4042" t="s">
        <v>93</v>
      </c>
    </row>
    <row r="4043" spans="1:14">
      <c r="A4043">
        <v>4042</v>
      </c>
      <c r="B4043">
        <v>50</v>
      </c>
      <c r="C4043" t="s">
        <v>11</v>
      </c>
      <c r="D4043" t="s">
        <v>41</v>
      </c>
      <c r="E4043" t="s">
        <v>46</v>
      </c>
      <c r="F4043">
        <v>110.41</v>
      </c>
      <c r="G4043" t="s">
        <v>24</v>
      </c>
      <c r="H4043" t="s">
        <v>15</v>
      </c>
      <c r="I4043">
        <v>3</v>
      </c>
      <c r="J4043">
        <v>17</v>
      </c>
      <c r="K4043">
        <v>6</v>
      </c>
      <c r="L4043" s="4">
        <v>133.02409638554218</v>
      </c>
      <c r="M4043" s="4">
        <v>22.614096385542183</v>
      </c>
      <c r="N4043" t="s">
        <v>93</v>
      </c>
    </row>
    <row r="4044" spans="1:14">
      <c r="A4044">
        <v>4043</v>
      </c>
      <c r="B4044">
        <v>62</v>
      </c>
      <c r="C4044" t="s">
        <v>11</v>
      </c>
      <c r="D4044" t="s">
        <v>12</v>
      </c>
      <c r="E4044" t="s">
        <v>56</v>
      </c>
      <c r="F4044">
        <v>173.41</v>
      </c>
      <c r="G4044" t="s">
        <v>24</v>
      </c>
      <c r="H4044" t="s">
        <v>15</v>
      </c>
      <c r="I4044">
        <v>3.9</v>
      </c>
      <c r="J4044">
        <v>13</v>
      </c>
      <c r="K4044">
        <v>4</v>
      </c>
      <c r="L4044" s="4">
        <v>199.32183908045977</v>
      </c>
      <c r="M4044" s="4">
        <v>25.911839080459771</v>
      </c>
      <c r="N4044" t="s">
        <v>94</v>
      </c>
    </row>
    <row r="4045" spans="1:14">
      <c r="A4045">
        <v>4044</v>
      </c>
      <c r="B4045">
        <v>41</v>
      </c>
      <c r="C4045" t="s">
        <v>16</v>
      </c>
      <c r="D4045" t="s">
        <v>33</v>
      </c>
      <c r="E4045" t="s">
        <v>34</v>
      </c>
      <c r="F4045">
        <v>227.74</v>
      </c>
      <c r="G4045" t="s">
        <v>24</v>
      </c>
      <c r="H4045" t="s">
        <v>15</v>
      </c>
      <c r="I4045">
        <v>3.6</v>
      </c>
      <c r="J4045">
        <v>8</v>
      </c>
      <c r="K4045">
        <v>4</v>
      </c>
      <c r="L4045" s="4">
        <v>247.54347826086956</v>
      </c>
      <c r="M4045" s="4">
        <v>19.803478260869554</v>
      </c>
      <c r="N4045" t="s">
        <v>92</v>
      </c>
    </row>
    <row r="4046" spans="1:14">
      <c r="A4046">
        <v>4045</v>
      </c>
      <c r="B4046">
        <v>59</v>
      </c>
      <c r="C4046" t="s">
        <v>16</v>
      </c>
      <c r="D4046" t="s">
        <v>20</v>
      </c>
      <c r="E4046" t="s">
        <v>36</v>
      </c>
      <c r="F4046">
        <v>63.64</v>
      </c>
      <c r="G4046" t="s">
        <v>24</v>
      </c>
      <c r="H4046" t="s">
        <v>37</v>
      </c>
      <c r="I4046">
        <v>3.9</v>
      </c>
      <c r="J4046">
        <v>22</v>
      </c>
      <c r="K4046">
        <v>6</v>
      </c>
      <c r="L4046" s="4">
        <v>81.589743589743591</v>
      </c>
      <c r="M4046" s="4">
        <v>17.949743589743591</v>
      </c>
      <c r="N4046" t="s">
        <v>94</v>
      </c>
    </row>
    <row r="4047" spans="1:14">
      <c r="A4047">
        <v>4046</v>
      </c>
      <c r="B4047">
        <v>39</v>
      </c>
      <c r="C4047" t="s">
        <v>16</v>
      </c>
      <c r="D4047" t="s">
        <v>27</v>
      </c>
      <c r="E4047" t="s">
        <v>53</v>
      </c>
      <c r="F4047">
        <v>2936.44</v>
      </c>
      <c r="G4047" t="s">
        <v>19</v>
      </c>
      <c r="H4047" t="s">
        <v>15</v>
      </c>
      <c r="I4047">
        <v>4.3</v>
      </c>
      <c r="J4047">
        <v>9</v>
      </c>
      <c r="K4047">
        <v>2</v>
      </c>
      <c r="L4047" s="4">
        <v>3226.8571428571427</v>
      </c>
      <c r="M4047" s="4">
        <v>290.41714285714261</v>
      </c>
      <c r="N4047" t="s">
        <v>92</v>
      </c>
    </row>
    <row r="4048" spans="1:14">
      <c r="A4048">
        <v>4047</v>
      </c>
      <c r="B4048">
        <v>48</v>
      </c>
      <c r="C4048" t="s">
        <v>11</v>
      </c>
      <c r="D4048" t="s">
        <v>41</v>
      </c>
      <c r="E4048" t="s">
        <v>46</v>
      </c>
      <c r="F4048">
        <v>85.77</v>
      </c>
      <c r="G4048" t="s">
        <v>14</v>
      </c>
      <c r="H4048" t="s">
        <v>37</v>
      </c>
      <c r="I4048">
        <v>4.2</v>
      </c>
      <c r="J4048">
        <v>15</v>
      </c>
      <c r="K4048">
        <v>5</v>
      </c>
      <c r="L4048" s="4">
        <v>100.90588235294118</v>
      </c>
      <c r="M4048" s="4">
        <v>15.135882352941181</v>
      </c>
      <c r="N4048" t="s">
        <v>93</v>
      </c>
    </row>
    <row r="4049" spans="1:14">
      <c r="A4049">
        <v>4048</v>
      </c>
      <c r="B4049">
        <v>42</v>
      </c>
      <c r="C4049" t="s">
        <v>11</v>
      </c>
      <c r="D4049" t="s">
        <v>41</v>
      </c>
      <c r="E4049" t="s">
        <v>42</v>
      </c>
      <c r="F4049">
        <v>149.1</v>
      </c>
      <c r="G4049" t="s">
        <v>24</v>
      </c>
      <c r="H4049" t="s">
        <v>15</v>
      </c>
      <c r="I4049">
        <v>4.5999999999999996</v>
      </c>
      <c r="J4049">
        <v>32</v>
      </c>
      <c r="K4049">
        <v>11</v>
      </c>
      <c r="L4049" s="4">
        <v>219.26470588235296</v>
      </c>
      <c r="M4049" s="4">
        <v>70.164705882352962</v>
      </c>
      <c r="N4049" t="s">
        <v>92</v>
      </c>
    </row>
    <row r="4050" spans="1:14">
      <c r="A4050">
        <v>4049</v>
      </c>
      <c r="B4050">
        <v>54</v>
      </c>
      <c r="C4050" t="s">
        <v>16</v>
      </c>
      <c r="D4050" t="s">
        <v>20</v>
      </c>
      <c r="E4050" t="s">
        <v>21</v>
      </c>
      <c r="F4050">
        <v>231.13</v>
      </c>
      <c r="G4050" t="s">
        <v>31</v>
      </c>
      <c r="H4050" t="s">
        <v>15</v>
      </c>
      <c r="I4050">
        <v>4.5999999999999996</v>
      </c>
      <c r="J4050">
        <v>21</v>
      </c>
      <c r="K4050">
        <v>8</v>
      </c>
      <c r="L4050" s="4">
        <v>292.56962025316454</v>
      </c>
      <c r="M4050" s="4">
        <v>61.439620253164549</v>
      </c>
      <c r="N4050" t="s">
        <v>93</v>
      </c>
    </row>
    <row r="4051" spans="1:14">
      <c r="A4051">
        <v>4050</v>
      </c>
      <c r="B4051">
        <v>36</v>
      </c>
      <c r="C4051" t="s">
        <v>16</v>
      </c>
      <c r="D4051" t="s">
        <v>20</v>
      </c>
      <c r="E4051" t="s">
        <v>36</v>
      </c>
      <c r="F4051">
        <v>193.53</v>
      </c>
      <c r="G4051" t="s">
        <v>14</v>
      </c>
      <c r="H4051" t="s">
        <v>15</v>
      </c>
      <c r="I4051">
        <v>2.2000000000000002</v>
      </c>
      <c r="J4051">
        <v>10</v>
      </c>
      <c r="K4051">
        <v>5</v>
      </c>
      <c r="L4051" s="4">
        <v>215.03333333333333</v>
      </c>
      <c r="M4051" s="4">
        <v>21.50333333333333</v>
      </c>
      <c r="N4051" t="s">
        <v>92</v>
      </c>
    </row>
    <row r="4052" spans="1:14">
      <c r="A4052">
        <v>4051</v>
      </c>
      <c r="B4052">
        <v>30</v>
      </c>
      <c r="C4052" t="s">
        <v>16</v>
      </c>
      <c r="D4052" t="s">
        <v>17</v>
      </c>
      <c r="E4052" t="s">
        <v>42</v>
      </c>
      <c r="F4052">
        <v>47.15</v>
      </c>
      <c r="G4052" t="s">
        <v>14</v>
      </c>
      <c r="H4052" t="s">
        <v>37</v>
      </c>
      <c r="I4052">
        <v>4.9000000000000004</v>
      </c>
      <c r="J4052">
        <v>24</v>
      </c>
      <c r="K4052">
        <v>7</v>
      </c>
      <c r="L4052" s="4">
        <v>62.03947368421052</v>
      </c>
      <c r="M4052" s="4">
        <v>14.889473684210522</v>
      </c>
      <c r="N4052" t="s">
        <v>91</v>
      </c>
    </row>
    <row r="4053" spans="1:14">
      <c r="A4053">
        <v>4052</v>
      </c>
      <c r="B4053">
        <v>38</v>
      </c>
      <c r="C4053" t="s">
        <v>16</v>
      </c>
      <c r="D4053" t="s">
        <v>27</v>
      </c>
      <c r="E4053" t="s">
        <v>49</v>
      </c>
      <c r="F4053">
        <v>824.08</v>
      </c>
      <c r="G4053" t="s">
        <v>19</v>
      </c>
      <c r="H4053" t="s">
        <v>15</v>
      </c>
      <c r="I4053">
        <v>4.9000000000000004</v>
      </c>
      <c r="J4053">
        <v>12</v>
      </c>
      <c r="K4053">
        <v>6</v>
      </c>
      <c r="L4053" s="4">
        <v>936.4545454545455</v>
      </c>
      <c r="M4053" s="4">
        <v>112.37454545454545</v>
      </c>
      <c r="N4053" t="s">
        <v>92</v>
      </c>
    </row>
    <row r="4054" spans="1:14">
      <c r="A4054">
        <v>4053</v>
      </c>
      <c r="B4054">
        <v>47</v>
      </c>
      <c r="C4054" t="s">
        <v>11</v>
      </c>
      <c r="D4054" t="s">
        <v>41</v>
      </c>
      <c r="E4054" t="s">
        <v>45</v>
      </c>
      <c r="F4054">
        <v>86.68</v>
      </c>
      <c r="G4054" t="s">
        <v>14</v>
      </c>
      <c r="H4054" t="s">
        <v>15</v>
      </c>
      <c r="I4054">
        <v>4.9000000000000004</v>
      </c>
      <c r="J4054">
        <v>16</v>
      </c>
      <c r="K4054">
        <v>3</v>
      </c>
      <c r="L4054" s="4">
        <v>103.1904761904762</v>
      </c>
      <c r="M4054" s="4">
        <v>16.510476190476197</v>
      </c>
      <c r="N4054" t="s">
        <v>93</v>
      </c>
    </row>
    <row r="4055" spans="1:14">
      <c r="A4055">
        <v>4054</v>
      </c>
      <c r="B4055">
        <v>37</v>
      </c>
      <c r="C4055" t="s">
        <v>16</v>
      </c>
      <c r="D4055" t="s">
        <v>20</v>
      </c>
      <c r="E4055" t="s">
        <v>39</v>
      </c>
      <c r="F4055">
        <v>218.43</v>
      </c>
      <c r="G4055" t="s">
        <v>14</v>
      </c>
      <c r="H4055" t="s">
        <v>15</v>
      </c>
      <c r="I4055">
        <v>4.0999999999999996</v>
      </c>
      <c r="J4055">
        <v>20</v>
      </c>
      <c r="K4055">
        <v>5</v>
      </c>
      <c r="L4055" s="4">
        <v>273.03749999999997</v>
      </c>
      <c r="M4055" s="4">
        <v>54.607499999999959</v>
      </c>
      <c r="N4055" t="s">
        <v>92</v>
      </c>
    </row>
    <row r="4056" spans="1:14">
      <c r="A4056">
        <v>4055</v>
      </c>
      <c r="B4056">
        <v>68</v>
      </c>
      <c r="C4056" t="s">
        <v>16</v>
      </c>
      <c r="D4056" t="s">
        <v>25</v>
      </c>
      <c r="E4056" t="s">
        <v>47</v>
      </c>
      <c r="F4056">
        <v>21.72</v>
      </c>
      <c r="G4056" t="s">
        <v>24</v>
      </c>
      <c r="H4056" t="s">
        <v>37</v>
      </c>
      <c r="I4056">
        <v>3.1</v>
      </c>
      <c r="J4056">
        <v>18</v>
      </c>
      <c r="K4056">
        <v>4</v>
      </c>
      <c r="L4056" s="4">
        <v>26.487804878048777</v>
      </c>
      <c r="M4056" s="4">
        <v>4.7678048780487785</v>
      </c>
      <c r="N4056" t="s">
        <v>95</v>
      </c>
    </row>
    <row r="4057" spans="1:14">
      <c r="A4057">
        <v>4056</v>
      </c>
      <c r="B4057">
        <v>21</v>
      </c>
      <c r="C4057" t="s">
        <v>11</v>
      </c>
      <c r="D4057" t="s">
        <v>29</v>
      </c>
      <c r="E4057" t="s">
        <v>30</v>
      </c>
      <c r="F4057">
        <v>23.57</v>
      </c>
      <c r="G4057" t="s">
        <v>31</v>
      </c>
      <c r="H4057" t="s">
        <v>37</v>
      </c>
      <c r="I4057">
        <v>4.3</v>
      </c>
      <c r="J4057">
        <v>22</v>
      </c>
      <c r="K4057">
        <v>6</v>
      </c>
      <c r="L4057" s="4">
        <v>30.217948717948719</v>
      </c>
      <c r="M4057" s="4">
        <v>6.6479487179487187</v>
      </c>
      <c r="N4057" t="s">
        <v>100</v>
      </c>
    </row>
    <row r="4058" spans="1:14">
      <c r="A4058">
        <v>4057</v>
      </c>
      <c r="B4058">
        <v>70</v>
      </c>
      <c r="C4058" t="s">
        <v>16</v>
      </c>
      <c r="D4058" t="s">
        <v>22</v>
      </c>
      <c r="E4058" t="s">
        <v>23</v>
      </c>
      <c r="F4058">
        <v>177.36</v>
      </c>
      <c r="G4058" t="s">
        <v>14</v>
      </c>
      <c r="H4058" t="s">
        <v>15</v>
      </c>
      <c r="I4058">
        <v>3.2</v>
      </c>
      <c r="J4058">
        <v>22</v>
      </c>
      <c r="K4058">
        <v>6</v>
      </c>
      <c r="L4058" s="4">
        <v>227.38461538461539</v>
      </c>
      <c r="M4058" s="4">
        <v>50.024615384615373</v>
      </c>
      <c r="N4058" t="s">
        <v>95</v>
      </c>
    </row>
    <row r="4059" spans="1:14">
      <c r="A4059">
        <v>4058</v>
      </c>
      <c r="B4059">
        <v>49</v>
      </c>
      <c r="C4059" t="s">
        <v>11</v>
      </c>
      <c r="D4059" t="s">
        <v>41</v>
      </c>
      <c r="E4059" t="s">
        <v>46</v>
      </c>
      <c r="F4059">
        <v>125.76</v>
      </c>
      <c r="G4059" t="s">
        <v>19</v>
      </c>
      <c r="H4059" t="s">
        <v>15</v>
      </c>
      <c r="I4059">
        <v>3.6</v>
      </c>
      <c r="J4059">
        <v>16</v>
      </c>
      <c r="K4059">
        <v>3</v>
      </c>
      <c r="L4059" s="4">
        <v>149.71428571428572</v>
      </c>
      <c r="M4059" s="4">
        <v>23.954285714285717</v>
      </c>
      <c r="N4059" t="s">
        <v>93</v>
      </c>
    </row>
    <row r="4060" spans="1:14">
      <c r="A4060">
        <v>4059</v>
      </c>
      <c r="B4060">
        <v>70</v>
      </c>
      <c r="C4060" t="s">
        <v>16</v>
      </c>
      <c r="D4060" t="s">
        <v>22</v>
      </c>
      <c r="E4060" t="s">
        <v>23</v>
      </c>
      <c r="F4060">
        <v>118.9</v>
      </c>
      <c r="G4060" t="s">
        <v>14</v>
      </c>
      <c r="H4060" t="s">
        <v>15</v>
      </c>
      <c r="I4060">
        <v>4.5</v>
      </c>
      <c r="J4060">
        <v>8</v>
      </c>
      <c r="K4060">
        <v>4</v>
      </c>
      <c r="L4060" s="4">
        <v>129.2391304347826</v>
      </c>
      <c r="M4060" s="4">
        <v>10.339130434782589</v>
      </c>
      <c r="N4060" t="s">
        <v>95</v>
      </c>
    </row>
    <row r="4061" spans="1:14">
      <c r="A4061">
        <v>4060</v>
      </c>
      <c r="B4061">
        <v>60</v>
      </c>
      <c r="C4061" t="s">
        <v>16</v>
      </c>
      <c r="D4061" t="s">
        <v>20</v>
      </c>
      <c r="E4061" t="s">
        <v>36</v>
      </c>
      <c r="F4061">
        <v>103.3</v>
      </c>
      <c r="G4061" t="s">
        <v>24</v>
      </c>
      <c r="H4061" t="s">
        <v>15</v>
      </c>
      <c r="I4061">
        <v>3.2</v>
      </c>
      <c r="J4061">
        <v>26</v>
      </c>
      <c r="K4061">
        <v>8</v>
      </c>
      <c r="L4061" s="4">
        <v>139.59459459459458</v>
      </c>
      <c r="M4061" s="4">
        <v>36.294594594594585</v>
      </c>
      <c r="N4061" t="s">
        <v>94</v>
      </c>
    </row>
    <row r="4062" spans="1:14">
      <c r="A4062">
        <v>4061</v>
      </c>
      <c r="B4062">
        <v>22</v>
      </c>
      <c r="C4062" t="s">
        <v>11</v>
      </c>
      <c r="D4062" t="s">
        <v>41</v>
      </c>
      <c r="E4062" t="s">
        <v>44</v>
      </c>
      <c r="F4062">
        <v>34.979999999999997</v>
      </c>
      <c r="G4062" t="s">
        <v>19</v>
      </c>
      <c r="H4062" t="s">
        <v>15</v>
      </c>
      <c r="I4062">
        <v>3.9</v>
      </c>
      <c r="J4062">
        <v>4</v>
      </c>
      <c r="K4062">
        <v>2</v>
      </c>
      <c r="L4062" s="4">
        <v>36.4375</v>
      </c>
      <c r="M4062" s="4">
        <v>1.4575000000000031</v>
      </c>
      <c r="N4062" t="s">
        <v>100</v>
      </c>
    </row>
    <row r="4063" spans="1:14">
      <c r="A4063">
        <v>4062</v>
      </c>
      <c r="B4063">
        <v>44</v>
      </c>
      <c r="C4063" t="s">
        <v>16</v>
      </c>
      <c r="D4063" t="s">
        <v>17</v>
      </c>
      <c r="E4063" t="s">
        <v>48</v>
      </c>
      <c r="F4063">
        <v>193.69</v>
      </c>
      <c r="G4063" t="s">
        <v>31</v>
      </c>
      <c r="H4063" t="s">
        <v>15</v>
      </c>
      <c r="I4063">
        <v>2.8</v>
      </c>
      <c r="J4063">
        <v>17</v>
      </c>
      <c r="K4063">
        <v>6</v>
      </c>
      <c r="L4063" s="4">
        <v>233.36144578313255</v>
      </c>
      <c r="M4063" s="4">
        <v>39.671445783132555</v>
      </c>
      <c r="N4063" t="s">
        <v>92</v>
      </c>
    </row>
    <row r="4064" spans="1:14">
      <c r="A4064">
        <v>4063</v>
      </c>
      <c r="B4064">
        <v>29</v>
      </c>
      <c r="C4064" t="s">
        <v>16</v>
      </c>
      <c r="D4064" t="s">
        <v>20</v>
      </c>
      <c r="E4064" t="s">
        <v>39</v>
      </c>
      <c r="F4064">
        <v>40.36</v>
      </c>
      <c r="G4064" t="s">
        <v>24</v>
      </c>
      <c r="H4064" t="s">
        <v>37</v>
      </c>
      <c r="I4064">
        <v>3.5</v>
      </c>
      <c r="J4064">
        <v>7</v>
      </c>
      <c r="K4064">
        <v>1</v>
      </c>
      <c r="L4064" s="4">
        <v>43.397849462365592</v>
      </c>
      <c r="M4064" s="4">
        <v>3.0378494623655925</v>
      </c>
      <c r="N4064" t="s">
        <v>91</v>
      </c>
    </row>
    <row r="4065" spans="1:14">
      <c r="A4065">
        <v>4064</v>
      </c>
      <c r="B4065">
        <v>66</v>
      </c>
      <c r="C4065" t="s">
        <v>16</v>
      </c>
      <c r="D4065" t="s">
        <v>27</v>
      </c>
      <c r="E4065" t="s">
        <v>28</v>
      </c>
      <c r="F4065">
        <v>1248.04</v>
      </c>
      <c r="G4065" t="s">
        <v>31</v>
      </c>
      <c r="H4065" t="s">
        <v>15</v>
      </c>
      <c r="I4065">
        <v>3.8</v>
      </c>
      <c r="J4065">
        <v>20</v>
      </c>
      <c r="K4065">
        <v>5</v>
      </c>
      <c r="L4065" s="4">
        <v>1560.05</v>
      </c>
      <c r="M4065" s="4">
        <v>312.01</v>
      </c>
      <c r="N4065" t="s">
        <v>95</v>
      </c>
    </row>
    <row r="4066" spans="1:14">
      <c r="A4066">
        <v>4065</v>
      </c>
      <c r="B4066">
        <v>64</v>
      </c>
      <c r="C4066" t="s">
        <v>16</v>
      </c>
      <c r="D4066" t="s">
        <v>20</v>
      </c>
      <c r="E4066" t="s">
        <v>39</v>
      </c>
      <c r="F4066">
        <v>176.11</v>
      </c>
      <c r="G4066" t="s">
        <v>14</v>
      </c>
      <c r="H4066" t="s">
        <v>15</v>
      </c>
      <c r="I4066">
        <v>3.5</v>
      </c>
      <c r="J4066">
        <v>10</v>
      </c>
      <c r="K4066">
        <v>5</v>
      </c>
      <c r="L4066" s="4">
        <v>195.67777777777778</v>
      </c>
      <c r="M4066" s="4">
        <v>19.567777777777764</v>
      </c>
      <c r="N4066" t="s">
        <v>94</v>
      </c>
    </row>
    <row r="4067" spans="1:14">
      <c r="A4067">
        <v>4066</v>
      </c>
      <c r="B4067">
        <v>56</v>
      </c>
      <c r="C4067" t="s">
        <v>16</v>
      </c>
      <c r="D4067" t="s">
        <v>20</v>
      </c>
      <c r="E4067" t="s">
        <v>21</v>
      </c>
      <c r="F4067">
        <v>165.49</v>
      </c>
      <c r="G4067" t="s">
        <v>14</v>
      </c>
      <c r="H4067" t="s">
        <v>15</v>
      </c>
      <c r="I4067">
        <v>3.8</v>
      </c>
      <c r="J4067">
        <v>22</v>
      </c>
      <c r="K4067">
        <v>6</v>
      </c>
      <c r="L4067" s="4">
        <v>212.16666666666666</v>
      </c>
      <c r="M4067" s="4">
        <v>46.676666666666648</v>
      </c>
      <c r="N4067" t="s">
        <v>94</v>
      </c>
    </row>
    <row r="4068" spans="1:14">
      <c r="A4068">
        <v>4067</v>
      </c>
      <c r="B4068">
        <v>65</v>
      </c>
      <c r="C4068" t="s">
        <v>16</v>
      </c>
      <c r="D4068" t="s">
        <v>20</v>
      </c>
      <c r="E4068" t="s">
        <v>36</v>
      </c>
      <c r="F4068">
        <v>147.71</v>
      </c>
      <c r="G4068" t="s">
        <v>14</v>
      </c>
      <c r="H4068" t="s">
        <v>15</v>
      </c>
      <c r="I4068">
        <v>3.4</v>
      </c>
      <c r="J4068">
        <v>13</v>
      </c>
      <c r="K4068">
        <v>4</v>
      </c>
      <c r="L4068" s="4">
        <v>169.7816091954023</v>
      </c>
      <c r="M4068" s="4">
        <v>22.071609195402289</v>
      </c>
      <c r="N4068" t="s">
        <v>95</v>
      </c>
    </row>
    <row r="4069" spans="1:14">
      <c r="A4069">
        <v>4068</v>
      </c>
      <c r="B4069">
        <v>26</v>
      </c>
      <c r="C4069" t="s">
        <v>11</v>
      </c>
      <c r="D4069" t="s">
        <v>33</v>
      </c>
      <c r="E4069" t="s">
        <v>38</v>
      </c>
      <c r="F4069">
        <v>167.62</v>
      </c>
      <c r="G4069" t="s">
        <v>31</v>
      </c>
      <c r="H4069" t="s">
        <v>15</v>
      </c>
      <c r="I4069">
        <v>3.4</v>
      </c>
      <c r="J4069">
        <v>30</v>
      </c>
      <c r="K4069">
        <v>10</v>
      </c>
      <c r="L4069" s="4">
        <v>239.45714285714288</v>
      </c>
      <c r="M4069" s="4">
        <v>71.837142857142879</v>
      </c>
      <c r="N4069" t="s">
        <v>91</v>
      </c>
    </row>
    <row r="4070" spans="1:14">
      <c r="A4070">
        <v>4069</v>
      </c>
      <c r="B4070">
        <v>53</v>
      </c>
      <c r="C4070" t="s">
        <v>16</v>
      </c>
      <c r="D4070" t="s">
        <v>22</v>
      </c>
      <c r="E4070" t="s">
        <v>52</v>
      </c>
      <c r="F4070">
        <v>103.21</v>
      </c>
      <c r="G4070" t="s">
        <v>24</v>
      </c>
      <c r="H4070" t="s">
        <v>15</v>
      </c>
      <c r="I4070">
        <v>3.3</v>
      </c>
      <c r="J4070">
        <v>11</v>
      </c>
      <c r="K4070">
        <v>3</v>
      </c>
      <c r="L4070" s="4">
        <v>115.96629213483145</v>
      </c>
      <c r="M4070" s="4">
        <v>12.756292134831455</v>
      </c>
      <c r="N4070" t="s">
        <v>93</v>
      </c>
    </row>
    <row r="4071" spans="1:14">
      <c r="A4071">
        <v>4070</v>
      </c>
      <c r="B4071">
        <v>70</v>
      </c>
      <c r="C4071" t="s">
        <v>16</v>
      </c>
      <c r="D4071" t="s">
        <v>33</v>
      </c>
      <c r="E4071" t="s">
        <v>40</v>
      </c>
      <c r="F4071">
        <v>56.28</v>
      </c>
      <c r="G4071" t="s">
        <v>31</v>
      </c>
      <c r="H4071" t="s">
        <v>15</v>
      </c>
      <c r="I4071">
        <v>2.9</v>
      </c>
      <c r="J4071">
        <v>10</v>
      </c>
      <c r="K4071">
        <v>5</v>
      </c>
      <c r="L4071" s="4">
        <v>62.533333333333331</v>
      </c>
      <c r="M4071" s="4">
        <v>6.2533333333333303</v>
      </c>
      <c r="N4071" t="s">
        <v>95</v>
      </c>
    </row>
    <row r="4072" spans="1:14">
      <c r="A4072">
        <v>4071</v>
      </c>
      <c r="B4072">
        <v>48</v>
      </c>
      <c r="C4072" t="s">
        <v>16</v>
      </c>
      <c r="D4072" t="s">
        <v>20</v>
      </c>
      <c r="E4072" t="s">
        <v>36</v>
      </c>
      <c r="F4072">
        <v>136.24</v>
      </c>
      <c r="G4072" t="s">
        <v>31</v>
      </c>
      <c r="H4072" t="s">
        <v>15</v>
      </c>
      <c r="I4072">
        <v>3.3</v>
      </c>
      <c r="J4072">
        <v>14</v>
      </c>
      <c r="K4072">
        <v>7</v>
      </c>
      <c r="L4072" s="4">
        <v>158.41860465116281</v>
      </c>
      <c r="M4072" s="4">
        <v>22.1786046511628</v>
      </c>
      <c r="N4072" t="s">
        <v>93</v>
      </c>
    </row>
    <row r="4073" spans="1:14">
      <c r="A4073">
        <v>4072</v>
      </c>
      <c r="B4073">
        <v>53</v>
      </c>
      <c r="C4073" t="s">
        <v>11</v>
      </c>
      <c r="D4073" t="s">
        <v>29</v>
      </c>
      <c r="E4073" t="s">
        <v>55</v>
      </c>
      <c r="F4073">
        <v>125.77</v>
      </c>
      <c r="G4073" t="s">
        <v>19</v>
      </c>
      <c r="H4073" t="s">
        <v>15</v>
      </c>
      <c r="I4073">
        <v>3.4</v>
      </c>
      <c r="J4073">
        <v>10</v>
      </c>
      <c r="K4073">
        <v>5</v>
      </c>
      <c r="L4073" s="4">
        <v>139.74444444444444</v>
      </c>
      <c r="M4073" s="4">
        <v>13.974444444444444</v>
      </c>
      <c r="N4073" t="s">
        <v>93</v>
      </c>
    </row>
    <row r="4074" spans="1:14">
      <c r="A4074">
        <v>4073</v>
      </c>
      <c r="B4074">
        <v>26</v>
      </c>
      <c r="C4074" t="s">
        <v>11</v>
      </c>
      <c r="D4074" t="s">
        <v>12</v>
      </c>
      <c r="E4074" t="s">
        <v>50</v>
      </c>
      <c r="F4074">
        <v>62.53</v>
      </c>
      <c r="G4074" t="s">
        <v>31</v>
      </c>
      <c r="H4074" t="s">
        <v>37</v>
      </c>
      <c r="I4074">
        <v>3.8</v>
      </c>
      <c r="J4074">
        <v>16</v>
      </c>
      <c r="K4074">
        <v>8</v>
      </c>
      <c r="L4074" s="4">
        <v>74.44047619047619</v>
      </c>
      <c r="M4074" s="4">
        <v>11.910476190476189</v>
      </c>
      <c r="N4074" t="s">
        <v>91</v>
      </c>
    </row>
    <row r="4075" spans="1:14">
      <c r="A4075">
        <v>4074</v>
      </c>
      <c r="B4075">
        <v>28</v>
      </c>
      <c r="C4075" t="s">
        <v>11</v>
      </c>
      <c r="D4075" t="s">
        <v>33</v>
      </c>
      <c r="E4075" t="s">
        <v>40</v>
      </c>
      <c r="F4075">
        <v>205.3</v>
      </c>
      <c r="G4075" t="s">
        <v>14</v>
      </c>
      <c r="H4075" t="s">
        <v>15</v>
      </c>
      <c r="I4075">
        <v>4.8</v>
      </c>
      <c r="J4075">
        <v>10</v>
      </c>
      <c r="K4075">
        <v>5</v>
      </c>
      <c r="L4075" s="4">
        <v>228.11111111111111</v>
      </c>
      <c r="M4075" s="4">
        <v>22.811111111111103</v>
      </c>
      <c r="N4075" t="s">
        <v>91</v>
      </c>
    </row>
    <row r="4076" spans="1:14">
      <c r="A4076">
        <v>4075</v>
      </c>
      <c r="B4076">
        <v>39</v>
      </c>
      <c r="C4076" t="s">
        <v>11</v>
      </c>
      <c r="D4076" t="s">
        <v>29</v>
      </c>
      <c r="E4076" t="s">
        <v>51</v>
      </c>
      <c r="F4076">
        <v>99.04</v>
      </c>
      <c r="G4076" t="s">
        <v>14</v>
      </c>
      <c r="H4076" t="s">
        <v>15</v>
      </c>
      <c r="I4076">
        <v>4.5</v>
      </c>
      <c r="J4076">
        <v>26</v>
      </c>
      <c r="K4076">
        <v>8</v>
      </c>
      <c r="L4076" s="4">
        <v>133.83783783783784</v>
      </c>
      <c r="M4076" s="4">
        <v>34.797837837837832</v>
      </c>
      <c r="N4076" t="s">
        <v>92</v>
      </c>
    </row>
    <row r="4077" spans="1:14">
      <c r="A4077">
        <v>4076</v>
      </c>
      <c r="B4077">
        <v>33</v>
      </c>
      <c r="C4077" t="s">
        <v>16</v>
      </c>
      <c r="D4077" t="s">
        <v>20</v>
      </c>
      <c r="E4077" t="s">
        <v>36</v>
      </c>
      <c r="F4077">
        <v>123.12</v>
      </c>
      <c r="G4077" t="s">
        <v>24</v>
      </c>
      <c r="H4077" t="s">
        <v>15</v>
      </c>
      <c r="I4077">
        <v>4</v>
      </c>
      <c r="J4077">
        <v>18</v>
      </c>
      <c r="K4077">
        <v>9</v>
      </c>
      <c r="L4077" s="4">
        <v>150.14634146341461</v>
      </c>
      <c r="M4077" s="4">
        <v>27.02634146341461</v>
      </c>
      <c r="N4077" t="s">
        <v>91</v>
      </c>
    </row>
    <row r="4078" spans="1:14">
      <c r="A4078">
        <v>4077</v>
      </c>
      <c r="B4078">
        <v>40</v>
      </c>
      <c r="C4078" t="s">
        <v>16</v>
      </c>
      <c r="D4078" t="s">
        <v>27</v>
      </c>
      <c r="E4078" t="s">
        <v>49</v>
      </c>
      <c r="F4078">
        <v>1512.28</v>
      </c>
      <c r="G4078" t="s">
        <v>19</v>
      </c>
      <c r="H4078" t="s">
        <v>15</v>
      </c>
      <c r="I4078">
        <v>3.8</v>
      </c>
      <c r="J4078">
        <v>15</v>
      </c>
      <c r="K4078">
        <v>5</v>
      </c>
      <c r="L4078" s="4">
        <v>1779.1529411764707</v>
      </c>
      <c r="M4078" s="4">
        <v>266.8729411764707</v>
      </c>
      <c r="N4078" t="s">
        <v>92</v>
      </c>
    </row>
    <row r="4079" spans="1:14">
      <c r="A4079">
        <v>4078</v>
      </c>
      <c r="B4079">
        <v>62</v>
      </c>
      <c r="C4079" t="s">
        <v>16</v>
      </c>
      <c r="D4079" t="s">
        <v>17</v>
      </c>
      <c r="E4079" t="s">
        <v>35</v>
      </c>
      <c r="F4079">
        <v>71.94</v>
      </c>
      <c r="G4079" t="s">
        <v>31</v>
      </c>
      <c r="H4079" t="s">
        <v>15</v>
      </c>
      <c r="I4079">
        <v>4.9000000000000004</v>
      </c>
      <c r="J4079">
        <v>17</v>
      </c>
      <c r="K4079">
        <v>6</v>
      </c>
      <c r="L4079" s="4">
        <v>86.674698795180731</v>
      </c>
      <c r="M4079" s="4">
        <v>14.734698795180734</v>
      </c>
      <c r="N4079" t="s">
        <v>94</v>
      </c>
    </row>
    <row r="4080" spans="1:14">
      <c r="A4080">
        <v>4079</v>
      </c>
      <c r="B4080">
        <v>28</v>
      </c>
      <c r="C4080" t="s">
        <v>16</v>
      </c>
      <c r="D4080" t="s">
        <v>20</v>
      </c>
      <c r="E4080" t="s">
        <v>21</v>
      </c>
      <c r="F4080">
        <v>153.12</v>
      </c>
      <c r="G4080" t="s">
        <v>24</v>
      </c>
      <c r="H4080" t="s">
        <v>15</v>
      </c>
      <c r="I4080">
        <v>4.4000000000000004</v>
      </c>
      <c r="J4080">
        <v>9</v>
      </c>
      <c r="K4080">
        <v>2</v>
      </c>
      <c r="L4080" s="4">
        <v>168.26373626373626</v>
      </c>
      <c r="M4080" s="4">
        <v>15.143736263736258</v>
      </c>
      <c r="N4080" t="s">
        <v>91</v>
      </c>
    </row>
    <row r="4081" spans="1:14">
      <c r="A4081">
        <v>4080</v>
      </c>
      <c r="B4081">
        <v>43</v>
      </c>
      <c r="C4081" t="s">
        <v>11</v>
      </c>
      <c r="D4081" t="s">
        <v>12</v>
      </c>
      <c r="E4081" t="s">
        <v>50</v>
      </c>
      <c r="F4081">
        <v>74.33</v>
      </c>
      <c r="G4081" t="s">
        <v>14</v>
      </c>
      <c r="H4081" t="s">
        <v>15</v>
      </c>
      <c r="I4081">
        <v>3.6</v>
      </c>
      <c r="J4081">
        <v>11</v>
      </c>
      <c r="K4081">
        <v>3</v>
      </c>
      <c r="L4081" s="4">
        <v>83.516853932584269</v>
      </c>
      <c r="M4081" s="4">
        <v>9.1868539325842704</v>
      </c>
      <c r="N4081" t="s">
        <v>92</v>
      </c>
    </row>
    <row r="4082" spans="1:14">
      <c r="A4082">
        <v>4081</v>
      </c>
      <c r="B4082">
        <v>22</v>
      </c>
      <c r="C4082" t="s">
        <v>11</v>
      </c>
      <c r="D4082" t="s">
        <v>12</v>
      </c>
      <c r="E4082" t="s">
        <v>50</v>
      </c>
      <c r="F4082">
        <v>100.98</v>
      </c>
      <c r="G4082" t="s">
        <v>19</v>
      </c>
      <c r="H4082" t="s">
        <v>15</v>
      </c>
      <c r="I4082">
        <v>4.3</v>
      </c>
      <c r="J4082">
        <v>13</v>
      </c>
      <c r="K4082">
        <v>4</v>
      </c>
      <c r="L4082" s="4">
        <v>116.06896551724138</v>
      </c>
      <c r="M4082" s="4">
        <v>15.088965517241377</v>
      </c>
      <c r="N4082" t="s">
        <v>100</v>
      </c>
    </row>
    <row r="4083" spans="1:14">
      <c r="A4083">
        <v>4082</v>
      </c>
      <c r="B4083">
        <v>51</v>
      </c>
      <c r="C4083" t="s">
        <v>16</v>
      </c>
      <c r="D4083" t="s">
        <v>27</v>
      </c>
      <c r="E4083" t="s">
        <v>49</v>
      </c>
      <c r="F4083">
        <v>2199.5100000000002</v>
      </c>
      <c r="G4083" t="s">
        <v>19</v>
      </c>
      <c r="H4083" t="s">
        <v>15</v>
      </c>
      <c r="I4083">
        <v>3.6</v>
      </c>
      <c r="J4083">
        <v>15</v>
      </c>
      <c r="K4083">
        <v>5</v>
      </c>
      <c r="L4083" s="4">
        <v>2587.6588235294121</v>
      </c>
      <c r="M4083" s="4">
        <v>388.14882352941186</v>
      </c>
      <c r="N4083" t="s">
        <v>93</v>
      </c>
    </row>
    <row r="4084" spans="1:14">
      <c r="A4084">
        <v>4083</v>
      </c>
      <c r="B4084">
        <v>53</v>
      </c>
      <c r="C4084" t="s">
        <v>16</v>
      </c>
      <c r="D4084" t="s">
        <v>20</v>
      </c>
      <c r="E4084" t="s">
        <v>39</v>
      </c>
      <c r="F4084">
        <v>74.23</v>
      </c>
      <c r="G4084" t="s">
        <v>24</v>
      </c>
      <c r="H4084" t="s">
        <v>15</v>
      </c>
      <c r="I4084">
        <v>2.2000000000000002</v>
      </c>
      <c r="J4084">
        <v>19</v>
      </c>
      <c r="K4084">
        <v>7</v>
      </c>
      <c r="L4084" s="4">
        <v>91.641975308641975</v>
      </c>
      <c r="M4084" s="4">
        <v>17.411975308641971</v>
      </c>
      <c r="N4084" t="s">
        <v>93</v>
      </c>
    </row>
    <row r="4085" spans="1:14">
      <c r="A4085">
        <v>4084</v>
      </c>
      <c r="B4085">
        <v>36</v>
      </c>
      <c r="C4085" t="s">
        <v>16</v>
      </c>
      <c r="D4085" t="s">
        <v>27</v>
      </c>
      <c r="E4085" t="s">
        <v>49</v>
      </c>
      <c r="F4085">
        <v>2049.23</v>
      </c>
      <c r="G4085" t="s">
        <v>19</v>
      </c>
      <c r="H4085" t="s">
        <v>15</v>
      </c>
      <c r="I4085">
        <v>3</v>
      </c>
      <c r="J4085">
        <v>22</v>
      </c>
      <c r="K4085">
        <v>6</v>
      </c>
      <c r="L4085" s="4">
        <v>2627.2179487179487</v>
      </c>
      <c r="M4085" s="4">
        <v>577.98794871794871</v>
      </c>
      <c r="N4085" t="s">
        <v>92</v>
      </c>
    </row>
    <row r="4086" spans="1:14">
      <c r="A4086">
        <v>4085</v>
      </c>
      <c r="B4086">
        <v>68</v>
      </c>
      <c r="C4086" t="s">
        <v>16</v>
      </c>
      <c r="D4086" t="s">
        <v>27</v>
      </c>
      <c r="E4086" t="s">
        <v>28</v>
      </c>
      <c r="F4086">
        <v>2813.71</v>
      </c>
      <c r="G4086" t="s">
        <v>31</v>
      </c>
      <c r="H4086" t="s">
        <v>15</v>
      </c>
      <c r="I4086">
        <v>4.0999999999999996</v>
      </c>
      <c r="J4086">
        <v>13</v>
      </c>
      <c r="K4086">
        <v>4</v>
      </c>
      <c r="L4086" s="4">
        <v>3234.1494252873563</v>
      </c>
      <c r="M4086" s="4">
        <v>420.43942528735624</v>
      </c>
      <c r="N4086" t="s">
        <v>95</v>
      </c>
    </row>
    <row r="4087" spans="1:14">
      <c r="A4087">
        <v>4086</v>
      </c>
      <c r="B4087">
        <v>53</v>
      </c>
      <c r="C4087" t="s">
        <v>11</v>
      </c>
      <c r="D4087" t="s">
        <v>41</v>
      </c>
      <c r="E4087" t="s">
        <v>44</v>
      </c>
      <c r="F4087">
        <v>81.17</v>
      </c>
      <c r="G4087" t="s">
        <v>24</v>
      </c>
      <c r="H4087" t="s">
        <v>37</v>
      </c>
      <c r="I4087">
        <v>5</v>
      </c>
      <c r="J4087">
        <v>20</v>
      </c>
      <c r="K4087">
        <v>5</v>
      </c>
      <c r="L4087" s="4">
        <v>101.46249999999999</v>
      </c>
      <c r="M4087" s="4">
        <v>20.29249999999999</v>
      </c>
      <c r="N4087" t="s">
        <v>93</v>
      </c>
    </row>
    <row r="4088" spans="1:14">
      <c r="A4088">
        <v>4087</v>
      </c>
      <c r="B4088">
        <v>46</v>
      </c>
      <c r="C4088" t="s">
        <v>16</v>
      </c>
      <c r="D4088" t="s">
        <v>17</v>
      </c>
      <c r="E4088" t="s">
        <v>42</v>
      </c>
      <c r="F4088">
        <v>30.78</v>
      </c>
      <c r="G4088" t="s">
        <v>24</v>
      </c>
      <c r="H4088" t="s">
        <v>15</v>
      </c>
      <c r="I4088">
        <v>5</v>
      </c>
      <c r="J4088">
        <v>12</v>
      </c>
      <c r="K4088">
        <v>6</v>
      </c>
      <c r="L4088" s="4">
        <v>34.977272727272727</v>
      </c>
      <c r="M4088" s="4">
        <v>4.1972727272727255</v>
      </c>
      <c r="N4088" t="s">
        <v>93</v>
      </c>
    </row>
    <row r="4089" spans="1:14">
      <c r="A4089">
        <v>4088</v>
      </c>
      <c r="B4089">
        <v>66</v>
      </c>
      <c r="C4089" t="s">
        <v>16</v>
      </c>
      <c r="D4089" t="s">
        <v>20</v>
      </c>
      <c r="E4089" t="s">
        <v>39</v>
      </c>
      <c r="F4089">
        <v>181.35</v>
      </c>
      <c r="G4089" t="s">
        <v>19</v>
      </c>
      <c r="H4089" t="s">
        <v>15</v>
      </c>
      <c r="I4089">
        <v>4</v>
      </c>
      <c r="J4089">
        <v>23</v>
      </c>
      <c r="K4089">
        <v>9</v>
      </c>
      <c r="L4089" s="4">
        <v>235.51948051948051</v>
      </c>
      <c r="M4089" s="4">
        <v>54.169480519480516</v>
      </c>
      <c r="N4089" t="s">
        <v>95</v>
      </c>
    </row>
    <row r="4090" spans="1:14">
      <c r="A4090">
        <v>4089</v>
      </c>
      <c r="B4090">
        <v>68</v>
      </c>
      <c r="C4090" t="s">
        <v>16</v>
      </c>
      <c r="D4090" t="s">
        <v>27</v>
      </c>
      <c r="E4090" t="s">
        <v>49</v>
      </c>
      <c r="F4090">
        <v>2171.9299999999998</v>
      </c>
      <c r="G4090" t="s">
        <v>19</v>
      </c>
      <c r="H4090" t="s">
        <v>15</v>
      </c>
      <c r="I4090">
        <v>3.8</v>
      </c>
      <c r="J4090">
        <v>14</v>
      </c>
      <c r="K4090">
        <v>2</v>
      </c>
      <c r="L4090" s="4">
        <v>2525.5</v>
      </c>
      <c r="M4090" s="4">
        <v>353.57000000000016</v>
      </c>
      <c r="N4090" t="s">
        <v>95</v>
      </c>
    </row>
    <row r="4091" spans="1:14">
      <c r="A4091">
        <v>4090</v>
      </c>
      <c r="B4091">
        <v>24</v>
      </c>
      <c r="C4091" t="s">
        <v>11</v>
      </c>
      <c r="D4091" t="s">
        <v>20</v>
      </c>
      <c r="E4091" t="s">
        <v>36</v>
      </c>
      <c r="F4091">
        <v>164.57</v>
      </c>
      <c r="G4091" t="s">
        <v>19</v>
      </c>
      <c r="H4091" t="s">
        <v>15</v>
      </c>
      <c r="I4091">
        <v>3</v>
      </c>
      <c r="J4091">
        <v>14</v>
      </c>
      <c r="K4091">
        <v>7</v>
      </c>
      <c r="L4091" s="4">
        <v>191.36046511627907</v>
      </c>
      <c r="M4091" s="4">
        <v>26.79046511627908</v>
      </c>
      <c r="N4091" t="s">
        <v>100</v>
      </c>
    </row>
    <row r="4092" spans="1:14">
      <c r="A4092">
        <v>4091</v>
      </c>
      <c r="B4092">
        <v>37</v>
      </c>
      <c r="C4092" t="s">
        <v>16</v>
      </c>
      <c r="D4092" t="s">
        <v>25</v>
      </c>
      <c r="E4092" t="s">
        <v>54</v>
      </c>
      <c r="F4092">
        <v>18.23</v>
      </c>
      <c r="G4092" t="s">
        <v>14</v>
      </c>
      <c r="H4092" t="s">
        <v>15</v>
      </c>
      <c r="I4092">
        <v>3.5</v>
      </c>
      <c r="J4092">
        <v>10</v>
      </c>
      <c r="K4092">
        <v>5</v>
      </c>
      <c r="L4092" s="4">
        <v>20.255555555555556</v>
      </c>
      <c r="M4092" s="4">
        <v>2.025555555555556</v>
      </c>
      <c r="N4092" t="s">
        <v>92</v>
      </c>
    </row>
    <row r="4093" spans="1:14">
      <c r="A4093">
        <v>4092</v>
      </c>
      <c r="B4093">
        <v>64</v>
      </c>
      <c r="C4093" t="s">
        <v>11</v>
      </c>
      <c r="D4093" t="s">
        <v>29</v>
      </c>
      <c r="E4093" t="s">
        <v>55</v>
      </c>
      <c r="F4093">
        <v>73.92</v>
      </c>
      <c r="G4093" t="s">
        <v>24</v>
      </c>
      <c r="H4093" t="s">
        <v>15</v>
      </c>
      <c r="I4093">
        <v>3.1</v>
      </c>
      <c r="J4093">
        <v>7</v>
      </c>
      <c r="K4093">
        <v>1</v>
      </c>
      <c r="L4093" s="4">
        <v>79.483870967741936</v>
      </c>
      <c r="M4093" s="4">
        <v>5.5638709677419342</v>
      </c>
      <c r="N4093" t="s">
        <v>94</v>
      </c>
    </row>
    <row r="4094" spans="1:14">
      <c r="A4094">
        <v>4093</v>
      </c>
      <c r="B4094">
        <v>43</v>
      </c>
      <c r="C4094" t="s">
        <v>16</v>
      </c>
      <c r="D4094" t="s">
        <v>20</v>
      </c>
      <c r="E4094" t="s">
        <v>21</v>
      </c>
      <c r="F4094">
        <v>221.83</v>
      </c>
      <c r="G4094" t="s">
        <v>14</v>
      </c>
      <c r="H4094" t="s">
        <v>15</v>
      </c>
      <c r="I4094">
        <v>4.3</v>
      </c>
      <c r="J4094">
        <v>21</v>
      </c>
      <c r="K4094">
        <v>8</v>
      </c>
      <c r="L4094" s="4">
        <v>280.79746835443041</v>
      </c>
      <c r="M4094" s="4">
        <v>58.967468354430395</v>
      </c>
      <c r="N4094" t="s">
        <v>92</v>
      </c>
    </row>
    <row r="4095" spans="1:14">
      <c r="A4095">
        <v>4094</v>
      </c>
      <c r="B4095">
        <v>68</v>
      </c>
      <c r="C4095" t="s">
        <v>11</v>
      </c>
      <c r="D4095" t="s">
        <v>29</v>
      </c>
      <c r="E4095" t="s">
        <v>51</v>
      </c>
      <c r="F4095">
        <v>100.18</v>
      </c>
      <c r="G4095" t="s">
        <v>14</v>
      </c>
      <c r="H4095" t="s">
        <v>15</v>
      </c>
      <c r="I4095">
        <v>3.3</v>
      </c>
      <c r="J4095">
        <v>18</v>
      </c>
      <c r="K4095">
        <v>4</v>
      </c>
      <c r="L4095" s="4">
        <v>122.17073170731707</v>
      </c>
      <c r="M4095" s="4">
        <v>21.990731707317067</v>
      </c>
      <c r="N4095" t="s">
        <v>95</v>
      </c>
    </row>
    <row r="4096" spans="1:14">
      <c r="A4096">
        <v>4095</v>
      </c>
      <c r="B4096">
        <v>41</v>
      </c>
      <c r="C4096" t="s">
        <v>16</v>
      </c>
      <c r="D4096" t="s">
        <v>20</v>
      </c>
      <c r="E4096" t="s">
        <v>21</v>
      </c>
      <c r="F4096">
        <v>70.849999999999994</v>
      </c>
      <c r="G4096" t="s">
        <v>31</v>
      </c>
      <c r="H4096" t="s">
        <v>37</v>
      </c>
      <c r="I4096">
        <v>5</v>
      </c>
      <c r="J4096">
        <v>18</v>
      </c>
      <c r="K4096">
        <v>4</v>
      </c>
      <c r="L4096" s="4">
        <v>86.402439024390233</v>
      </c>
      <c r="M4096" s="4">
        <v>15.552439024390239</v>
      </c>
      <c r="N4096" t="s">
        <v>92</v>
      </c>
    </row>
    <row r="4097" spans="1:14">
      <c r="A4097">
        <v>4096</v>
      </c>
      <c r="B4097">
        <v>26</v>
      </c>
      <c r="C4097" t="s">
        <v>11</v>
      </c>
      <c r="D4097" t="s">
        <v>22</v>
      </c>
      <c r="E4097" t="s">
        <v>23</v>
      </c>
      <c r="F4097">
        <v>209.2</v>
      </c>
      <c r="G4097" t="s">
        <v>19</v>
      </c>
      <c r="H4097" t="s">
        <v>15</v>
      </c>
      <c r="I4097">
        <v>4.3</v>
      </c>
      <c r="J4097">
        <v>6</v>
      </c>
      <c r="K4097">
        <v>3</v>
      </c>
      <c r="L4097" s="4">
        <v>222.55319148936169</v>
      </c>
      <c r="M4097" s="4">
        <v>13.353191489361706</v>
      </c>
      <c r="N4097" t="s">
        <v>91</v>
      </c>
    </row>
    <row r="4098" spans="1:14">
      <c r="A4098">
        <v>4097</v>
      </c>
      <c r="B4098">
        <v>30</v>
      </c>
      <c r="C4098" t="s">
        <v>11</v>
      </c>
      <c r="D4098" t="s">
        <v>41</v>
      </c>
      <c r="E4098" t="s">
        <v>44</v>
      </c>
      <c r="F4098">
        <v>186.87</v>
      </c>
      <c r="G4098" t="s">
        <v>24</v>
      </c>
      <c r="H4098" t="s">
        <v>15</v>
      </c>
      <c r="I4098">
        <v>2.6</v>
      </c>
      <c r="J4098">
        <v>4</v>
      </c>
      <c r="K4098">
        <v>2</v>
      </c>
      <c r="L4098" s="4">
        <v>194.65625</v>
      </c>
      <c r="M4098" s="4">
        <v>7.7862499999999955</v>
      </c>
      <c r="N4098" t="s">
        <v>91</v>
      </c>
    </row>
    <row r="4099" spans="1:14">
      <c r="A4099">
        <v>4098</v>
      </c>
      <c r="B4099">
        <v>68</v>
      </c>
      <c r="C4099" t="s">
        <v>11</v>
      </c>
      <c r="D4099" t="s">
        <v>12</v>
      </c>
      <c r="E4099" t="s">
        <v>56</v>
      </c>
      <c r="F4099">
        <v>150.12</v>
      </c>
      <c r="G4099" t="s">
        <v>24</v>
      </c>
      <c r="H4099" t="s">
        <v>15</v>
      </c>
      <c r="I4099">
        <v>2.9</v>
      </c>
      <c r="J4099">
        <v>6</v>
      </c>
      <c r="K4099">
        <v>3</v>
      </c>
      <c r="L4099" s="4">
        <v>159.70212765957447</v>
      </c>
      <c r="M4099" s="4">
        <v>9.5821276595744678</v>
      </c>
      <c r="N4099" t="s">
        <v>95</v>
      </c>
    </row>
    <row r="4100" spans="1:14">
      <c r="A4100">
        <v>4099</v>
      </c>
      <c r="B4100">
        <v>26</v>
      </c>
      <c r="C4100" t="s">
        <v>16</v>
      </c>
      <c r="D4100" t="s">
        <v>17</v>
      </c>
      <c r="E4100" t="s">
        <v>42</v>
      </c>
      <c r="F4100">
        <v>119.13</v>
      </c>
      <c r="G4100" t="s">
        <v>14</v>
      </c>
      <c r="H4100" t="s">
        <v>15</v>
      </c>
      <c r="I4100">
        <v>4.5</v>
      </c>
      <c r="J4100">
        <v>6</v>
      </c>
      <c r="K4100">
        <v>3</v>
      </c>
      <c r="L4100" s="4">
        <v>126.73404255319149</v>
      </c>
      <c r="M4100" s="4">
        <v>7.6040425531914906</v>
      </c>
      <c r="N4100" t="s">
        <v>91</v>
      </c>
    </row>
    <row r="4101" spans="1:14">
      <c r="A4101">
        <v>4100</v>
      </c>
      <c r="B4101">
        <v>40</v>
      </c>
      <c r="C4101" t="s">
        <v>16</v>
      </c>
      <c r="D4101" t="s">
        <v>27</v>
      </c>
      <c r="E4101" t="s">
        <v>49</v>
      </c>
      <c r="F4101">
        <v>2011.55</v>
      </c>
      <c r="G4101" t="s">
        <v>24</v>
      </c>
      <c r="H4101" t="s">
        <v>15</v>
      </c>
      <c r="I4101">
        <v>3.8</v>
      </c>
      <c r="J4101">
        <v>10</v>
      </c>
      <c r="K4101">
        <v>5</v>
      </c>
      <c r="L4101" s="4">
        <v>2235.0555555555557</v>
      </c>
      <c r="M4101" s="4">
        <v>223.5055555555557</v>
      </c>
      <c r="N4101" t="s">
        <v>92</v>
      </c>
    </row>
    <row r="4102" spans="1:14">
      <c r="A4102">
        <v>4101</v>
      </c>
      <c r="B4102">
        <v>65</v>
      </c>
      <c r="C4102" t="s">
        <v>11</v>
      </c>
      <c r="D4102" t="s">
        <v>12</v>
      </c>
      <c r="E4102" t="s">
        <v>50</v>
      </c>
      <c r="F4102">
        <v>98.52</v>
      </c>
      <c r="G4102" t="s">
        <v>31</v>
      </c>
      <c r="H4102" t="s">
        <v>37</v>
      </c>
      <c r="I4102">
        <v>5</v>
      </c>
      <c r="J4102">
        <v>12</v>
      </c>
      <c r="K4102">
        <v>6</v>
      </c>
      <c r="L4102" s="4">
        <v>111.95454545454545</v>
      </c>
      <c r="M4102" s="4">
        <v>13.434545454545457</v>
      </c>
      <c r="N4102" t="s">
        <v>95</v>
      </c>
    </row>
    <row r="4103" spans="1:14">
      <c r="A4103">
        <v>4102</v>
      </c>
      <c r="B4103">
        <v>53</v>
      </c>
      <c r="C4103" t="s">
        <v>16</v>
      </c>
      <c r="D4103" t="s">
        <v>20</v>
      </c>
      <c r="E4103" t="s">
        <v>21</v>
      </c>
      <c r="F4103">
        <v>138.94</v>
      </c>
      <c r="G4103" t="s">
        <v>14</v>
      </c>
      <c r="H4103" t="s">
        <v>15</v>
      </c>
      <c r="I4103">
        <v>3.6</v>
      </c>
      <c r="J4103">
        <v>10</v>
      </c>
      <c r="K4103">
        <v>5</v>
      </c>
      <c r="L4103" s="4">
        <v>154.37777777777777</v>
      </c>
      <c r="M4103" s="4">
        <v>15.437777777777768</v>
      </c>
      <c r="N4103" t="s">
        <v>93</v>
      </c>
    </row>
    <row r="4104" spans="1:14">
      <c r="A4104">
        <v>4103</v>
      </c>
      <c r="B4104">
        <v>60</v>
      </c>
      <c r="C4104" t="s">
        <v>11</v>
      </c>
      <c r="D4104" t="s">
        <v>12</v>
      </c>
      <c r="E4104" t="s">
        <v>13</v>
      </c>
      <c r="F4104">
        <v>84.56</v>
      </c>
      <c r="G4104" t="s">
        <v>19</v>
      </c>
      <c r="H4104" t="s">
        <v>37</v>
      </c>
      <c r="I4104">
        <v>3.5</v>
      </c>
      <c r="J4104">
        <v>22</v>
      </c>
      <c r="K4104">
        <v>6</v>
      </c>
      <c r="L4104" s="4">
        <v>108.41025641025641</v>
      </c>
      <c r="M4104" s="4">
        <v>23.850256410256407</v>
      </c>
      <c r="N4104" t="s">
        <v>94</v>
      </c>
    </row>
    <row r="4105" spans="1:14">
      <c r="A4105">
        <v>4104</v>
      </c>
      <c r="B4105">
        <v>58</v>
      </c>
      <c r="C4105" t="s">
        <v>11</v>
      </c>
      <c r="D4105" t="s">
        <v>41</v>
      </c>
      <c r="E4105" t="s">
        <v>46</v>
      </c>
      <c r="F4105">
        <v>71.760000000000005</v>
      </c>
      <c r="G4105" t="s">
        <v>19</v>
      </c>
      <c r="H4105" t="s">
        <v>15</v>
      </c>
      <c r="I4105">
        <v>5</v>
      </c>
      <c r="J4105">
        <v>9</v>
      </c>
      <c r="K4105">
        <v>2</v>
      </c>
      <c r="L4105" s="4">
        <v>78.857142857142861</v>
      </c>
      <c r="M4105" s="4">
        <v>7.0971428571428561</v>
      </c>
      <c r="N4105" t="s">
        <v>94</v>
      </c>
    </row>
    <row r="4106" spans="1:14">
      <c r="A4106">
        <v>4105</v>
      </c>
      <c r="B4106">
        <v>47</v>
      </c>
      <c r="C4106" t="s">
        <v>16</v>
      </c>
      <c r="D4106" t="s">
        <v>27</v>
      </c>
      <c r="E4106" t="s">
        <v>49</v>
      </c>
      <c r="F4106">
        <v>2924.57</v>
      </c>
      <c r="G4106" t="s">
        <v>24</v>
      </c>
      <c r="H4106" t="s">
        <v>15</v>
      </c>
      <c r="I4106">
        <v>3.5</v>
      </c>
      <c r="J4106">
        <v>13</v>
      </c>
      <c r="K4106">
        <v>4</v>
      </c>
      <c r="L4106" s="4">
        <v>3361.5747126436781</v>
      </c>
      <c r="M4106" s="4">
        <v>437.00471264367798</v>
      </c>
      <c r="N4106" t="s">
        <v>93</v>
      </c>
    </row>
    <row r="4107" spans="1:14">
      <c r="A4107">
        <v>4106</v>
      </c>
      <c r="B4107">
        <v>57</v>
      </c>
      <c r="C4107" t="s">
        <v>11</v>
      </c>
      <c r="D4107" t="s">
        <v>12</v>
      </c>
      <c r="E4107" t="s">
        <v>13</v>
      </c>
      <c r="F4107">
        <v>96.5</v>
      </c>
      <c r="G4107" t="s">
        <v>19</v>
      </c>
      <c r="H4107" t="s">
        <v>15</v>
      </c>
      <c r="I4107">
        <v>2.9</v>
      </c>
      <c r="J4107">
        <v>13</v>
      </c>
      <c r="K4107">
        <v>4</v>
      </c>
      <c r="L4107" s="4">
        <v>110.91954022988506</v>
      </c>
      <c r="M4107" s="4">
        <v>14.419540229885058</v>
      </c>
      <c r="N4107" t="s">
        <v>94</v>
      </c>
    </row>
    <row r="4108" spans="1:14">
      <c r="A4108">
        <v>4107</v>
      </c>
      <c r="B4108">
        <v>62</v>
      </c>
      <c r="C4108" t="s">
        <v>11</v>
      </c>
      <c r="D4108" t="s">
        <v>33</v>
      </c>
      <c r="E4108" t="s">
        <v>40</v>
      </c>
      <c r="F4108">
        <v>93.71</v>
      </c>
      <c r="G4108" t="s">
        <v>31</v>
      </c>
      <c r="H4108" t="s">
        <v>15</v>
      </c>
      <c r="I4108">
        <v>3.4</v>
      </c>
      <c r="J4108">
        <v>14</v>
      </c>
      <c r="K4108">
        <v>7</v>
      </c>
      <c r="L4108" s="4">
        <v>108.96511627906976</v>
      </c>
      <c r="M4108" s="4">
        <v>15.255116279069767</v>
      </c>
      <c r="N4108" t="s">
        <v>94</v>
      </c>
    </row>
    <row r="4109" spans="1:14">
      <c r="A4109">
        <v>4108</v>
      </c>
      <c r="B4109">
        <v>59</v>
      </c>
      <c r="C4109" t="s">
        <v>11</v>
      </c>
      <c r="D4109" t="s">
        <v>41</v>
      </c>
      <c r="E4109" t="s">
        <v>46</v>
      </c>
      <c r="F4109">
        <v>107.94</v>
      </c>
      <c r="G4109" t="s">
        <v>24</v>
      </c>
      <c r="H4109" t="s">
        <v>15</v>
      </c>
      <c r="I4109">
        <v>3.5</v>
      </c>
      <c r="J4109">
        <v>10</v>
      </c>
      <c r="K4109">
        <v>5</v>
      </c>
      <c r="L4109" s="4">
        <v>119.93333333333332</v>
      </c>
      <c r="M4109" s="4">
        <v>11.993333333333325</v>
      </c>
      <c r="N4109" t="s">
        <v>94</v>
      </c>
    </row>
    <row r="4110" spans="1:14">
      <c r="A4110">
        <v>4109</v>
      </c>
      <c r="B4110">
        <v>29</v>
      </c>
      <c r="C4110" t="s">
        <v>16</v>
      </c>
      <c r="D4110" t="s">
        <v>33</v>
      </c>
      <c r="E4110" t="s">
        <v>40</v>
      </c>
      <c r="F4110">
        <v>75.989999999999995</v>
      </c>
      <c r="G4110" t="s">
        <v>19</v>
      </c>
      <c r="H4110" t="s">
        <v>37</v>
      </c>
      <c r="I4110">
        <v>4.5999999999999996</v>
      </c>
      <c r="J4110">
        <v>18</v>
      </c>
      <c r="K4110">
        <v>4</v>
      </c>
      <c r="L4110" s="4">
        <v>92.67073170731706</v>
      </c>
      <c r="M4110" s="4">
        <v>16.680731707317065</v>
      </c>
      <c r="N4110" t="s">
        <v>91</v>
      </c>
    </row>
    <row r="4111" spans="1:14">
      <c r="A4111">
        <v>4110</v>
      </c>
      <c r="B4111">
        <v>39</v>
      </c>
      <c r="C4111" t="s">
        <v>11</v>
      </c>
      <c r="D4111" t="s">
        <v>41</v>
      </c>
      <c r="E4111" t="s">
        <v>46</v>
      </c>
      <c r="F4111">
        <v>154.16999999999999</v>
      </c>
      <c r="G4111" t="s">
        <v>14</v>
      </c>
      <c r="H4111" t="s">
        <v>15</v>
      </c>
      <c r="I4111">
        <v>4</v>
      </c>
      <c r="J4111">
        <v>23</v>
      </c>
      <c r="K4111">
        <v>9</v>
      </c>
      <c r="L4111" s="4">
        <v>200.22077922077921</v>
      </c>
      <c r="M4111" s="4">
        <v>46.050779220779219</v>
      </c>
      <c r="N4111" t="s">
        <v>92</v>
      </c>
    </row>
    <row r="4112" spans="1:14">
      <c r="A4112">
        <v>4111</v>
      </c>
      <c r="B4112">
        <v>23</v>
      </c>
      <c r="C4112" t="s">
        <v>11</v>
      </c>
      <c r="D4112" t="s">
        <v>12</v>
      </c>
      <c r="E4112" t="s">
        <v>13</v>
      </c>
      <c r="F4112">
        <v>100.67</v>
      </c>
      <c r="G4112" t="s">
        <v>31</v>
      </c>
      <c r="H4112" t="s">
        <v>15</v>
      </c>
      <c r="I4112">
        <v>3.7</v>
      </c>
      <c r="J4112">
        <v>18</v>
      </c>
      <c r="K4112">
        <v>4</v>
      </c>
      <c r="L4112" s="4">
        <v>122.76829268292683</v>
      </c>
      <c r="M4112" s="4">
        <v>22.098292682926825</v>
      </c>
      <c r="N4112" t="s">
        <v>100</v>
      </c>
    </row>
    <row r="4113" spans="1:14">
      <c r="A4113">
        <v>4112</v>
      </c>
      <c r="B4113">
        <v>63</v>
      </c>
      <c r="C4113" t="s">
        <v>11</v>
      </c>
      <c r="D4113" t="s">
        <v>33</v>
      </c>
      <c r="E4113" t="s">
        <v>38</v>
      </c>
      <c r="F4113">
        <v>116.77</v>
      </c>
      <c r="G4113" t="s">
        <v>31</v>
      </c>
      <c r="H4113" t="s">
        <v>15</v>
      </c>
      <c r="I4113">
        <v>4.3</v>
      </c>
      <c r="J4113">
        <v>26</v>
      </c>
      <c r="K4113">
        <v>8</v>
      </c>
      <c r="L4113" s="4">
        <v>157.79729729729729</v>
      </c>
      <c r="M4113" s="4">
        <v>41.027297297297295</v>
      </c>
      <c r="N4113" t="s">
        <v>94</v>
      </c>
    </row>
    <row r="4114" spans="1:14">
      <c r="A4114">
        <v>4113</v>
      </c>
      <c r="B4114">
        <v>38</v>
      </c>
      <c r="C4114" t="s">
        <v>16</v>
      </c>
      <c r="D4114" t="s">
        <v>33</v>
      </c>
      <c r="E4114" t="s">
        <v>38</v>
      </c>
      <c r="F4114">
        <v>157.97999999999999</v>
      </c>
      <c r="G4114" t="s">
        <v>31</v>
      </c>
      <c r="H4114" t="s">
        <v>15</v>
      </c>
      <c r="I4114">
        <v>4.9000000000000004</v>
      </c>
      <c r="J4114">
        <v>22</v>
      </c>
      <c r="K4114">
        <v>6</v>
      </c>
      <c r="L4114" s="4">
        <v>202.53846153846152</v>
      </c>
      <c r="M4114" s="4">
        <v>44.558461538461529</v>
      </c>
      <c r="N4114" t="s">
        <v>92</v>
      </c>
    </row>
    <row r="4115" spans="1:14">
      <c r="A4115">
        <v>4114</v>
      </c>
      <c r="B4115">
        <v>63</v>
      </c>
      <c r="C4115" t="s">
        <v>11</v>
      </c>
      <c r="D4115" t="s">
        <v>20</v>
      </c>
      <c r="E4115" t="s">
        <v>21</v>
      </c>
      <c r="F4115">
        <v>108.5</v>
      </c>
      <c r="G4115" t="s">
        <v>14</v>
      </c>
      <c r="H4115" t="s">
        <v>15</v>
      </c>
      <c r="I4115">
        <v>3.5</v>
      </c>
      <c r="J4115">
        <v>17</v>
      </c>
      <c r="K4115">
        <v>6</v>
      </c>
      <c r="L4115" s="4">
        <v>130.72289156626508</v>
      </c>
      <c r="M4115" s="4">
        <v>22.222891566265076</v>
      </c>
      <c r="N4115" t="s">
        <v>94</v>
      </c>
    </row>
    <row r="4116" spans="1:14">
      <c r="A4116">
        <v>4115</v>
      </c>
      <c r="B4116">
        <v>44</v>
      </c>
      <c r="C4116" t="s">
        <v>16</v>
      </c>
      <c r="D4116" t="s">
        <v>33</v>
      </c>
      <c r="E4116" t="s">
        <v>40</v>
      </c>
      <c r="F4116">
        <v>45.36</v>
      </c>
      <c r="G4116" t="s">
        <v>31</v>
      </c>
      <c r="H4116" t="s">
        <v>15</v>
      </c>
      <c r="I4116">
        <v>3</v>
      </c>
      <c r="J4116">
        <v>28</v>
      </c>
      <c r="K4116">
        <v>9</v>
      </c>
      <c r="L4116" s="4">
        <v>63</v>
      </c>
      <c r="M4116" s="4">
        <v>17.64</v>
      </c>
      <c r="N4116" t="s">
        <v>92</v>
      </c>
    </row>
    <row r="4117" spans="1:14">
      <c r="A4117">
        <v>4116</v>
      </c>
      <c r="B4117">
        <v>68</v>
      </c>
      <c r="C4117" t="s">
        <v>16</v>
      </c>
      <c r="D4117" t="s">
        <v>17</v>
      </c>
      <c r="E4117" t="s">
        <v>42</v>
      </c>
      <c r="F4117">
        <v>185.02</v>
      </c>
      <c r="G4117" t="s">
        <v>14</v>
      </c>
      <c r="H4117" t="s">
        <v>15</v>
      </c>
      <c r="I4117">
        <v>3.8</v>
      </c>
      <c r="J4117">
        <v>14</v>
      </c>
      <c r="K4117">
        <v>2</v>
      </c>
      <c r="L4117" s="4">
        <v>215.13953488372096</v>
      </c>
      <c r="M4117" s="4">
        <v>30.119534883720945</v>
      </c>
      <c r="N4117" t="s">
        <v>95</v>
      </c>
    </row>
    <row r="4118" spans="1:14">
      <c r="A4118">
        <v>4117</v>
      </c>
      <c r="B4118">
        <v>63</v>
      </c>
      <c r="C4118" t="s">
        <v>11</v>
      </c>
      <c r="D4118" t="s">
        <v>41</v>
      </c>
      <c r="E4118" t="s">
        <v>42</v>
      </c>
      <c r="F4118">
        <v>44.04</v>
      </c>
      <c r="G4118" t="s">
        <v>24</v>
      </c>
      <c r="H4118" t="s">
        <v>15</v>
      </c>
      <c r="I4118">
        <v>5</v>
      </c>
      <c r="J4118">
        <v>16</v>
      </c>
      <c r="K4118">
        <v>3</v>
      </c>
      <c r="L4118" s="4">
        <v>52.428571428571431</v>
      </c>
      <c r="M4118" s="4">
        <v>8.3885714285714315</v>
      </c>
      <c r="N4118" t="s">
        <v>94</v>
      </c>
    </row>
    <row r="4119" spans="1:14">
      <c r="A4119">
        <v>4118</v>
      </c>
      <c r="B4119">
        <v>27</v>
      </c>
      <c r="C4119" t="s">
        <v>16</v>
      </c>
      <c r="D4119" t="s">
        <v>20</v>
      </c>
      <c r="E4119" t="s">
        <v>39</v>
      </c>
      <c r="F4119">
        <v>100.08</v>
      </c>
      <c r="G4119" t="s">
        <v>19</v>
      </c>
      <c r="H4119" t="s">
        <v>15</v>
      </c>
      <c r="I4119">
        <v>3.6</v>
      </c>
      <c r="J4119">
        <v>5</v>
      </c>
      <c r="K4119">
        <v>0</v>
      </c>
      <c r="L4119" s="4">
        <v>105.34736842105264</v>
      </c>
      <c r="M4119" s="4">
        <v>5.2673684210526375</v>
      </c>
      <c r="N4119" t="s">
        <v>91</v>
      </c>
    </row>
    <row r="4120" spans="1:14">
      <c r="A4120">
        <v>4119</v>
      </c>
      <c r="B4120">
        <v>49</v>
      </c>
      <c r="C4120" t="s">
        <v>11</v>
      </c>
      <c r="D4120" t="s">
        <v>20</v>
      </c>
      <c r="E4120" t="s">
        <v>36</v>
      </c>
      <c r="F4120">
        <v>107.29</v>
      </c>
      <c r="G4120" t="s">
        <v>24</v>
      </c>
      <c r="H4120" t="s">
        <v>15</v>
      </c>
      <c r="I4120">
        <v>3.8</v>
      </c>
      <c r="J4120">
        <v>16</v>
      </c>
      <c r="K4120">
        <v>8</v>
      </c>
      <c r="L4120" s="4">
        <v>127.72619047619048</v>
      </c>
      <c r="M4120" s="4">
        <v>20.436190476190475</v>
      </c>
      <c r="N4120" t="s">
        <v>93</v>
      </c>
    </row>
    <row r="4121" spans="1:14">
      <c r="A4121">
        <v>4120</v>
      </c>
      <c r="B4121">
        <v>43</v>
      </c>
      <c r="C4121" t="s">
        <v>11</v>
      </c>
      <c r="D4121" t="s">
        <v>22</v>
      </c>
      <c r="E4121" t="s">
        <v>52</v>
      </c>
      <c r="F4121">
        <v>163.18</v>
      </c>
      <c r="G4121" t="s">
        <v>31</v>
      </c>
      <c r="H4121" t="s">
        <v>15</v>
      </c>
      <c r="I4121">
        <v>5</v>
      </c>
      <c r="J4121">
        <v>6</v>
      </c>
      <c r="K4121">
        <v>3</v>
      </c>
      <c r="L4121" s="4">
        <v>173.59574468085108</v>
      </c>
      <c r="M4121" s="4">
        <v>10.415744680851077</v>
      </c>
      <c r="N4121" t="s">
        <v>92</v>
      </c>
    </row>
    <row r="4122" spans="1:14">
      <c r="A4122">
        <v>4121</v>
      </c>
      <c r="B4122">
        <v>67</v>
      </c>
      <c r="C4122" t="s">
        <v>11</v>
      </c>
      <c r="D4122" t="s">
        <v>29</v>
      </c>
      <c r="E4122" t="s">
        <v>30</v>
      </c>
      <c r="F4122">
        <v>58.38</v>
      </c>
      <c r="G4122" t="s">
        <v>31</v>
      </c>
      <c r="H4122" t="s">
        <v>15</v>
      </c>
      <c r="I4122">
        <v>4</v>
      </c>
      <c r="J4122">
        <v>12</v>
      </c>
      <c r="K4122">
        <v>6</v>
      </c>
      <c r="L4122" s="4">
        <v>66.340909090909093</v>
      </c>
      <c r="M4122" s="4">
        <v>7.9609090909090909</v>
      </c>
      <c r="N4122" t="s">
        <v>95</v>
      </c>
    </row>
    <row r="4123" spans="1:14">
      <c r="A4123">
        <v>4122</v>
      </c>
      <c r="B4123">
        <v>69</v>
      </c>
      <c r="C4123" t="s">
        <v>16</v>
      </c>
      <c r="D4123" t="s">
        <v>20</v>
      </c>
      <c r="E4123" t="s">
        <v>21</v>
      </c>
      <c r="F4123">
        <v>169.84</v>
      </c>
      <c r="G4123" t="s">
        <v>19</v>
      </c>
      <c r="H4123" t="s">
        <v>15</v>
      </c>
      <c r="I4123">
        <v>3.5</v>
      </c>
      <c r="J4123">
        <v>18</v>
      </c>
      <c r="K4123">
        <v>4</v>
      </c>
      <c r="L4123" s="4">
        <v>207.12195121951217</v>
      </c>
      <c r="M4123" s="4">
        <v>37.281951219512166</v>
      </c>
      <c r="N4123" t="s">
        <v>95</v>
      </c>
    </row>
    <row r="4124" spans="1:14">
      <c r="A4124">
        <v>4123</v>
      </c>
      <c r="B4124">
        <v>20</v>
      </c>
      <c r="C4124" t="s">
        <v>11</v>
      </c>
      <c r="D4124" t="s">
        <v>12</v>
      </c>
      <c r="E4124" t="s">
        <v>50</v>
      </c>
      <c r="F4124">
        <v>145.22</v>
      </c>
      <c r="G4124" t="s">
        <v>14</v>
      </c>
      <c r="H4124" t="s">
        <v>15</v>
      </c>
      <c r="I4124">
        <v>3.8</v>
      </c>
      <c r="J4124">
        <v>20</v>
      </c>
      <c r="K4124">
        <v>5</v>
      </c>
      <c r="L4124" s="4">
        <v>181.52499999999998</v>
      </c>
      <c r="M4124" s="4">
        <v>36.304999999999978</v>
      </c>
      <c r="N4124" t="s">
        <v>100</v>
      </c>
    </row>
    <row r="4125" spans="1:14">
      <c r="A4125">
        <v>4124</v>
      </c>
      <c r="B4125">
        <v>31</v>
      </c>
      <c r="C4125" t="s">
        <v>16</v>
      </c>
      <c r="D4125" t="s">
        <v>20</v>
      </c>
      <c r="E4125" t="s">
        <v>21</v>
      </c>
      <c r="F4125">
        <v>117.9</v>
      </c>
      <c r="G4125" t="s">
        <v>24</v>
      </c>
      <c r="H4125" t="s">
        <v>15</v>
      </c>
      <c r="I4125">
        <v>4.5999999999999996</v>
      </c>
      <c r="J4125">
        <v>24</v>
      </c>
      <c r="K4125">
        <v>7</v>
      </c>
      <c r="L4125" s="4">
        <v>155.13157894736844</v>
      </c>
      <c r="M4125" s="4">
        <v>37.231578947368433</v>
      </c>
      <c r="N4125" t="s">
        <v>91</v>
      </c>
    </row>
    <row r="4126" spans="1:14">
      <c r="A4126">
        <v>4125</v>
      </c>
      <c r="B4126">
        <v>23</v>
      </c>
      <c r="C4126" t="s">
        <v>11</v>
      </c>
      <c r="D4126" t="s">
        <v>33</v>
      </c>
      <c r="E4126" t="s">
        <v>38</v>
      </c>
      <c r="F4126">
        <v>92.07</v>
      </c>
      <c r="G4126" t="s">
        <v>19</v>
      </c>
      <c r="H4126" t="s">
        <v>15</v>
      </c>
      <c r="I4126">
        <v>3.2</v>
      </c>
      <c r="J4126">
        <v>18</v>
      </c>
      <c r="K4126">
        <v>4</v>
      </c>
      <c r="L4126" s="4">
        <v>112.28048780487804</v>
      </c>
      <c r="M4126" s="4">
        <v>20.210487804878042</v>
      </c>
      <c r="N4126" t="s">
        <v>100</v>
      </c>
    </row>
    <row r="4127" spans="1:14">
      <c r="A4127">
        <v>4126</v>
      </c>
      <c r="B4127">
        <v>33</v>
      </c>
      <c r="C4127" t="s">
        <v>11</v>
      </c>
      <c r="D4127" t="s">
        <v>41</v>
      </c>
      <c r="E4127" t="s">
        <v>44</v>
      </c>
      <c r="F4127">
        <v>133.31</v>
      </c>
      <c r="G4127" t="s">
        <v>31</v>
      </c>
      <c r="H4127" t="s">
        <v>15</v>
      </c>
      <c r="I4127">
        <v>2.9</v>
      </c>
      <c r="J4127">
        <v>4</v>
      </c>
      <c r="K4127">
        <v>2</v>
      </c>
      <c r="L4127" s="4">
        <v>138.86458333333334</v>
      </c>
      <c r="M4127" s="4">
        <v>5.5545833333333405</v>
      </c>
      <c r="N4127" t="s">
        <v>91</v>
      </c>
    </row>
    <row r="4128" spans="1:14">
      <c r="A4128">
        <v>4127</v>
      </c>
      <c r="B4128">
        <v>22</v>
      </c>
      <c r="C4128" t="s">
        <v>11</v>
      </c>
      <c r="D4128" t="s">
        <v>12</v>
      </c>
      <c r="E4128" t="s">
        <v>56</v>
      </c>
      <c r="F4128">
        <v>77.069999999999993</v>
      </c>
      <c r="G4128" t="s">
        <v>19</v>
      </c>
      <c r="H4128" t="s">
        <v>15</v>
      </c>
      <c r="I4128">
        <v>4.7</v>
      </c>
      <c r="J4128">
        <v>18</v>
      </c>
      <c r="K4128">
        <v>4</v>
      </c>
      <c r="L4128" s="4">
        <v>93.987804878048763</v>
      </c>
      <c r="M4128" s="4">
        <v>16.91780487804877</v>
      </c>
      <c r="N4128" t="s">
        <v>100</v>
      </c>
    </row>
    <row r="4129" spans="1:14">
      <c r="A4129">
        <v>4128</v>
      </c>
      <c r="B4129">
        <v>45</v>
      </c>
      <c r="C4129" t="s">
        <v>11</v>
      </c>
      <c r="D4129" t="s">
        <v>25</v>
      </c>
      <c r="E4129" t="s">
        <v>54</v>
      </c>
      <c r="F4129">
        <v>60.2</v>
      </c>
      <c r="G4129" t="s">
        <v>24</v>
      </c>
      <c r="H4129" t="s">
        <v>15</v>
      </c>
      <c r="I4129">
        <v>3.3</v>
      </c>
      <c r="J4129">
        <v>10</v>
      </c>
      <c r="K4129">
        <v>5</v>
      </c>
      <c r="L4129" s="4">
        <v>66.888888888888886</v>
      </c>
      <c r="M4129" s="4">
        <v>6.6888888888888829</v>
      </c>
      <c r="N4129" t="s">
        <v>93</v>
      </c>
    </row>
    <row r="4130" spans="1:14">
      <c r="A4130">
        <v>4129</v>
      </c>
      <c r="B4130">
        <v>39</v>
      </c>
      <c r="C4130" t="s">
        <v>11</v>
      </c>
      <c r="D4130" t="s">
        <v>33</v>
      </c>
      <c r="E4130" t="s">
        <v>34</v>
      </c>
      <c r="F4130">
        <v>113.87</v>
      </c>
      <c r="G4130" t="s">
        <v>19</v>
      </c>
      <c r="H4130" t="s">
        <v>15</v>
      </c>
      <c r="I4130">
        <v>4.3</v>
      </c>
      <c r="J4130">
        <v>8</v>
      </c>
      <c r="K4130">
        <v>4</v>
      </c>
      <c r="L4130" s="4">
        <v>123.77173913043478</v>
      </c>
      <c r="M4130" s="4">
        <v>9.9017391304347768</v>
      </c>
      <c r="N4130" t="s">
        <v>92</v>
      </c>
    </row>
    <row r="4131" spans="1:14">
      <c r="A4131">
        <v>4130</v>
      </c>
      <c r="B4131">
        <v>43</v>
      </c>
      <c r="C4131" t="s">
        <v>16</v>
      </c>
      <c r="D4131" t="s">
        <v>17</v>
      </c>
      <c r="E4131" t="s">
        <v>35</v>
      </c>
      <c r="F4131">
        <v>143.99</v>
      </c>
      <c r="G4131" t="s">
        <v>24</v>
      </c>
      <c r="H4131" t="s">
        <v>15</v>
      </c>
      <c r="I4131">
        <v>4</v>
      </c>
      <c r="J4131">
        <v>23</v>
      </c>
      <c r="K4131">
        <v>9</v>
      </c>
      <c r="L4131" s="4">
        <v>187</v>
      </c>
      <c r="M4131" s="4">
        <v>43.009999999999991</v>
      </c>
      <c r="N4131" t="s">
        <v>92</v>
      </c>
    </row>
    <row r="4132" spans="1:14">
      <c r="A4132">
        <v>4131</v>
      </c>
      <c r="B4132">
        <v>50</v>
      </c>
      <c r="C4132" t="s">
        <v>16</v>
      </c>
      <c r="D4132" t="s">
        <v>17</v>
      </c>
      <c r="E4132" t="s">
        <v>18</v>
      </c>
      <c r="F4132">
        <v>131.03</v>
      </c>
      <c r="G4132" t="s">
        <v>14</v>
      </c>
      <c r="H4132" t="s">
        <v>15</v>
      </c>
      <c r="I4132">
        <v>3.3</v>
      </c>
      <c r="J4132">
        <v>24</v>
      </c>
      <c r="K4132">
        <v>7</v>
      </c>
      <c r="L4132" s="4">
        <v>172.40789473684211</v>
      </c>
      <c r="M4132" s="4">
        <v>41.377894736842109</v>
      </c>
      <c r="N4132" t="s">
        <v>93</v>
      </c>
    </row>
    <row r="4133" spans="1:14">
      <c r="A4133">
        <v>4132</v>
      </c>
      <c r="B4133">
        <v>54</v>
      </c>
      <c r="C4133" t="s">
        <v>11</v>
      </c>
      <c r="D4133" t="s">
        <v>41</v>
      </c>
      <c r="E4133" t="s">
        <v>46</v>
      </c>
      <c r="F4133">
        <v>197.73</v>
      </c>
      <c r="G4133" t="s">
        <v>31</v>
      </c>
      <c r="H4133" t="s">
        <v>15</v>
      </c>
      <c r="I4133">
        <v>5</v>
      </c>
      <c r="J4133">
        <v>10</v>
      </c>
      <c r="K4133">
        <v>5</v>
      </c>
      <c r="L4133" s="4">
        <v>219.7</v>
      </c>
      <c r="M4133" s="4">
        <v>21.97</v>
      </c>
      <c r="N4133" t="s">
        <v>93</v>
      </c>
    </row>
    <row r="4134" spans="1:14">
      <c r="A4134">
        <v>4133</v>
      </c>
      <c r="B4134">
        <v>46</v>
      </c>
      <c r="C4134" t="s">
        <v>11</v>
      </c>
      <c r="D4134" t="s">
        <v>33</v>
      </c>
      <c r="E4134" t="s">
        <v>38</v>
      </c>
      <c r="F4134">
        <v>40.76</v>
      </c>
      <c r="G4134" t="s">
        <v>14</v>
      </c>
      <c r="H4134" t="s">
        <v>37</v>
      </c>
      <c r="I4134">
        <v>4.7</v>
      </c>
      <c r="J4134">
        <v>2</v>
      </c>
      <c r="K4134">
        <v>1</v>
      </c>
      <c r="L4134" s="4">
        <v>41.591836734693878</v>
      </c>
      <c r="M4134" s="4">
        <v>0.83183673469387998</v>
      </c>
      <c r="N4134" t="s">
        <v>93</v>
      </c>
    </row>
    <row r="4135" spans="1:14">
      <c r="A4135">
        <v>4134</v>
      </c>
      <c r="B4135">
        <v>65</v>
      </c>
      <c r="C4135" t="s">
        <v>11</v>
      </c>
      <c r="D4135" t="s">
        <v>29</v>
      </c>
      <c r="E4135" t="s">
        <v>51</v>
      </c>
      <c r="F4135">
        <v>74.680000000000007</v>
      </c>
      <c r="G4135" t="s">
        <v>19</v>
      </c>
      <c r="H4135" t="s">
        <v>15</v>
      </c>
      <c r="I4135">
        <v>4.0999999999999996</v>
      </c>
      <c r="J4135">
        <v>18</v>
      </c>
      <c r="K4135">
        <v>9</v>
      </c>
      <c r="L4135" s="4">
        <v>91.073170731707322</v>
      </c>
      <c r="M4135" s="4">
        <v>16.393170731707315</v>
      </c>
      <c r="N4135" t="s">
        <v>95</v>
      </c>
    </row>
    <row r="4136" spans="1:14">
      <c r="A4136">
        <v>4135</v>
      </c>
      <c r="B4136">
        <v>27</v>
      </c>
      <c r="C4136" t="s">
        <v>11</v>
      </c>
      <c r="D4136" t="s">
        <v>29</v>
      </c>
      <c r="E4136" t="s">
        <v>51</v>
      </c>
      <c r="F4136">
        <v>117.55</v>
      </c>
      <c r="G4136" t="s">
        <v>14</v>
      </c>
      <c r="H4136" t="s">
        <v>15</v>
      </c>
      <c r="I4136">
        <v>3.2</v>
      </c>
      <c r="J4136">
        <v>11</v>
      </c>
      <c r="K4136">
        <v>3</v>
      </c>
      <c r="L4136" s="4">
        <v>132.07865168539325</v>
      </c>
      <c r="M4136" s="4">
        <v>14.528651685393257</v>
      </c>
      <c r="N4136" t="s">
        <v>91</v>
      </c>
    </row>
    <row r="4137" spans="1:14">
      <c r="A4137">
        <v>4136</v>
      </c>
      <c r="B4137">
        <v>44</v>
      </c>
      <c r="C4137" t="s">
        <v>11</v>
      </c>
      <c r="D4137" t="s">
        <v>22</v>
      </c>
      <c r="E4137" t="s">
        <v>23</v>
      </c>
      <c r="F4137">
        <v>211.32</v>
      </c>
      <c r="G4137" t="s">
        <v>14</v>
      </c>
      <c r="H4137" t="s">
        <v>15</v>
      </c>
      <c r="I4137">
        <v>4.5</v>
      </c>
      <c r="J4137">
        <v>16</v>
      </c>
      <c r="K4137">
        <v>8</v>
      </c>
      <c r="L4137" s="4">
        <v>251.57142857142858</v>
      </c>
      <c r="M4137" s="4">
        <v>40.25142857142859</v>
      </c>
      <c r="N4137" t="s">
        <v>92</v>
      </c>
    </row>
    <row r="4138" spans="1:14">
      <c r="A4138">
        <v>4137</v>
      </c>
      <c r="B4138">
        <v>29</v>
      </c>
      <c r="C4138" t="s">
        <v>16</v>
      </c>
      <c r="D4138" t="s">
        <v>17</v>
      </c>
      <c r="E4138" t="s">
        <v>35</v>
      </c>
      <c r="F4138">
        <v>32.81</v>
      </c>
      <c r="G4138" t="s">
        <v>19</v>
      </c>
      <c r="H4138" t="s">
        <v>37</v>
      </c>
      <c r="I4138">
        <v>3.8</v>
      </c>
      <c r="J4138">
        <v>9</v>
      </c>
      <c r="K4138">
        <v>2</v>
      </c>
      <c r="L4138" s="4">
        <v>36.054945054945058</v>
      </c>
      <c r="M4138" s="4">
        <v>3.244945054945056</v>
      </c>
      <c r="N4138" t="s">
        <v>91</v>
      </c>
    </row>
    <row r="4139" spans="1:14">
      <c r="A4139">
        <v>4138</v>
      </c>
      <c r="B4139">
        <v>41</v>
      </c>
      <c r="C4139" t="s">
        <v>16</v>
      </c>
      <c r="D4139" t="s">
        <v>33</v>
      </c>
      <c r="E4139" t="s">
        <v>34</v>
      </c>
      <c r="F4139">
        <v>104.2</v>
      </c>
      <c r="G4139" t="s">
        <v>24</v>
      </c>
      <c r="H4139" t="s">
        <v>15</v>
      </c>
      <c r="I4139">
        <v>4.0999999999999996</v>
      </c>
      <c r="J4139">
        <v>11</v>
      </c>
      <c r="K4139">
        <v>3</v>
      </c>
      <c r="L4139" s="4">
        <v>117.07865168539325</v>
      </c>
      <c r="M4139" s="4">
        <v>12.878651685393251</v>
      </c>
      <c r="N4139" t="s">
        <v>92</v>
      </c>
    </row>
    <row r="4140" spans="1:14">
      <c r="A4140">
        <v>4139</v>
      </c>
      <c r="B4140">
        <v>25</v>
      </c>
      <c r="C4140" t="s">
        <v>16</v>
      </c>
      <c r="D4140" t="s">
        <v>27</v>
      </c>
      <c r="E4140" t="s">
        <v>32</v>
      </c>
      <c r="F4140">
        <v>991.14</v>
      </c>
      <c r="G4140" t="s">
        <v>24</v>
      </c>
      <c r="H4140" t="s">
        <v>15</v>
      </c>
      <c r="I4140">
        <v>2.1</v>
      </c>
      <c r="J4140">
        <v>4</v>
      </c>
      <c r="K4140">
        <v>2</v>
      </c>
      <c r="L4140" s="4">
        <v>1032.4375</v>
      </c>
      <c r="M4140" s="4">
        <v>41.297500000000014</v>
      </c>
      <c r="N4140" t="s">
        <v>91</v>
      </c>
    </row>
    <row r="4141" spans="1:14">
      <c r="A4141">
        <v>4140</v>
      </c>
      <c r="B4141">
        <v>34</v>
      </c>
      <c r="C4141" t="s">
        <v>11</v>
      </c>
      <c r="D4141" t="s">
        <v>22</v>
      </c>
      <c r="E4141" t="s">
        <v>52</v>
      </c>
      <c r="F4141">
        <v>138.43</v>
      </c>
      <c r="G4141" t="s">
        <v>24</v>
      </c>
      <c r="H4141" t="s">
        <v>15</v>
      </c>
      <c r="I4141">
        <v>4.0999999999999996</v>
      </c>
      <c r="J4141">
        <v>12</v>
      </c>
      <c r="K4141">
        <v>1</v>
      </c>
      <c r="L4141" s="4">
        <v>157.30681818181819</v>
      </c>
      <c r="M4141" s="4">
        <v>18.87681818181818</v>
      </c>
      <c r="N4141" t="s">
        <v>91</v>
      </c>
    </row>
    <row r="4142" spans="1:14">
      <c r="A4142">
        <v>4141</v>
      </c>
      <c r="B4142">
        <v>61</v>
      </c>
      <c r="C4142" t="s">
        <v>16</v>
      </c>
      <c r="D4142" t="s">
        <v>20</v>
      </c>
      <c r="E4142" t="s">
        <v>39</v>
      </c>
      <c r="F4142">
        <v>176.45</v>
      </c>
      <c r="G4142" t="s">
        <v>14</v>
      </c>
      <c r="H4142" t="s">
        <v>15</v>
      </c>
      <c r="I4142">
        <v>3.9</v>
      </c>
      <c r="J4142">
        <v>6</v>
      </c>
      <c r="K4142">
        <v>3</v>
      </c>
      <c r="L4142" s="4">
        <v>187.71276595744681</v>
      </c>
      <c r="M4142" s="4">
        <v>11.262765957446817</v>
      </c>
      <c r="N4142" t="s">
        <v>94</v>
      </c>
    </row>
    <row r="4143" spans="1:14">
      <c r="A4143">
        <v>4142</v>
      </c>
      <c r="B4143">
        <v>56</v>
      </c>
      <c r="C4143" t="s">
        <v>16</v>
      </c>
      <c r="D4143" t="s">
        <v>17</v>
      </c>
      <c r="E4143" t="s">
        <v>35</v>
      </c>
      <c r="F4143">
        <v>156.69</v>
      </c>
      <c r="G4143" t="s">
        <v>31</v>
      </c>
      <c r="H4143" t="s">
        <v>15</v>
      </c>
      <c r="I4143">
        <v>3.7</v>
      </c>
      <c r="J4143">
        <v>11</v>
      </c>
      <c r="K4143">
        <v>3</v>
      </c>
      <c r="L4143" s="4">
        <v>176.0561797752809</v>
      </c>
      <c r="M4143" s="4">
        <v>19.366179775280898</v>
      </c>
      <c r="N4143" t="s">
        <v>94</v>
      </c>
    </row>
    <row r="4144" spans="1:14">
      <c r="A4144">
        <v>4143</v>
      </c>
      <c r="B4144">
        <v>34</v>
      </c>
      <c r="C4144" t="s">
        <v>16</v>
      </c>
      <c r="D4144" t="s">
        <v>27</v>
      </c>
      <c r="E4144" t="s">
        <v>53</v>
      </c>
      <c r="F4144">
        <v>1532.93</v>
      </c>
      <c r="G4144" t="s">
        <v>24</v>
      </c>
      <c r="H4144" t="s">
        <v>15</v>
      </c>
      <c r="I4144">
        <v>3.8</v>
      </c>
      <c r="J4144">
        <v>24</v>
      </c>
      <c r="K4144">
        <v>7</v>
      </c>
      <c r="L4144" s="4">
        <v>2017.0131578947369</v>
      </c>
      <c r="M4144" s="4">
        <v>484.08315789473681</v>
      </c>
      <c r="N4144" t="s">
        <v>91</v>
      </c>
    </row>
    <row r="4145" spans="1:14">
      <c r="A4145">
        <v>4144</v>
      </c>
      <c r="B4145">
        <v>24</v>
      </c>
      <c r="C4145" t="s">
        <v>11</v>
      </c>
      <c r="D4145" t="s">
        <v>29</v>
      </c>
      <c r="E4145" t="s">
        <v>30</v>
      </c>
      <c r="F4145">
        <v>37.85</v>
      </c>
      <c r="G4145" t="s">
        <v>19</v>
      </c>
      <c r="H4145" t="s">
        <v>37</v>
      </c>
      <c r="I4145">
        <v>3.7</v>
      </c>
      <c r="J4145">
        <v>18</v>
      </c>
      <c r="K4145">
        <v>4</v>
      </c>
      <c r="L4145" s="4">
        <v>46.158536585365852</v>
      </c>
      <c r="M4145" s="4">
        <v>8.3085365853658502</v>
      </c>
      <c r="N4145" t="s">
        <v>100</v>
      </c>
    </row>
    <row r="4146" spans="1:14">
      <c r="A4146">
        <v>4145</v>
      </c>
      <c r="B4146">
        <v>49</v>
      </c>
      <c r="C4146" t="s">
        <v>16</v>
      </c>
      <c r="D4146" t="s">
        <v>17</v>
      </c>
      <c r="E4146" t="s">
        <v>42</v>
      </c>
      <c r="F4146">
        <v>132.37</v>
      </c>
      <c r="G4146" t="s">
        <v>31</v>
      </c>
      <c r="H4146" t="s">
        <v>15</v>
      </c>
      <c r="I4146">
        <v>2.9</v>
      </c>
      <c r="J4146">
        <v>13</v>
      </c>
      <c r="K4146">
        <v>4</v>
      </c>
      <c r="L4146" s="4">
        <v>152.14942528735634</v>
      </c>
      <c r="M4146" s="4">
        <v>19.779425287356332</v>
      </c>
      <c r="N4146" t="s">
        <v>93</v>
      </c>
    </row>
    <row r="4147" spans="1:14">
      <c r="A4147">
        <v>4146</v>
      </c>
      <c r="B4147">
        <v>40</v>
      </c>
      <c r="C4147" t="s">
        <v>16</v>
      </c>
      <c r="D4147" t="s">
        <v>20</v>
      </c>
      <c r="E4147" t="s">
        <v>21</v>
      </c>
      <c r="F4147">
        <v>42.76</v>
      </c>
      <c r="G4147" t="s">
        <v>14</v>
      </c>
      <c r="H4147" t="s">
        <v>37</v>
      </c>
      <c r="I4147">
        <v>2.7</v>
      </c>
      <c r="J4147">
        <v>8</v>
      </c>
      <c r="K4147">
        <v>4</v>
      </c>
      <c r="L4147" s="4">
        <v>46.478260869565212</v>
      </c>
      <c r="M4147" s="4">
        <v>3.7182608695652135</v>
      </c>
      <c r="N4147" t="s">
        <v>92</v>
      </c>
    </row>
    <row r="4148" spans="1:14">
      <c r="A4148">
        <v>4147</v>
      </c>
      <c r="B4148">
        <v>39</v>
      </c>
      <c r="C4148" t="s">
        <v>11</v>
      </c>
      <c r="D4148" t="s">
        <v>29</v>
      </c>
      <c r="E4148" t="s">
        <v>51</v>
      </c>
      <c r="F4148">
        <v>28.3</v>
      </c>
      <c r="G4148" t="s">
        <v>19</v>
      </c>
      <c r="H4148" t="s">
        <v>15</v>
      </c>
      <c r="I4148">
        <v>3.9</v>
      </c>
      <c r="J4148">
        <v>28</v>
      </c>
      <c r="K4148">
        <v>9</v>
      </c>
      <c r="L4148" s="4">
        <v>39.305555555555557</v>
      </c>
      <c r="M4148" s="4">
        <v>11.005555555555556</v>
      </c>
      <c r="N4148" t="s">
        <v>92</v>
      </c>
    </row>
    <row r="4149" spans="1:14">
      <c r="A4149">
        <v>4148</v>
      </c>
      <c r="B4149">
        <v>27</v>
      </c>
      <c r="C4149" t="s">
        <v>16</v>
      </c>
      <c r="D4149" t="s">
        <v>27</v>
      </c>
      <c r="E4149" t="s">
        <v>49</v>
      </c>
      <c r="F4149">
        <v>2662.63</v>
      </c>
      <c r="G4149" t="s">
        <v>19</v>
      </c>
      <c r="H4149" t="s">
        <v>15</v>
      </c>
      <c r="I4149">
        <v>3.4</v>
      </c>
      <c r="J4149">
        <v>15</v>
      </c>
      <c r="K4149">
        <v>5</v>
      </c>
      <c r="L4149" s="4">
        <v>3132.5058823529412</v>
      </c>
      <c r="M4149" s="4">
        <v>469.87588235294106</v>
      </c>
      <c r="N4149" t="s">
        <v>91</v>
      </c>
    </row>
    <row r="4150" spans="1:14">
      <c r="A4150">
        <v>4149</v>
      </c>
      <c r="B4150">
        <v>63</v>
      </c>
      <c r="C4150" t="s">
        <v>16</v>
      </c>
      <c r="D4150" t="s">
        <v>27</v>
      </c>
      <c r="E4150" t="s">
        <v>53</v>
      </c>
      <c r="F4150">
        <v>783.46</v>
      </c>
      <c r="G4150" t="s">
        <v>19</v>
      </c>
      <c r="H4150" t="s">
        <v>15</v>
      </c>
      <c r="I4150">
        <v>2.9</v>
      </c>
      <c r="J4150">
        <v>16</v>
      </c>
      <c r="K4150">
        <v>8</v>
      </c>
      <c r="L4150" s="4">
        <v>932.69047619047626</v>
      </c>
      <c r="M4150" s="4">
        <v>149.23047619047622</v>
      </c>
      <c r="N4150" t="s">
        <v>94</v>
      </c>
    </row>
    <row r="4151" spans="1:14">
      <c r="A4151">
        <v>4150</v>
      </c>
      <c r="B4151">
        <v>40</v>
      </c>
      <c r="C4151" t="s">
        <v>11</v>
      </c>
      <c r="D4151" t="s">
        <v>12</v>
      </c>
      <c r="E4151" t="s">
        <v>50</v>
      </c>
      <c r="F4151">
        <v>28.71</v>
      </c>
      <c r="G4151" t="s">
        <v>24</v>
      </c>
      <c r="H4151" t="s">
        <v>37</v>
      </c>
      <c r="I4151">
        <v>2.5</v>
      </c>
      <c r="J4151">
        <v>16</v>
      </c>
      <c r="K4151">
        <v>8</v>
      </c>
      <c r="L4151" s="4">
        <v>34.178571428571431</v>
      </c>
      <c r="M4151" s="4">
        <v>5.4685714285714297</v>
      </c>
      <c r="N4151" t="s">
        <v>92</v>
      </c>
    </row>
    <row r="4152" spans="1:14">
      <c r="A4152">
        <v>4151</v>
      </c>
      <c r="B4152">
        <v>29</v>
      </c>
      <c r="C4152" t="s">
        <v>16</v>
      </c>
      <c r="D4152" t="s">
        <v>20</v>
      </c>
      <c r="E4152" t="s">
        <v>39</v>
      </c>
      <c r="F4152">
        <v>103</v>
      </c>
      <c r="G4152" t="s">
        <v>31</v>
      </c>
      <c r="H4152" t="s">
        <v>15</v>
      </c>
      <c r="I4152">
        <v>2.9</v>
      </c>
      <c r="J4152">
        <v>23</v>
      </c>
      <c r="K4152">
        <v>9</v>
      </c>
      <c r="L4152" s="4">
        <v>133.76623376623377</v>
      </c>
      <c r="M4152" s="4">
        <v>30.766233766233768</v>
      </c>
      <c r="N4152" t="s">
        <v>91</v>
      </c>
    </row>
    <row r="4153" spans="1:14">
      <c r="A4153">
        <v>4152</v>
      </c>
      <c r="B4153">
        <v>48</v>
      </c>
      <c r="C4153" t="s">
        <v>16</v>
      </c>
      <c r="D4153" t="s">
        <v>17</v>
      </c>
      <c r="E4153" t="s">
        <v>48</v>
      </c>
      <c r="F4153">
        <v>121.26</v>
      </c>
      <c r="G4153" t="s">
        <v>31</v>
      </c>
      <c r="H4153" t="s">
        <v>15</v>
      </c>
      <c r="I4153">
        <v>1.9</v>
      </c>
      <c r="J4153">
        <v>12</v>
      </c>
      <c r="K4153">
        <v>6</v>
      </c>
      <c r="L4153" s="4">
        <v>137.79545454545456</v>
      </c>
      <c r="M4153" s="4">
        <v>16.535454545454556</v>
      </c>
      <c r="N4153" t="s">
        <v>93</v>
      </c>
    </row>
    <row r="4154" spans="1:14">
      <c r="A4154">
        <v>4153</v>
      </c>
      <c r="B4154">
        <v>30</v>
      </c>
      <c r="C4154" t="s">
        <v>16</v>
      </c>
      <c r="D4154" t="s">
        <v>25</v>
      </c>
      <c r="E4154" t="s">
        <v>57</v>
      </c>
      <c r="F4154">
        <v>5.89</v>
      </c>
      <c r="G4154" t="s">
        <v>31</v>
      </c>
      <c r="H4154" t="s">
        <v>37</v>
      </c>
      <c r="I4154">
        <v>3.2</v>
      </c>
      <c r="J4154">
        <v>17</v>
      </c>
      <c r="K4154">
        <v>6</v>
      </c>
      <c r="L4154" s="4">
        <v>7.096385542168675</v>
      </c>
      <c r="M4154" s="4">
        <v>1.2063855421686753</v>
      </c>
      <c r="N4154" t="s">
        <v>91</v>
      </c>
    </row>
    <row r="4155" spans="1:14">
      <c r="A4155">
        <v>4154</v>
      </c>
      <c r="B4155">
        <v>35</v>
      </c>
      <c r="C4155" t="s">
        <v>16</v>
      </c>
      <c r="D4155" t="s">
        <v>33</v>
      </c>
      <c r="E4155" t="s">
        <v>38</v>
      </c>
      <c r="F4155">
        <v>240.97</v>
      </c>
      <c r="G4155" t="s">
        <v>31</v>
      </c>
      <c r="H4155" t="s">
        <v>15</v>
      </c>
      <c r="I4155">
        <v>2.8</v>
      </c>
      <c r="J4155">
        <v>22</v>
      </c>
      <c r="K4155">
        <v>6</v>
      </c>
      <c r="L4155" s="4">
        <v>308.9358974358974</v>
      </c>
      <c r="M4155" s="4">
        <v>67.965897435897404</v>
      </c>
      <c r="N4155" t="s">
        <v>92</v>
      </c>
    </row>
    <row r="4156" spans="1:14">
      <c r="A4156">
        <v>4155</v>
      </c>
      <c r="B4156">
        <v>62</v>
      </c>
      <c r="C4156" t="s">
        <v>11</v>
      </c>
      <c r="D4156" t="s">
        <v>29</v>
      </c>
      <c r="E4156" t="s">
        <v>51</v>
      </c>
      <c r="F4156">
        <v>140.77000000000001</v>
      </c>
      <c r="G4156" t="s">
        <v>31</v>
      </c>
      <c r="H4156" t="s">
        <v>15</v>
      </c>
      <c r="I4156">
        <v>2.7</v>
      </c>
      <c r="J4156">
        <v>6</v>
      </c>
      <c r="K4156">
        <v>3</v>
      </c>
      <c r="L4156" s="4">
        <v>149.7553191489362</v>
      </c>
      <c r="M4156" s="4">
        <v>8.9853191489361848</v>
      </c>
      <c r="N4156" t="s">
        <v>94</v>
      </c>
    </row>
    <row r="4157" spans="1:14">
      <c r="A4157">
        <v>4156</v>
      </c>
      <c r="B4157">
        <v>21</v>
      </c>
      <c r="C4157" t="s">
        <v>16</v>
      </c>
      <c r="D4157" t="s">
        <v>27</v>
      </c>
      <c r="E4157" t="s">
        <v>53</v>
      </c>
      <c r="F4157">
        <v>1584.57</v>
      </c>
      <c r="G4157" t="s">
        <v>24</v>
      </c>
      <c r="H4157" t="s">
        <v>15</v>
      </c>
      <c r="I4157">
        <v>3.6</v>
      </c>
      <c r="J4157">
        <v>15</v>
      </c>
      <c r="K4157">
        <v>5</v>
      </c>
      <c r="L4157" s="4">
        <v>1864.2</v>
      </c>
      <c r="M4157" s="4">
        <v>279.63000000000011</v>
      </c>
      <c r="N4157" t="s">
        <v>100</v>
      </c>
    </row>
    <row r="4158" spans="1:14">
      <c r="A4158">
        <v>4157</v>
      </c>
      <c r="B4158">
        <v>56</v>
      </c>
      <c r="C4158" t="s">
        <v>11</v>
      </c>
      <c r="D4158" t="s">
        <v>41</v>
      </c>
      <c r="E4158" t="s">
        <v>45</v>
      </c>
      <c r="F4158">
        <v>123.71</v>
      </c>
      <c r="G4158" t="s">
        <v>14</v>
      </c>
      <c r="H4158" t="s">
        <v>15</v>
      </c>
      <c r="I4158">
        <v>3.2</v>
      </c>
      <c r="J4158">
        <v>11</v>
      </c>
      <c r="K4158">
        <v>3</v>
      </c>
      <c r="L4158" s="4">
        <v>139</v>
      </c>
      <c r="M4158" s="4">
        <v>15.290000000000006</v>
      </c>
      <c r="N4158" t="s">
        <v>94</v>
      </c>
    </row>
    <row r="4159" spans="1:14">
      <c r="A4159">
        <v>4158</v>
      </c>
      <c r="B4159">
        <v>20</v>
      </c>
      <c r="C4159" t="s">
        <v>11</v>
      </c>
      <c r="D4159" t="s">
        <v>12</v>
      </c>
      <c r="E4159" t="s">
        <v>56</v>
      </c>
      <c r="F4159">
        <v>127.91</v>
      </c>
      <c r="G4159" t="s">
        <v>19</v>
      </c>
      <c r="H4159" t="s">
        <v>15</v>
      </c>
      <c r="I4159">
        <v>2.9</v>
      </c>
      <c r="J4159">
        <v>17</v>
      </c>
      <c r="K4159">
        <v>6</v>
      </c>
      <c r="L4159" s="4">
        <v>154.10843373493975</v>
      </c>
      <c r="M4159" s="4">
        <v>26.198433734939755</v>
      </c>
      <c r="N4159" t="s">
        <v>100</v>
      </c>
    </row>
    <row r="4160" spans="1:14">
      <c r="A4160">
        <v>4159</v>
      </c>
      <c r="B4160">
        <v>22</v>
      </c>
      <c r="C4160" t="s">
        <v>11</v>
      </c>
      <c r="D4160" t="s">
        <v>25</v>
      </c>
      <c r="E4160" t="s">
        <v>26</v>
      </c>
      <c r="F4160">
        <v>23.75</v>
      </c>
      <c r="G4160" t="s">
        <v>19</v>
      </c>
      <c r="H4160" t="s">
        <v>15</v>
      </c>
      <c r="I4160">
        <v>3.7</v>
      </c>
      <c r="J4160">
        <v>18</v>
      </c>
      <c r="K4160">
        <v>4</v>
      </c>
      <c r="L4160" s="4">
        <v>28.963414634146339</v>
      </c>
      <c r="M4160" s="4">
        <v>5.2134146341463392</v>
      </c>
      <c r="N4160" t="s">
        <v>100</v>
      </c>
    </row>
    <row r="4161" spans="1:14">
      <c r="A4161">
        <v>4160</v>
      </c>
      <c r="B4161">
        <v>47</v>
      </c>
      <c r="C4161" t="s">
        <v>16</v>
      </c>
      <c r="D4161" t="s">
        <v>33</v>
      </c>
      <c r="E4161" t="s">
        <v>38</v>
      </c>
      <c r="F4161">
        <v>71.63</v>
      </c>
      <c r="G4161" t="s">
        <v>14</v>
      </c>
      <c r="H4161" t="s">
        <v>37</v>
      </c>
      <c r="I4161">
        <v>3.2</v>
      </c>
      <c r="J4161">
        <v>15</v>
      </c>
      <c r="K4161">
        <v>5</v>
      </c>
      <c r="L4161" s="4">
        <v>84.270588235294113</v>
      </c>
      <c r="M4161" s="4">
        <v>12.640588235294118</v>
      </c>
      <c r="N4161" t="s">
        <v>93</v>
      </c>
    </row>
    <row r="4162" spans="1:14">
      <c r="A4162">
        <v>4161</v>
      </c>
      <c r="B4162">
        <v>44</v>
      </c>
      <c r="C4162" t="s">
        <v>11</v>
      </c>
      <c r="D4162" t="s">
        <v>12</v>
      </c>
      <c r="E4162" t="s">
        <v>56</v>
      </c>
      <c r="F4162">
        <v>132.41999999999999</v>
      </c>
      <c r="G4162" t="s">
        <v>14</v>
      </c>
      <c r="H4162" t="s">
        <v>15</v>
      </c>
      <c r="I4162">
        <v>3.7</v>
      </c>
      <c r="J4162">
        <v>15</v>
      </c>
      <c r="K4162">
        <v>5</v>
      </c>
      <c r="L4162" s="4">
        <v>155.78823529411764</v>
      </c>
      <c r="M4162" s="4">
        <v>23.368235294117653</v>
      </c>
      <c r="N4162" t="s">
        <v>92</v>
      </c>
    </row>
    <row r="4163" spans="1:14">
      <c r="A4163">
        <v>4162</v>
      </c>
      <c r="B4163">
        <v>50</v>
      </c>
      <c r="C4163" t="s">
        <v>11</v>
      </c>
      <c r="D4163" t="s">
        <v>29</v>
      </c>
      <c r="E4163" t="s">
        <v>55</v>
      </c>
      <c r="F4163">
        <v>128.51</v>
      </c>
      <c r="G4163" t="s">
        <v>19</v>
      </c>
      <c r="H4163" t="s">
        <v>15</v>
      </c>
      <c r="I4163">
        <v>3.8</v>
      </c>
      <c r="J4163">
        <v>16</v>
      </c>
      <c r="K4163">
        <v>8</v>
      </c>
      <c r="L4163" s="4">
        <v>152.98809523809524</v>
      </c>
      <c r="M4163" s="4">
        <v>24.47809523809525</v>
      </c>
      <c r="N4163" t="s">
        <v>93</v>
      </c>
    </row>
    <row r="4164" spans="1:14">
      <c r="A4164">
        <v>4163</v>
      </c>
      <c r="B4164">
        <v>39</v>
      </c>
      <c r="C4164" t="s">
        <v>16</v>
      </c>
      <c r="D4164" t="s">
        <v>17</v>
      </c>
      <c r="E4164" t="s">
        <v>48</v>
      </c>
      <c r="F4164">
        <v>143.5</v>
      </c>
      <c r="G4164" t="s">
        <v>24</v>
      </c>
      <c r="H4164" t="s">
        <v>15</v>
      </c>
      <c r="I4164">
        <v>4.9000000000000004</v>
      </c>
      <c r="J4164">
        <v>19</v>
      </c>
      <c r="K4164">
        <v>7</v>
      </c>
      <c r="L4164" s="4">
        <v>177.16049382716048</v>
      </c>
      <c r="M4164" s="4">
        <v>33.660493827160479</v>
      </c>
      <c r="N4164" t="s">
        <v>92</v>
      </c>
    </row>
    <row r="4165" spans="1:14">
      <c r="A4165">
        <v>4164</v>
      </c>
      <c r="B4165">
        <v>64</v>
      </c>
      <c r="C4165" t="s">
        <v>11</v>
      </c>
      <c r="D4165" t="s">
        <v>33</v>
      </c>
      <c r="E4165" t="s">
        <v>40</v>
      </c>
      <c r="F4165">
        <v>162.31</v>
      </c>
      <c r="G4165" t="s">
        <v>31</v>
      </c>
      <c r="H4165" t="s">
        <v>15</v>
      </c>
      <c r="I4165">
        <v>3.7</v>
      </c>
      <c r="J4165">
        <v>14</v>
      </c>
      <c r="K4165">
        <v>7</v>
      </c>
      <c r="L4165" s="4">
        <v>188.73255813953489</v>
      </c>
      <c r="M4165" s="4">
        <v>26.422558139534885</v>
      </c>
      <c r="N4165" t="s">
        <v>94</v>
      </c>
    </row>
    <row r="4166" spans="1:14">
      <c r="A4166">
        <v>4165</v>
      </c>
      <c r="B4166">
        <v>67</v>
      </c>
      <c r="C4166" t="s">
        <v>11</v>
      </c>
      <c r="D4166" t="s">
        <v>33</v>
      </c>
      <c r="E4166" t="s">
        <v>38</v>
      </c>
      <c r="F4166">
        <v>210.1</v>
      </c>
      <c r="G4166" t="s">
        <v>14</v>
      </c>
      <c r="H4166" t="s">
        <v>15</v>
      </c>
      <c r="I4166">
        <v>3.9</v>
      </c>
      <c r="J4166">
        <v>4</v>
      </c>
      <c r="K4166">
        <v>2</v>
      </c>
      <c r="L4166" s="4">
        <v>218.85416666666666</v>
      </c>
      <c r="M4166" s="4">
        <v>8.7541666666666629</v>
      </c>
      <c r="N4166" t="s">
        <v>95</v>
      </c>
    </row>
    <row r="4167" spans="1:14">
      <c r="A4167">
        <v>4166</v>
      </c>
      <c r="B4167">
        <v>48</v>
      </c>
      <c r="C4167" t="s">
        <v>16</v>
      </c>
      <c r="D4167" t="s">
        <v>27</v>
      </c>
      <c r="E4167" t="s">
        <v>28</v>
      </c>
      <c r="F4167">
        <v>1794.93</v>
      </c>
      <c r="G4167" t="s">
        <v>19</v>
      </c>
      <c r="H4167" t="s">
        <v>15</v>
      </c>
      <c r="I4167">
        <v>4.5999999999999996</v>
      </c>
      <c r="J4167">
        <v>16</v>
      </c>
      <c r="K4167">
        <v>8</v>
      </c>
      <c r="L4167" s="4">
        <v>2136.8214285714289</v>
      </c>
      <c r="M4167" s="4">
        <v>341.89142857142883</v>
      </c>
      <c r="N4167" t="s">
        <v>93</v>
      </c>
    </row>
    <row r="4168" spans="1:14">
      <c r="A4168">
        <v>4167</v>
      </c>
      <c r="B4168">
        <v>26</v>
      </c>
      <c r="C4168" t="s">
        <v>16</v>
      </c>
      <c r="D4168" t="s">
        <v>17</v>
      </c>
      <c r="E4168" t="s">
        <v>35</v>
      </c>
      <c r="F4168">
        <v>52.64</v>
      </c>
      <c r="G4168" t="s">
        <v>14</v>
      </c>
      <c r="H4168" t="s">
        <v>37</v>
      </c>
      <c r="I4168">
        <v>4.5</v>
      </c>
      <c r="J4168">
        <v>9</v>
      </c>
      <c r="K4168">
        <v>2</v>
      </c>
      <c r="L4168" s="4">
        <v>57.846153846153847</v>
      </c>
      <c r="M4168" s="4">
        <v>5.2061538461538461</v>
      </c>
      <c r="N4168" t="s">
        <v>91</v>
      </c>
    </row>
    <row r="4169" spans="1:14">
      <c r="A4169">
        <v>4168</v>
      </c>
      <c r="B4169">
        <v>46</v>
      </c>
      <c r="C4169" t="s">
        <v>16</v>
      </c>
      <c r="D4169" t="s">
        <v>20</v>
      </c>
      <c r="E4169" t="s">
        <v>39</v>
      </c>
      <c r="F4169">
        <v>119.62</v>
      </c>
      <c r="G4169" t="s">
        <v>14</v>
      </c>
      <c r="H4169" t="s">
        <v>15</v>
      </c>
      <c r="I4169">
        <v>4.5</v>
      </c>
      <c r="J4169">
        <v>15</v>
      </c>
      <c r="K4169">
        <v>5</v>
      </c>
      <c r="L4169" s="4">
        <v>140.7294117647059</v>
      </c>
      <c r="M4169" s="4">
        <v>21.109411764705897</v>
      </c>
      <c r="N4169" t="s">
        <v>93</v>
      </c>
    </row>
    <row r="4170" spans="1:14">
      <c r="A4170">
        <v>4169</v>
      </c>
      <c r="B4170">
        <v>26</v>
      </c>
      <c r="C4170" t="s">
        <v>11</v>
      </c>
      <c r="D4170" t="s">
        <v>33</v>
      </c>
      <c r="E4170" t="s">
        <v>38</v>
      </c>
      <c r="F4170">
        <v>230.19</v>
      </c>
      <c r="G4170" t="s">
        <v>24</v>
      </c>
      <c r="H4170" t="s">
        <v>15</v>
      </c>
      <c r="I4170">
        <v>3.9</v>
      </c>
      <c r="J4170">
        <v>22</v>
      </c>
      <c r="K4170">
        <v>6</v>
      </c>
      <c r="L4170" s="4">
        <v>295.11538461538458</v>
      </c>
      <c r="M4170" s="4">
        <v>64.925384615384587</v>
      </c>
      <c r="N4170" t="s">
        <v>91</v>
      </c>
    </row>
    <row r="4171" spans="1:14">
      <c r="A4171">
        <v>4170</v>
      </c>
      <c r="B4171">
        <v>50</v>
      </c>
      <c r="C4171" t="s">
        <v>11</v>
      </c>
      <c r="D4171" t="s">
        <v>22</v>
      </c>
      <c r="E4171" t="s">
        <v>23</v>
      </c>
      <c r="F4171">
        <v>58.78</v>
      </c>
      <c r="G4171" t="s">
        <v>24</v>
      </c>
      <c r="H4171" t="s">
        <v>37</v>
      </c>
      <c r="I4171">
        <v>4.8</v>
      </c>
      <c r="J4171">
        <v>16</v>
      </c>
      <c r="K4171">
        <v>3</v>
      </c>
      <c r="L4171" s="4">
        <v>69.976190476190482</v>
      </c>
      <c r="M4171" s="4">
        <v>11.19619047619048</v>
      </c>
      <c r="N4171" t="s">
        <v>93</v>
      </c>
    </row>
    <row r="4172" spans="1:14">
      <c r="A4172">
        <v>4171</v>
      </c>
      <c r="B4172">
        <v>36</v>
      </c>
      <c r="C4172" t="s">
        <v>16</v>
      </c>
      <c r="D4172" t="s">
        <v>27</v>
      </c>
      <c r="E4172" t="s">
        <v>53</v>
      </c>
      <c r="F4172">
        <v>2331.58</v>
      </c>
      <c r="G4172" t="s">
        <v>24</v>
      </c>
      <c r="H4172" t="s">
        <v>15</v>
      </c>
      <c r="I4172">
        <v>3</v>
      </c>
      <c r="J4172">
        <v>8</v>
      </c>
      <c r="K4172">
        <v>4</v>
      </c>
      <c r="L4172" s="4">
        <v>2534.3260869565215</v>
      </c>
      <c r="M4172" s="4">
        <v>202.74608695652159</v>
      </c>
      <c r="N4172" t="s">
        <v>92</v>
      </c>
    </row>
    <row r="4173" spans="1:14">
      <c r="A4173">
        <v>4172</v>
      </c>
      <c r="B4173">
        <v>36</v>
      </c>
      <c r="C4173" t="s">
        <v>16</v>
      </c>
      <c r="D4173" t="s">
        <v>20</v>
      </c>
      <c r="E4173" t="s">
        <v>39</v>
      </c>
      <c r="F4173">
        <v>149.44</v>
      </c>
      <c r="G4173" t="s">
        <v>14</v>
      </c>
      <c r="H4173" t="s">
        <v>15</v>
      </c>
      <c r="I4173">
        <v>3.6</v>
      </c>
      <c r="J4173">
        <v>20</v>
      </c>
      <c r="K4173">
        <v>5</v>
      </c>
      <c r="L4173" s="4">
        <v>186.79999999999998</v>
      </c>
      <c r="M4173" s="4">
        <v>37.359999999999985</v>
      </c>
      <c r="N4173" t="s">
        <v>92</v>
      </c>
    </row>
    <row r="4174" spans="1:14">
      <c r="A4174">
        <v>4173</v>
      </c>
      <c r="B4174">
        <v>64</v>
      </c>
      <c r="C4174" t="s">
        <v>16</v>
      </c>
      <c r="D4174" t="s">
        <v>27</v>
      </c>
      <c r="E4174" t="s">
        <v>53</v>
      </c>
      <c r="F4174">
        <v>2758.3</v>
      </c>
      <c r="G4174" t="s">
        <v>19</v>
      </c>
      <c r="H4174" t="s">
        <v>15</v>
      </c>
      <c r="I4174">
        <v>3.4</v>
      </c>
      <c r="J4174">
        <v>17</v>
      </c>
      <c r="K4174">
        <v>6</v>
      </c>
      <c r="L4174" s="4">
        <v>3323.2530120481933</v>
      </c>
      <c r="M4174" s="4">
        <v>564.95301204819316</v>
      </c>
      <c r="N4174" t="s">
        <v>94</v>
      </c>
    </row>
    <row r="4175" spans="1:14">
      <c r="A4175">
        <v>4174</v>
      </c>
      <c r="B4175">
        <v>69</v>
      </c>
      <c r="C4175" t="s">
        <v>11</v>
      </c>
      <c r="D4175" t="s">
        <v>29</v>
      </c>
      <c r="E4175" t="s">
        <v>51</v>
      </c>
      <c r="F4175">
        <v>87.77</v>
      </c>
      <c r="G4175" t="s">
        <v>14</v>
      </c>
      <c r="H4175" t="s">
        <v>37</v>
      </c>
      <c r="I4175">
        <v>3.9</v>
      </c>
      <c r="J4175">
        <v>9</v>
      </c>
      <c r="K4175">
        <v>2</v>
      </c>
      <c r="L4175" s="4">
        <v>96.450549450549445</v>
      </c>
      <c r="M4175" s="4">
        <v>8.6805494505494494</v>
      </c>
      <c r="N4175" t="s">
        <v>95</v>
      </c>
    </row>
    <row r="4176" spans="1:14">
      <c r="A4176">
        <v>4175</v>
      </c>
      <c r="B4176">
        <v>41</v>
      </c>
      <c r="C4176" t="s">
        <v>16</v>
      </c>
      <c r="D4176" t="s">
        <v>17</v>
      </c>
      <c r="E4176" t="s">
        <v>18</v>
      </c>
      <c r="F4176">
        <v>199.07</v>
      </c>
      <c r="G4176" t="s">
        <v>24</v>
      </c>
      <c r="H4176" t="s">
        <v>15</v>
      </c>
      <c r="I4176">
        <v>3.1</v>
      </c>
      <c r="J4176">
        <v>6</v>
      </c>
      <c r="K4176">
        <v>3</v>
      </c>
      <c r="L4176" s="4">
        <v>211.77659574468086</v>
      </c>
      <c r="M4176" s="4">
        <v>12.706595744680868</v>
      </c>
      <c r="N4176" t="s">
        <v>92</v>
      </c>
    </row>
    <row r="4177" spans="1:14">
      <c r="A4177">
        <v>4176</v>
      </c>
      <c r="B4177">
        <v>39</v>
      </c>
      <c r="C4177" t="s">
        <v>16</v>
      </c>
      <c r="D4177" t="s">
        <v>17</v>
      </c>
      <c r="E4177" t="s">
        <v>18</v>
      </c>
      <c r="F4177">
        <v>145.5</v>
      </c>
      <c r="G4177" t="s">
        <v>14</v>
      </c>
      <c r="H4177" t="s">
        <v>15</v>
      </c>
      <c r="I4177">
        <v>3.8</v>
      </c>
      <c r="J4177">
        <v>4</v>
      </c>
      <c r="K4177">
        <v>2</v>
      </c>
      <c r="L4177" s="4">
        <v>151.5625</v>
      </c>
      <c r="M4177" s="4">
        <v>6.0625</v>
      </c>
      <c r="N4177" t="s">
        <v>92</v>
      </c>
    </row>
    <row r="4178" spans="1:14">
      <c r="A4178">
        <v>4177</v>
      </c>
      <c r="B4178">
        <v>62</v>
      </c>
      <c r="C4178" t="s">
        <v>11</v>
      </c>
      <c r="D4178" t="s">
        <v>29</v>
      </c>
      <c r="E4178" t="s">
        <v>51</v>
      </c>
      <c r="F4178">
        <v>145.38999999999999</v>
      </c>
      <c r="G4178" t="s">
        <v>31</v>
      </c>
      <c r="H4178" t="s">
        <v>15</v>
      </c>
      <c r="I4178">
        <v>3.8</v>
      </c>
      <c r="J4178">
        <v>13</v>
      </c>
      <c r="K4178">
        <v>4</v>
      </c>
      <c r="L4178" s="4">
        <v>167.11494252873561</v>
      </c>
      <c r="M4178" s="4">
        <v>21.724942528735625</v>
      </c>
      <c r="N4178" t="s">
        <v>94</v>
      </c>
    </row>
    <row r="4179" spans="1:14">
      <c r="A4179">
        <v>4178</v>
      </c>
      <c r="B4179">
        <v>47</v>
      </c>
      <c r="C4179" t="s">
        <v>16</v>
      </c>
      <c r="D4179" t="s">
        <v>27</v>
      </c>
      <c r="E4179" t="s">
        <v>28</v>
      </c>
      <c r="F4179">
        <v>1665.59</v>
      </c>
      <c r="G4179" t="s">
        <v>31</v>
      </c>
      <c r="H4179" t="s">
        <v>15</v>
      </c>
      <c r="I4179">
        <v>3.9</v>
      </c>
      <c r="J4179">
        <v>17</v>
      </c>
      <c r="K4179">
        <v>6</v>
      </c>
      <c r="L4179" s="4">
        <v>2006.7349397590363</v>
      </c>
      <c r="M4179" s="4">
        <v>341.14493975903633</v>
      </c>
      <c r="N4179" t="s">
        <v>93</v>
      </c>
    </row>
    <row r="4180" spans="1:14">
      <c r="A4180">
        <v>4179</v>
      </c>
      <c r="B4180">
        <v>46</v>
      </c>
      <c r="C4180" t="s">
        <v>11</v>
      </c>
      <c r="D4180" t="s">
        <v>33</v>
      </c>
      <c r="E4180" t="s">
        <v>38</v>
      </c>
      <c r="F4180">
        <v>89.47</v>
      </c>
      <c r="G4180" t="s">
        <v>19</v>
      </c>
      <c r="H4180" t="s">
        <v>37</v>
      </c>
      <c r="I4180">
        <v>4.3</v>
      </c>
      <c r="J4180">
        <v>17</v>
      </c>
      <c r="K4180">
        <v>6</v>
      </c>
      <c r="L4180" s="4">
        <v>107.79518072289157</v>
      </c>
      <c r="M4180" s="4">
        <v>18.325180722891574</v>
      </c>
      <c r="N4180" t="s">
        <v>93</v>
      </c>
    </row>
    <row r="4181" spans="1:14">
      <c r="A4181">
        <v>4180</v>
      </c>
      <c r="B4181">
        <v>56</v>
      </c>
      <c r="C4181" t="s">
        <v>16</v>
      </c>
      <c r="D4181" t="s">
        <v>17</v>
      </c>
      <c r="E4181" t="s">
        <v>18</v>
      </c>
      <c r="F4181">
        <v>153.46</v>
      </c>
      <c r="G4181" t="s">
        <v>19</v>
      </c>
      <c r="H4181" t="s">
        <v>15</v>
      </c>
      <c r="I4181">
        <v>3.2</v>
      </c>
      <c r="J4181">
        <v>11</v>
      </c>
      <c r="K4181">
        <v>3</v>
      </c>
      <c r="L4181" s="4">
        <v>172.42696629213484</v>
      </c>
      <c r="M4181" s="4">
        <v>18.966966292134828</v>
      </c>
      <c r="N4181" t="s">
        <v>94</v>
      </c>
    </row>
    <row r="4182" spans="1:14">
      <c r="A4182">
        <v>4181</v>
      </c>
      <c r="B4182">
        <v>32</v>
      </c>
      <c r="C4182" t="s">
        <v>11</v>
      </c>
      <c r="D4182" t="s">
        <v>12</v>
      </c>
      <c r="E4182" t="s">
        <v>50</v>
      </c>
      <c r="F4182">
        <v>156.18</v>
      </c>
      <c r="G4182" t="s">
        <v>24</v>
      </c>
      <c r="H4182" t="s">
        <v>15</v>
      </c>
      <c r="I4182">
        <v>2.6</v>
      </c>
      <c r="J4182">
        <v>12</v>
      </c>
      <c r="K4182">
        <v>6</v>
      </c>
      <c r="L4182" s="4">
        <v>177.47727272727275</v>
      </c>
      <c r="M4182" s="4">
        <v>21.297272727272741</v>
      </c>
      <c r="N4182" t="s">
        <v>91</v>
      </c>
    </row>
    <row r="4183" spans="1:14">
      <c r="A4183">
        <v>4182</v>
      </c>
      <c r="B4183">
        <v>50</v>
      </c>
      <c r="C4183" t="s">
        <v>16</v>
      </c>
      <c r="D4183" t="s">
        <v>20</v>
      </c>
      <c r="E4183" t="s">
        <v>39</v>
      </c>
      <c r="F4183">
        <v>83.36</v>
      </c>
      <c r="G4183" t="s">
        <v>31</v>
      </c>
      <c r="H4183" t="s">
        <v>15</v>
      </c>
      <c r="I4183">
        <v>3.4</v>
      </c>
      <c r="J4183">
        <v>10</v>
      </c>
      <c r="K4183">
        <v>5</v>
      </c>
      <c r="L4183" s="4">
        <v>92.62222222222222</v>
      </c>
      <c r="M4183" s="4">
        <v>9.2622222222222206</v>
      </c>
      <c r="N4183" t="s">
        <v>93</v>
      </c>
    </row>
    <row r="4184" spans="1:14">
      <c r="A4184">
        <v>4183</v>
      </c>
      <c r="B4184">
        <v>58</v>
      </c>
      <c r="C4184" t="s">
        <v>16</v>
      </c>
      <c r="D4184" t="s">
        <v>17</v>
      </c>
      <c r="E4184" t="s">
        <v>35</v>
      </c>
      <c r="F4184">
        <v>171.56</v>
      </c>
      <c r="G4184" t="s">
        <v>31</v>
      </c>
      <c r="H4184" t="s">
        <v>15</v>
      </c>
      <c r="I4184">
        <v>3.9</v>
      </c>
      <c r="J4184">
        <v>8</v>
      </c>
      <c r="K4184">
        <v>4</v>
      </c>
      <c r="L4184" s="4">
        <v>186.47826086956522</v>
      </c>
      <c r="M4184" s="4">
        <v>14.918260869565216</v>
      </c>
      <c r="N4184" t="s">
        <v>94</v>
      </c>
    </row>
    <row r="4185" spans="1:14">
      <c r="A4185">
        <v>4184</v>
      </c>
      <c r="B4185">
        <v>26</v>
      </c>
      <c r="C4185" t="s">
        <v>11</v>
      </c>
      <c r="D4185" t="s">
        <v>41</v>
      </c>
      <c r="E4185" t="s">
        <v>45</v>
      </c>
      <c r="F4185">
        <v>31.99</v>
      </c>
      <c r="G4185" t="s">
        <v>24</v>
      </c>
      <c r="H4185" t="s">
        <v>37</v>
      </c>
      <c r="I4185">
        <v>3.4</v>
      </c>
      <c r="J4185">
        <v>23</v>
      </c>
      <c r="K4185">
        <v>9</v>
      </c>
      <c r="L4185" s="4">
        <v>41.54545454545454</v>
      </c>
      <c r="M4185" s="4">
        <v>9.5554545454545412</v>
      </c>
      <c r="N4185" t="s">
        <v>91</v>
      </c>
    </row>
    <row r="4186" spans="1:14">
      <c r="A4186">
        <v>4185</v>
      </c>
      <c r="B4186">
        <v>58</v>
      </c>
      <c r="C4186" t="s">
        <v>11</v>
      </c>
      <c r="D4186" t="s">
        <v>41</v>
      </c>
      <c r="E4186" t="s">
        <v>45</v>
      </c>
      <c r="F4186">
        <v>199.24</v>
      </c>
      <c r="G4186" t="s">
        <v>24</v>
      </c>
      <c r="H4186" t="s">
        <v>15</v>
      </c>
      <c r="I4186">
        <v>3.3</v>
      </c>
      <c r="J4186">
        <v>15</v>
      </c>
      <c r="K4186">
        <v>5</v>
      </c>
      <c r="L4186" s="4">
        <v>234.4</v>
      </c>
      <c r="M4186" s="4">
        <v>35.159999999999997</v>
      </c>
      <c r="N4186" t="s">
        <v>94</v>
      </c>
    </row>
    <row r="4187" spans="1:14">
      <c r="A4187">
        <v>4186</v>
      </c>
      <c r="B4187">
        <v>24</v>
      </c>
      <c r="C4187" t="s">
        <v>11</v>
      </c>
      <c r="D4187" t="s">
        <v>41</v>
      </c>
      <c r="E4187" t="s">
        <v>45</v>
      </c>
      <c r="F4187">
        <v>80.739999999999995</v>
      </c>
      <c r="G4187" t="s">
        <v>19</v>
      </c>
      <c r="H4187" t="s">
        <v>15</v>
      </c>
      <c r="I4187">
        <v>3.4</v>
      </c>
      <c r="J4187">
        <v>24</v>
      </c>
      <c r="K4187">
        <v>7</v>
      </c>
      <c r="L4187" s="4">
        <v>106.23684210526315</v>
      </c>
      <c r="M4187" s="4">
        <v>25.496842105263156</v>
      </c>
      <c r="N4187" t="s">
        <v>100</v>
      </c>
    </row>
    <row r="4188" spans="1:14">
      <c r="A4188">
        <v>4187</v>
      </c>
      <c r="B4188">
        <v>65</v>
      </c>
      <c r="C4188" t="s">
        <v>11</v>
      </c>
      <c r="D4188" t="s">
        <v>33</v>
      </c>
      <c r="E4188" t="s">
        <v>38</v>
      </c>
      <c r="F4188">
        <v>231.77</v>
      </c>
      <c r="G4188" t="s">
        <v>14</v>
      </c>
      <c r="H4188" t="s">
        <v>15</v>
      </c>
      <c r="I4188">
        <v>3.5</v>
      </c>
      <c r="J4188">
        <v>22</v>
      </c>
      <c r="K4188">
        <v>6</v>
      </c>
      <c r="L4188" s="4">
        <v>297.14102564102564</v>
      </c>
      <c r="M4188" s="4">
        <v>65.371025641025625</v>
      </c>
      <c r="N4188" t="s">
        <v>95</v>
      </c>
    </row>
    <row r="4189" spans="1:14">
      <c r="A4189">
        <v>4188</v>
      </c>
      <c r="B4189">
        <v>46</v>
      </c>
      <c r="C4189" t="s">
        <v>16</v>
      </c>
      <c r="D4189" t="s">
        <v>17</v>
      </c>
      <c r="E4189" t="s">
        <v>35</v>
      </c>
      <c r="F4189">
        <v>79.069999999999993</v>
      </c>
      <c r="G4189" t="s">
        <v>14</v>
      </c>
      <c r="H4189" t="s">
        <v>15</v>
      </c>
      <c r="I4189">
        <v>4.3</v>
      </c>
      <c r="J4189">
        <v>14</v>
      </c>
      <c r="K4189">
        <v>2</v>
      </c>
      <c r="L4189" s="4">
        <v>91.941860465116278</v>
      </c>
      <c r="M4189" s="4">
        <v>12.871860465116285</v>
      </c>
      <c r="N4189" t="s">
        <v>93</v>
      </c>
    </row>
    <row r="4190" spans="1:14">
      <c r="A4190">
        <v>4189</v>
      </c>
      <c r="B4190">
        <v>57</v>
      </c>
      <c r="C4190" t="s">
        <v>11</v>
      </c>
      <c r="D4190" t="s">
        <v>25</v>
      </c>
      <c r="E4190" t="s">
        <v>47</v>
      </c>
      <c r="F4190">
        <v>13.76</v>
      </c>
      <c r="G4190" t="s">
        <v>24</v>
      </c>
      <c r="H4190" t="s">
        <v>15</v>
      </c>
      <c r="I4190">
        <v>4.4000000000000004</v>
      </c>
      <c r="J4190">
        <v>7</v>
      </c>
      <c r="K4190">
        <v>1</v>
      </c>
      <c r="L4190" s="4">
        <v>14.795698924731184</v>
      </c>
      <c r="M4190" s="4">
        <v>1.0356989247311841</v>
      </c>
      <c r="N4190" t="s">
        <v>94</v>
      </c>
    </row>
    <row r="4191" spans="1:14">
      <c r="A4191">
        <v>4190</v>
      </c>
      <c r="B4191">
        <v>27</v>
      </c>
      <c r="C4191" t="s">
        <v>11</v>
      </c>
      <c r="D4191" t="s">
        <v>29</v>
      </c>
      <c r="E4191" t="s">
        <v>30</v>
      </c>
      <c r="F4191">
        <v>113.95</v>
      </c>
      <c r="G4191" t="s">
        <v>19</v>
      </c>
      <c r="H4191" t="s">
        <v>15</v>
      </c>
      <c r="I4191">
        <v>3.7</v>
      </c>
      <c r="J4191">
        <v>11</v>
      </c>
      <c r="K4191">
        <v>3</v>
      </c>
      <c r="L4191" s="4">
        <v>128.03370786516854</v>
      </c>
      <c r="M4191" s="4">
        <v>14.083707865168535</v>
      </c>
      <c r="N4191" t="s">
        <v>91</v>
      </c>
    </row>
    <row r="4192" spans="1:14">
      <c r="A4192">
        <v>4191</v>
      </c>
      <c r="B4192">
        <v>41</v>
      </c>
      <c r="C4192" t="s">
        <v>11</v>
      </c>
      <c r="D4192" t="s">
        <v>33</v>
      </c>
      <c r="E4192" t="s">
        <v>34</v>
      </c>
      <c r="F4192">
        <v>216.85</v>
      </c>
      <c r="G4192" t="s">
        <v>19</v>
      </c>
      <c r="H4192" t="s">
        <v>15</v>
      </c>
      <c r="I4192">
        <v>3.3</v>
      </c>
      <c r="J4192">
        <v>21</v>
      </c>
      <c r="K4192">
        <v>8</v>
      </c>
      <c r="L4192" s="4">
        <v>274.4936708860759</v>
      </c>
      <c r="M4192" s="4">
        <v>57.64367088607591</v>
      </c>
      <c r="N4192" t="s">
        <v>92</v>
      </c>
    </row>
    <row r="4193" spans="1:14">
      <c r="A4193">
        <v>4192</v>
      </c>
      <c r="B4193">
        <v>40</v>
      </c>
      <c r="C4193" t="s">
        <v>11</v>
      </c>
      <c r="D4193" t="s">
        <v>29</v>
      </c>
      <c r="E4193" t="s">
        <v>30</v>
      </c>
      <c r="F4193">
        <v>58.55</v>
      </c>
      <c r="G4193" t="s">
        <v>19</v>
      </c>
      <c r="H4193" t="s">
        <v>37</v>
      </c>
      <c r="I4193">
        <v>4.8</v>
      </c>
      <c r="J4193">
        <v>6</v>
      </c>
      <c r="K4193">
        <v>3</v>
      </c>
      <c r="L4193" s="4">
        <v>62.287234042553195</v>
      </c>
      <c r="M4193" s="4">
        <v>3.7372340425531974</v>
      </c>
      <c r="N4193" t="s">
        <v>92</v>
      </c>
    </row>
    <row r="4194" spans="1:14">
      <c r="A4194">
        <v>4193</v>
      </c>
      <c r="B4194">
        <v>43</v>
      </c>
      <c r="C4194" t="s">
        <v>16</v>
      </c>
      <c r="D4194" t="s">
        <v>20</v>
      </c>
      <c r="E4194" t="s">
        <v>36</v>
      </c>
      <c r="F4194">
        <v>188.28</v>
      </c>
      <c r="G4194" t="s">
        <v>24</v>
      </c>
      <c r="H4194" t="s">
        <v>15</v>
      </c>
      <c r="I4194">
        <v>4.4000000000000004</v>
      </c>
      <c r="J4194">
        <v>19</v>
      </c>
      <c r="K4194">
        <v>7</v>
      </c>
      <c r="L4194" s="4">
        <v>232.44444444444443</v>
      </c>
      <c r="M4194" s="4">
        <v>44.164444444444428</v>
      </c>
      <c r="N4194" t="s">
        <v>92</v>
      </c>
    </row>
    <row r="4195" spans="1:14">
      <c r="A4195">
        <v>4194</v>
      </c>
      <c r="B4195">
        <v>37</v>
      </c>
      <c r="C4195" t="s">
        <v>11</v>
      </c>
      <c r="D4195" t="s">
        <v>41</v>
      </c>
      <c r="E4195" t="s">
        <v>44</v>
      </c>
      <c r="F4195">
        <v>116.17</v>
      </c>
      <c r="G4195" t="s">
        <v>14</v>
      </c>
      <c r="H4195" t="s">
        <v>15</v>
      </c>
      <c r="I4195">
        <v>4.4000000000000004</v>
      </c>
      <c r="J4195">
        <v>22</v>
      </c>
      <c r="K4195">
        <v>6</v>
      </c>
      <c r="L4195" s="4">
        <v>148.93589743589743</v>
      </c>
      <c r="M4195" s="4">
        <v>32.765897435897429</v>
      </c>
      <c r="N4195" t="s">
        <v>92</v>
      </c>
    </row>
    <row r="4196" spans="1:14">
      <c r="A4196">
        <v>4195</v>
      </c>
      <c r="B4196">
        <v>34</v>
      </c>
      <c r="C4196" t="s">
        <v>11</v>
      </c>
      <c r="D4196" t="s">
        <v>22</v>
      </c>
      <c r="E4196" t="s">
        <v>23</v>
      </c>
      <c r="F4196">
        <v>142.76</v>
      </c>
      <c r="G4196" t="s">
        <v>31</v>
      </c>
      <c r="H4196" t="s">
        <v>15</v>
      </c>
      <c r="I4196">
        <v>4.5999999999999996</v>
      </c>
      <c r="J4196">
        <v>19</v>
      </c>
      <c r="K4196">
        <v>7</v>
      </c>
      <c r="L4196" s="4">
        <v>176.24691358024688</v>
      </c>
      <c r="M4196" s="4">
        <v>33.486913580246892</v>
      </c>
      <c r="N4196" t="s">
        <v>91</v>
      </c>
    </row>
    <row r="4197" spans="1:14">
      <c r="A4197">
        <v>4196</v>
      </c>
      <c r="B4197">
        <v>43</v>
      </c>
      <c r="C4197" t="s">
        <v>16</v>
      </c>
      <c r="D4197" t="s">
        <v>33</v>
      </c>
      <c r="E4197" t="s">
        <v>40</v>
      </c>
      <c r="F4197">
        <v>158.75</v>
      </c>
      <c r="G4197" t="s">
        <v>24</v>
      </c>
      <c r="H4197" t="s">
        <v>15</v>
      </c>
      <c r="I4197">
        <v>4.5</v>
      </c>
      <c r="J4197">
        <v>16</v>
      </c>
      <c r="K4197">
        <v>8</v>
      </c>
      <c r="L4197" s="4">
        <v>188.98809523809524</v>
      </c>
      <c r="M4197" s="4">
        <v>30.238095238095241</v>
      </c>
      <c r="N4197" t="s">
        <v>92</v>
      </c>
    </row>
    <row r="4198" spans="1:14">
      <c r="A4198">
        <v>4197</v>
      </c>
      <c r="B4198">
        <v>49</v>
      </c>
      <c r="C4198" t="s">
        <v>11</v>
      </c>
      <c r="D4198" t="s">
        <v>25</v>
      </c>
      <c r="E4198" t="s">
        <v>54</v>
      </c>
      <c r="F4198">
        <v>43.81</v>
      </c>
      <c r="G4198" t="s">
        <v>19</v>
      </c>
      <c r="H4198" t="s">
        <v>37</v>
      </c>
      <c r="I4198">
        <v>4</v>
      </c>
      <c r="J4198">
        <v>12</v>
      </c>
      <c r="K4198">
        <v>6</v>
      </c>
      <c r="L4198" s="4">
        <v>49.784090909090914</v>
      </c>
      <c r="M4198" s="4">
        <v>5.9740909090909113</v>
      </c>
      <c r="N4198" t="s">
        <v>93</v>
      </c>
    </row>
    <row r="4199" spans="1:14">
      <c r="A4199">
        <v>4198</v>
      </c>
      <c r="B4199">
        <v>57</v>
      </c>
      <c r="C4199" t="s">
        <v>16</v>
      </c>
      <c r="D4199" t="s">
        <v>20</v>
      </c>
      <c r="E4199" t="s">
        <v>21</v>
      </c>
      <c r="F4199">
        <v>66.09</v>
      </c>
      <c r="G4199" t="s">
        <v>19</v>
      </c>
      <c r="H4199" t="s">
        <v>37</v>
      </c>
      <c r="I4199">
        <v>3.6</v>
      </c>
      <c r="J4199">
        <v>11</v>
      </c>
      <c r="K4199">
        <v>3</v>
      </c>
      <c r="L4199" s="4">
        <v>74.258426966292134</v>
      </c>
      <c r="M4199" s="4">
        <v>8.1684269662921309</v>
      </c>
      <c r="N4199" t="s">
        <v>94</v>
      </c>
    </row>
    <row r="4200" spans="1:14">
      <c r="A4200">
        <v>4199</v>
      </c>
      <c r="B4200">
        <v>60</v>
      </c>
      <c r="C4200" t="s">
        <v>16</v>
      </c>
      <c r="D4200" t="s">
        <v>27</v>
      </c>
      <c r="E4200" t="s">
        <v>49</v>
      </c>
      <c r="F4200">
        <v>2585.88</v>
      </c>
      <c r="G4200" t="s">
        <v>24</v>
      </c>
      <c r="H4200" t="s">
        <v>15</v>
      </c>
      <c r="I4200">
        <v>3.1</v>
      </c>
      <c r="J4200">
        <v>15</v>
      </c>
      <c r="K4200">
        <v>5</v>
      </c>
      <c r="L4200" s="4">
        <v>3042.2117647058826</v>
      </c>
      <c r="M4200" s="4">
        <v>456.33176470588251</v>
      </c>
      <c r="N4200" t="s">
        <v>94</v>
      </c>
    </row>
    <row r="4201" spans="1:14">
      <c r="A4201">
        <v>4200</v>
      </c>
      <c r="B4201">
        <v>45</v>
      </c>
      <c r="C4201" t="s">
        <v>16</v>
      </c>
      <c r="D4201" t="s">
        <v>27</v>
      </c>
      <c r="E4201" t="s">
        <v>49</v>
      </c>
      <c r="F4201">
        <v>2462.83</v>
      </c>
      <c r="G4201" t="s">
        <v>19</v>
      </c>
      <c r="H4201" t="s">
        <v>15</v>
      </c>
      <c r="I4201">
        <v>4.5</v>
      </c>
      <c r="J4201">
        <v>12</v>
      </c>
      <c r="K4201">
        <v>6</v>
      </c>
      <c r="L4201" s="4">
        <v>2798.6704545454545</v>
      </c>
      <c r="M4201" s="4">
        <v>335.84045454545458</v>
      </c>
      <c r="N4201" t="s">
        <v>93</v>
      </c>
    </row>
    <row r="4202" spans="1:14">
      <c r="A4202">
        <v>4201</v>
      </c>
      <c r="B4202">
        <v>38</v>
      </c>
      <c r="C4202" t="s">
        <v>16</v>
      </c>
      <c r="D4202" t="s">
        <v>20</v>
      </c>
      <c r="E4202" t="s">
        <v>36</v>
      </c>
      <c r="F4202">
        <v>92.59</v>
      </c>
      <c r="G4202" t="s">
        <v>19</v>
      </c>
      <c r="H4202" t="s">
        <v>15</v>
      </c>
      <c r="I4202">
        <v>4.5999999999999996</v>
      </c>
      <c r="J4202">
        <v>19</v>
      </c>
      <c r="K4202">
        <v>7</v>
      </c>
      <c r="L4202" s="4">
        <v>114.30864197530863</v>
      </c>
      <c r="M4202" s="4">
        <v>21.718641975308628</v>
      </c>
      <c r="N4202" t="s">
        <v>92</v>
      </c>
    </row>
    <row r="4203" spans="1:14">
      <c r="A4203">
        <v>4202</v>
      </c>
      <c r="B4203">
        <v>52</v>
      </c>
      <c r="C4203" t="s">
        <v>11</v>
      </c>
      <c r="D4203" t="s">
        <v>41</v>
      </c>
      <c r="E4203" t="s">
        <v>42</v>
      </c>
      <c r="F4203">
        <v>132.66999999999999</v>
      </c>
      <c r="G4203" t="s">
        <v>14</v>
      </c>
      <c r="H4203" t="s">
        <v>15</v>
      </c>
      <c r="I4203">
        <v>5</v>
      </c>
      <c r="J4203">
        <v>13</v>
      </c>
      <c r="K4203">
        <v>4</v>
      </c>
      <c r="L4203" s="4">
        <v>152.4942528735632</v>
      </c>
      <c r="M4203" s="4">
        <v>19.824252873563211</v>
      </c>
      <c r="N4203" t="s">
        <v>93</v>
      </c>
    </row>
    <row r="4204" spans="1:14">
      <c r="A4204">
        <v>4203</v>
      </c>
      <c r="B4204">
        <v>49</v>
      </c>
      <c r="C4204" t="s">
        <v>11</v>
      </c>
      <c r="D4204" t="s">
        <v>25</v>
      </c>
      <c r="E4204" t="s">
        <v>54</v>
      </c>
      <c r="F4204">
        <v>44.3</v>
      </c>
      <c r="G4204" t="s">
        <v>24</v>
      </c>
      <c r="H4204" t="s">
        <v>15</v>
      </c>
      <c r="I4204">
        <v>4.3</v>
      </c>
      <c r="J4204">
        <v>17</v>
      </c>
      <c r="K4204">
        <v>6</v>
      </c>
      <c r="L4204" s="4">
        <v>53.373493975903614</v>
      </c>
      <c r="M4204" s="4">
        <v>9.0734939759036166</v>
      </c>
      <c r="N4204" t="s">
        <v>93</v>
      </c>
    </row>
    <row r="4205" spans="1:14">
      <c r="A4205">
        <v>4204</v>
      </c>
      <c r="B4205">
        <v>26</v>
      </c>
      <c r="C4205" t="s">
        <v>11</v>
      </c>
      <c r="D4205" t="s">
        <v>29</v>
      </c>
      <c r="E4205" t="s">
        <v>30</v>
      </c>
      <c r="F4205">
        <v>76.87</v>
      </c>
      <c r="G4205" t="s">
        <v>19</v>
      </c>
      <c r="H4205" t="s">
        <v>15</v>
      </c>
      <c r="I4205">
        <v>3</v>
      </c>
      <c r="J4205">
        <v>10</v>
      </c>
      <c r="K4205">
        <v>5</v>
      </c>
      <c r="L4205" s="4">
        <v>85.411111111111111</v>
      </c>
      <c r="M4205" s="4">
        <v>8.5411111111111069</v>
      </c>
      <c r="N4205" t="s">
        <v>91</v>
      </c>
    </row>
    <row r="4206" spans="1:14">
      <c r="A4206">
        <v>4205</v>
      </c>
      <c r="B4206">
        <v>58</v>
      </c>
      <c r="C4206" t="s">
        <v>16</v>
      </c>
      <c r="D4206" t="s">
        <v>17</v>
      </c>
      <c r="E4206" t="s">
        <v>48</v>
      </c>
      <c r="F4206">
        <v>53.51</v>
      </c>
      <c r="G4206" t="s">
        <v>19</v>
      </c>
      <c r="H4206" t="s">
        <v>15</v>
      </c>
      <c r="I4206">
        <v>4.4000000000000004</v>
      </c>
      <c r="J4206">
        <v>12</v>
      </c>
      <c r="K4206">
        <v>6</v>
      </c>
      <c r="L4206" s="4">
        <v>60.80681818181818</v>
      </c>
      <c r="M4206" s="4">
        <v>7.2968181818181819</v>
      </c>
      <c r="N4206" t="s">
        <v>94</v>
      </c>
    </row>
    <row r="4207" spans="1:14">
      <c r="A4207">
        <v>4206</v>
      </c>
      <c r="B4207">
        <v>52</v>
      </c>
      <c r="C4207" t="s">
        <v>16</v>
      </c>
      <c r="D4207" t="s">
        <v>20</v>
      </c>
      <c r="E4207" t="s">
        <v>39</v>
      </c>
      <c r="F4207">
        <v>103.02</v>
      </c>
      <c r="G4207" t="s">
        <v>14</v>
      </c>
      <c r="H4207" t="s">
        <v>15</v>
      </c>
      <c r="I4207">
        <v>3.6</v>
      </c>
      <c r="J4207">
        <v>14</v>
      </c>
      <c r="K4207">
        <v>7</v>
      </c>
      <c r="L4207" s="4">
        <v>119.7906976744186</v>
      </c>
      <c r="M4207" s="4">
        <v>16.770697674418599</v>
      </c>
      <c r="N4207" t="s">
        <v>93</v>
      </c>
    </row>
    <row r="4208" spans="1:14">
      <c r="A4208">
        <v>4207</v>
      </c>
      <c r="B4208">
        <v>64</v>
      </c>
      <c r="C4208" t="s">
        <v>16</v>
      </c>
      <c r="D4208" t="s">
        <v>33</v>
      </c>
      <c r="E4208" t="s">
        <v>40</v>
      </c>
      <c r="F4208">
        <v>184.26</v>
      </c>
      <c r="G4208" t="s">
        <v>24</v>
      </c>
      <c r="H4208" t="s">
        <v>15</v>
      </c>
      <c r="I4208">
        <v>4.5999999999999996</v>
      </c>
      <c r="J4208">
        <v>12</v>
      </c>
      <c r="K4208">
        <v>1</v>
      </c>
      <c r="L4208" s="4">
        <v>209.38636363636363</v>
      </c>
      <c r="M4208" s="4">
        <v>25.126363636363635</v>
      </c>
      <c r="N4208" t="s">
        <v>94</v>
      </c>
    </row>
    <row r="4209" spans="1:14">
      <c r="A4209">
        <v>4208</v>
      </c>
      <c r="B4209">
        <v>55</v>
      </c>
      <c r="C4209" t="s">
        <v>11</v>
      </c>
      <c r="D4209" t="s">
        <v>33</v>
      </c>
      <c r="E4209" t="s">
        <v>40</v>
      </c>
      <c r="F4209">
        <v>171.05</v>
      </c>
      <c r="G4209" t="s">
        <v>14</v>
      </c>
      <c r="H4209" t="s">
        <v>15</v>
      </c>
      <c r="I4209">
        <v>3.8</v>
      </c>
      <c r="J4209">
        <v>12</v>
      </c>
      <c r="K4209">
        <v>6</v>
      </c>
      <c r="L4209" s="4">
        <v>194.375</v>
      </c>
      <c r="M4209" s="4">
        <v>23.324999999999989</v>
      </c>
      <c r="N4209" t="s">
        <v>94</v>
      </c>
    </row>
    <row r="4210" spans="1:14">
      <c r="A4210">
        <v>4209</v>
      </c>
      <c r="B4210">
        <v>67</v>
      </c>
      <c r="C4210" t="s">
        <v>11</v>
      </c>
      <c r="D4210" t="s">
        <v>12</v>
      </c>
      <c r="E4210" t="s">
        <v>56</v>
      </c>
      <c r="F4210">
        <v>37.770000000000003</v>
      </c>
      <c r="G4210" t="s">
        <v>24</v>
      </c>
      <c r="H4210" t="s">
        <v>37</v>
      </c>
      <c r="I4210">
        <v>4.5</v>
      </c>
      <c r="J4210">
        <v>20</v>
      </c>
      <c r="K4210">
        <v>5</v>
      </c>
      <c r="L4210" s="4">
        <v>47.212499999999999</v>
      </c>
      <c r="M4210" s="4">
        <v>9.4424999999999955</v>
      </c>
      <c r="N4210" t="s">
        <v>95</v>
      </c>
    </row>
    <row r="4211" spans="1:14">
      <c r="A4211">
        <v>4210</v>
      </c>
      <c r="B4211">
        <v>41</v>
      </c>
      <c r="C4211" t="s">
        <v>16</v>
      </c>
      <c r="D4211" t="s">
        <v>22</v>
      </c>
      <c r="E4211" t="s">
        <v>43</v>
      </c>
      <c r="F4211">
        <v>170.89</v>
      </c>
      <c r="G4211" t="s">
        <v>14</v>
      </c>
      <c r="H4211" t="s">
        <v>15</v>
      </c>
      <c r="I4211">
        <v>4.7</v>
      </c>
      <c r="J4211">
        <v>24</v>
      </c>
      <c r="K4211">
        <v>7</v>
      </c>
      <c r="L4211" s="4">
        <v>224.85526315789471</v>
      </c>
      <c r="M4211" s="4">
        <v>53.965263157894725</v>
      </c>
      <c r="N4211" t="s">
        <v>92</v>
      </c>
    </row>
    <row r="4212" spans="1:14">
      <c r="A4212">
        <v>4211</v>
      </c>
      <c r="B4212">
        <v>23</v>
      </c>
      <c r="C4212" t="s">
        <v>16</v>
      </c>
      <c r="D4212" t="s">
        <v>33</v>
      </c>
      <c r="E4212" t="s">
        <v>34</v>
      </c>
      <c r="F4212">
        <v>249.42</v>
      </c>
      <c r="G4212" t="s">
        <v>19</v>
      </c>
      <c r="H4212" t="s">
        <v>15</v>
      </c>
      <c r="I4212">
        <v>2.7</v>
      </c>
      <c r="J4212">
        <v>23</v>
      </c>
      <c r="K4212">
        <v>9</v>
      </c>
      <c r="L4212" s="4">
        <v>323.9220779220779</v>
      </c>
      <c r="M4212" s="4">
        <v>74.502077922077916</v>
      </c>
      <c r="N4212" t="s">
        <v>100</v>
      </c>
    </row>
    <row r="4213" spans="1:14">
      <c r="A4213">
        <v>4212</v>
      </c>
      <c r="B4213">
        <v>66</v>
      </c>
      <c r="C4213" t="s">
        <v>11</v>
      </c>
      <c r="D4213" t="s">
        <v>33</v>
      </c>
      <c r="E4213" t="s">
        <v>38</v>
      </c>
      <c r="F4213">
        <v>167.08</v>
      </c>
      <c r="G4213" t="s">
        <v>19</v>
      </c>
      <c r="H4213" t="s">
        <v>15</v>
      </c>
      <c r="I4213">
        <v>4.2</v>
      </c>
      <c r="J4213">
        <v>24</v>
      </c>
      <c r="K4213">
        <v>7</v>
      </c>
      <c r="L4213" s="4">
        <v>219.84210526315792</v>
      </c>
      <c r="M4213" s="4">
        <v>52.762105263157906</v>
      </c>
      <c r="N4213" t="s">
        <v>95</v>
      </c>
    </row>
    <row r="4214" spans="1:14">
      <c r="A4214">
        <v>4213</v>
      </c>
      <c r="B4214">
        <v>26</v>
      </c>
      <c r="C4214" t="s">
        <v>11</v>
      </c>
      <c r="D4214" t="s">
        <v>25</v>
      </c>
      <c r="E4214" t="s">
        <v>54</v>
      </c>
      <c r="F4214">
        <v>59.78</v>
      </c>
      <c r="G4214" t="s">
        <v>14</v>
      </c>
      <c r="H4214" t="s">
        <v>15</v>
      </c>
      <c r="I4214">
        <v>4.3</v>
      </c>
      <c r="J4214">
        <v>15</v>
      </c>
      <c r="K4214">
        <v>5</v>
      </c>
      <c r="L4214" s="4">
        <v>70.329411764705881</v>
      </c>
      <c r="M4214" s="4">
        <v>10.54941176470588</v>
      </c>
      <c r="N4214" t="s">
        <v>91</v>
      </c>
    </row>
    <row r="4215" spans="1:14">
      <c r="A4215">
        <v>4214</v>
      </c>
      <c r="B4215">
        <v>44</v>
      </c>
      <c r="C4215" t="s">
        <v>11</v>
      </c>
      <c r="D4215" t="s">
        <v>41</v>
      </c>
      <c r="E4215" t="s">
        <v>45</v>
      </c>
      <c r="F4215">
        <v>32</v>
      </c>
      <c r="G4215" t="s">
        <v>14</v>
      </c>
      <c r="H4215" t="s">
        <v>15</v>
      </c>
      <c r="I4215">
        <v>5</v>
      </c>
      <c r="J4215">
        <v>14</v>
      </c>
      <c r="K4215">
        <v>7</v>
      </c>
      <c r="L4215" s="4">
        <v>37.209302325581397</v>
      </c>
      <c r="M4215" s="4">
        <v>5.2093023255813975</v>
      </c>
      <c r="N4215" t="s">
        <v>92</v>
      </c>
    </row>
    <row r="4216" spans="1:14">
      <c r="A4216">
        <v>4215</v>
      </c>
      <c r="B4216">
        <v>36</v>
      </c>
      <c r="C4216" t="s">
        <v>16</v>
      </c>
      <c r="D4216" t="s">
        <v>20</v>
      </c>
      <c r="E4216" t="s">
        <v>36</v>
      </c>
      <c r="F4216">
        <v>46.99</v>
      </c>
      <c r="G4216" t="s">
        <v>19</v>
      </c>
      <c r="H4216" t="s">
        <v>37</v>
      </c>
      <c r="I4216">
        <v>3.7</v>
      </c>
      <c r="J4216">
        <v>8</v>
      </c>
      <c r="K4216">
        <v>4</v>
      </c>
      <c r="L4216" s="4">
        <v>51.076086956521742</v>
      </c>
      <c r="M4216" s="4">
        <v>4.0860869565217399</v>
      </c>
      <c r="N4216" t="s">
        <v>92</v>
      </c>
    </row>
    <row r="4217" spans="1:14">
      <c r="A4217">
        <v>4216</v>
      </c>
      <c r="B4217">
        <v>31</v>
      </c>
      <c r="C4217" t="s">
        <v>16</v>
      </c>
      <c r="D4217" t="s">
        <v>33</v>
      </c>
      <c r="E4217" t="s">
        <v>40</v>
      </c>
      <c r="F4217">
        <v>82.9</v>
      </c>
      <c r="G4217" t="s">
        <v>24</v>
      </c>
      <c r="H4217" t="s">
        <v>15</v>
      </c>
      <c r="I4217">
        <v>4.2</v>
      </c>
      <c r="J4217">
        <v>16</v>
      </c>
      <c r="K4217">
        <v>3</v>
      </c>
      <c r="L4217" s="4">
        <v>98.690476190476204</v>
      </c>
      <c r="M4217" s="4">
        <v>15.790476190476198</v>
      </c>
      <c r="N4217" t="s">
        <v>91</v>
      </c>
    </row>
    <row r="4218" spans="1:14">
      <c r="A4218">
        <v>4217</v>
      </c>
      <c r="B4218">
        <v>69</v>
      </c>
      <c r="C4218" t="s">
        <v>16</v>
      </c>
      <c r="D4218" t="s">
        <v>33</v>
      </c>
      <c r="E4218" t="s">
        <v>40</v>
      </c>
      <c r="F4218">
        <v>245.86</v>
      </c>
      <c r="G4218" t="s">
        <v>24</v>
      </c>
      <c r="H4218" t="s">
        <v>15</v>
      </c>
      <c r="I4218">
        <v>4</v>
      </c>
      <c r="J4218">
        <v>15</v>
      </c>
      <c r="K4218">
        <v>5</v>
      </c>
      <c r="L4218" s="4">
        <v>289.24705882352941</v>
      </c>
      <c r="M4218" s="4">
        <v>43.387058823529401</v>
      </c>
      <c r="N4218" t="s">
        <v>95</v>
      </c>
    </row>
    <row r="4219" spans="1:14">
      <c r="A4219">
        <v>4218</v>
      </c>
      <c r="B4219">
        <v>48</v>
      </c>
      <c r="C4219" t="s">
        <v>11</v>
      </c>
      <c r="D4219" t="s">
        <v>12</v>
      </c>
      <c r="E4219" t="s">
        <v>13</v>
      </c>
      <c r="F4219">
        <v>94.05</v>
      </c>
      <c r="G4219" t="s">
        <v>19</v>
      </c>
      <c r="H4219" t="s">
        <v>37</v>
      </c>
      <c r="I4219">
        <v>4.3</v>
      </c>
      <c r="J4219">
        <v>10</v>
      </c>
      <c r="K4219">
        <v>5</v>
      </c>
      <c r="L4219" s="4">
        <v>104.5</v>
      </c>
      <c r="M4219" s="4">
        <v>10.450000000000003</v>
      </c>
      <c r="N4219" t="s">
        <v>93</v>
      </c>
    </row>
    <row r="4220" spans="1:14">
      <c r="A4220">
        <v>4219</v>
      </c>
      <c r="B4220">
        <v>31</v>
      </c>
      <c r="C4220" t="s">
        <v>11</v>
      </c>
      <c r="D4220" t="s">
        <v>25</v>
      </c>
      <c r="E4220" t="s">
        <v>47</v>
      </c>
      <c r="F4220">
        <v>9.39</v>
      </c>
      <c r="G4220" t="s">
        <v>14</v>
      </c>
      <c r="H4220" t="s">
        <v>15</v>
      </c>
      <c r="I4220">
        <v>4.2</v>
      </c>
      <c r="J4220">
        <v>14</v>
      </c>
      <c r="K4220">
        <v>2</v>
      </c>
      <c r="L4220" s="4">
        <v>10.918604651162791</v>
      </c>
      <c r="M4220" s="4">
        <v>1.5286046511627909</v>
      </c>
      <c r="N4220" t="s">
        <v>91</v>
      </c>
    </row>
    <row r="4221" spans="1:14">
      <c r="A4221">
        <v>4220</v>
      </c>
      <c r="B4221">
        <v>33</v>
      </c>
      <c r="C4221" t="s">
        <v>11</v>
      </c>
      <c r="D4221" t="s">
        <v>33</v>
      </c>
      <c r="E4221" t="s">
        <v>34</v>
      </c>
      <c r="F4221">
        <v>115.37</v>
      </c>
      <c r="G4221" t="s">
        <v>24</v>
      </c>
      <c r="H4221" t="s">
        <v>15</v>
      </c>
      <c r="I4221">
        <v>2.8</v>
      </c>
      <c r="J4221">
        <v>6</v>
      </c>
      <c r="K4221">
        <v>3</v>
      </c>
      <c r="L4221" s="4">
        <v>122.7340425531915</v>
      </c>
      <c r="M4221" s="4">
        <v>7.3640425531914957</v>
      </c>
      <c r="N4221" t="s">
        <v>91</v>
      </c>
    </row>
    <row r="4222" spans="1:14">
      <c r="A4222">
        <v>4221</v>
      </c>
      <c r="B4222">
        <v>42</v>
      </c>
      <c r="C4222" t="s">
        <v>16</v>
      </c>
      <c r="D4222" t="s">
        <v>22</v>
      </c>
      <c r="E4222" t="s">
        <v>43</v>
      </c>
      <c r="F4222">
        <v>288.26</v>
      </c>
      <c r="G4222" t="s">
        <v>19</v>
      </c>
      <c r="H4222" t="s">
        <v>15</v>
      </c>
      <c r="I4222">
        <v>4.0999999999999996</v>
      </c>
      <c r="J4222">
        <v>10</v>
      </c>
      <c r="K4222">
        <v>5</v>
      </c>
      <c r="L4222" s="4">
        <v>320.28888888888889</v>
      </c>
      <c r="M4222" s="4">
        <v>32.028888888888901</v>
      </c>
      <c r="N4222" t="s">
        <v>92</v>
      </c>
    </row>
    <row r="4223" spans="1:14">
      <c r="A4223">
        <v>4222</v>
      </c>
      <c r="B4223">
        <v>61</v>
      </c>
      <c r="C4223" t="s">
        <v>16</v>
      </c>
      <c r="D4223" t="s">
        <v>27</v>
      </c>
      <c r="E4223" t="s">
        <v>28</v>
      </c>
      <c r="F4223">
        <v>2235.09</v>
      </c>
      <c r="G4223" t="s">
        <v>24</v>
      </c>
      <c r="H4223" t="s">
        <v>15</v>
      </c>
      <c r="I4223">
        <v>4.4000000000000004</v>
      </c>
      <c r="J4223">
        <v>14</v>
      </c>
      <c r="K4223">
        <v>7</v>
      </c>
      <c r="L4223" s="4">
        <v>2598.9418604651164</v>
      </c>
      <c r="M4223" s="4">
        <v>363.85186046511626</v>
      </c>
      <c r="N4223" t="s">
        <v>94</v>
      </c>
    </row>
    <row r="4224" spans="1:14">
      <c r="A4224">
        <v>4223</v>
      </c>
      <c r="B4224">
        <v>62</v>
      </c>
      <c r="C4224" t="s">
        <v>16</v>
      </c>
      <c r="D4224" t="s">
        <v>20</v>
      </c>
      <c r="E4224" t="s">
        <v>21</v>
      </c>
      <c r="F4224">
        <v>173.92</v>
      </c>
      <c r="G4224" t="s">
        <v>31</v>
      </c>
      <c r="H4224" t="s">
        <v>15</v>
      </c>
      <c r="I4224">
        <v>4.2</v>
      </c>
      <c r="J4224">
        <v>8</v>
      </c>
      <c r="K4224">
        <v>4</v>
      </c>
      <c r="L4224" s="4">
        <v>189.04347826086953</v>
      </c>
      <c r="M4224" s="4">
        <v>15.123478260869547</v>
      </c>
      <c r="N4224" t="s">
        <v>94</v>
      </c>
    </row>
    <row r="4225" spans="1:14">
      <c r="A4225">
        <v>4224</v>
      </c>
      <c r="B4225">
        <v>29</v>
      </c>
      <c r="C4225" t="s">
        <v>11</v>
      </c>
      <c r="D4225" t="s">
        <v>29</v>
      </c>
      <c r="E4225" t="s">
        <v>30</v>
      </c>
      <c r="F4225">
        <v>20.49</v>
      </c>
      <c r="G4225" t="s">
        <v>19</v>
      </c>
      <c r="H4225" t="s">
        <v>37</v>
      </c>
      <c r="I4225">
        <v>3.7</v>
      </c>
      <c r="J4225">
        <v>14</v>
      </c>
      <c r="K4225">
        <v>7</v>
      </c>
      <c r="L4225" s="4">
        <v>23.825581395348834</v>
      </c>
      <c r="M4225" s="4">
        <v>3.3355813953488358</v>
      </c>
      <c r="N4225" t="s">
        <v>91</v>
      </c>
    </row>
    <row r="4226" spans="1:14">
      <c r="A4226">
        <v>4225</v>
      </c>
      <c r="B4226">
        <v>23</v>
      </c>
      <c r="C4226" t="s">
        <v>11</v>
      </c>
      <c r="D4226" t="s">
        <v>29</v>
      </c>
      <c r="E4226" t="s">
        <v>55</v>
      </c>
      <c r="F4226">
        <v>46.62</v>
      </c>
      <c r="G4226" t="s">
        <v>24</v>
      </c>
      <c r="H4226" t="s">
        <v>37</v>
      </c>
      <c r="I4226">
        <v>5</v>
      </c>
      <c r="J4226">
        <v>22</v>
      </c>
      <c r="K4226">
        <v>6</v>
      </c>
      <c r="L4226" s="4">
        <v>59.769230769230766</v>
      </c>
      <c r="M4226" s="4">
        <v>13.149230769230769</v>
      </c>
      <c r="N4226" t="s">
        <v>100</v>
      </c>
    </row>
    <row r="4227" spans="1:14">
      <c r="A4227">
        <v>4226</v>
      </c>
      <c r="B4227">
        <v>49</v>
      </c>
      <c r="C4227" t="s">
        <v>16</v>
      </c>
      <c r="D4227" t="s">
        <v>27</v>
      </c>
      <c r="E4227" t="s">
        <v>28</v>
      </c>
      <c r="F4227">
        <v>2552</v>
      </c>
      <c r="G4227" t="s">
        <v>14</v>
      </c>
      <c r="H4227" t="s">
        <v>15</v>
      </c>
      <c r="I4227">
        <v>4.5</v>
      </c>
      <c r="J4227">
        <v>18</v>
      </c>
      <c r="K4227">
        <v>4</v>
      </c>
      <c r="L4227" s="4">
        <v>3112.1951219512193</v>
      </c>
      <c r="M4227" s="4">
        <v>560.19512195121933</v>
      </c>
      <c r="N4227" t="s">
        <v>93</v>
      </c>
    </row>
    <row r="4228" spans="1:14">
      <c r="A4228">
        <v>4227</v>
      </c>
      <c r="B4228">
        <v>67</v>
      </c>
      <c r="C4228" t="s">
        <v>16</v>
      </c>
      <c r="D4228" t="s">
        <v>20</v>
      </c>
      <c r="E4228" t="s">
        <v>36</v>
      </c>
      <c r="F4228">
        <v>123.27</v>
      </c>
      <c r="G4228" t="s">
        <v>31</v>
      </c>
      <c r="H4228" t="s">
        <v>15</v>
      </c>
      <c r="I4228">
        <v>4.0999999999999996</v>
      </c>
      <c r="J4228">
        <v>12</v>
      </c>
      <c r="K4228">
        <v>6</v>
      </c>
      <c r="L4228" s="4">
        <v>140.07954545454544</v>
      </c>
      <c r="M4228" s="4">
        <v>16.809545454545443</v>
      </c>
      <c r="N4228" t="s">
        <v>95</v>
      </c>
    </row>
    <row r="4229" spans="1:14">
      <c r="A4229">
        <v>4228</v>
      </c>
      <c r="B4229">
        <v>65</v>
      </c>
      <c r="C4229" t="s">
        <v>16</v>
      </c>
      <c r="D4229" t="s">
        <v>33</v>
      </c>
      <c r="E4229" t="s">
        <v>34</v>
      </c>
      <c r="F4229">
        <v>92.07</v>
      </c>
      <c r="G4229" t="s">
        <v>31</v>
      </c>
      <c r="H4229" t="s">
        <v>37</v>
      </c>
      <c r="I4229">
        <v>4.2</v>
      </c>
      <c r="J4229">
        <v>18</v>
      </c>
      <c r="K4229">
        <v>4</v>
      </c>
      <c r="L4229" s="4">
        <v>112.28048780487804</v>
      </c>
      <c r="M4229" s="4">
        <v>20.210487804878042</v>
      </c>
      <c r="N4229" t="s">
        <v>95</v>
      </c>
    </row>
    <row r="4230" spans="1:14">
      <c r="A4230">
        <v>4229</v>
      </c>
      <c r="B4230">
        <v>30</v>
      </c>
      <c r="C4230" t="s">
        <v>11</v>
      </c>
      <c r="D4230" t="s">
        <v>12</v>
      </c>
      <c r="E4230" t="s">
        <v>56</v>
      </c>
      <c r="F4230">
        <v>37.86</v>
      </c>
      <c r="G4230" t="s">
        <v>19</v>
      </c>
      <c r="H4230" t="s">
        <v>37</v>
      </c>
      <c r="I4230">
        <v>4.9000000000000004</v>
      </c>
      <c r="J4230">
        <v>16</v>
      </c>
      <c r="K4230">
        <v>3</v>
      </c>
      <c r="L4230" s="4">
        <v>45.071428571428569</v>
      </c>
      <c r="M4230" s="4">
        <v>7.21142857142857</v>
      </c>
      <c r="N4230" t="s">
        <v>91</v>
      </c>
    </row>
    <row r="4231" spans="1:14">
      <c r="A4231">
        <v>4230</v>
      </c>
      <c r="B4231">
        <v>52</v>
      </c>
      <c r="C4231" t="s">
        <v>16</v>
      </c>
      <c r="D4231" t="s">
        <v>27</v>
      </c>
      <c r="E4231" t="s">
        <v>32</v>
      </c>
      <c r="F4231">
        <v>1075.98</v>
      </c>
      <c r="G4231" t="s">
        <v>14</v>
      </c>
      <c r="H4231" t="s">
        <v>15</v>
      </c>
      <c r="I4231">
        <v>4</v>
      </c>
      <c r="J4231">
        <v>4</v>
      </c>
      <c r="K4231">
        <v>2</v>
      </c>
      <c r="L4231" s="4">
        <v>1120.8125</v>
      </c>
      <c r="M4231" s="4">
        <v>44.832499999999982</v>
      </c>
      <c r="N4231" t="s">
        <v>93</v>
      </c>
    </row>
    <row r="4232" spans="1:14">
      <c r="A4232">
        <v>4231</v>
      </c>
      <c r="B4232">
        <v>70</v>
      </c>
      <c r="C4232" t="s">
        <v>16</v>
      </c>
      <c r="D4232" t="s">
        <v>33</v>
      </c>
      <c r="E4232" t="s">
        <v>34</v>
      </c>
      <c r="F4232">
        <v>71.55</v>
      </c>
      <c r="G4232" t="s">
        <v>31</v>
      </c>
      <c r="H4232" t="s">
        <v>37</v>
      </c>
      <c r="I4232">
        <v>4.5</v>
      </c>
      <c r="J4232">
        <v>10</v>
      </c>
      <c r="K4232">
        <v>5</v>
      </c>
      <c r="L4232" s="4">
        <v>79.5</v>
      </c>
      <c r="M4232" s="4">
        <v>7.9500000000000028</v>
      </c>
      <c r="N4232" t="s">
        <v>95</v>
      </c>
    </row>
    <row r="4233" spans="1:14">
      <c r="A4233">
        <v>4232</v>
      </c>
      <c r="B4233">
        <v>27</v>
      </c>
      <c r="C4233" t="s">
        <v>16</v>
      </c>
      <c r="D4233" t="s">
        <v>27</v>
      </c>
      <c r="E4233" t="s">
        <v>53</v>
      </c>
      <c r="F4233">
        <v>2020.46</v>
      </c>
      <c r="G4233" t="s">
        <v>14</v>
      </c>
      <c r="H4233" t="s">
        <v>15</v>
      </c>
      <c r="I4233">
        <v>5</v>
      </c>
      <c r="J4233">
        <v>23</v>
      </c>
      <c r="K4233">
        <v>9</v>
      </c>
      <c r="L4233" s="4">
        <v>2623.9740259740261</v>
      </c>
      <c r="M4233" s="4">
        <v>603.51402597402603</v>
      </c>
      <c r="N4233" t="s">
        <v>91</v>
      </c>
    </row>
    <row r="4234" spans="1:14">
      <c r="A4234">
        <v>4233</v>
      </c>
      <c r="B4234">
        <v>41</v>
      </c>
      <c r="C4234" t="s">
        <v>11</v>
      </c>
      <c r="D4234" t="s">
        <v>12</v>
      </c>
      <c r="E4234" t="s">
        <v>13</v>
      </c>
      <c r="F4234">
        <v>55.11</v>
      </c>
      <c r="G4234" t="s">
        <v>19</v>
      </c>
      <c r="H4234" t="s">
        <v>15</v>
      </c>
      <c r="I4234">
        <v>3.2</v>
      </c>
      <c r="J4234">
        <v>15</v>
      </c>
      <c r="K4234">
        <v>5</v>
      </c>
      <c r="L4234" s="4">
        <v>64.835294117647067</v>
      </c>
      <c r="M4234" s="4">
        <v>9.7252941176470671</v>
      </c>
      <c r="N4234" t="s">
        <v>92</v>
      </c>
    </row>
    <row r="4235" spans="1:14">
      <c r="A4235">
        <v>4234</v>
      </c>
      <c r="B4235">
        <v>22</v>
      </c>
      <c r="C4235" t="s">
        <v>11</v>
      </c>
      <c r="D4235" t="s">
        <v>29</v>
      </c>
      <c r="E4235" t="s">
        <v>51</v>
      </c>
      <c r="F4235">
        <v>120.3</v>
      </c>
      <c r="G4235" t="s">
        <v>19</v>
      </c>
      <c r="H4235" t="s">
        <v>15</v>
      </c>
      <c r="I4235">
        <v>3.3</v>
      </c>
      <c r="J4235">
        <v>11</v>
      </c>
      <c r="K4235">
        <v>3</v>
      </c>
      <c r="L4235" s="4">
        <v>135.16853932584269</v>
      </c>
      <c r="M4235" s="4">
        <v>14.86853932584269</v>
      </c>
      <c r="N4235" t="s">
        <v>100</v>
      </c>
    </row>
    <row r="4236" spans="1:14">
      <c r="A4236">
        <v>4235</v>
      </c>
      <c r="B4236">
        <v>50</v>
      </c>
      <c r="C4236" t="s">
        <v>11</v>
      </c>
      <c r="D4236" t="s">
        <v>12</v>
      </c>
      <c r="E4236" t="s">
        <v>56</v>
      </c>
      <c r="F4236">
        <v>69.930000000000007</v>
      </c>
      <c r="G4236" t="s">
        <v>14</v>
      </c>
      <c r="H4236" t="s">
        <v>37</v>
      </c>
      <c r="I4236">
        <v>3.9</v>
      </c>
      <c r="J4236">
        <v>13</v>
      </c>
      <c r="K4236">
        <v>4</v>
      </c>
      <c r="L4236" s="4">
        <v>80.379310344827601</v>
      </c>
      <c r="M4236" s="4">
        <v>10.449310344827595</v>
      </c>
      <c r="N4236" t="s">
        <v>93</v>
      </c>
    </row>
    <row r="4237" spans="1:14">
      <c r="A4237">
        <v>4236</v>
      </c>
      <c r="B4237">
        <v>27</v>
      </c>
      <c r="C4237" t="s">
        <v>11</v>
      </c>
      <c r="D4237" t="s">
        <v>41</v>
      </c>
      <c r="E4237" t="s">
        <v>45</v>
      </c>
      <c r="F4237">
        <v>185.32</v>
      </c>
      <c r="G4237" t="s">
        <v>31</v>
      </c>
      <c r="H4237" t="s">
        <v>15</v>
      </c>
      <c r="I4237">
        <v>4.5</v>
      </c>
      <c r="J4237">
        <v>19</v>
      </c>
      <c r="K4237">
        <v>7</v>
      </c>
      <c r="L4237" s="4">
        <v>228.7901234567901</v>
      </c>
      <c r="M4237" s="4">
        <v>43.470123456790105</v>
      </c>
      <c r="N4237" t="s">
        <v>91</v>
      </c>
    </row>
    <row r="4238" spans="1:14">
      <c r="A4238">
        <v>4237</v>
      </c>
      <c r="B4238">
        <v>28</v>
      </c>
      <c r="C4238" t="s">
        <v>11</v>
      </c>
      <c r="D4238" t="s">
        <v>12</v>
      </c>
      <c r="E4238" t="s">
        <v>13</v>
      </c>
      <c r="F4238">
        <v>123.5</v>
      </c>
      <c r="G4238" t="s">
        <v>19</v>
      </c>
      <c r="H4238" t="s">
        <v>15</v>
      </c>
      <c r="I4238">
        <v>3</v>
      </c>
      <c r="J4238">
        <v>14</v>
      </c>
      <c r="K4238">
        <v>2</v>
      </c>
      <c r="L4238" s="4">
        <v>143.6046511627907</v>
      </c>
      <c r="M4238" s="4">
        <v>20.104651162790702</v>
      </c>
      <c r="N4238" t="s">
        <v>91</v>
      </c>
    </row>
    <row r="4239" spans="1:14">
      <c r="A4239">
        <v>4238</v>
      </c>
      <c r="B4239">
        <v>52</v>
      </c>
      <c r="C4239" t="s">
        <v>16</v>
      </c>
      <c r="D4239" t="s">
        <v>33</v>
      </c>
      <c r="E4239" t="s">
        <v>34</v>
      </c>
      <c r="F4239">
        <v>56.61</v>
      </c>
      <c r="G4239" t="s">
        <v>31</v>
      </c>
      <c r="H4239" t="s">
        <v>37</v>
      </c>
      <c r="I4239">
        <v>2.9</v>
      </c>
      <c r="J4239">
        <v>15</v>
      </c>
      <c r="K4239">
        <v>5</v>
      </c>
      <c r="L4239" s="4">
        <v>66.599999999999994</v>
      </c>
      <c r="M4239" s="4">
        <v>9.9899999999999949</v>
      </c>
      <c r="N4239" t="s">
        <v>93</v>
      </c>
    </row>
    <row r="4240" spans="1:14">
      <c r="A4240">
        <v>4239</v>
      </c>
      <c r="B4240">
        <v>32</v>
      </c>
      <c r="C4240" t="s">
        <v>11</v>
      </c>
      <c r="D4240" t="s">
        <v>41</v>
      </c>
      <c r="E4240" t="s">
        <v>45</v>
      </c>
      <c r="F4240">
        <v>60.63</v>
      </c>
      <c r="G4240" t="s">
        <v>24</v>
      </c>
      <c r="H4240" t="s">
        <v>37</v>
      </c>
      <c r="I4240">
        <v>3.6</v>
      </c>
      <c r="J4240">
        <v>12</v>
      </c>
      <c r="K4240">
        <v>6</v>
      </c>
      <c r="L4240" s="4">
        <v>68.89772727272728</v>
      </c>
      <c r="M4240" s="4">
        <v>8.2677272727272779</v>
      </c>
      <c r="N4240" t="s">
        <v>91</v>
      </c>
    </row>
    <row r="4241" spans="1:14">
      <c r="A4241">
        <v>4240</v>
      </c>
      <c r="B4241">
        <v>68</v>
      </c>
      <c r="C4241" t="s">
        <v>11</v>
      </c>
      <c r="D4241" t="s">
        <v>12</v>
      </c>
      <c r="E4241" t="s">
        <v>56</v>
      </c>
      <c r="F4241">
        <v>80.92</v>
      </c>
      <c r="G4241" t="s">
        <v>19</v>
      </c>
      <c r="H4241" t="s">
        <v>15</v>
      </c>
      <c r="I4241">
        <v>4</v>
      </c>
      <c r="J4241">
        <v>16</v>
      </c>
      <c r="K4241">
        <v>3</v>
      </c>
      <c r="L4241" s="4">
        <v>96.333333333333343</v>
      </c>
      <c r="M4241" s="4">
        <v>15.413333333333341</v>
      </c>
      <c r="N4241" t="s">
        <v>95</v>
      </c>
    </row>
    <row r="4242" spans="1:14">
      <c r="A4242">
        <v>4241</v>
      </c>
      <c r="B4242">
        <v>52</v>
      </c>
      <c r="C4242" t="s">
        <v>11</v>
      </c>
      <c r="D4242" t="s">
        <v>12</v>
      </c>
      <c r="E4242" t="s">
        <v>13</v>
      </c>
      <c r="F4242">
        <v>152.85</v>
      </c>
      <c r="G4242" t="s">
        <v>14</v>
      </c>
      <c r="H4242" t="s">
        <v>15</v>
      </c>
      <c r="I4242">
        <v>4.5</v>
      </c>
      <c r="J4242">
        <v>15</v>
      </c>
      <c r="K4242">
        <v>5</v>
      </c>
      <c r="L4242" s="4">
        <v>179.8235294117647</v>
      </c>
      <c r="M4242" s="4">
        <v>26.973529411764702</v>
      </c>
      <c r="N4242" t="s">
        <v>93</v>
      </c>
    </row>
    <row r="4243" spans="1:14">
      <c r="A4243">
        <v>4242</v>
      </c>
      <c r="B4243">
        <v>29</v>
      </c>
      <c r="C4243" t="s">
        <v>16</v>
      </c>
      <c r="D4243" t="s">
        <v>27</v>
      </c>
      <c r="E4243" t="s">
        <v>28</v>
      </c>
      <c r="F4243">
        <v>2125.29</v>
      </c>
      <c r="G4243" t="s">
        <v>24</v>
      </c>
      <c r="H4243" t="s">
        <v>15</v>
      </c>
      <c r="I4243">
        <v>3.2</v>
      </c>
      <c r="J4243">
        <v>15</v>
      </c>
      <c r="K4243">
        <v>5</v>
      </c>
      <c r="L4243" s="4">
        <v>2500.3411764705884</v>
      </c>
      <c r="M4243" s="4">
        <v>375.05117647058842</v>
      </c>
      <c r="N4243" t="s">
        <v>91</v>
      </c>
    </row>
    <row r="4244" spans="1:14">
      <c r="A4244">
        <v>4243</v>
      </c>
      <c r="B4244">
        <v>58</v>
      </c>
      <c r="C4244" t="s">
        <v>16</v>
      </c>
      <c r="D4244" t="s">
        <v>17</v>
      </c>
      <c r="E4244" t="s">
        <v>48</v>
      </c>
      <c r="F4244">
        <v>123.77</v>
      </c>
      <c r="G4244" t="s">
        <v>14</v>
      </c>
      <c r="H4244" t="s">
        <v>15</v>
      </c>
      <c r="I4244">
        <v>3</v>
      </c>
      <c r="J4244">
        <v>17</v>
      </c>
      <c r="K4244">
        <v>6</v>
      </c>
      <c r="L4244" s="4">
        <v>149.12048192771084</v>
      </c>
      <c r="M4244" s="4">
        <v>25.350481927710845</v>
      </c>
      <c r="N4244" t="s">
        <v>94</v>
      </c>
    </row>
    <row r="4245" spans="1:14">
      <c r="A4245">
        <v>4244</v>
      </c>
      <c r="B4245">
        <v>54</v>
      </c>
      <c r="C4245" t="s">
        <v>11</v>
      </c>
      <c r="D4245" t="s">
        <v>33</v>
      </c>
      <c r="E4245" t="s">
        <v>38</v>
      </c>
      <c r="F4245">
        <v>90.38</v>
      </c>
      <c r="G4245" t="s">
        <v>19</v>
      </c>
      <c r="H4245" t="s">
        <v>15</v>
      </c>
      <c r="I4245">
        <v>2.2000000000000002</v>
      </c>
      <c r="J4245">
        <v>11</v>
      </c>
      <c r="K4245">
        <v>3</v>
      </c>
      <c r="L4245" s="4">
        <v>101.55056179775281</v>
      </c>
      <c r="M4245" s="4">
        <v>11.170561797752811</v>
      </c>
      <c r="N4245" t="s">
        <v>93</v>
      </c>
    </row>
    <row r="4246" spans="1:14">
      <c r="A4246">
        <v>4245</v>
      </c>
      <c r="B4246">
        <v>32</v>
      </c>
      <c r="C4246" t="s">
        <v>16</v>
      </c>
      <c r="D4246" t="s">
        <v>20</v>
      </c>
      <c r="E4246" t="s">
        <v>21</v>
      </c>
      <c r="F4246">
        <v>76.58</v>
      </c>
      <c r="G4246" t="s">
        <v>31</v>
      </c>
      <c r="H4246" t="s">
        <v>15</v>
      </c>
      <c r="I4246">
        <v>3</v>
      </c>
      <c r="J4246">
        <v>18</v>
      </c>
      <c r="K4246">
        <v>4</v>
      </c>
      <c r="L4246" s="4">
        <v>93.390243902439011</v>
      </c>
      <c r="M4246" s="4">
        <v>16.810243902439012</v>
      </c>
      <c r="N4246" t="s">
        <v>91</v>
      </c>
    </row>
    <row r="4247" spans="1:14">
      <c r="A4247">
        <v>4246</v>
      </c>
      <c r="B4247">
        <v>68</v>
      </c>
      <c r="C4247" t="s">
        <v>11</v>
      </c>
      <c r="D4247" t="s">
        <v>33</v>
      </c>
      <c r="E4247" t="s">
        <v>40</v>
      </c>
      <c r="F4247">
        <v>167.65</v>
      </c>
      <c r="G4247" t="s">
        <v>31</v>
      </c>
      <c r="H4247" t="s">
        <v>15</v>
      </c>
      <c r="I4247">
        <v>4.4000000000000004</v>
      </c>
      <c r="J4247">
        <v>15</v>
      </c>
      <c r="K4247">
        <v>5</v>
      </c>
      <c r="L4247" s="4">
        <v>197.23529411764707</v>
      </c>
      <c r="M4247" s="4">
        <v>29.585294117647067</v>
      </c>
      <c r="N4247" t="s">
        <v>95</v>
      </c>
    </row>
    <row r="4248" spans="1:14">
      <c r="A4248">
        <v>4247</v>
      </c>
      <c r="B4248">
        <v>29</v>
      </c>
      <c r="C4248" t="s">
        <v>16</v>
      </c>
      <c r="D4248" t="s">
        <v>20</v>
      </c>
      <c r="E4248" t="s">
        <v>36</v>
      </c>
      <c r="F4248">
        <v>140.16999999999999</v>
      </c>
      <c r="G4248" t="s">
        <v>19</v>
      </c>
      <c r="H4248" t="s">
        <v>15</v>
      </c>
      <c r="I4248">
        <v>3.1</v>
      </c>
      <c r="J4248">
        <v>14</v>
      </c>
      <c r="K4248">
        <v>2</v>
      </c>
      <c r="L4248" s="4">
        <v>162.98837209302323</v>
      </c>
      <c r="M4248" s="4">
        <v>22.818372093023243</v>
      </c>
      <c r="N4248" t="s">
        <v>91</v>
      </c>
    </row>
    <row r="4249" spans="1:14">
      <c r="A4249">
        <v>4248</v>
      </c>
      <c r="B4249">
        <v>63</v>
      </c>
      <c r="C4249" t="s">
        <v>11</v>
      </c>
      <c r="D4249" t="s">
        <v>12</v>
      </c>
      <c r="E4249" t="s">
        <v>56</v>
      </c>
      <c r="F4249">
        <v>159.29</v>
      </c>
      <c r="G4249" t="s">
        <v>24</v>
      </c>
      <c r="H4249" t="s">
        <v>15</v>
      </c>
      <c r="I4249">
        <v>5</v>
      </c>
      <c r="J4249">
        <v>13</v>
      </c>
      <c r="K4249">
        <v>4</v>
      </c>
      <c r="L4249" s="4">
        <v>183.09195402298849</v>
      </c>
      <c r="M4249" s="4">
        <v>23.801954022988497</v>
      </c>
      <c r="N4249" t="s">
        <v>94</v>
      </c>
    </row>
    <row r="4250" spans="1:14">
      <c r="A4250">
        <v>4249</v>
      </c>
      <c r="B4250">
        <v>51</v>
      </c>
      <c r="C4250" t="s">
        <v>11</v>
      </c>
      <c r="D4250" t="s">
        <v>41</v>
      </c>
      <c r="E4250" t="s">
        <v>45</v>
      </c>
      <c r="F4250">
        <v>182.14</v>
      </c>
      <c r="G4250" t="s">
        <v>14</v>
      </c>
      <c r="H4250" t="s">
        <v>15</v>
      </c>
      <c r="I4250">
        <v>3.3</v>
      </c>
      <c r="J4250">
        <v>18</v>
      </c>
      <c r="K4250">
        <v>4</v>
      </c>
      <c r="L4250" s="4">
        <v>222.12195121951217</v>
      </c>
      <c r="M4250" s="4">
        <v>39.981951219512183</v>
      </c>
      <c r="N4250" t="s">
        <v>93</v>
      </c>
    </row>
    <row r="4251" spans="1:14">
      <c r="A4251">
        <v>4250</v>
      </c>
      <c r="B4251">
        <v>43</v>
      </c>
      <c r="C4251" t="s">
        <v>11</v>
      </c>
      <c r="D4251" t="s">
        <v>33</v>
      </c>
      <c r="E4251" t="s">
        <v>34</v>
      </c>
      <c r="F4251">
        <v>207.33</v>
      </c>
      <c r="G4251" t="s">
        <v>14</v>
      </c>
      <c r="H4251" t="s">
        <v>15</v>
      </c>
      <c r="I4251">
        <v>3.9</v>
      </c>
      <c r="J4251">
        <v>10</v>
      </c>
      <c r="K4251">
        <v>5</v>
      </c>
      <c r="L4251" s="4">
        <v>230.36666666666667</v>
      </c>
      <c r="M4251" s="4">
        <v>23.036666666666662</v>
      </c>
      <c r="N4251" t="s">
        <v>92</v>
      </c>
    </row>
    <row r="4252" spans="1:14">
      <c r="A4252">
        <v>4251</v>
      </c>
      <c r="B4252">
        <v>20</v>
      </c>
      <c r="C4252" t="s">
        <v>11</v>
      </c>
      <c r="D4252" t="s">
        <v>29</v>
      </c>
      <c r="E4252" t="s">
        <v>51</v>
      </c>
      <c r="F4252">
        <v>142.55000000000001</v>
      </c>
      <c r="G4252" t="s">
        <v>14</v>
      </c>
      <c r="H4252" t="s">
        <v>15</v>
      </c>
      <c r="I4252">
        <v>3.7</v>
      </c>
      <c r="J4252">
        <v>14</v>
      </c>
      <c r="K4252">
        <v>2</v>
      </c>
      <c r="L4252" s="4">
        <v>165.7558139534884</v>
      </c>
      <c r="M4252" s="4">
        <v>23.205813953488388</v>
      </c>
      <c r="N4252" t="s">
        <v>100</v>
      </c>
    </row>
    <row r="4253" spans="1:14">
      <c r="A4253">
        <v>4252</v>
      </c>
      <c r="B4253">
        <v>24</v>
      </c>
      <c r="C4253" t="s">
        <v>16</v>
      </c>
      <c r="D4253" t="s">
        <v>20</v>
      </c>
      <c r="E4253" t="s">
        <v>39</v>
      </c>
      <c r="F4253">
        <v>28.41</v>
      </c>
      <c r="G4253" t="s">
        <v>19</v>
      </c>
      <c r="H4253" t="s">
        <v>15</v>
      </c>
      <c r="I4253">
        <v>3.7</v>
      </c>
      <c r="J4253">
        <v>18</v>
      </c>
      <c r="K4253">
        <v>4</v>
      </c>
      <c r="L4253" s="4">
        <v>34.646341463414629</v>
      </c>
      <c r="M4253" s="4">
        <v>6.2363414634146288</v>
      </c>
      <c r="N4253" t="s">
        <v>100</v>
      </c>
    </row>
    <row r="4254" spans="1:14">
      <c r="A4254">
        <v>4253</v>
      </c>
      <c r="B4254">
        <v>22</v>
      </c>
      <c r="C4254" t="s">
        <v>11</v>
      </c>
      <c r="D4254" t="s">
        <v>22</v>
      </c>
      <c r="E4254" t="s">
        <v>52</v>
      </c>
      <c r="F4254">
        <v>53.87</v>
      </c>
      <c r="G4254" t="s">
        <v>31</v>
      </c>
      <c r="H4254" t="s">
        <v>15</v>
      </c>
      <c r="I4254">
        <v>3.7</v>
      </c>
      <c r="J4254">
        <v>9</v>
      </c>
      <c r="K4254">
        <v>2</v>
      </c>
      <c r="L4254" s="4">
        <v>59.19780219780219</v>
      </c>
      <c r="M4254" s="4">
        <v>5.3278021978021926</v>
      </c>
      <c r="N4254" t="s">
        <v>100</v>
      </c>
    </row>
    <row r="4255" spans="1:14">
      <c r="A4255">
        <v>4254</v>
      </c>
      <c r="B4255">
        <v>40</v>
      </c>
      <c r="C4255" t="s">
        <v>16</v>
      </c>
      <c r="D4255" t="s">
        <v>27</v>
      </c>
      <c r="E4255" t="s">
        <v>49</v>
      </c>
      <c r="F4255">
        <v>2648.55</v>
      </c>
      <c r="G4255" t="s">
        <v>14</v>
      </c>
      <c r="H4255" t="s">
        <v>15</v>
      </c>
      <c r="I4255">
        <v>5</v>
      </c>
      <c r="J4255">
        <v>16</v>
      </c>
      <c r="K4255">
        <v>8</v>
      </c>
      <c r="L4255" s="4">
        <v>3153.0357142857147</v>
      </c>
      <c r="M4255" s="4">
        <v>504.48571428571449</v>
      </c>
      <c r="N4255" t="s">
        <v>92</v>
      </c>
    </row>
    <row r="4256" spans="1:14">
      <c r="A4256">
        <v>4255</v>
      </c>
      <c r="B4256">
        <v>56</v>
      </c>
      <c r="C4256" t="s">
        <v>16</v>
      </c>
      <c r="D4256" t="s">
        <v>27</v>
      </c>
      <c r="E4256" t="s">
        <v>53</v>
      </c>
      <c r="F4256">
        <v>2273.5300000000002</v>
      </c>
      <c r="G4256" t="s">
        <v>31</v>
      </c>
      <c r="H4256" t="s">
        <v>15</v>
      </c>
      <c r="I4256">
        <v>3.9</v>
      </c>
      <c r="J4256">
        <v>25</v>
      </c>
      <c r="K4256">
        <v>10</v>
      </c>
      <c r="L4256" s="4">
        <v>3031.3733333333334</v>
      </c>
      <c r="M4256" s="4">
        <v>757.84333333333325</v>
      </c>
      <c r="N4256" t="s">
        <v>94</v>
      </c>
    </row>
    <row r="4257" spans="1:14">
      <c r="A4257">
        <v>4256</v>
      </c>
      <c r="B4257">
        <v>68</v>
      </c>
      <c r="C4257" t="s">
        <v>11</v>
      </c>
      <c r="D4257" t="s">
        <v>20</v>
      </c>
      <c r="E4257" t="s">
        <v>21</v>
      </c>
      <c r="F4257">
        <v>118.12</v>
      </c>
      <c r="G4257" t="s">
        <v>24</v>
      </c>
      <c r="H4257" t="s">
        <v>15</v>
      </c>
      <c r="I4257">
        <v>3.3</v>
      </c>
      <c r="J4257">
        <v>22</v>
      </c>
      <c r="K4257">
        <v>6</v>
      </c>
      <c r="L4257" s="4">
        <v>151.43589743589743</v>
      </c>
      <c r="M4257" s="4">
        <v>33.315897435897426</v>
      </c>
      <c r="N4257" t="s">
        <v>95</v>
      </c>
    </row>
    <row r="4258" spans="1:14">
      <c r="A4258">
        <v>4257</v>
      </c>
      <c r="B4258">
        <v>39</v>
      </c>
      <c r="C4258" t="s">
        <v>11</v>
      </c>
      <c r="D4258" t="s">
        <v>33</v>
      </c>
      <c r="E4258" t="s">
        <v>38</v>
      </c>
      <c r="F4258">
        <v>226.03</v>
      </c>
      <c r="G4258" t="s">
        <v>24</v>
      </c>
      <c r="H4258" t="s">
        <v>15</v>
      </c>
      <c r="I4258">
        <v>3.8</v>
      </c>
      <c r="J4258">
        <v>20</v>
      </c>
      <c r="K4258">
        <v>5</v>
      </c>
      <c r="L4258" s="4">
        <v>282.53749999999997</v>
      </c>
      <c r="M4258" s="4">
        <v>56.507499999999965</v>
      </c>
      <c r="N4258" t="s">
        <v>92</v>
      </c>
    </row>
    <row r="4259" spans="1:14">
      <c r="A4259">
        <v>4258</v>
      </c>
      <c r="B4259">
        <v>45</v>
      </c>
      <c r="C4259" t="s">
        <v>11</v>
      </c>
      <c r="D4259" t="s">
        <v>41</v>
      </c>
      <c r="E4259" t="s">
        <v>45</v>
      </c>
      <c r="F4259">
        <v>78.87</v>
      </c>
      <c r="G4259" t="s">
        <v>19</v>
      </c>
      <c r="H4259" t="s">
        <v>37</v>
      </c>
      <c r="I4259">
        <v>3.7</v>
      </c>
      <c r="J4259">
        <v>18</v>
      </c>
      <c r="K4259">
        <v>4</v>
      </c>
      <c r="L4259" s="4">
        <v>96.182926829268297</v>
      </c>
      <c r="M4259" s="4">
        <v>17.312926829268292</v>
      </c>
      <c r="N4259" t="s">
        <v>93</v>
      </c>
    </row>
    <row r="4260" spans="1:14">
      <c r="A4260">
        <v>4259</v>
      </c>
      <c r="B4260">
        <v>63</v>
      </c>
      <c r="C4260" t="s">
        <v>16</v>
      </c>
      <c r="D4260" t="s">
        <v>20</v>
      </c>
      <c r="E4260" t="s">
        <v>21</v>
      </c>
      <c r="F4260">
        <v>119.9</v>
      </c>
      <c r="G4260" t="s">
        <v>14</v>
      </c>
      <c r="H4260" t="s">
        <v>15</v>
      </c>
      <c r="I4260">
        <v>4.5999999999999996</v>
      </c>
      <c r="J4260">
        <v>30</v>
      </c>
      <c r="K4260">
        <v>10</v>
      </c>
      <c r="L4260" s="4">
        <v>171.28571428571431</v>
      </c>
      <c r="M4260" s="4">
        <v>51.3857142857143</v>
      </c>
      <c r="N4260" t="s">
        <v>94</v>
      </c>
    </row>
    <row r="4261" spans="1:14">
      <c r="A4261">
        <v>4260</v>
      </c>
      <c r="B4261">
        <v>46</v>
      </c>
      <c r="C4261" t="s">
        <v>11</v>
      </c>
      <c r="D4261" t="s">
        <v>12</v>
      </c>
      <c r="E4261" t="s">
        <v>13</v>
      </c>
      <c r="F4261">
        <v>64.95</v>
      </c>
      <c r="G4261" t="s">
        <v>14</v>
      </c>
      <c r="H4261" t="s">
        <v>37</v>
      </c>
      <c r="I4261">
        <v>3.6</v>
      </c>
      <c r="J4261">
        <v>12</v>
      </c>
      <c r="K4261">
        <v>1</v>
      </c>
      <c r="L4261" s="4">
        <v>73.806818181818187</v>
      </c>
      <c r="M4261" s="4">
        <v>8.8568181818181841</v>
      </c>
      <c r="N4261" t="s">
        <v>93</v>
      </c>
    </row>
    <row r="4262" spans="1:14">
      <c r="A4262">
        <v>4261</v>
      </c>
      <c r="B4262">
        <v>34</v>
      </c>
      <c r="C4262" t="s">
        <v>16</v>
      </c>
      <c r="D4262" t="s">
        <v>33</v>
      </c>
      <c r="E4262" t="s">
        <v>38</v>
      </c>
      <c r="F4262">
        <v>103.26</v>
      </c>
      <c r="G4262" t="s">
        <v>24</v>
      </c>
      <c r="H4262" t="s">
        <v>15</v>
      </c>
      <c r="I4262">
        <v>5</v>
      </c>
      <c r="J4262">
        <v>15</v>
      </c>
      <c r="K4262">
        <v>5</v>
      </c>
      <c r="L4262" s="4">
        <v>121.48235294117649</v>
      </c>
      <c r="M4262" s="4">
        <v>18.222352941176482</v>
      </c>
      <c r="N4262" t="s">
        <v>91</v>
      </c>
    </row>
    <row r="4263" spans="1:14">
      <c r="A4263">
        <v>4262</v>
      </c>
      <c r="B4263">
        <v>69</v>
      </c>
      <c r="C4263" t="s">
        <v>16</v>
      </c>
      <c r="D4263" t="s">
        <v>27</v>
      </c>
      <c r="E4263" t="s">
        <v>53</v>
      </c>
      <c r="F4263">
        <v>1019.98</v>
      </c>
      <c r="G4263" t="s">
        <v>19</v>
      </c>
      <c r="H4263" t="s">
        <v>15</v>
      </c>
      <c r="I4263">
        <v>4.5</v>
      </c>
      <c r="J4263">
        <v>18</v>
      </c>
      <c r="K4263">
        <v>4</v>
      </c>
      <c r="L4263" s="4">
        <v>1243.8780487804877</v>
      </c>
      <c r="M4263" s="4">
        <v>223.89804878048767</v>
      </c>
      <c r="N4263" t="s">
        <v>95</v>
      </c>
    </row>
    <row r="4264" spans="1:14">
      <c r="A4264">
        <v>4263</v>
      </c>
      <c r="B4264">
        <v>48</v>
      </c>
      <c r="C4264" t="s">
        <v>11</v>
      </c>
      <c r="D4264" t="s">
        <v>12</v>
      </c>
      <c r="E4264" t="s">
        <v>50</v>
      </c>
      <c r="F4264">
        <v>177.11</v>
      </c>
      <c r="G4264" t="s">
        <v>14</v>
      </c>
      <c r="H4264" t="s">
        <v>15</v>
      </c>
      <c r="I4264">
        <v>4.7</v>
      </c>
      <c r="J4264">
        <v>6</v>
      </c>
      <c r="K4264">
        <v>3</v>
      </c>
      <c r="L4264" s="4">
        <v>188.41489361702131</v>
      </c>
      <c r="M4264" s="4">
        <v>11.304893617021293</v>
      </c>
      <c r="N4264" t="s">
        <v>93</v>
      </c>
    </row>
    <row r="4265" spans="1:14">
      <c r="A4265">
        <v>4264</v>
      </c>
      <c r="B4265">
        <v>68</v>
      </c>
      <c r="C4265" t="s">
        <v>11</v>
      </c>
      <c r="D4265" t="s">
        <v>41</v>
      </c>
      <c r="E4265" t="s">
        <v>45</v>
      </c>
      <c r="F4265">
        <v>102.76</v>
      </c>
      <c r="G4265" t="s">
        <v>19</v>
      </c>
      <c r="H4265" t="s">
        <v>15</v>
      </c>
      <c r="I4265">
        <v>3.5</v>
      </c>
      <c r="J4265">
        <v>17</v>
      </c>
      <c r="K4265">
        <v>6</v>
      </c>
      <c r="L4265" s="4">
        <v>123.80722891566266</v>
      </c>
      <c r="M4265" s="4">
        <v>21.047228915662657</v>
      </c>
      <c r="N4265" t="s">
        <v>95</v>
      </c>
    </row>
    <row r="4266" spans="1:14">
      <c r="A4266">
        <v>4265</v>
      </c>
      <c r="B4266">
        <v>58</v>
      </c>
      <c r="C4266" t="s">
        <v>16</v>
      </c>
      <c r="D4266" t="s">
        <v>17</v>
      </c>
      <c r="E4266" t="s">
        <v>35</v>
      </c>
      <c r="F4266">
        <v>115.46</v>
      </c>
      <c r="G4266" t="s">
        <v>19</v>
      </c>
      <c r="H4266" t="s">
        <v>15</v>
      </c>
      <c r="I4266">
        <v>5</v>
      </c>
      <c r="J4266">
        <v>14</v>
      </c>
      <c r="K4266">
        <v>7</v>
      </c>
      <c r="L4266" s="4">
        <v>134.25581395348837</v>
      </c>
      <c r="M4266" s="4">
        <v>18.795813953488377</v>
      </c>
      <c r="N4266" t="s">
        <v>94</v>
      </c>
    </row>
    <row r="4267" spans="1:14">
      <c r="A4267">
        <v>4266</v>
      </c>
      <c r="B4267">
        <v>23</v>
      </c>
      <c r="C4267" t="s">
        <v>16</v>
      </c>
      <c r="D4267" t="s">
        <v>17</v>
      </c>
      <c r="E4267" t="s">
        <v>48</v>
      </c>
      <c r="F4267">
        <v>180.94</v>
      </c>
      <c r="G4267" t="s">
        <v>31</v>
      </c>
      <c r="H4267" t="s">
        <v>15</v>
      </c>
      <c r="I4267">
        <v>3.9</v>
      </c>
      <c r="J4267">
        <v>14</v>
      </c>
      <c r="K4267">
        <v>7</v>
      </c>
      <c r="L4267" s="4">
        <v>210.3953488372093</v>
      </c>
      <c r="M4267" s="4">
        <v>29.4553488372093</v>
      </c>
      <c r="N4267" t="s">
        <v>100</v>
      </c>
    </row>
    <row r="4268" spans="1:14">
      <c r="A4268">
        <v>4267</v>
      </c>
      <c r="B4268">
        <v>62</v>
      </c>
      <c r="C4268" t="s">
        <v>11</v>
      </c>
      <c r="D4268" t="s">
        <v>12</v>
      </c>
      <c r="E4268" t="s">
        <v>56</v>
      </c>
      <c r="F4268">
        <v>155.55000000000001</v>
      </c>
      <c r="G4268" t="s">
        <v>14</v>
      </c>
      <c r="H4268" t="s">
        <v>15</v>
      </c>
      <c r="I4268">
        <v>3.9</v>
      </c>
      <c r="J4268">
        <v>22</v>
      </c>
      <c r="K4268">
        <v>6</v>
      </c>
      <c r="L4268" s="4">
        <v>199.42307692307693</v>
      </c>
      <c r="M4268" s="4">
        <v>43.873076923076923</v>
      </c>
      <c r="N4268" t="s">
        <v>94</v>
      </c>
    </row>
    <row r="4269" spans="1:14">
      <c r="A4269">
        <v>4268</v>
      </c>
      <c r="B4269">
        <v>41</v>
      </c>
      <c r="C4269" t="s">
        <v>11</v>
      </c>
      <c r="D4269" t="s">
        <v>25</v>
      </c>
      <c r="E4269" t="s">
        <v>57</v>
      </c>
      <c r="F4269">
        <v>8.82</v>
      </c>
      <c r="G4269" t="s">
        <v>24</v>
      </c>
      <c r="H4269" t="s">
        <v>37</v>
      </c>
      <c r="I4269">
        <v>3.6</v>
      </c>
      <c r="J4269">
        <v>6</v>
      </c>
      <c r="K4269">
        <v>3</v>
      </c>
      <c r="L4269" s="4">
        <v>9.382978723404257</v>
      </c>
      <c r="M4269" s="4">
        <v>0.5629787234042567</v>
      </c>
      <c r="N4269" t="s">
        <v>92</v>
      </c>
    </row>
    <row r="4270" spans="1:14">
      <c r="A4270">
        <v>4269</v>
      </c>
      <c r="B4270">
        <v>38</v>
      </c>
      <c r="C4270" t="s">
        <v>11</v>
      </c>
      <c r="D4270" t="s">
        <v>41</v>
      </c>
      <c r="E4270" t="s">
        <v>44</v>
      </c>
      <c r="F4270">
        <v>87.41</v>
      </c>
      <c r="G4270" t="s">
        <v>19</v>
      </c>
      <c r="H4270" t="s">
        <v>15</v>
      </c>
      <c r="I4270">
        <v>3.8</v>
      </c>
      <c r="J4270">
        <v>2</v>
      </c>
      <c r="K4270">
        <v>1</v>
      </c>
      <c r="L4270" s="4">
        <v>89.193877551020407</v>
      </c>
      <c r="M4270" s="4">
        <v>1.7838775510204101</v>
      </c>
      <c r="N4270" t="s">
        <v>92</v>
      </c>
    </row>
    <row r="4271" spans="1:14">
      <c r="A4271">
        <v>4270</v>
      </c>
      <c r="B4271">
        <v>48</v>
      </c>
      <c r="C4271" t="s">
        <v>16</v>
      </c>
      <c r="D4271" t="s">
        <v>20</v>
      </c>
      <c r="E4271" t="s">
        <v>21</v>
      </c>
      <c r="F4271">
        <v>134.24</v>
      </c>
      <c r="G4271" t="s">
        <v>14</v>
      </c>
      <c r="H4271" t="s">
        <v>15</v>
      </c>
      <c r="I4271">
        <v>2.7</v>
      </c>
      <c r="J4271">
        <v>14</v>
      </c>
      <c r="K4271">
        <v>7</v>
      </c>
      <c r="L4271" s="4">
        <v>156.09302325581396</v>
      </c>
      <c r="M4271" s="4">
        <v>21.853023255813952</v>
      </c>
      <c r="N4271" t="s">
        <v>93</v>
      </c>
    </row>
    <row r="4272" spans="1:14">
      <c r="A4272">
        <v>4271</v>
      </c>
      <c r="B4272">
        <v>48</v>
      </c>
      <c r="C4272" t="s">
        <v>11</v>
      </c>
      <c r="D4272" t="s">
        <v>29</v>
      </c>
      <c r="E4272" t="s">
        <v>30</v>
      </c>
      <c r="F4272">
        <v>101.02</v>
      </c>
      <c r="G4272" t="s">
        <v>31</v>
      </c>
      <c r="H4272" t="s">
        <v>15</v>
      </c>
      <c r="I4272">
        <v>4</v>
      </c>
      <c r="J4272">
        <v>22</v>
      </c>
      <c r="K4272">
        <v>6</v>
      </c>
      <c r="L4272" s="4">
        <v>129.5128205128205</v>
      </c>
      <c r="M4272" s="4">
        <v>28.492820512820501</v>
      </c>
      <c r="N4272" t="s">
        <v>93</v>
      </c>
    </row>
    <row r="4273" spans="1:14">
      <c r="A4273">
        <v>4272</v>
      </c>
      <c r="B4273">
        <v>27</v>
      </c>
      <c r="C4273" t="s">
        <v>11</v>
      </c>
      <c r="D4273" t="s">
        <v>20</v>
      </c>
      <c r="E4273" t="s">
        <v>39</v>
      </c>
      <c r="F4273">
        <v>83.72</v>
      </c>
      <c r="G4273" t="s">
        <v>19</v>
      </c>
      <c r="H4273" t="s">
        <v>15</v>
      </c>
      <c r="I4273">
        <v>3</v>
      </c>
      <c r="J4273">
        <v>22</v>
      </c>
      <c r="K4273">
        <v>6</v>
      </c>
      <c r="L4273" s="4">
        <v>107.33333333333333</v>
      </c>
      <c r="M4273" s="4">
        <v>23.61333333333333</v>
      </c>
      <c r="N4273" t="s">
        <v>91</v>
      </c>
    </row>
    <row r="4274" spans="1:14">
      <c r="A4274">
        <v>4273</v>
      </c>
      <c r="B4274">
        <v>64</v>
      </c>
      <c r="C4274" t="s">
        <v>16</v>
      </c>
      <c r="D4274" t="s">
        <v>17</v>
      </c>
      <c r="E4274" t="s">
        <v>48</v>
      </c>
      <c r="F4274">
        <v>71.42</v>
      </c>
      <c r="G4274" t="s">
        <v>19</v>
      </c>
      <c r="H4274" t="s">
        <v>37</v>
      </c>
      <c r="I4274">
        <v>2.8</v>
      </c>
      <c r="J4274">
        <v>10</v>
      </c>
      <c r="K4274">
        <v>5</v>
      </c>
      <c r="L4274" s="4">
        <v>79.355555555555554</v>
      </c>
      <c r="M4274" s="4">
        <v>7.9355555555555526</v>
      </c>
      <c r="N4274" t="s">
        <v>94</v>
      </c>
    </row>
    <row r="4275" spans="1:14">
      <c r="A4275">
        <v>4274</v>
      </c>
      <c r="B4275">
        <v>62</v>
      </c>
      <c r="C4275" t="s">
        <v>11</v>
      </c>
      <c r="D4275" t="s">
        <v>41</v>
      </c>
      <c r="E4275" t="s">
        <v>44</v>
      </c>
      <c r="F4275">
        <v>89.76</v>
      </c>
      <c r="G4275" t="s">
        <v>14</v>
      </c>
      <c r="H4275" t="s">
        <v>15</v>
      </c>
      <c r="I4275">
        <v>4.5999999999999996</v>
      </c>
      <c r="J4275">
        <v>28</v>
      </c>
      <c r="K4275">
        <v>9</v>
      </c>
      <c r="L4275" s="4">
        <v>124.66666666666667</v>
      </c>
      <c r="M4275" s="4">
        <v>34.906666666666666</v>
      </c>
      <c r="N4275" t="s">
        <v>94</v>
      </c>
    </row>
    <row r="4276" spans="1:14">
      <c r="A4276">
        <v>4275</v>
      </c>
      <c r="B4276">
        <v>46</v>
      </c>
      <c r="C4276" t="s">
        <v>16</v>
      </c>
      <c r="D4276" t="s">
        <v>27</v>
      </c>
      <c r="E4276" t="s">
        <v>28</v>
      </c>
      <c r="F4276">
        <v>683.7</v>
      </c>
      <c r="G4276" t="s">
        <v>19</v>
      </c>
      <c r="H4276" t="s">
        <v>15</v>
      </c>
      <c r="I4276">
        <v>3.8</v>
      </c>
      <c r="J4276">
        <v>26</v>
      </c>
      <c r="K4276">
        <v>8</v>
      </c>
      <c r="L4276" s="4">
        <v>923.91891891891896</v>
      </c>
      <c r="M4276" s="4">
        <v>240.21891891891892</v>
      </c>
      <c r="N4276" t="s">
        <v>93</v>
      </c>
    </row>
    <row r="4277" spans="1:14">
      <c r="A4277">
        <v>4276</v>
      </c>
      <c r="B4277">
        <v>58</v>
      </c>
      <c r="C4277" t="s">
        <v>16</v>
      </c>
      <c r="D4277" t="s">
        <v>20</v>
      </c>
      <c r="E4277" t="s">
        <v>39</v>
      </c>
      <c r="F4277">
        <v>151.74</v>
      </c>
      <c r="G4277" t="s">
        <v>14</v>
      </c>
      <c r="H4277" t="s">
        <v>15</v>
      </c>
      <c r="I4277">
        <v>4.4000000000000004</v>
      </c>
      <c r="J4277">
        <v>16</v>
      </c>
      <c r="K4277">
        <v>8</v>
      </c>
      <c r="L4277" s="4">
        <v>180.64285714285717</v>
      </c>
      <c r="M4277" s="4">
        <v>28.902857142857158</v>
      </c>
      <c r="N4277" t="s">
        <v>94</v>
      </c>
    </row>
    <row r="4278" spans="1:14">
      <c r="A4278">
        <v>4277</v>
      </c>
      <c r="B4278">
        <v>58</v>
      </c>
      <c r="C4278" t="s">
        <v>16</v>
      </c>
      <c r="D4278" t="s">
        <v>33</v>
      </c>
      <c r="E4278" t="s">
        <v>40</v>
      </c>
      <c r="F4278">
        <v>72.22</v>
      </c>
      <c r="G4278" t="s">
        <v>24</v>
      </c>
      <c r="H4278" t="s">
        <v>15</v>
      </c>
      <c r="I4278">
        <v>2.6</v>
      </c>
      <c r="J4278">
        <v>16</v>
      </c>
      <c r="K4278">
        <v>8</v>
      </c>
      <c r="L4278" s="4">
        <v>85.976190476190482</v>
      </c>
      <c r="M4278" s="4">
        <v>13.756190476190483</v>
      </c>
      <c r="N4278" t="s">
        <v>94</v>
      </c>
    </row>
    <row r="4279" spans="1:14">
      <c r="A4279">
        <v>4278</v>
      </c>
      <c r="B4279">
        <v>25</v>
      </c>
      <c r="C4279" t="s">
        <v>16</v>
      </c>
      <c r="D4279" t="s">
        <v>25</v>
      </c>
      <c r="E4279" t="s">
        <v>26</v>
      </c>
      <c r="F4279">
        <v>53.37</v>
      </c>
      <c r="G4279" t="s">
        <v>14</v>
      </c>
      <c r="H4279" t="s">
        <v>37</v>
      </c>
      <c r="I4279">
        <v>3.5</v>
      </c>
      <c r="J4279">
        <v>26</v>
      </c>
      <c r="K4279">
        <v>8</v>
      </c>
      <c r="L4279" s="4">
        <v>72.121621621621614</v>
      </c>
      <c r="M4279" s="4">
        <v>18.751621621621616</v>
      </c>
      <c r="N4279" t="s">
        <v>91</v>
      </c>
    </row>
    <row r="4280" spans="1:14">
      <c r="A4280">
        <v>4279</v>
      </c>
      <c r="B4280">
        <v>49</v>
      </c>
      <c r="C4280" t="s">
        <v>16</v>
      </c>
      <c r="D4280" t="s">
        <v>20</v>
      </c>
      <c r="E4280" t="s">
        <v>36</v>
      </c>
      <c r="F4280">
        <v>33.07</v>
      </c>
      <c r="G4280" t="s">
        <v>24</v>
      </c>
      <c r="H4280" t="s">
        <v>15</v>
      </c>
      <c r="I4280">
        <v>2.9</v>
      </c>
      <c r="J4280">
        <v>22</v>
      </c>
      <c r="K4280">
        <v>6</v>
      </c>
      <c r="L4280" s="4">
        <v>42.397435897435898</v>
      </c>
      <c r="M4280" s="4">
        <v>9.3274358974358975</v>
      </c>
      <c r="N4280" t="s">
        <v>93</v>
      </c>
    </row>
    <row r="4281" spans="1:14">
      <c r="A4281">
        <v>4280</v>
      </c>
      <c r="B4281">
        <v>33</v>
      </c>
      <c r="C4281" t="s">
        <v>11</v>
      </c>
      <c r="D4281" t="s">
        <v>12</v>
      </c>
      <c r="E4281" t="s">
        <v>50</v>
      </c>
      <c r="F4281">
        <v>61.92</v>
      </c>
      <c r="G4281" t="s">
        <v>19</v>
      </c>
      <c r="H4281" t="s">
        <v>37</v>
      </c>
      <c r="I4281">
        <v>4.2</v>
      </c>
      <c r="J4281">
        <v>28</v>
      </c>
      <c r="K4281">
        <v>9</v>
      </c>
      <c r="L4281" s="4">
        <v>86</v>
      </c>
      <c r="M4281" s="4">
        <v>24.08</v>
      </c>
      <c r="N4281" t="s">
        <v>91</v>
      </c>
    </row>
    <row r="4282" spans="1:14">
      <c r="A4282">
        <v>4281</v>
      </c>
      <c r="B4282">
        <v>43</v>
      </c>
      <c r="C4282" t="s">
        <v>16</v>
      </c>
      <c r="D4282" t="s">
        <v>20</v>
      </c>
      <c r="E4282" t="s">
        <v>39</v>
      </c>
      <c r="F4282">
        <v>88.84</v>
      </c>
      <c r="G4282" t="s">
        <v>14</v>
      </c>
      <c r="H4282" t="s">
        <v>15</v>
      </c>
      <c r="I4282">
        <v>3.5</v>
      </c>
      <c r="J4282">
        <v>16</v>
      </c>
      <c r="K4282">
        <v>8</v>
      </c>
      <c r="L4282" s="4">
        <v>105.76190476190477</v>
      </c>
      <c r="M4282" s="4">
        <v>16.92190476190477</v>
      </c>
      <c r="N4282" t="s">
        <v>92</v>
      </c>
    </row>
    <row r="4283" spans="1:14">
      <c r="A4283">
        <v>4282</v>
      </c>
      <c r="B4283">
        <v>46</v>
      </c>
      <c r="C4283" t="s">
        <v>11</v>
      </c>
      <c r="D4283" t="s">
        <v>33</v>
      </c>
      <c r="E4283" t="s">
        <v>40</v>
      </c>
      <c r="F4283">
        <v>213.67</v>
      </c>
      <c r="G4283" t="s">
        <v>31</v>
      </c>
      <c r="H4283" t="s">
        <v>15</v>
      </c>
      <c r="I4283">
        <v>3.8</v>
      </c>
      <c r="J4283">
        <v>13</v>
      </c>
      <c r="K4283">
        <v>4</v>
      </c>
      <c r="L4283" s="4">
        <v>245.59770114942526</v>
      </c>
      <c r="M4283" s="4">
        <v>31.927701149425275</v>
      </c>
      <c r="N4283" t="s">
        <v>93</v>
      </c>
    </row>
    <row r="4284" spans="1:14">
      <c r="A4284">
        <v>4283</v>
      </c>
      <c r="B4284">
        <v>32</v>
      </c>
      <c r="C4284" t="s">
        <v>16</v>
      </c>
      <c r="D4284" t="s">
        <v>27</v>
      </c>
      <c r="E4284" t="s">
        <v>32</v>
      </c>
      <c r="F4284">
        <v>744.74</v>
      </c>
      <c r="G4284" t="s">
        <v>24</v>
      </c>
      <c r="H4284" t="s">
        <v>15</v>
      </c>
      <c r="I4284">
        <v>2.9</v>
      </c>
      <c r="J4284">
        <v>4</v>
      </c>
      <c r="K4284">
        <v>2</v>
      </c>
      <c r="L4284" s="4">
        <v>775.77083333333337</v>
      </c>
      <c r="M4284" s="4">
        <v>31.030833333333362</v>
      </c>
      <c r="N4284" t="s">
        <v>91</v>
      </c>
    </row>
    <row r="4285" spans="1:14">
      <c r="A4285">
        <v>4284</v>
      </c>
      <c r="B4285">
        <v>64</v>
      </c>
      <c r="C4285" t="s">
        <v>11</v>
      </c>
      <c r="D4285" t="s">
        <v>41</v>
      </c>
      <c r="E4285" t="s">
        <v>42</v>
      </c>
      <c r="F4285">
        <v>199.4</v>
      </c>
      <c r="G4285" t="s">
        <v>19</v>
      </c>
      <c r="H4285" t="s">
        <v>15</v>
      </c>
      <c r="I4285">
        <v>3.2</v>
      </c>
      <c r="J4285">
        <v>11</v>
      </c>
      <c r="K4285">
        <v>3</v>
      </c>
      <c r="L4285" s="4">
        <v>224.04494382022472</v>
      </c>
      <c r="M4285" s="4">
        <v>24.644943820224711</v>
      </c>
      <c r="N4285" t="s">
        <v>94</v>
      </c>
    </row>
    <row r="4286" spans="1:14">
      <c r="A4286">
        <v>4285</v>
      </c>
      <c r="B4286">
        <v>67</v>
      </c>
      <c r="C4286" t="s">
        <v>11</v>
      </c>
      <c r="D4286" t="s">
        <v>41</v>
      </c>
      <c r="E4286" t="s">
        <v>46</v>
      </c>
      <c r="F4286">
        <v>122.67</v>
      </c>
      <c r="G4286" t="s">
        <v>14</v>
      </c>
      <c r="H4286" t="s">
        <v>15</v>
      </c>
      <c r="I4286">
        <v>3.6</v>
      </c>
      <c r="J4286">
        <v>24</v>
      </c>
      <c r="K4286">
        <v>7</v>
      </c>
      <c r="L4286" s="4">
        <v>161.40789473684211</v>
      </c>
      <c r="M4286" s="4">
        <v>38.737894736842108</v>
      </c>
      <c r="N4286" t="s">
        <v>95</v>
      </c>
    </row>
    <row r="4287" spans="1:14">
      <c r="A4287">
        <v>4286</v>
      </c>
      <c r="B4287">
        <v>56</v>
      </c>
      <c r="C4287" t="s">
        <v>11</v>
      </c>
      <c r="D4287" t="s">
        <v>41</v>
      </c>
      <c r="E4287" t="s">
        <v>42</v>
      </c>
      <c r="F4287">
        <v>81.62</v>
      </c>
      <c r="G4287" t="s">
        <v>19</v>
      </c>
      <c r="H4287" t="s">
        <v>15</v>
      </c>
      <c r="I4287">
        <v>4.0999999999999996</v>
      </c>
      <c r="J4287">
        <v>22</v>
      </c>
      <c r="K4287">
        <v>6</v>
      </c>
      <c r="L4287" s="4">
        <v>104.64102564102565</v>
      </c>
      <c r="M4287" s="4">
        <v>23.021025641025645</v>
      </c>
      <c r="N4287" t="s">
        <v>94</v>
      </c>
    </row>
    <row r="4288" spans="1:14">
      <c r="A4288">
        <v>4287</v>
      </c>
      <c r="B4288">
        <v>51</v>
      </c>
      <c r="C4288" t="s">
        <v>11</v>
      </c>
      <c r="D4288" t="s">
        <v>25</v>
      </c>
      <c r="E4288" t="s">
        <v>26</v>
      </c>
      <c r="F4288">
        <v>50.86</v>
      </c>
      <c r="G4288" t="s">
        <v>31</v>
      </c>
      <c r="H4288" t="s">
        <v>37</v>
      </c>
      <c r="I4288">
        <v>3.4</v>
      </c>
      <c r="J4288">
        <v>20</v>
      </c>
      <c r="K4288">
        <v>5</v>
      </c>
      <c r="L4288" s="4">
        <v>63.574999999999996</v>
      </c>
      <c r="M4288" s="4">
        <v>12.714999999999996</v>
      </c>
      <c r="N4288" t="s">
        <v>93</v>
      </c>
    </row>
    <row r="4289" spans="1:14">
      <c r="A4289">
        <v>4288</v>
      </c>
      <c r="B4289">
        <v>42</v>
      </c>
      <c r="C4289" t="s">
        <v>11</v>
      </c>
      <c r="D4289" t="s">
        <v>33</v>
      </c>
      <c r="E4289" t="s">
        <v>34</v>
      </c>
      <c r="F4289">
        <v>50.03</v>
      </c>
      <c r="G4289" t="s">
        <v>19</v>
      </c>
      <c r="H4289" t="s">
        <v>37</v>
      </c>
      <c r="I4289">
        <v>4.0999999999999996</v>
      </c>
      <c r="J4289">
        <v>12</v>
      </c>
      <c r="K4289">
        <v>6</v>
      </c>
      <c r="L4289" s="4">
        <v>56.852272727272727</v>
      </c>
      <c r="M4289" s="4">
        <v>6.8222727272727255</v>
      </c>
      <c r="N4289" t="s">
        <v>92</v>
      </c>
    </row>
    <row r="4290" spans="1:14">
      <c r="A4290">
        <v>4289</v>
      </c>
      <c r="B4290">
        <v>46</v>
      </c>
      <c r="C4290" t="s">
        <v>16</v>
      </c>
      <c r="D4290" t="s">
        <v>33</v>
      </c>
      <c r="E4290" t="s">
        <v>34</v>
      </c>
      <c r="F4290">
        <v>140.4</v>
      </c>
      <c r="G4290" t="s">
        <v>24</v>
      </c>
      <c r="H4290" t="s">
        <v>15</v>
      </c>
      <c r="I4290">
        <v>3.5</v>
      </c>
      <c r="J4290">
        <v>18</v>
      </c>
      <c r="K4290">
        <v>9</v>
      </c>
      <c r="L4290" s="4">
        <v>171.21951219512195</v>
      </c>
      <c r="M4290" s="4">
        <v>30.819512195121945</v>
      </c>
      <c r="N4290" t="s">
        <v>93</v>
      </c>
    </row>
    <row r="4291" spans="1:14">
      <c r="A4291">
        <v>4290</v>
      </c>
      <c r="B4291">
        <v>29</v>
      </c>
      <c r="C4291" t="s">
        <v>11</v>
      </c>
      <c r="D4291" t="s">
        <v>29</v>
      </c>
      <c r="E4291" t="s">
        <v>30</v>
      </c>
      <c r="F4291">
        <v>52.2</v>
      </c>
      <c r="G4291" t="s">
        <v>24</v>
      </c>
      <c r="H4291" t="s">
        <v>15</v>
      </c>
      <c r="I4291">
        <v>4.3</v>
      </c>
      <c r="J4291">
        <v>6</v>
      </c>
      <c r="K4291">
        <v>3</v>
      </c>
      <c r="L4291" s="4">
        <v>55.531914893617028</v>
      </c>
      <c r="M4291" s="4">
        <v>3.3319148936170251</v>
      </c>
      <c r="N4291" t="s">
        <v>91</v>
      </c>
    </row>
    <row r="4292" spans="1:14">
      <c r="A4292">
        <v>4291</v>
      </c>
      <c r="B4292">
        <v>67</v>
      </c>
      <c r="C4292" t="s">
        <v>16</v>
      </c>
      <c r="D4292" t="s">
        <v>20</v>
      </c>
      <c r="E4292" t="s">
        <v>39</v>
      </c>
      <c r="F4292">
        <v>161.66999999999999</v>
      </c>
      <c r="G4292" t="s">
        <v>19</v>
      </c>
      <c r="H4292" t="s">
        <v>15</v>
      </c>
      <c r="I4292">
        <v>2.8</v>
      </c>
      <c r="J4292">
        <v>10</v>
      </c>
      <c r="K4292">
        <v>5</v>
      </c>
      <c r="L4292" s="4">
        <v>179.63333333333333</v>
      </c>
      <c r="M4292" s="4">
        <v>17.963333333333338</v>
      </c>
      <c r="N4292" t="s">
        <v>95</v>
      </c>
    </row>
    <row r="4293" spans="1:14">
      <c r="A4293">
        <v>4292</v>
      </c>
      <c r="B4293">
        <v>61</v>
      </c>
      <c r="C4293" t="s">
        <v>16</v>
      </c>
      <c r="D4293" t="s">
        <v>20</v>
      </c>
      <c r="E4293" t="s">
        <v>39</v>
      </c>
      <c r="F4293">
        <v>116.32</v>
      </c>
      <c r="G4293" t="s">
        <v>14</v>
      </c>
      <c r="H4293" t="s">
        <v>15</v>
      </c>
      <c r="I4293">
        <v>3.6</v>
      </c>
      <c r="J4293">
        <v>16</v>
      </c>
      <c r="K4293">
        <v>3</v>
      </c>
      <c r="L4293" s="4">
        <v>138.47619047619048</v>
      </c>
      <c r="M4293" s="4">
        <v>22.156190476190488</v>
      </c>
      <c r="N4293" t="s">
        <v>94</v>
      </c>
    </row>
    <row r="4294" spans="1:14">
      <c r="A4294">
        <v>4293</v>
      </c>
      <c r="B4294">
        <v>63</v>
      </c>
      <c r="C4294" t="s">
        <v>11</v>
      </c>
      <c r="D4294" t="s">
        <v>29</v>
      </c>
      <c r="E4294" t="s">
        <v>55</v>
      </c>
      <c r="F4294">
        <v>88.46</v>
      </c>
      <c r="G4294" t="s">
        <v>24</v>
      </c>
      <c r="H4294" t="s">
        <v>37</v>
      </c>
      <c r="I4294">
        <v>4.2</v>
      </c>
      <c r="J4294">
        <v>18</v>
      </c>
      <c r="K4294">
        <v>4</v>
      </c>
      <c r="L4294" s="4">
        <v>107.87804878048779</v>
      </c>
      <c r="M4294" s="4">
        <v>19.418048780487794</v>
      </c>
      <c r="N4294" t="s">
        <v>94</v>
      </c>
    </row>
    <row r="4295" spans="1:14">
      <c r="A4295">
        <v>4294</v>
      </c>
      <c r="B4295">
        <v>20</v>
      </c>
      <c r="C4295" t="s">
        <v>16</v>
      </c>
      <c r="D4295" t="s">
        <v>17</v>
      </c>
      <c r="E4295" t="s">
        <v>35</v>
      </c>
      <c r="F4295">
        <v>175.64</v>
      </c>
      <c r="G4295" t="s">
        <v>31</v>
      </c>
      <c r="H4295" t="s">
        <v>15</v>
      </c>
      <c r="I4295">
        <v>4</v>
      </c>
      <c r="J4295">
        <v>21</v>
      </c>
      <c r="K4295">
        <v>8</v>
      </c>
      <c r="L4295" s="4">
        <v>222.3291139240506</v>
      </c>
      <c r="M4295" s="4">
        <v>46.689113924050616</v>
      </c>
      <c r="N4295" t="s">
        <v>100</v>
      </c>
    </row>
    <row r="4296" spans="1:14">
      <c r="A4296">
        <v>4295</v>
      </c>
      <c r="B4296">
        <v>68</v>
      </c>
      <c r="C4296" t="s">
        <v>11</v>
      </c>
      <c r="D4296" t="s">
        <v>33</v>
      </c>
      <c r="E4296" t="s">
        <v>38</v>
      </c>
      <c r="F4296">
        <v>109.35</v>
      </c>
      <c r="G4296" t="s">
        <v>31</v>
      </c>
      <c r="H4296" t="s">
        <v>15</v>
      </c>
      <c r="I4296">
        <v>4.2</v>
      </c>
      <c r="J4296">
        <v>15</v>
      </c>
      <c r="K4296">
        <v>5</v>
      </c>
      <c r="L4296" s="4">
        <v>128.64705882352942</v>
      </c>
      <c r="M4296" s="4">
        <v>19.297058823529426</v>
      </c>
      <c r="N4296" t="s">
        <v>95</v>
      </c>
    </row>
    <row r="4297" spans="1:14">
      <c r="A4297">
        <v>4296</v>
      </c>
      <c r="B4297">
        <v>41</v>
      </c>
      <c r="C4297" t="s">
        <v>11</v>
      </c>
      <c r="D4297" t="s">
        <v>22</v>
      </c>
      <c r="E4297" t="s">
        <v>43</v>
      </c>
      <c r="F4297">
        <v>63.09</v>
      </c>
      <c r="G4297" t="s">
        <v>14</v>
      </c>
      <c r="H4297" t="s">
        <v>15</v>
      </c>
      <c r="I4297">
        <v>4.0999999999999996</v>
      </c>
      <c r="J4297">
        <v>20</v>
      </c>
      <c r="K4297">
        <v>5</v>
      </c>
      <c r="L4297" s="4">
        <v>78.862499999999997</v>
      </c>
      <c r="M4297" s="4">
        <v>15.772499999999994</v>
      </c>
      <c r="N4297" t="s">
        <v>92</v>
      </c>
    </row>
    <row r="4298" spans="1:14">
      <c r="A4298">
        <v>4297</v>
      </c>
      <c r="B4298">
        <v>66</v>
      </c>
      <c r="C4298" t="s">
        <v>16</v>
      </c>
      <c r="D4298" t="s">
        <v>17</v>
      </c>
      <c r="E4298" t="s">
        <v>35</v>
      </c>
      <c r="F4298">
        <v>177.68</v>
      </c>
      <c r="G4298" t="s">
        <v>24</v>
      </c>
      <c r="H4298" t="s">
        <v>15</v>
      </c>
      <c r="I4298">
        <v>4.5999999999999996</v>
      </c>
      <c r="J4298">
        <v>22</v>
      </c>
      <c r="K4298">
        <v>6</v>
      </c>
      <c r="L4298" s="4">
        <v>227.7948717948718</v>
      </c>
      <c r="M4298" s="4">
        <v>50.114871794871789</v>
      </c>
      <c r="N4298" t="s">
        <v>95</v>
      </c>
    </row>
    <row r="4299" spans="1:14">
      <c r="A4299">
        <v>4298</v>
      </c>
      <c r="B4299">
        <v>53</v>
      </c>
      <c r="C4299" t="s">
        <v>16</v>
      </c>
      <c r="D4299" t="s">
        <v>20</v>
      </c>
      <c r="E4299" t="s">
        <v>21</v>
      </c>
      <c r="F4299">
        <v>203.97</v>
      </c>
      <c r="G4299" t="s">
        <v>19</v>
      </c>
      <c r="H4299" t="s">
        <v>15</v>
      </c>
      <c r="I4299">
        <v>3.8</v>
      </c>
      <c r="J4299">
        <v>6</v>
      </c>
      <c r="K4299">
        <v>3</v>
      </c>
      <c r="L4299" s="4">
        <v>216.98936170212767</v>
      </c>
      <c r="M4299" s="4">
        <v>13.019361702127668</v>
      </c>
      <c r="N4299" t="s">
        <v>93</v>
      </c>
    </row>
    <row r="4300" spans="1:14">
      <c r="A4300">
        <v>4299</v>
      </c>
      <c r="B4300">
        <v>66</v>
      </c>
      <c r="C4300" t="s">
        <v>16</v>
      </c>
      <c r="D4300" t="s">
        <v>33</v>
      </c>
      <c r="E4300" t="s">
        <v>38</v>
      </c>
      <c r="F4300">
        <v>55.18</v>
      </c>
      <c r="G4300" t="s">
        <v>19</v>
      </c>
      <c r="H4300" t="s">
        <v>37</v>
      </c>
      <c r="I4300">
        <v>5</v>
      </c>
      <c r="J4300">
        <v>16</v>
      </c>
      <c r="K4300">
        <v>8</v>
      </c>
      <c r="L4300" s="4">
        <v>65.69047619047619</v>
      </c>
      <c r="M4300" s="4">
        <v>10.51047619047619</v>
      </c>
      <c r="N4300" t="s">
        <v>95</v>
      </c>
    </row>
    <row r="4301" spans="1:14">
      <c r="A4301">
        <v>4300</v>
      </c>
      <c r="B4301">
        <v>58</v>
      </c>
      <c r="C4301" t="s">
        <v>11</v>
      </c>
      <c r="D4301" t="s">
        <v>29</v>
      </c>
      <c r="E4301" t="s">
        <v>30</v>
      </c>
      <c r="F4301">
        <v>120.91</v>
      </c>
      <c r="G4301" t="s">
        <v>24</v>
      </c>
      <c r="H4301" t="s">
        <v>15</v>
      </c>
      <c r="I4301">
        <v>4.2</v>
      </c>
      <c r="J4301">
        <v>18</v>
      </c>
      <c r="K4301">
        <v>4</v>
      </c>
      <c r="L4301" s="4">
        <v>147.45121951219511</v>
      </c>
      <c r="M4301" s="4">
        <v>26.541219512195113</v>
      </c>
      <c r="N4301" t="s">
        <v>94</v>
      </c>
    </row>
    <row r="4302" spans="1:14">
      <c r="A4302">
        <v>4301</v>
      </c>
      <c r="B4302">
        <v>65</v>
      </c>
      <c r="C4302" t="s">
        <v>11</v>
      </c>
      <c r="D4302" t="s">
        <v>33</v>
      </c>
      <c r="E4302" t="s">
        <v>40</v>
      </c>
      <c r="F4302">
        <v>107.79</v>
      </c>
      <c r="G4302" t="s">
        <v>31</v>
      </c>
      <c r="H4302" t="s">
        <v>15</v>
      </c>
      <c r="I4302">
        <v>3.9</v>
      </c>
      <c r="J4302">
        <v>12</v>
      </c>
      <c r="K4302">
        <v>6</v>
      </c>
      <c r="L4302" s="4">
        <v>122.48863636363637</v>
      </c>
      <c r="M4302" s="4">
        <v>14.698636363636368</v>
      </c>
      <c r="N4302" t="s">
        <v>95</v>
      </c>
    </row>
    <row r="4303" spans="1:14">
      <c r="A4303">
        <v>4302</v>
      </c>
      <c r="B4303">
        <v>22</v>
      </c>
      <c r="C4303" t="s">
        <v>11</v>
      </c>
      <c r="D4303" t="s">
        <v>29</v>
      </c>
      <c r="E4303" t="s">
        <v>55</v>
      </c>
      <c r="F4303">
        <v>88.76</v>
      </c>
      <c r="G4303" t="s">
        <v>19</v>
      </c>
      <c r="H4303" t="s">
        <v>15</v>
      </c>
      <c r="I4303">
        <v>4</v>
      </c>
      <c r="J4303">
        <v>21</v>
      </c>
      <c r="K4303">
        <v>8</v>
      </c>
      <c r="L4303" s="4">
        <v>112.35443037974683</v>
      </c>
      <c r="M4303" s="4">
        <v>23.594430379746825</v>
      </c>
      <c r="N4303" t="s">
        <v>100</v>
      </c>
    </row>
    <row r="4304" spans="1:14">
      <c r="A4304">
        <v>4303</v>
      </c>
      <c r="B4304">
        <v>41</v>
      </c>
      <c r="C4304" t="s">
        <v>16</v>
      </c>
      <c r="D4304" t="s">
        <v>20</v>
      </c>
      <c r="E4304" t="s">
        <v>39</v>
      </c>
      <c r="F4304">
        <v>131.51</v>
      </c>
      <c r="G4304" t="s">
        <v>24</v>
      </c>
      <c r="H4304" t="s">
        <v>15</v>
      </c>
      <c r="I4304">
        <v>3.4</v>
      </c>
      <c r="J4304">
        <v>14</v>
      </c>
      <c r="K4304">
        <v>7</v>
      </c>
      <c r="L4304" s="4">
        <v>152.91860465116278</v>
      </c>
      <c r="M4304" s="4">
        <v>21.40860465116279</v>
      </c>
      <c r="N4304" t="s">
        <v>92</v>
      </c>
    </row>
    <row r="4305" spans="1:14">
      <c r="A4305">
        <v>4304</v>
      </c>
      <c r="B4305">
        <v>54</v>
      </c>
      <c r="C4305" t="s">
        <v>16</v>
      </c>
      <c r="D4305" t="s">
        <v>22</v>
      </c>
      <c r="E4305" t="s">
        <v>52</v>
      </c>
      <c r="F4305">
        <v>58.82</v>
      </c>
      <c r="G4305" t="s">
        <v>31</v>
      </c>
      <c r="H4305" t="s">
        <v>37</v>
      </c>
      <c r="I4305">
        <v>3.8</v>
      </c>
      <c r="J4305">
        <v>23</v>
      </c>
      <c r="K4305">
        <v>9</v>
      </c>
      <c r="L4305" s="4">
        <v>76.389610389610382</v>
      </c>
      <c r="M4305" s="4">
        <v>17.569610389610382</v>
      </c>
      <c r="N4305" t="s">
        <v>93</v>
      </c>
    </row>
    <row r="4306" spans="1:14">
      <c r="A4306">
        <v>4305</v>
      </c>
      <c r="B4306">
        <v>62</v>
      </c>
      <c r="C4306" t="s">
        <v>16</v>
      </c>
      <c r="D4306" t="s">
        <v>17</v>
      </c>
      <c r="E4306" t="s">
        <v>35</v>
      </c>
      <c r="F4306">
        <v>184.53</v>
      </c>
      <c r="G4306" t="s">
        <v>24</v>
      </c>
      <c r="H4306" t="s">
        <v>15</v>
      </c>
      <c r="I4306">
        <v>4.2</v>
      </c>
      <c r="J4306">
        <v>28</v>
      </c>
      <c r="K4306">
        <v>9</v>
      </c>
      <c r="L4306" s="4">
        <v>256.29166666666669</v>
      </c>
      <c r="M4306" s="4">
        <v>71.761666666666684</v>
      </c>
      <c r="N4306" t="s">
        <v>94</v>
      </c>
    </row>
    <row r="4307" spans="1:14">
      <c r="A4307">
        <v>4306</v>
      </c>
      <c r="B4307">
        <v>65</v>
      </c>
      <c r="C4307" t="s">
        <v>16</v>
      </c>
      <c r="D4307" t="s">
        <v>27</v>
      </c>
      <c r="E4307" t="s">
        <v>32</v>
      </c>
      <c r="F4307">
        <v>2803.45</v>
      </c>
      <c r="G4307" t="s">
        <v>19</v>
      </c>
      <c r="H4307" t="s">
        <v>15</v>
      </c>
      <c r="I4307">
        <v>3.1</v>
      </c>
      <c r="J4307">
        <v>12</v>
      </c>
      <c r="K4307">
        <v>1</v>
      </c>
      <c r="L4307" s="4">
        <v>3185.738636363636</v>
      </c>
      <c r="M4307" s="4">
        <v>382.28863636363621</v>
      </c>
      <c r="N4307" t="s">
        <v>95</v>
      </c>
    </row>
    <row r="4308" spans="1:14">
      <c r="A4308">
        <v>4307</v>
      </c>
      <c r="B4308">
        <v>54</v>
      </c>
      <c r="C4308" t="s">
        <v>11</v>
      </c>
      <c r="D4308" t="s">
        <v>12</v>
      </c>
      <c r="E4308" t="s">
        <v>56</v>
      </c>
      <c r="F4308">
        <v>91.94</v>
      </c>
      <c r="G4308" t="s">
        <v>14</v>
      </c>
      <c r="H4308" t="s">
        <v>15</v>
      </c>
      <c r="I4308">
        <v>3.6</v>
      </c>
      <c r="J4308">
        <v>16</v>
      </c>
      <c r="K4308">
        <v>3</v>
      </c>
      <c r="L4308" s="4">
        <v>109.45238095238095</v>
      </c>
      <c r="M4308" s="4">
        <v>17.512380952380951</v>
      </c>
      <c r="N4308" t="s">
        <v>93</v>
      </c>
    </row>
    <row r="4309" spans="1:14">
      <c r="A4309">
        <v>4308</v>
      </c>
      <c r="B4309">
        <v>45</v>
      </c>
      <c r="C4309" t="s">
        <v>16</v>
      </c>
      <c r="D4309" t="s">
        <v>22</v>
      </c>
      <c r="E4309" t="s">
        <v>23</v>
      </c>
      <c r="F4309">
        <v>130.44999999999999</v>
      </c>
      <c r="G4309" t="s">
        <v>24</v>
      </c>
      <c r="H4309" t="s">
        <v>15</v>
      </c>
      <c r="I4309">
        <v>4.5</v>
      </c>
      <c r="J4309">
        <v>14</v>
      </c>
      <c r="K4309">
        <v>7</v>
      </c>
      <c r="L4309" s="4">
        <v>151.68604651162789</v>
      </c>
      <c r="M4309" s="4">
        <v>21.236046511627904</v>
      </c>
      <c r="N4309" t="s">
        <v>93</v>
      </c>
    </row>
    <row r="4310" spans="1:14">
      <c r="A4310">
        <v>4309</v>
      </c>
      <c r="B4310">
        <v>34</v>
      </c>
      <c r="C4310" t="s">
        <v>16</v>
      </c>
      <c r="D4310" t="s">
        <v>22</v>
      </c>
      <c r="E4310" t="s">
        <v>43</v>
      </c>
      <c r="F4310">
        <v>225</v>
      </c>
      <c r="G4310" t="s">
        <v>31</v>
      </c>
      <c r="H4310" t="s">
        <v>15</v>
      </c>
      <c r="I4310">
        <v>3.2</v>
      </c>
      <c r="J4310">
        <v>14</v>
      </c>
      <c r="K4310">
        <v>2</v>
      </c>
      <c r="L4310" s="4">
        <v>261.62790697674421</v>
      </c>
      <c r="M4310" s="4">
        <v>36.627906976744214</v>
      </c>
      <c r="N4310" t="s">
        <v>91</v>
      </c>
    </row>
    <row r="4311" spans="1:14">
      <c r="A4311">
        <v>4310</v>
      </c>
      <c r="B4311">
        <v>32</v>
      </c>
      <c r="C4311" t="s">
        <v>16</v>
      </c>
      <c r="D4311" t="s">
        <v>33</v>
      </c>
      <c r="E4311" t="s">
        <v>38</v>
      </c>
      <c r="F4311">
        <v>237.39</v>
      </c>
      <c r="G4311" t="s">
        <v>14</v>
      </c>
      <c r="H4311" t="s">
        <v>15</v>
      </c>
      <c r="I4311">
        <v>5</v>
      </c>
      <c r="J4311">
        <v>24</v>
      </c>
      <c r="K4311">
        <v>7</v>
      </c>
      <c r="L4311" s="4">
        <v>312.35526315789474</v>
      </c>
      <c r="M4311" s="4">
        <v>74.965263157894753</v>
      </c>
      <c r="N4311" t="s">
        <v>91</v>
      </c>
    </row>
    <row r="4312" spans="1:14">
      <c r="A4312">
        <v>4311</v>
      </c>
      <c r="B4312">
        <v>52</v>
      </c>
      <c r="C4312" t="s">
        <v>11</v>
      </c>
      <c r="D4312" t="s">
        <v>12</v>
      </c>
      <c r="E4312" t="s">
        <v>50</v>
      </c>
      <c r="F4312">
        <v>36.25</v>
      </c>
      <c r="G4312" t="s">
        <v>24</v>
      </c>
      <c r="H4312" t="s">
        <v>37</v>
      </c>
      <c r="I4312">
        <v>4</v>
      </c>
      <c r="J4312">
        <v>17</v>
      </c>
      <c r="K4312">
        <v>6</v>
      </c>
      <c r="L4312" s="4">
        <v>43.674698795180724</v>
      </c>
      <c r="M4312" s="4">
        <v>7.4246987951807242</v>
      </c>
      <c r="N4312" t="s">
        <v>93</v>
      </c>
    </row>
    <row r="4313" spans="1:14">
      <c r="A4313">
        <v>4312</v>
      </c>
      <c r="B4313">
        <v>53</v>
      </c>
      <c r="C4313" t="s">
        <v>16</v>
      </c>
      <c r="D4313" t="s">
        <v>33</v>
      </c>
      <c r="E4313" t="s">
        <v>34</v>
      </c>
      <c r="F4313">
        <v>70.209999999999994</v>
      </c>
      <c r="G4313" t="s">
        <v>19</v>
      </c>
      <c r="H4313" t="s">
        <v>15</v>
      </c>
      <c r="I4313">
        <v>3</v>
      </c>
      <c r="J4313">
        <v>8</v>
      </c>
      <c r="K4313">
        <v>4</v>
      </c>
      <c r="L4313" s="4">
        <v>76.315217391304344</v>
      </c>
      <c r="M4313" s="4">
        <v>6.1052173913043504</v>
      </c>
      <c r="N4313" t="s">
        <v>93</v>
      </c>
    </row>
    <row r="4314" spans="1:14">
      <c r="A4314">
        <v>4313</v>
      </c>
      <c r="B4314">
        <v>38</v>
      </c>
      <c r="C4314" t="s">
        <v>11</v>
      </c>
      <c r="D4314" t="s">
        <v>41</v>
      </c>
      <c r="E4314" t="s">
        <v>46</v>
      </c>
      <c r="F4314">
        <v>136.24</v>
      </c>
      <c r="G4314" t="s">
        <v>24</v>
      </c>
      <c r="H4314" t="s">
        <v>15</v>
      </c>
      <c r="I4314">
        <v>3.9</v>
      </c>
      <c r="J4314">
        <v>8</v>
      </c>
      <c r="K4314">
        <v>4</v>
      </c>
      <c r="L4314" s="4">
        <v>148.08695652173913</v>
      </c>
      <c r="M4314" s="4">
        <v>11.846956521739116</v>
      </c>
      <c r="N4314" t="s">
        <v>92</v>
      </c>
    </row>
    <row r="4315" spans="1:14">
      <c r="A4315">
        <v>4314</v>
      </c>
      <c r="B4315">
        <v>44</v>
      </c>
      <c r="C4315" t="s">
        <v>11</v>
      </c>
      <c r="D4315" t="s">
        <v>41</v>
      </c>
      <c r="E4315" t="s">
        <v>44</v>
      </c>
      <c r="F4315">
        <v>159.32</v>
      </c>
      <c r="G4315" t="s">
        <v>14</v>
      </c>
      <c r="H4315" t="s">
        <v>15</v>
      </c>
      <c r="I4315">
        <v>4.3</v>
      </c>
      <c r="J4315">
        <v>10</v>
      </c>
      <c r="K4315">
        <v>5</v>
      </c>
      <c r="L4315" s="4">
        <v>177.02222222222221</v>
      </c>
      <c r="M4315" s="4">
        <v>17.702222222222218</v>
      </c>
      <c r="N4315" t="s">
        <v>92</v>
      </c>
    </row>
    <row r="4316" spans="1:14">
      <c r="A4316">
        <v>4315</v>
      </c>
      <c r="B4316">
        <v>27</v>
      </c>
      <c r="C4316" t="s">
        <v>16</v>
      </c>
      <c r="D4316" t="s">
        <v>22</v>
      </c>
      <c r="E4316" t="s">
        <v>23</v>
      </c>
      <c r="F4316">
        <v>105.26</v>
      </c>
      <c r="G4316" t="s">
        <v>24</v>
      </c>
      <c r="H4316" t="s">
        <v>15</v>
      </c>
      <c r="I4316">
        <v>3.7</v>
      </c>
      <c r="J4316">
        <v>15</v>
      </c>
      <c r="K4316">
        <v>5</v>
      </c>
      <c r="L4316" s="4">
        <v>123.83529411764707</v>
      </c>
      <c r="M4316" s="4">
        <v>18.575294117647061</v>
      </c>
      <c r="N4316" t="s">
        <v>91</v>
      </c>
    </row>
    <row r="4317" spans="1:14">
      <c r="A4317">
        <v>4316</v>
      </c>
      <c r="B4317">
        <v>55</v>
      </c>
      <c r="C4317" t="s">
        <v>11</v>
      </c>
      <c r="D4317" t="s">
        <v>22</v>
      </c>
      <c r="E4317" t="s">
        <v>43</v>
      </c>
      <c r="F4317">
        <v>214.41</v>
      </c>
      <c r="G4317" t="s">
        <v>24</v>
      </c>
      <c r="H4317" t="s">
        <v>15</v>
      </c>
      <c r="I4317">
        <v>3.7</v>
      </c>
      <c r="J4317">
        <v>11</v>
      </c>
      <c r="K4317">
        <v>3</v>
      </c>
      <c r="L4317" s="4">
        <v>240.91011235955057</v>
      </c>
      <c r="M4317" s="4">
        <v>26.50011235955057</v>
      </c>
      <c r="N4317" t="s">
        <v>94</v>
      </c>
    </row>
    <row r="4318" spans="1:14">
      <c r="A4318">
        <v>4317</v>
      </c>
      <c r="B4318">
        <v>42</v>
      </c>
      <c r="C4318" t="s">
        <v>11</v>
      </c>
      <c r="D4318" t="s">
        <v>41</v>
      </c>
      <c r="E4318" t="s">
        <v>44</v>
      </c>
      <c r="F4318">
        <v>101.15</v>
      </c>
      <c r="G4318" t="s">
        <v>14</v>
      </c>
      <c r="H4318" t="s">
        <v>15</v>
      </c>
      <c r="I4318">
        <v>2.6</v>
      </c>
      <c r="J4318">
        <v>12</v>
      </c>
      <c r="K4318">
        <v>6</v>
      </c>
      <c r="L4318" s="4">
        <v>114.94318181818183</v>
      </c>
      <c r="M4318" s="4">
        <v>13.793181818181822</v>
      </c>
      <c r="N4318" t="s">
        <v>92</v>
      </c>
    </row>
    <row r="4319" spans="1:14">
      <c r="A4319">
        <v>4318</v>
      </c>
      <c r="B4319">
        <v>39</v>
      </c>
      <c r="C4319" t="s">
        <v>11</v>
      </c>
      <c r="D4319" t="s">
        <v>25</v>
      </c>
      <c r="E4319" t="s">
        <v>47</v>
      </c>
      <c r="F4319">
        <v>23.86</v>
      </c>
      <c r="G4319" t="s">
        <v>31</v>
      </c>
      <c r="H4319" t="s">
        <v>37</v>
      </c>
      <c r="I4319">
        <v>3.7</v>
      </c>
      <c r="J4319">
        <v>14</v>
      </c>
      <c r="K4319">
        <v>7</v>
      </c>
      <c r="L4319" s="4">
        <v>27.744186046511629</v>
      </c>
      <c r="M4319" s="4">
        <v>3.8841860465116298</v>
      </c>
      <c r="N4319" t="s">
        <v>92</v>
      </c>
    </row>
    <row r="4320" spans="1:14">
      <c r="A4320">
        <v>4319</v>
      </c>
      <c r="B4320">
        <v>38</v>
      </c>
      <c r="C4320" t="s">
        <v>16</v>
      </c>
      <c r="D4320" t="s">
        <v>33</v>
      </c>
      <c r="E4320" t="s">
        <v>40</v>
      </c>
      <c r="F4320">
        <v>206.88</v>
      </c>
      <c r="G4320" t="s">
        <v>24</v>
      </c>
      <c r="H4320" t="s">
        <v>15</v>
      </c>
      <c r="I4320">
        <v>4.5</v>
      </c>
      <c r="J4320">
        <v>23</v>
      </c>
      <c r="K4320">
        <v>9</v>
      </c>
      <c r="L4320" s="4">
        <v>268.67532467532465</v>
      </c>
      <c r="M4320" s="4">
        <v>61.79532467532465</v>
      </c>
      <c r="N4320" t="s">
        <v>92</v>
      </c>
    </row>
    <row r="4321" spans="1:14">
      <c r="A4321">
        <v>4320</v>
      </c>
      <c r="B4321">
        <v>33</v>
      </c>
      <c r="C4321" t="s">
        <v>11</v>
      </c>
      <c r="D4321" t="s">
        <v>41</v>
      </c>
      <c r="E4321" t="s">
        <v>42</v>
      </c>
      <c r="F4321">
        <v>152.85</v>
      </c>
      <c r="G4321" t="s">
        <v>24</v>
      </c>
      <c r="H4321" t="s">
        <v>15</v>
      </c>
      <c r="I4321">
        <v>2.9</v>
      </c>
      <c r="J4321">
        <v>17</v>
      </c>
      <c r="K4321">
        <v>6</v>
      </c>
      <c r="L4321" s="4">
        <v>184.15662650602411</v>
      </c>
      <c r="M4321" s="4">
        <v>31.306626506024116</v>
      </c>
      <c r="N4321" t="s">
        <v>91</v>
      </c>
    </row>
    <row r="4322" spans="1:14">
      <c r="A4322">
        <v>4321</v>
      </c>
      <c r="B4322">
        <v>41</v>
      </c>
      <c r="C4322" t="s">
        <v>11</v>
      </c>
      <c r="D4322" t="s">
        <v>41</v>
      </c>
      <c r="E4322" t="s">
        <v>45</v>
      </c>
      <c r="F4322">
        <v>131.57</v>
      </c>
      <c r="G4322" t="s">
        <v>31</v>
      </c>
      <c r="H4322" t="s">
        <v>15</v>
      </c>
      <c r="I4322">
        <v>5</v>
      </c>
      <c r="J4322">
        <v>9</v>
      </c>
      <c r="K4322">
        <v>2</v>
      </c>
      <c r="L4322" s="4">
        <v>144.58241758241758</v>
      </c>
      <c r="M4322" s="4">
        <v>13.012417582417584</v>
      </c>
      <c r="N4322" t="s">
        <v>92</v>
      </c>
    </row>
    <row r="4323" spans="1:14">
      <c r="A4323">
        <v>4322</v>
      </c>
      <c r="B4323">
        <v>46</v>
      </c>
      <c r="C4323" t="s">
        <v>16</v>
      </c>
      <c r="D4323" t="s">
        <v>20</v>
      </c>
      <c r="E4323" t="s">
        <v>21</v>
      </c>
      <c r="F4323">
        <v>61.71</v>
      </c>
      <c r="G4323" t="s">
        <v>14</v>
      </c>
      <c r="H4323" t="s">
        <v>15</v>
      </c>
      <c r="I4323">
        <v>4.8</v>
      </c>
      <c r="J4323">
        <v>18</v>
      </c>
      <c r="K4323">
        <v>4</v>
      </c>
      <c r="L4323" s="4">
        <v>75.256097560975604</v>
      </c>
      <c r="M4323" s="4">
        <v>13.546097560975603</v>
      </c>
      <c r="N4323" t="s">
        <v>93</v>
      </c>
    </row>
    <row r="4324" spans="1:14">
      <c r="A4324">
        <v>4323</v>
      </c>
      <c r="B4324">
        <v>33</v>
      </c>
      <c r="C4324" t="s">
        <v>11</v>
      </c>
      <c r="D4324" t="s">
        <v>20</v>
      </c>
      <c r="E4324" t="s">
        <v>36</v>
      </c>
      <c r="F4324">
        <v>146.32</v>
      </c>
      <c r="G4324" t="s">
        <v>14</v>
      </c>
      <c r="H4324" t="s">
        <v>15</v>
      </c>
      <c r="I4324">
        <v>3.9</v>
      </c>
      <c r="J4324">
        <v>14</v>
      </c>
      <c r="K4324">
        <v>2</v>
      </c>
      <c r="L4324" s="4">
        <v>170.13953488372093</v>
      </c>
      <c r="M4324" s="4">
        <v>23.819534883720934</v>
      </c>
      <c r="N4324" t="s">
        <v>91</v>
      </c>
    </row>
    <row r="4325" spans="1:14">
      <c r="A4325">
        <v>4324</v>
      </c>
      <c r="B4325">
        <v>30</v>
      </c>
      <c r="C4325" t="s">
        <v>16</v>
      </c>
      <c r="D4325" t="s">
        <v>20</v>
      </c>
      <c r="E4325" t="s">
        <v>21</v>
      </c>
      <c r="F4325">
        <v>176.43</v>
      </c>
      <c r="G4325" t="s">
        <v>14</v>
      </c>
      <c r="H4325" t="s">
        <v>15</v>
      </c>
      <c r="I4325">
        <v>3.9</v>
      </c>
      <c r="J4325">
        <v>10</v>
      </c>
      <c r="K4325">
        <v>5</v>
      </c>
      <c r="L4325" s="4">
        <v>196.03333333333333</v>
      </c>
      <c r="M4325" s="4">
        <v>19.603333333333325</v>
      </c>
      <c r="N4325" t="s">
        <v>91</v>
      </c>
    </row>
    <row r="4326" spans="1:14">
      <c r="A4326">
        <v>4325</v>
      </c>
      <c r="B4326">
        <v>40</v>
      </c>
      <c r="C4326" t="s">
        <v>16</v>
      </c>
      <c r="D4326" t="s">
        <v>33</v>
      </c>
      <c r="E4326" t="s">
        <v>40</v>
      </c>
      <c r="F4326">
        <v>180.35</v>
      </c>
      <c r="G4326" t="s">
        <v>14</v>
      </c>
      <c r="H4326" t="s">
        <v>15</v>
      </c>
      <c r="I4326">
        <v>3.5</v>
      </c>
      <c r="J4326">
        <v>10</v>
      </c>
      <c r="K4326">
        <v>5</v>
      </c>
      <c r="L4326" s="4">
        <v>200.38888888888889</v>
      </c>
      <c r="M4326" s="4">
        <v>20.038888888888891</v>
      </c>
      <c r="N4326" t="s">
        <v>92</v>
      </c>
    </row>
    <row r="4327" spans="1:14">
      <c r="A4327">
        <v>4326</v>
      </c>
      <c r="B4327">
        <v>31</v>
      </c>
      <c r="C4327" t="s">
        <v>11</v>
      </c>
      <c r="D4327" t="s">
        <v>22</v>
      </c>
      <c r="E4327" t="s">
        <v>43</v>
      </c>
      <c r="F4327">
        <v>46.08</v>
      </c>
      <c r="G4327" t="s">
        <v>14</v>
      </c>
      <c r="H4327" t="s">
        <v>15</v>
      </c>
      <c r="I4327">
        <v>3</v>
      </c>
      <c r="J4327">
        <v>17</v>
      </c>
      <c r="K4327">
        <v>6</v>
      </c>
      <c r="L4327" s="4">
        <v>55.518072289156628</v>
      </c>
      <c r="M4327" s="4">
        <v>9.4380722891566293</v>
      </c>
      <c r="N4327" t="s">
        <v>91</v>
      </c>
    </row>
    <row r="4328" spans="1:14">
      <c r="A4328">
        <v>4327</v>
      </c>
      <c r="B4328">
        <v>52</v>
      </c>
      <c r="C4328" t="s">
        <v>11</v>
      </c>
      <c r="D4328" t="s">
        <v>29</v>
      </c>
      <c r="E4328" t="s">
        <v>51</v>
      </c>
      <c r="F4328">
        <v>89.09</v>
      </c>
      <c r="G4328" t="s">
        <v>14</v>
      </c>
      <c r="H4328" t="s">
        <v>37</v>
      </c>
      <c r="I4328">
        <v>4.4000000000000004</v>
      </c>
      <c r="J4328">
        <v>12</v>
      </c>
      <c r="K4328">
        <v>6</v>
      </c>
      <c r="L4328" s="4">
        <v>101.23863636363637</v>
      </c>
      <c r="M4328" s="4">
        <v>12.148636363636371</v>
      </c>
      <c r="N4328" t="s">
        <v>93</v>
      </c>
    </row>
    <row r="4329" spans="1:14">
      <c r="A4329">
        <v>4328</v>
      </c>
      <c r="B4329">
        <v>65</v>
      </c>
      <c r="C4329" t="s">
        <v>11</v>
      </c>
      <c r="D4329" t="s">
        <v>20</v>
      </c>
      <c r="E4329" t="s">
        <v>36</v>
      </c>
      <c r="F4329">
        <v>100.42</v>
      </c>
      <c r="G4329" t="s">
        <v>14</v>
      </c>
      <c r="H4329" t="s">
        <v>15</v>
      </c>
      <c r="I4329">
        <v>3.8</v>
      </c>
      <c r="J4329">
        <v>22</v>
      </c>
      <c r="K4329">
        <v>6</v>
      </c>
      <c r="L4329" s="4">
        <v>128.74358974358975</v>
      </c>
      <c r="M4329" s="4">
        <v>28.32358974358975</v>
      </c>
      <c r="N4329" t="s">
        <v>95</v>
      </c>
    </row>
    <row r="4330" spans="1:14">
      <c r="A4330">
        <v>4329</v>
      </c>
      <c r="B4330">
        <v>48</v>
      </c>
      <c r="C4330" t="s">
        <v>16</v>
      </c>
      <c r="D4330" t="s">
        <v>17</v>
      </c>
      <c r="E4330" t="s">
        <v>35</v>
      </c>
      <c r="F4330">
        <v>89.83</v>
      </c>
      <c r="G4330" t="s">
        <v>31</v>
      </c>
      <c r="H4330" t="s">
        <v>15</v>
      </c>
      <c r="I4330">
        <v>4.0999999999999996</v>
      </c>
      <c r="J4330">
        <v>20</v>
      </c>
      <c r="K4330">
        <v>5</v>
      </c>
      <c r="L4330" s="4">
        <v>112.28749999999999</v>
      </c>
      <c r="M4330" s="4">
        <v>22.457499999999996</v>
      </c>
      <c r="N4330" t="s">
        <v>93</v>
      </c>
    </row>
    <row r="4331" spans="1:14">
      <c r="A4331">
        <v>4330</v>
      </c>
      <c r="B4331">
        <v>54</v>
      </c>
      <c r="C4331" t="s">
        <v>16</v>
      </c>
      <c r="D4331" t="s">
        <v>27</v>
      </c>
      <c r="E4331" t="s">
        <v>28</v>
      </c>
      <c r="F4331">
        <v>970.58</v>
      </c>
      <c r="G4331" t="s">
        <v>31</v>
      </c>
      <c r="H4331" t="s">
        <v>15</v>
      </c>
      <c r="I4331">
        <v>4.7</v>
      </c>
      <c r="J4331">
        <v>18</v>
      </c>
      <c r="K4331">
        <v>9</v>
      </c>
      <c r="L4331" s="4">
        <v>1183.6341463414633</v>
      </c>
      <c r="M4331" s="4">
        <v>213.05414634146325</v>
      </c>
      <c r="N4331" t="s">
        <v>93</v>
      </c>
    </row>
    <row r="4332" spans="1:14">
      <c r="A4332">
        <v>4331</v>
      </c>
      <c r="B4332">
        <v>33</v>
      </c>
      <c r="C4332" t="s">
        <v>16</v>
      </c>
      <c r="D4332" t="s">
        <v>27</v>
      </c>
      <c r="E4332" t="s">
        <v>49</v>
      </c>
      <c r="F4332">
        <v>1987.37</v>
      </c>
      <c r="G4332" t="s">
        <v>31</v>
      </c>
      <c r="H4332" t="s">
        <v>15</v>
      </c>
      <c r="I4332">
        <v>3.9</v>
      </c>
      <c r="J4332">
        <v>14</v>
      </c>
      <c r="K4332">
        <v>2</v>
      </c>
      <c r="L4332" s="4">
        <v>2310.895348837209</v>
      </c>
      <c r="M4332" s="4">
        <v>323.52534883720909</v>
      </c>
      <c r="N4332" t="s">
        <v>91</v>
      </c>
    </row>
    <row r="4333" spans="1:14">
      <c r="A4333">
        <v>4332</v>
      </c>
      <c r="B4333">
        <v>56</v>
      </c>
      <c r="C4333" t="s">
        <v>16</v>
      </c>
      <c r="D4333" t="s">
        <v>27</v>
      </c>
      <c r="E4333" t="s">
        <v>32</v>
      </c>
      <c r="F4333">
        <v>2918.5</v>
      </c>
      <c r="G4333" t="s">
        <v>24</v>
      </c>
      <c r="H4333" t="s">
        <v>15</v>
      </c>
      <c r="I4333">
        <v>2.8</v>
      </c>
      <c r="J4333">
        <v>15</v>
      </c>
      <c r="K4333">
        <v>5</v>
      </c>
      <c r="L4333" s="4">
        <v>3433.5294117647059</v>
      </c>
      <c r="M4333" s="4">
        <v>515.02941176470586</v>
      </c>
      <c r="N4333" t="s">
        <v>94</v>
      </c>
    </row>
    <row r="4334" spans="1:14">
      <c r="A4334">
        <v>4333</v>
      </c>
      <c r="B4334">
        <v>41</v>
      </c>
      <c r="C4334" t="s">
        <v>11</v>
      </c>
      <c r="D4334" t="s">
        <v>20</v>
      </c>
      <c r="E4334" t="s">
        <v>36</v>
      </c>
      <c r="F4334">
        <v>25.82</v>
      </c>
      <c r="G4334" t="s">
        <v>31</v>
      </c>
      <c r="H4334" t="s">
        <v>15</v>
      </c>
      <c r="I4334">
        <v>4.4000000000000004</v>
      </c>
      <c r="J4334">
        <v>16</v>
      </c>
      <c r="K4334">
        <v>3</v>
      </c>
      <c r="L4334" s="4">
        <v>30.738095238095241</v>
      </c>
      <c r="M4334" s="4">
        <v>4.9180952380952405</v>
      </c>
      <c r="N4334" t="s">
        <v>92</v>
      </c>
    </row>
    <row r="4335" spans="1:14">
      <c r="A4335">
        <v>4334</v>
      </c>
      <c r="B4335">
        <v>65</v>
      </c>
      <c r="C4335" t="s">
        <v>16</v>
      </c>
      <c r="D4335" t="s">
        <v>33</v>
      </c>
      <c r="E4335" t="s">
        <v>34</v>
      </c>
      <c r="F4335">
        <v>72.739999999999995</v>
      </c>
      <c r="G4335" t="s">
        <v>24</v>
      </c>
      <c r="H4335" t="s">
        <v>15</v>
      </c>
      <c r="I4335">
        <v>3</v>
      </c>
      <c r="J4335">
        <v>12</v>
      </c>
      <c r="K4335">
        <v>6</v>
      </c>
      <c r="L4335" s="4">
        <v>82.659090909090907</v>
      </c>
      <c r="M4335" s="4">
        <v>9.9190909090909116</v>
      </c>
      <c r="N4335" t="s">
        <v>95</v>
      </c>
    </row>
    <row r="4336" spans="1:14">
      <c r="A4336">
        <v>4335</v>
      </c>
      <c r="B4336">
        <v>32</v>
      </c>
      <c r="C4336" t="s">
        <v>11</v>
      </c>
      <c r="D4336" t="s">
        <v>29</v>
      </c>
      <c r="E4336" t="s">
        <v>55</v>
      </c>
      <c r="F4336">
        <v>139.69999999999999</v>
      </c>
      <c r="G4336" t="s">
        <v>31</v>
      </c>
      <c r="H4336" t="s">
        <v>15</v>
      </c>
      <c r="I4336">
        <v>3.1</v>
      </c>
      <c r="J4336">
        <v>20</v>
      </c>
      <c r="K4336">
        <v>5</v>
      </c>
      <c r="L4336" s="4">
        <v>174.62499999999997</v>
      </c>
      <c r="M4336" s="4">
        <v>34.924999999999983</v>
      </c>
      <c r="N4336" t="s">
        <v>91</v>
      </c>
    </row>
    <row r="4337" spans="1:14">
      <c r="A4337">
        <v>4336</v>
      </c>
      <c r="B4337">
        <v>49</v>
      </c>
      <c r="C4337" t="s">
        <v>11</v>
      </c>
      <c r="D4337" t="s">
        <v>33</v>
      </c>
      <c r="E4337" t="s">
        <v>34</v>
      </c>
      <c r="F4337">
        <v>59.06</v>
      </c>
      <c r="G4337" t="s">
        <v>19</v>
      </c>
      <c r="H4337" t="s">
        <v>37</v>
      </c>
      <c r="I4337">
        <v>2.9</v>
      </c>
      <c r="J4337">
        <v>14</v>
      </c>
      <c r="K4337">
        <v>7</v>
      </c>
      <c r="L4337" s="4">
        <v>68.674418604651166</v>
      </c>
      <c r="M4337" s="4">
        <v>9.6144186046511635</v>
      </c>
      <c r="N4337" t="s">
        <v>93</v>
      </c>
    </row>
    <row r="4338" spans="1:14">
      <c r="A4338">
        <v>4337</v>
      </c>
      <c r="B4338">
        <v>61</v>
      </c>
      <c r="C4338" t="s">
        <v>16</v>
      </c>
      <c r="D4338" t="s">
        <v>20</v>
      </c>
      <c r="E4338" t="s">
        <v>21</v>
      </c>
      <c r="F4338">
        <v>101.88</v>
      </c>
      <c r="G4338" t="s">
        <v>19</v>
      </c>
      <c r="H4338" t="s">
        <v>15</v>
      </c>
      <c r="I4338">
        <v>3.9</v>
      </c>
      <c r="J4338">
        <v>11</v>
      </c>
      <c r="K4338">
        <v>3</v>
      </c>
      <c r="L4338" s="4">
        <v>114.47191011235954</v>
      </c>
      <c r="M4338" s="4">
        <v>12.591910112359542</v>
      </c>
      <c r="N4338" t="s">
        <v>94</v>
      </c>
    </row>
    <row r="4339" spans="1:14">
      <c r="A4339">
        <v>4338</v>
      </c>
      <c r="B4339">
        <v>54</v>
      </c>
      <c r="C4339" t="s">
        <v>16</v>
      </c>
      <c r="D4339" t="s">
        <v>20</v>
      </c>
      <c r="E4339" t="s">
        <v>21</v>
      </c>
      <c r="F4339">
        <v>92.18</v>
      </c>
      <c r="G4339" t="s">
        <v>19</v>
      </c>
      <c r="H4339" t="s">
        <v>15</v>
      </c>
      <c r="I4339">
        <v>3.3</v>
      </c>
      <c r="J4339">
        <v>11</v>
      </c>
      <c r="K4339">
        <v>3</v>
      </c>
      <c r="L4339" s="4">
        <v>103.57303370786518</v>
      </c>
      <c r="M4339" s="4">
        <v>11.393033707865172</v>
      </c>
      <c r="N4339" t="s">
        <v>93</v>
      </c>
    </row>
    <row r="4340" spans="1:14">
      <c r="A4340">
        <v>4339</v>
      </c>
      <c r="B4340">
        <v>50</v>
      </c>
      <c r="C4340" t="s">
        <v>11</v>
      </c>
      <c r="D4340" t="s">
        <v>20</v>
      </c>
      <c r="E4340" t="s">
        <v>21</v>
      </c>
      <c r="F4340">
        <v>118.5</v>
      </c>
      <c r="G4340" t="s">
        <v>31</v>
      </c>
      <c r="H4340" t="s">
        <v>15</v>
      </c>
      <c r="I4340">
        <v>4.5999999999999996</v>
      </c>
      <c r="J4340">
        <v>20</v>
      </c>
      <c r="K4340">
        <v>10</v>
      </c>
      <c r="L4340" s="4">
        <v>148.125</v>
      </c>
      <c r="M4340" s="4">
        <v>29.625</v>
      </c>
      <c r="N4340" t="s">
        <v>93</v>
      </c>
    </row>
    <row r="4341" spans="1:14">
      <c r="A4341">
        <v>4340</v>
      </c>
      <c r="B4341">
        <v>61</v>
      </c>
      <c r="C4341" t="s">
        <v>16</v>
      </c>
      <c r="D4341" t="s">
        <v>27</v>
      </c>
      <c r="E4341" t="s">
        <v>28</v>
      </c>
      <c r="F4341">
        <v>1079.3399999999999</v>
      </c>
      <c r="G4341" t="s">
        <v>14</v>
      </c>
      <c r="H4341" t="s">
        <v>15</v>
      </c>
      <c r="I4341">
        <v>3.6</v>
      </c>
      <c r="J4341">
        <v>26</v>
      </c>
      <c r="K4341">
        <v>8</v>
      </c>
      <c r="L4341" s="4">
        <v>1458.5675675675675</v>
      </c>
      <c r="M4341" s="4">
        <v>379.22756756756758</v>
      </c>
      <c r="N4341" t="s">
        <v>94</v>
      </c>
    </row>
    <row r="4342" spans="1:14">
      <c r="A4342">
        <v>4341</v>
      </c>
      <c r="B4342">
        <v>60</v>
      </c>
      <c r="C4342" t="s">
        <v>11</v>
      </c>
      <c r="D4342" t="s">
        <v>29</v>
      </c>
      <c r="E4342" t="s">
        <v>30</v>
      </c>
      <c r="F4342">
        <v>65.44</v>
      </c>
      <c r="G4342" t="s">
        <v>14</v>
      </c>
      <c r="H4342" t="s">
        <v>37</v>
      </c>
      <c r="I4342">
        <v>5</v>
      </c>
      <c r="J4342">
        <v>16</v>
      </c>
      <c r="K4342">
        <v>3</v>
      </c>
      <c r="L4342" s="4">
        <v>77.904761904761898</v>
      </c>
      <c r="M4342" s="4">
        <v>12.4647619047619</v>
      </c>
      <c r="N4342" t="s">
        <v>94</v>
      </c>
    </row>
    <row r="4343" spans="1:14">
      <c r="A4343">
        <v>4342</v>
      </c>
      <c r="B4343">
        <v>42</v>
      </c>
      <c r="C4343" t="s">
        <v>11</v>
      </c>
      <c r="D4343" t="s">
        <v>29</v>
      </c>
      <c r="E4343" t="s">
        <v>55</v>
      </c>
      <c r="F4343">
        <v>25.79</v>
      </c>
      <c r="G4343" t="s">
        <v>24</v>
      </c>
      <c r="H4343" t="s">
        <v>37</v>
      </c>
      <c r="I4343">
        <v>4</v>
      </c>
      <c r="J4343">
        <v>8</v>
      </c>
      <c r="K4343">
        <v>4</v>
      </c>
      <c r="L4343" s="4">
        <v>28.032608695652172</v>
      </c>
      <c r="M4343" s="4">
        <v>2.2426086956521729</v>
      </c>
      <c r="N4343" t="s">
        <v>92</v>
      </c>
    </row>
    <row r="4344" spans="1:14">
      <c r="A4344">
        <v>4343</v>
      </c>
      <c r="B4344">
        <v>45</v>
      </c>
      <c r="C4344" t="s">
        <v>11</v>
      </c>
      <c r="D4344" t="s">
        <v>33</v>
      </c>
      <c r="E4344" t="s">
        <v>38</v>
      </c>
      <c r="F4344">
        <v>50.12</v>
      </c>
      <c r="G4344" t="s">
        <v>24</v>
      </c>
      <c r="H4344" t="s">
        <v>37</v>
      </c>
      <c r="I4344">
        <v>3.3</v>
      </c>
      <c r="J4344">
        <v>9</v>
      </c>
      <c r="K4344">
        <v>2</v>
      </c>
      <c r="L4344" s="4">
        <v>55.076923076923073</v>
      </c>
      <c r="M4344" s="4">
        <v>4.9569230769230757</v>
      </c>
      <c r="N4344" t="s">
        <v>93</v>
      </c>
    </row>
    <row r="4345" spans="1:14">
      <c r="A4345">
        <v>4344</v>
      </c>
      <c r="B4345">
        <v>28</v>
      </c>
      <c r="C4345" t="s">
        <v>16</v>
      </c>
      <c r="D4345" t="s">
        <v>20</v>
      </c>
      <c r="E4345" t="s">
        <v>36</v>
      </c>
      <c r="F4345">
        <v>131.99</v>
      </c>
      <c r="G4345" t="s">
        <v>24</v>
      </c>
      <c r="H4345" t="s">
        <v>15</v>
      </c>
      <c r="I4345">
        <v>4</v>
      </c>
      <c r="J4345">
        <v>23</v>
      </c>
      <c r="K4345">
        <v>9</v>
      </c>
      <c r="L4345" s="4">
        <v>171.41558441558442</v>
      </c>
      <c r="M4345" s="4">
        <v>39.42558441558441</v>
      </c>
      <c r="N4345" t="s">
        <v>91</v>
      </c>
    </row>
    <row r="4346" spans="1:14">
      <c r="A4346">
        <v>4345</v>
      </c>
      <c r="B4346">
        <v>53</v>
      </c>
      <c r="C4346" t="s">
        <v>11</v>
      </c>
      <c r="D4346" t="s">
        <v>33</v>
      </c>
      <c r="E4346" t="s">
        <v>38</v>
      </c>
      <c r="F4346">
        <v>56.27</v>
      </c>
      <c r="G4346" t="s">
        <v>19</v>
      </c>
      <c r="H4346" t="s">
        <v>37</v>
      </c>
      <c r="I4346">
        <v>3.3</v>
      </c>
      <c r="J4346">
        <v>16</v>
      </c>
      <c r="K4346">
        <v>8</v>
      </c>
      <c r="L4346" s="4">
        <v>66.988095238095241</v>
      </c>
      <c r="M4346" s="4">
        <v>10.718095238095238</v>
      </c>
      <c r="N4346" t="s">
        <v>93</v>
      </c>
    </row>
    <row r="4347" spans="1:14">
      <c r="A4347">
        <v>4346</v>
      </c>
      <c r="B4347">
        <v>59</v>
      </c>
      <c r="C4347" t="s">
        <v>16</v>
      </c>
      <c r="D4347" t="s">
        <v>27</v>
      </c>
      <c r="E4347" t="s">
        <v>49</v>
      </c>
      <c r="F4347">
        <v>639.16999999999996</v>
      </c>
      <c r="G4347" t="s">
        <v>24</v>
      </c>
      <c r="H4347" t="s">
        <v>15</v>
      </c>
      <c r="I4347">
        <v>3.9</v>
      </c>
      <c r="J4347">
        <v>16</v>
      </c>
      <c r="K4347">
        <v>8</v>
      </c>
      <c r="L4347" s="4">
        <v>760.91666666666663</v>
      </c>
      <c r="M4347" s="4">
        <v>121.74666666666667</v>
      </c>
      <c r="N4347" t="s">
        <v>94</v>
      </c>
    </row>
    <row r="4348" spans="1:14">
      <c r="A4348">
        <v>4347</v>
      </c>
      <c r="B4348">
        <v>42</v>
      </c>
      <c r="C4348" t="s">
        <v>11</v>
      </c>
      <c r="D4348" t="s">
        <v>33</v>
      </c>
      <c r="E4348" t="s">
        <v>34</v>
      </c>
      <c r="F4348">
        <v>56.5</v>
      </c>
      <c r="G4348" t="s">
        <v>19</v>
      </c>
      <c r="H4348" t="s">
        <v>15</v>
      </c>
      <c r="I4348">
        <v>4.0999999999999996</v>
      </c>
      <c r="J4348">
        <v>8</v>
      </c>
      <c r="K4348">
        <v>4</v>
      </c>
      <c r="L4348" s="4">
        <v>61.413043478260867</v>
      </c>
      <c r="M4348" s="4">
        <v>4.9130434782608674</v>
      </c>
      <c r="N4348" t="s">
        <v>92</v>
      </c>
    </row>
    <row r="4349" spans="1:14">
      <c r="A4349">
        <v>4348</v>
      </c>
      <c r="B4349">
        <v>69</v>
      </c>
      <c r="C4349" t="s">
        <v>11</v>
      </c>
      <c r="D4349" t="s">
        <v>20</v>
      </c>
      <c r="E4349" t="s">
        <v>21</v>
      </c>
      <c r="F4349">
        <v>49.1</v>
      </c>
      <c r="G4349" t="s">
        <v>31</v>
      </c>
      <c r="H4349" t="s">
        <v>37</v>
      </c>
      <c r="I4349">
        <v>3</v>
      </c>
      <c r="J4349">
        <v>22</v>
      </c>
      <c r="K4349">
        <v>6</v>
      </c>
      <c r="L4349" s="4">
        <v>62.948717948717949</v>
      </c>
      <c r="M4349" s="4">
        <v>13.848717948717947</v>
      </c>
      <c r="N4349" t="s">
        <v>95</v>
      </c>
    </row>
    <row r="4350" spans="1:14">
      <c r="A4350">
        <v>4349</v>
      </c>
      <c r="B4350">
        <v>70</v>
      </c>
      <c r="C4350" t="s">
        <v>11</v>
      </c>
      <c r="D4350" t="s">
        <v>12</v>
      </c>
      <c r="E4350" t="s">
        <v>56</v>
      </c>
      <c r="F4350">
        <v>27.04</v>
      </c>
      <c r="G4350" t="s">
        <v>24</v>
      </c>
      <c r="H4350" t="s">
        <v>15</v>
      </c>
      <c r="I4350">
        <v>3.9</v>
      </c>
      <c r="J4350">
        <v>16</v>
      </c>
      <c r="K4350">
        <v>3</v>
      </c>
      <c r="L4350" s="4">
        <v>32.19047619047619</v>
      </c>
      <c r="M4350" s="4">
        <v>5.1504761904761907</v>
      </c>
      <c r="N4350" t="s">
        <v>95</v>
      </c>
    </row>
    <row r="4351" spans="1:14">
      <c r="A4351">
        <v>4350</v>
      </c>
      <c r="B4351">
        <v>69</v>
      </c>
      <c r="C4351" t="s">
        <v>16</v>
      </c>
      <c r="D4351" t="s">
        <v>33</v>
      </c>
      <c r="E4351" t="s">
        <v>40</v>
      </c>
      <c r="F4351">
        <v>116.04</v>
      </c>
      <c r="G4351" t="s">
        <v>24</v>
      </c>
      <c r="H4351" t="s">
        <v>15</v>
      </c>
      <c r="I4351">
        <v>3.3</v>
      </c>
      <c r="J4351">
        <v>17</v>
      </c>
      <c r="K4351">
        <v>6</v>
      </c>
      <c r="L4351" s="4">
        <v>139.80722891566268</v>
      </c>
      <c r="M4351" s="4">
        <v>23.76722891566267</v>
      </c>
      <c r="N4351" t="s">
        <v>95</v>
      </c>
    </row>
    <row r="4352" spans="1:14">
      <c r="A4352">
        <v>4351</v>
      </c>
      <c r="B4352">
        <v>21</v>
      </c>
      <c r="C4352" t="s">
        <v>11</v>
      </c>
      <c r="D4352" t="s">
        <v>20</v>
      </c>
      <c r="E4352" t="s">
        <v>36</v>
      </c>
      <c r="F4352">
        <v>130.69999999999999</v>
      </c>
      <c r="G4352" t="s">
        <v>14</v>
      </c>
      <c r="H4352" t="s">
        <v>15</v>
      </c>
      <c r="I4352">
        <v>3.5</v>
      </c>
      <c r="J4352">
        <v>10</v>
      </c>
      <c r="K4352">
        <v>5</v>
      </c>
      <c r="L4352" s="4">
        <v>145.2222222222222</v>
      </c>
      <c r="M4352" s="4">
        <v>14.522222222222211</v>
      </c>
      <c r="N4352" t="s">
        <v>100</v>
      </c>
    </row>
    <row r="4353" spans="1:14">
      <c r="A4353">
        <v>4352</v>
      </c>
      <c r="B4353">
        <v>23</v>
      </c>
      <c r="C4353" t="s">
        <v>16</v>
      </c>
      <c r="D4353" t="s">
        <v>27</v>
      </c>
      <c r="E4353" t="s">
        <v>28</v>
      </c>
      <c r="F4353">
        <v>1990.13</v>
      </c>
      <c r="G4353" t="s">
        <v>19</v>
      </c>
      <c r="H4353" t="s">
        <v>15</v>
      </c>
      <c r="I4353">
        <v>4.0999999999999996</v>
      </c>
      <c r="J4353">
        <v>10</v>
      </c>
      <c r="K4353">
        <v>0</v>
      </c>
      <c r="L4353" s="4">
        <v>2211.2555555555555</v>
      </c>
      <c r="M4353" s="4">
        <v>221.12555555555537</v>
      </c>
      <c r="N4353" t="s">
        <v>100</v>
      </c>
    </row>
    <row r="4354" spans="1:14">
      <c r="A4354">
        <v>4353</v>
      </c>
      <c r="B4354">
        <v>59</v>
      </c>
      <c r="C4354" t="s">
        <v>11</v>
      </c>
      <c r="D4354" t="s">
        <v>33</v>
      </c>
      <c r="E4354" t="s">
        <v>40</v>
      </c>
      <c r="F4354">
        <v>198.56</v>
      </c>
      <c r="G4354" t="s">
        <v>31</v>
      </c>
      <c r="H4354" t="s">
        <v>15</v>
      </c>
      <c r="I4354">
        <v>3.4</v>
      </c>
      <c r="J4354">
        <v>10</v>
      </c>
      <c r="K4354">
        <v>5</v>
      </c>
      <c r="L4354" s="4">
        <v>220.62222222222221</v>
      </c>
      <c r="M4354" s="4">
        <v>22.062222222222204</v>
      </c>
      <c r="N4354" t="s">
        <v>94</v>
      </c>
    </row>
    <row r="4355" spans="1:14">
      <c r="A4355">
        <v>4354</v>
      </c>
      <c r="B4355">
        <v>68</v>
      </c>
      <c r="C4355" t="s">
        <v>11</v>
      </c>
      <c r="D4355" t="s">
        <v>12</v>
      </c>
      <c r="E4355" t="s">
        <v>50</v>
      </c>
      <c r="F4355">
        <v>116.6</v>
      </c>
      <c r="G4355" t="s">
        <v>24</v>
      </c>
      <c r="H4355" t="s">
        <v>15</v>
      </c>
      <c r="I4355">
        <v>3.4</v>
      </c>
      <c r="J4355">
        <v>16</v>
      </c>
      <c r="K4355">
        <v>3</v>
      </c>
      <c r="L4355" s="4">
        <v>138.8095238095238</v>
      </c>
      <c r="M4355" s="4">
        <v>22.209523809523802</v>
      </c>
      <c r="N4355" t="s">
        <v>95</v>
      </c>
    </row>
    <row r="4356" spans="1:14">
      <c r="A4356">
        <v>4355</v>
      </c>
      <c r="B4356">
        <v>41</v>
      </c>
      <c r="C4356" t="s">
        <v>16</v>
      </c>
      <c r="D4356" t="s">
        <v>17</v>
      </c>
      <c r="E4356" t="s">
        <v>18</v>
      </c>
      <c r="F4356">
        <v>143.78</v>
      </c>
      <c r="G4356" t="s">
        <v>24</v>
      </c>
      <c r="H4356" t="s">
        <v>15</v>
      </c>
      <c r="I4356">
        <v>3.6</v>
      </c>
      <c r="J4356">
        <v>24</v>
      </c>
      <c r="K4356">
        <v>12</v>
      </c>
      <c r="L4356" s="4">
        <v>189.18421052631578</v>
      </c>
      <c r="M4356" s="4">
        <v>45.404210526315779</v>
      </c>
      <c r="N4356" t="s">
        <v>92</v>
      </c>
    </row>
    <row r="4357" spans="1:14">
      <c r="A4357">
        <v>4356</v>
      </c>
      <c r="B4357">
        <v>22</v>
      </c>
      <c r="C4357" t="s">
        <v>16</v>
      </c>
      <c r="D4357" t="s">
        <v>33</v>
      </c>
      <c r="E4357" t="s">
        <v>34</v>
      </c>
      <c r="F4357">
        <v>72.510000000000005</v>
      </c>
      <c r="G4357" t="s">
        <v>19</v>
      </c>
      <c r="H4357" t="s">
        <v>37</v>
      </c>
      <c r="I4357">
        <v>3.7</v>
      </c>
      <c r="J4357">
        <v>11</v>
      </c>
      <c r="K4357">
        <v>3</v>
      </c>
      <c r="L4357" s="4">
        <v>81.471910112359552</v>
      </c>
      <c r="M4357" s="4">
        <v>8.961910112359547</v>
      </c>
      <c r="N4357" t="s">
        <v>100</v>
      </c>
    </row>
    <row r="4358" spans="1:14">
      <c r="A4358">
        <v>4357</v>
      </c>
      <c r="B4358">
        <v>20</v>
      </c>
      <c r="C4358" t="s">
        <v>16</v>
      </c>
      <c r="D4358" t="s">
        <v>33</v>
      </c>
      <c r="E4358" t="s">
        <v>34</v>
      </c>
      <c r="F4358">
        <v>238.67</v>
      </c>
      <c r="G4358" t="s">
        <v>19</v>
      </c>
      <c r="H4358" t="s">
        <v>15</v>
      </c>
      <c r="I4358">
        <v>4.0999999999999996</v>
      </c>
      <c r="J4358">
        <v>12</v>
      </c>
      <c r="K4358">
        <v>6</v>
      </c>
      <c r="L4358" s="4">
        <v>271.21590909090907</v>
      </c>
      <c r="M4358" s="4">
        <v>32.545909090909078</v>
      </c>
      <c r="N4358" t="s">
        <v>100</v>
      </c>
    </row>
    <row r="4359" spans="1:14">
      <c r="A4359">
        <v>4358</v>
      </c>
      <c r="B4359">
        <v>52</v>
      </c>
      <c r="C4359" t="s">
        <v>16</v>
      </c>
      <c r="D4359" t="s">
        <v>17</v>
      </c>
      <c r="E4359" t="s">
        <v>18</v>
      </c>
      <c r="F4359">
        <v>164.35</v>
      </c>
      <c r="G4359" t="s">
        <v>24</v>
      </c>
      <c r="H4359" t="s">
        <v>15</v>
      </c>
      <c r="I4359">
        <v>4.0999999999999996</v>
      </c>
      <c r="J4359">
        <v>4</v>
      </c>
      <c r="K4359">
        <v>2</v>
      </c>
      <c r="L4359" s="4">
        <v>171.19791666666666</v>
      </c>
      <c r="M4359" s="4">
        <v>6.8479166666666629</v>
      </c>
      <c r="N4359" t="s">
        <v>93</v>
      </c>
    </row>
    <row r="4360" spans="1:14">
      <c r="A4360">
        <v>4359</v>
      </c>
      <c r="B4360">
        <v>69</v>
      </c>
      <c r="C4360" t="s">
        <v>16</v>
      </c>
      <c r="D4360" t="s">
        <v>27</v>
      </c>
      <c r="E4360" t="s">
        <v>53</v>
      </c>
      <c r="F4360">
        <v>1339.11</v>
      </c>
      <c r="G4360" t="s">
        <v>14</v>
      </c>
      <c r="H4360" t="s">
        <v>15</v>
      </c>
      <c r="I4360">
        <v>3.5</v>
      </c>
      <c r="J4360">
        <v>9</v>
      </c>
      <c r="K4360">
        <v>2</v>
      </c>
      <c r="L4360" s="4">
        <v>1471.5494505494503</v>
      </c>
      <c r="M4360" s="4">
        <v>132.43945054945038</v>
      </c>
      <c r="N4360" t="s">
        <v>95</v>
      </c>
    </row>
    <row r="4361" spans="1:14">
      <c r="A4361">
        <v>4360</v>
      </c>
      <c r="B4361">
        <v>42</v>
      </c>
      <c r="C4361" t="s">
        <v>16</v>
      </c>
      <c r="D4361" t="s">
        <v>20</v>
      </c>
      <c r="E4361" t="s">
        <v>39</v>
      </c>
      <c r="F4361">
        <v>198.2</v>
      </c>
      <c r="G4361" t="s">
        <v>14</v>
      </c>
      <c r="H4361" t="s">
        <v>15</v>
      </c>
      <c r="I4361">
        <v>3.3</v>
      </c>
      <c r="J4361">
        <v>8</v>
      </c>
      <c r="K4361">
        <v>4</v>
      </c>
      <c r="L4361" s="4">
        <v>215.43478260869563</v>
      </c>
      <c r="M4361" s="4">
        <v>17.234782608695639</v>
      </c>
      <c r="N4361" t="s">
        <v>92</v>
      </c>
    </row>
    <row r="4362" spans="1:14">
      <c r="A4362">
        <v>4361</v>
      </c>
      <c r="B4362">
        <v>37</v>
      </c>
      <c r="C4362" t="s">
        <v>16</v>
      </c>
      <c r="D4362" t="s">
        <v>25</v>
      </c>
      <c r="E4362" t="s">
        <v>54</v>
      </c>
      <c r="F4362">
        <v>62.87</v>
      </c>
      <c r="G4362" t="s">
        <v>31</v>
      </c>
      <c r="H4362" t="s">
        <v>37</v>
      </c>
      <c r="I4362">
        <v>3.5</v>
      </c>
      <c r="J4362">
        <v>14</v>
      </c>
      <c r="K4362">
        <v>7</v>
      </c>
      <c r="L4362" s="4">
        <v>73.104651162790702</v>
      </c>
      <c r="M4362" s="4">
        <v>10.234651162790705</v>
      </c>
      <c r="N4362" t="s">
        <v>92</v>
      </c>
    </row>
    <row r="4363" spans="1:14">
      <c r="A4363">
        <v>4362</v>
      </c>
      <c r="B4363">
        <v>29</v>
      </c>
      <c r="C4363" t="s">
        <v>11</v>
      </c>
      <c r="D4363" t="s">
        <v>41</v>
      </c>
      <c r="E4363" t="s">
        <v>46</v>
      </c>
      <c r="F4363">
        <v>150.07</v>
      </c>
      <c r="G4363" t="s">
        <v>19</v>
      </c>
      <c r="H4363" t="s">
        <v>15</v>
      </c>
      <c r="I4363">
        <v>3.9</v>
      </c>
      <c r="J4363">
        <v>19</v>
      </c>
      <c r="K4363">
        <v>7</v>
      </c>
      <c r="L4363" s="4">
        <v>185.27160493827159</v>
      </c>
      <c r="M4363" s="4">
        <v>35.201604938271601</v>
      </c>
      <c r="N4363" t="s">
        <v>91</v>
      </c>
    </row>
    <row r="4364" spans="1:14">
      <c r="A4364">
        <v>4363</v>
      </c>
      <c r="B4364">
        <v>51</v>
      </c>
      <c r="C4364" t="s">
        <v>16</v>
      </c>
      <c r="D4364" t="s">
        <v>25</v>
      </c>
      <c r="E4364" t="s">
        <v>54</v>
      </c>
      <c r="F4364">
        <v>71.540000000000006</v>
      </c>
      <c r="G4364" t="s">
        <v>24</v>
      </c>
      <c r="H4364" t="s">
        <v>37</v>
      </c>
      <c r="I4364">
        <v>3.5</v>
      </c>
      <c r="J4364">
        <v>16</v>
      </c>
      <c r="K4364">
        <v>3</v>
      </c>
      <c r="L4364" s="4">
        <v>85.166666666666671</v>
      </c>
      <c r="M4364" s="4">
        <v>13.626666666666665</v>
      </c>
      <c r="N4364" t="s">
        <v>93</v>
      </c>
    </row>
    <row r="4365" spans="1:14">
      <c r="A4365">
        <v>4364</v>
      </c>
      <c r="B4365">
        <v>26</v>
      </c>
      <c r="C4365" t="s">
        <v>11</v>
      </c>
      <c r="D4365" t="s">
        <v>41</v>
      </c>
      <c r="E4365" t="s">
        <v>44</v>
      </c>
      <c r="F4365">
        <v>43.22</v>
      </c>
      <c r="G4365" t="s">
        <v>19</v>
      </c>
      <c r="H4365" t="s">
        <v>37</v>
      </c>
      <c r="I4365">
        <v>2.9</v>
      </c>
      <c r="J4365">
        <v>2</v>
      </c>
      <c r="K4365">
        <v>1</v>
      </c>
      <c r="L4365" s="4">
        <v>44.102040816326529</v>
      </c>
      <c r="M4365" s="4">
        <v>0.88204081632652986</v>
      </c>
      <c r="N4365" t="s">
        <v>91</v>
      </c>
    </row>
    <row r="4366" spans="1:14">
      <c r="A4366">
        <v>4365</v>
      </c>
      <c r="B4366">
        <v>49</v>
      </c>
      <c r="C4366" t="s">
        <v>16</v>
      </c>
      <c r="D4366" t="s">
        <v>33</v>
      </c>
      <c r="E4366" t="s">
        <v>38</v>
      </c>
      <c r="F4366">
        <v>173.46</v>
      </c>
      <c r="G4366" t="s">
        <v>14</v>
      </c>
      <c r="H4366" t="s">
        <v>15</v>
      </c>
      <c r="I4366">
        <v>3.8</v>
      </c>
      <c r="J4366">
        <v>22</v>
      </c>
      <c r="K4366">
        <v>6</v>
      </c>
      <c r="L4366" s="4">
        <v>222.38461538461539</v>
      </c>
      <c r="M4366" s="4">
        <v>48.924615384615379</v>
      </c>
      <c r="N4366" t="s">
        <v>93</v>
      </c>
    </row>
    <row r="4367" spans="1:14">
      <c r="A4367">
        <v>4366</v>
      </c>
      <c r="B4367">
        <v>47</v>
      </c>
      <c r="C4367" t="s">
        <v>16</v>
      </c>
      <c r="D4367" t="s">
        <v>22</v>
      </c>
      <c r="E4367" t="s">
        <v>43</v>
      </c>
      <c r="F4367">
        <v>286.8</v>
      </c>
      <c r="G4367" t="s">
        <v>19</v>
      </c>
      <c r="H4367" t="s">
        <v>15</v>
      </c>
      <c r="I4367">
        <v>5</v>
      </c>
      <c r="J4367">
        <v>19</v>
      </c>
      <c r="K4367">
        <v>7</v>
      </c>
      <c r="L4367" s="4">
        <v>354.07407407407408</v>
      </c>
      <c r="M4367" s="4">
        <v>67.274074074074065</v>
      </c>
      <c r="N4367" t="s">
        <v>93</v>
      </c>
    </row>
    <row r="4368" spans="1:14">
      <c r="A4368">
        <v>4367</v>
      </c>
      <c r="B4368">
        <v>30</v>
      </c>
      <c r="C4368" t="s">
        <v>16</v>
      </c>
      <c r="D4368" t="s">
        <v>17</v>
      </c>
      <c r="E4368" t="s">
        <v>48</v>
      </c>
      <c r="F4368">
        <v>83.11</v>
      </c>
      <c r="G4368" t="s">
        <v>14</v>
      </c>
      <c r="H4368" t="s">
        <v>15</v>
      </c>
      <c r="I4368">
        <v>3.6</v>
      </c>
      <c r="J4368">
        <v>14</v>
      </c>
      <c r="K4368">
        <v>2</v>
      </c>
      <c r="L4368" s="4">
        <v>96.639534883720927</v>
      </c>
      <c r="M4368" s="4">
        <v>13.529534883720927</v>
      </c>
      <c r="N4368" t="s">
        <v>91</v>
      </c>
    </row>
    <row r="4369" spans="1:14">
      <c r="A4369">
        <v>4368</v>
      </c>
      <c r="B4369">
        <v>22</v>
      </c>
      <c r="C4369" t="s">
        <v>11</v>
      </c>
      <c r="D4369" t="s">
        <v>29</v>
      </c>
      <c r="E4369" t="s">
        <v>30</v>
      </c>
      <c r="F4369">
        <v>27.57</v>
      </c>
      <c r="G4369" t="s">
        <v>19</v>
      </c>
      <c r="H4369" t="s">
        <v>37</v>
      </c>
      <c r="I4369">
        <v>4.0999999999999996</v>
      </c>
      <c r="J4369">
        <v>14</v>
      </c>
      <c r="K4369">
        <v>7</v>
      </c>
      <c r="L4369" s="4">
        <v>32.058139534883722</v>
      </c>
      <c r="M4369" s="4">
        <v>4.4881395348837216</v>
      </c>
      <c r="N4369" t="s">
        <v>100</v>
      </c>
    </row>
    <row r="4370" spans="1:14">
      <c r="A4370">
        <v>4369</v>
      </c>
      <c r="B4370">
        <v>46</v>
      </c>
      <c r="C4370" t="s">
        <v>11</v>
      </c>
      <c r="D4370" t="s">
        <v>33</v>
      </c>
      <c r="E4370" t="s">
        <v>40</v>
      </c>
      <c r="F4370">
        <v>208.33</v>
      </c>
      <c r="G4370" t="s">
        <v>24</v>
      </c>
      <c r="H4370" t="s">
        <v>15</v>
      </c>
      <c r="I4370">
        <v>3.9</v>
      </c>
      <c r="J4370">
        <v>8</v>
      </c>
      <c r="K4370">
        <v>4</v>
      </c>
      <c r="L4370" s="4">
        <v>226.44565217391306</v>
      </c>
      <c r="M4370" s="4">
        <v>18.115652173913048</v>
      </c>
      <c r="N4370" t="s">
        <v>93</v>
      </c>
    </row>
    <row r="4371" spans="1:14">
      <c r="A4371">
        <v>4370</v>
      </c>
      <c r="B4371">
        <v>57</v>
      </c>
      <c r="C4371" t="s">
        <v>11</v>
      </c>
      <c r="D4371" t="s">
        <v>41</v>
      </c>
      <c r="E4371" t="s">
        <v>46</v>
      </c>
      <c r="F4371">
        <v>43.06</v>
      </c>
      <c r="G4371" t="s">
        <v>24</v>
      </c>
      <c r="H4371" t="s">
        <v>15</v>
      </c>
      <c r="I4371">
        <v>5</v>
      </c>
      <c r="J4371">
        <v>20</v>
      </c>
      <c r="K4371">
        <v>5</v>
      </c>
      <c r="L4371" s="4">
        <v>53.825000000000003</v>
      </c>
      <c r="M4371" s="4">
        <v>10.765000000000001</v>
      </c>
      <c r="N4371" t="s">
        <v>94</v>
      </c>
    </row>
    <row r="4372" spans="1:14">
      <c r="A4372">
        <v>4371</v>
      </c>
      <c r="B4372">
        <v>63</v>
      </c>
      <c r="C4372" t="s">
        <v>11</v>
      </c>
      <c r="D4372" t="s">
        <v>25</v>
      </c>
      <c r="E4372" t="s">
        <v>57</v>
      </c>
      <c r="F4372">
        <v>42.76</v>
      </c>
      <c r="G4372" t="s">
        <v>14</v>
      </c>
      <c r="H4372" t="s">
        <v>37</v>
      </c>
      <c r="I4372">
        <v>4.3</v>
      </c>
      <c r="J4372">
        <v>24</v>
      </c>
      <c r="K4372">
        <v>7</v>
      </c>
      <c r="L4372" s="4">
        <v>56.263157894736835</v>
      </c>
      <c r="M4372" s="4">
        <v>13.503157894736837</v>
      </c>
      <c r="N4372" t="s">
        <v>94</v>
      </c>
    </row>
    <row r="4373" spans="1:14">
      <c r="A4373">
        <v>4372</v>
      </c>
      <c r="B4373">
        <v>54</v>
      </c>
      <c r="C4373" t="s">
        <v>16</v>
      </c>
      <c r="D4373" t="s">
        <v>17</v>
      </c>
      <c r="E4373" t="s">
        <v>48</v>
      </c>
      <c r="F4373">
        <v>80.56</v>
      </c>
      <c r="G4373" t="s">
        <v>31</v>
      </c>
      <c r="H4373" t="s">
        <v>15</v>
      </c>
      <c r="I4373">
        <v>4</v>
      </c>
      <c r="J4373">
        <v>26</v>
      </c>
      <c r="K4373">
        <v>8</v>
      </c>
      <c r="L4373" s="4">
        <v>108.86486486486487</v>
      </c>
      <c r="M4373" s="4">
        <v>28.304864864864868</v>
      </c>
      <c r="N4373" t="s">
        <v>93</v>
      </c>
    </row>
    <row r="4374" spans="1:14">
      <c r="A4374">
        <v>4373</v>
      </c>
      <c r="B4374">
        <v>32</v>
      </c>
      <c r="C4374" t="s">
        <v>11</v>
      </c>
      <c r="D4374" t="s">
        <v>41</v>
      </c>
      <c r="E4374" t="s">
        <v>44</v>
      </c>
      <c r="F4374">
        <v>59.17</v>
      </c>
      <c r="G4374" t="s">
        <v>24</v>
      </c>
      <c r="H4374" t="s">
        <v>15</v>
      </c>
      <c r="I4374">
        <v>3</v>
      </c>
      <c r="J4374">
        <v>12</v>
      </c>
      <c r="K4374">
        <v>6</v>
      </c>
      <c r="L4374" s="4">
        <v>67.23863636363636</v>
      </c>
      <c r="M4374" s="4">
        <v>8.0686363636363581</v>
      </c>
      <c r="N4374" t="s">
        <v>91</v>
      </c>
    </row>
    <row r="4375" spans="1:14">
      <c r="A4375">
        <v>4374</v>
      </c>
      <c r="B4375">
        <v>69</v>
      </c>
      <c r="C4375" t="s">
        <v>16</v>
      </c>
      <c r="D4375" t="s">
        <v>25</v>
      </c>
      <c r="E4375" t="s">
        <v>47</v>
      </c>
      <c r="F4375">
        <v>58.67</v>
      </c>
      <c r="G4375" t="s">
        <v>24</v>
      </c>
      <c r="H4375" t="s">
        <v>37</v>
      </c>
      <c r="I4375">
        <v>4.7</v>
      </c>
      <c r="J4375">
        <v>28</v>
      </c>
      <c r="K4375">
        <v>9</v>
      </c>
      <c r="L4375" s="4">
        <v>81.486111111111114</v>
      </c>
      <c r="M4375" s="4">
        <v>22.816111111111113</v>
      </c>
      <c r="N4375" t="s">
        <v>95</v>
      </c>
    </row>
    <row r="4376" spans="1:14">
      <c r="A4376">
        <v>4375</v>
      </c>
      <c r="B4376">
        <v>65</v>
      </c>
      <c r="C4376" t="s">
        <v>16</v>
      </c>
      <c r="D4376" t="s">
        <v>27</v>
      </c>
      <c r="E4376" t="s">
        <v>49</v>
      </c>
      <c r="F4376">
        <v>2600.4699999999998</v>
      </c>
      <c r="G4376" t="s">
        <v>14</v>
      </c>
      <c r="H4376" t="s">
        <v>15</v>
      </c>
      <c r="I4376">
        <v>2.1</v>
      </c>
      <c r="J4376">
        <v>13</v>
      </c>
      <c r="K4376">
        <v>4</v>
      </c>
      <c r="L4376" s="4">
        <v>2989.045977011494</v>
      </c>
      <c r="M4376" s="4">
        <v>388.57597701149416</v>
      </c>
      <c r="N4376" t="s">
        <v>95</v>
      </c>
    </row>
    <row r="4377" spans="1:14">
      <c r="A4377">
        <v>4376</v>
      </c>
      <c r="B4377">
        <v>57</v>
      </c>
      <c r="C4377" t="s">
        <v>11</v>
      </c>
      <c r="D4377" t="s">
        <v>41</v>
      </c>
      <c r="E4377" t="s">
        <v>44</v>
      </c>
      <c r="F4377">
        <v>54.73</v>
      </c>
      <c r="G4377" t="s">
        <v>14</v>
      </c>
      <c r="H4377" t="s">
        <v>37</v>
      </c>
      <c r="I4377">
        <v>3.7</v>
      </c>
      <c r="J4377">
        <v>22</v>
      </c>
      <c r="K4377">
        <v>11</v>
      </c>
      <c r="L4377" s="4">
        <v>70.166666666666657</v>
      </c>
      <c r="M4377" s="4">
        <v>15.43666666666666</v>
      </c>
      <c r="N4377" t="s">
        <v>94</v>
      </c>
    </row>
    <row r="4378" spans="1:14">
      <c r="A4378">
        <v>4377</v>
      </c>
      <c r="B4378">
        <v>27</v>
      </c>
      <c r="C4378" t="s">
        <v>16</v>
      </c>
      <c r="D4378" t="s">
        <v>33</v>
      </c>
      <c r="E4378" t="s">
        <v>38</v>
      </c>
      <c r="F4378">
        <v>66.290000000000006</v>
      </c>
      <c r="G4378" t="s">
        <v>14</v>
      </c>
      <c r="H4378" t="s">
        <v>37</v>
      </c>
      <c r="I4378">
        <v>3</v>
      </c>
      <c r="J4378">
        <v>11</v>
      </c>
      <c r="K4378">
        <v>3</v>
      </c>
      <c r="L4378" s="4">
        <v>74.483146067415731</v>
      </c>
      <c r="M4378" s="4">
        <v>8.193146067415725</v>
      </c>
      <c r="N4378" t="s">
        <v>91</v>
      </c>
    </row>
    <row r="4379" spans="1:14">
      <c r="A4379">
        <v>4378</v>
      </c>
      <c r="B4379">
        <v>40</v>
      </c>
      <c r="C4379" t="s">
        <v>11</v>
      </c>
      <c r="D4379" t="s">
        <v>41</v>
      </c>
      <c r="E4379" t="s">
        <v>42</v>
      </c>
      <c r="F4379">
        <v>65.430000000000007</v>
      </c>
      <c r="G4379" t="s">
        <v>19</v>
      </c>
      <c r="H4379" t="s">
        <v>15</v>
      </c>
      <c r="I4379">
        <v>3.6</v>
      </c>
      <c r="J4379">
        <v>14</v>
      </c>
      <c r="K4379">
        <v>2</v>
      </c>
      <c r="L4379" s="4">
        <v>76.081395348837219</v>
      </c>
      <c r="M4379" s="4">
        <v>10.651395348837212</v>
      </c>
      <c r="N4379" t="s">
        <v>92</v>
      </c>
    </row>
    <row r="4380" spans="1:14">
      <c r="A4380">
        <v>4379</v>
      </c>
      <c r="B4380">
        <v>62</v>
      </c>
      <c r="C4380" t="s">
        <v>16</v>
      </c>
      <c r="D4380" t="s">
        <v>20</v>
      </c>
      <c r="E4380" t="s">
        <v>36</v>
      </c>
      <c r="F4380">
        <v>50.26</v>
      </c>
      <c r="G4380" t="s">
        <v>24</v>
      </c>
      <c r="H4380" t="s">
        <v>37</v>
      </c>
      <c r="I4380">
        <v>2.8</v>
      </c>
      <c r="J4380">
        <v>19</v>
      </c>
      <c r="K4380">
        <v>7</v>
      </c>
      <c r="L4380" s="4">
        <v>62.049382716049379</v>
      </c>
      <c r="M4380" s="4">
        <v>11.789382716049381</v>
      </c>
      <c r="N4380" t="s">
        <v>94</v>
      </c>
    </row>
    <row r="4381" spans="1:14">
      <c r="A4381">
        <v>4380</v>
      </c>
      <c r="B4381">
        <v>27</v>
      </c>
      <c r="C4381" t="s">
        <v>11</v>
      </c>
      <c r="D4381" t="s">
        <v>29</v>
      </c>
      <c r="E4381" t="s">
        <v>51</v>
      </c>
      <c r="F4381">
        <v>125.15</v>
      </c>
      <c r="G4381" t="s">
        <v>31</v>
      </c>
      <c r="H4381" t="s">
        <v>15</v>
      </c>
      <c r="I4381">
        <v>3.9</v>
      </c>
      <c r="J4381">
        <v>18</v>
      </c>
      <c r="K4381">
        <v>4</v>
      </c>
      <c r="L4381" s="4">
        <v>152.6219512195122</v>
      </c>
      <c r="M4381" s="4">
        <v>27.471951219512192</v>
      </c>
      <c r="N4381" t="s">
        <v>91</v>
      </c>
    </row>
    <row r="4382" spans="1:14">
      <c r="A4382">
        <v>4381</v>
      </c>
      <c r="B4382">
        <v>62</v>
      </c>
      <c r="C4382" t="s">
        <v>16</v>
      </c>
      <c r="D4382" t="s">
        <v>33</v>
      </c>
      <c r="E4382" t="s">
        <v>40</v>
      </c>
      <c r="F4382">
        <v>166.81</v>
      </c>
      <c r="G4382" t="s">
        <v>24</v>
      </c>
      <c r="H4382" t="s">
        <v>15</v>
      </c>
      <c r="I4382">
        <v>4.5999999999999996</v>
      </c>
      <c r="J4382">
        <v>28</v>
      </c>
      <c r="K4382">
        <v>9</v>
      </c>
      <c r="L4382" s="4">
        <v>231.68055555555557</v>
      </c>
      <c r="M4382" s="4">
        <v>64.870555555555569</v>
      </c>
      <c r="N4382" t="s">
        <v>94</v>
      </c>
    </row>
    <row r="4383" spans="1:14">
      <c r="A4383">
        <v>4382</v>
      </c>
      <c r="B4383">
        <v>46</v>
      </c>
      <c r="C4383" t="s">
        <v>11</v>
      </c>
      <c r="D4383" t="s">
        <v>41</v>
      </c>
      <c r="E4383" t="s">
        <v>44</v>
      </c>
      <c r="F4383">
        <v>141.44999999999999</v>
      </c>
      <c r="G4383" t="s">
        <v>31</v>
      </c>
      <c r="H4383" t="s">
        <v>15</v>
      </c>
      <c r="I4383">
        <v>5</v>
      </c>
      <c r="J4383">
        <v>14</v>
      </c>
      <c r="K4383">
        <v>7</v>
      </c>
      <c r="L4383" s="4">
        <v>164.47674418604649</v>
      </c>
      <c r="M4383" s="4">
        <v>23.0267441860465</v>
      </c>
      <c r="N4383" t="s">
        <v>93</v>
      </c>
    </row>
    <row r="4384" spans="1:14">
      <c r="A4384">
        <v>4383</v>
      </c>
      <c r="B4384">
        <v>60</v>
      </c>
      <c r="C4384" t="s">
        <v>16</v>
      </c>
      <c r="D4384" t="s">
        <v>33</v>
      </c>
      <c r="E4384" t="s">
        <v>40</v>
      </c>
      <c r="F4384">
        <v>167.45</v>
      </c>
      <c r="G4384" t="s">
        <v>19</v>
      </c>
      <c r="H4384" t="s">
        <v>15</v>
      </c>
      <c r="I4384">
        <v>4.4000000000000004</v>
      </c>
      <c r="J4384">
        <v>5</v>
      </c>
      <c r="K4384">
        <v>0</v>
      </c>
      <c r="L4384" s="4">
        <v>176.26315789473685</v>
      </c>
      <c r="M4384" s="4">
        <v>8.813157894736861</v>
      </c>
      <c r="N4384" t="s">
        <v>94</v>
      </c>
    </row>
    <row r="4385" spans="1:14">
      <c r="A4385">
        <v>4384</v>
      </c>
      <c r="B4385">
        <v>62</v>
      </c>
      <c r="C4385" t="s">
        <v>16</v>
      </c>
      <c r="D4385" t="s">
        <v>33</v>
      </c>
      <c r="E4385" t="s">
        <v>34</v>
      </c>
      <c r="F4385">
        <v>151.56</v>
      </c>
      <c r="G4385" t="s">
        <v>19</v>
      </c>
      <c r="H4385" t="s">
        <v>15</v>
      </c>
      <c r="I4385">
        <v>4.0999999999999996</v>
      </c>
      <c r="J4385">
        <v>13</v>
      </c>
      <c r="K4385">
        <v>4</v>
      </c>
      <c r="L4385" s="4">
        <v>174.20689655172413</v>
      </c>
      <c r="M4385" s="4">
        <v>22.646896551724126</v>
      </c>
      <c r="N4385" t="s">
        <v>94</v>
      </c>
    </row>
    <row r="4386" spans="1:14">
      <c r="A4386">
        <v>4385</v>
      </c>
      <c r="B4386">
        <v>49</v>
      </c>
      <c r="C4386" t="s">
        <v>16</v>
      </c>
      <c r="D4386" t="s">
        <v>17</v>
      </c>
      <c r="E4386" t="s">
        <v>35</v>
      </c>
      <c r="F4386">
        <v>49.58</v>
      </c>
      <c r="G4386" t="s">
        <v>14</v>
      </c>
      <c r="H4386" t="s">
        <v>37</v>
      </c>
      <c r="I4386">
        <v>4.5999999999999996</v>
      </c>
      <c r="J4386">
        <v>21</v>
      </c>
      <c r="K4386">
        <v>8</v>
      </c>
      <c r="L4386" s="4">
        <v>62.759493670886073</v>
      </c>
      <c r="M4386" s="4">
        <v>13.179493670886075</v>
      </c>
      <c r="N4386" t="s">
        <v>93</v>
      </c>
    </row>
    <row r="4387" spans="1:14">
      <c r="A4387">
        <v>4386</v>
      </c>
      <c r="B4387">
        <v>21</v>
      </c>
      <c r="C4387" t="s">
        <v>11</v>
      </c>
      <c r="D4387" t="s">
        <v>33</v>
      </c>
      <c r="E4387" t="s">
        <v>34</v>
      </c>
      <c r="F4387">
        <v>170.32</v>
      </c>
      <c r="G4387" t="s">
        <v>19</v>
      </c>
      <c r="H4387" t="s">
        <v>15</v>
      </c>
      <c r="I4387">
        <v>4.8</v>
      </c>
      <c r="J4387">
        <v>21</v>
      </c>
      <c r="K4387">
        <v>8</v>
      </c>
      <c r="L4387" s="4">
        <v>215.59493670886073</v>
      </c>
      <c r="M4387" s="4">
        <v>45.274936708860736</v>
      </c>
      <c r="N4387" t="s">
        <v>100</v>
      </c>
    </row>
    <row r="4388" spans="1:14">
      <c r="A4388">
        <v>4387</v>
      </c>
      <c r="B4388">
        <v>25</v>
      </c>
      <c r="C4388" t="s">
        <v>11</v>
      </c>
      <c r="D4388" t="s">
        <v>12</v>
      </c>
      <c r="E4388" t="s">
        <v>50</v>
      </c>
      <c r="F4388">
        <v>30.47</v>
      </c>
      <c r="G4388" t="s">
        <v>24</v>
      </c>
      <c r="H4388" t="s">
        <v>15</v>
      </c>
      <c r="I4388">
        <v>4.5</v>
      </c>
      <c r="J4388">
        <v>20</v>
      </c>
      <c r="K4388">
        <v>5</v>
      </c>
      <c r="L4388" s="4">
        <v>38.087499999999999</v>
      </c>
      <c r="M4388" s="4">
        <v>7.6174999999999997</v>
      </c>
      <c r="N4388" t="s">
        <v>91</v>
      </c>
    </row>
    <row r="4389" spans="1:14">
      <c r="A4389">
        <v>4388</v>
      </c>
      <c r="B4389">
        <v>50</v>
      </c>
      <c r="C4389" t="s">
        <v>16</v>
      </c>
      <c r="D4389" t="s">
        <v>25</v>
      </c>
      <c r="E4389" t="s">
        <v>47</v>
      </c>
      <c r="F4389">
        <v>10.5</v>
      </c>
      <c r="G4389" t="s">
        <v>24</v>
      </c>
      <c r="H4389" t="s">
        <v>37</v>
      </c>
      <c r="I4389">
        <v>4.5</v>
      </c>
      <c r="J4389">
        <v>26</v>
      </c>
      <c r="K4389">
        <v>8</v>
      </c>
      <c r="L4389" s="4">
        <v>14.189189189189189</v>
      </c>
      <c r="M4389" s="4">
        <v>3.6891891891891895</v>
      </c>
      <c r="N4389" t="s">
        <v>93</v>
      </c>
    </row>
    <row r="4390" spans="1:14">
      <c r="A4390">
        <v>4389</v>
      </c>
      <c r="B4390">
        <v>63</v>
      </c>
      <c r="C4390" t="s">
        <v>16</v>
      </c>
      <c r="D4390" t="s">
        <v>27</v>
      </c>
      <c r="E4390" t="s">
        <v>53</v>
      </c>
      <c r="F4390">
        <v>2558.44</v>
      </c>
      <c r="G4390" t="s">
        <v>19</v>
      </c>
      <c r="H4390" t="s">
        <v>15</v>
      </c>
      <c r="I4390">
        <v>4.2</v>
      </c>
      <c r="J4390">
        <v>6</v>
      </c>
      <c r="K4390">
        <v>3</v>
      </c>
      <c r="L4390" s="4">
        <v>2721.744680851064</v>
      </c>
      <c r="M4390" s="4">
        <v>163.30468085106395</v>
      </c>
      <c r="N4390" t="s">
        <v>94</v>
      </c>
    </row>
    <row r="4391" spans="1:14">
      <c r="A4391">
        <v>4390</v>
      </c>
      <c r="B4391">
        <v>58</v>
      </c>
      <c r="C4391" t="s">
        <v>11</v>
      </c>
      <c r="D4391" t="s">
        <v>41</v>
      </c>
      <c r="E4391" t="s">
        <v>42</v>
      </c>
      <c r="F4391">
        <v>32.71</v>
      </c>
      <c r="G4391" t="s">
        <v>19</v>
      </c>
      <c r="H4391" t="s">
        <v>37</v>
      </c>
      <c r="I4391">
        <v>3.4</v>
      </c>
      <c r="J4391">
        <v>17</v>
      </c>
      <c r="K4391">
        <v>6</v>
      </c>
      <c r="L4391" s="4">
        <v>39.409638554216869</v>
      </c>
      <c r="M4391" s="4">
        <v>6.6996385542168682</v>
      </c>
      <c r="N4391" t="s">
        <v>94</v>
      </c>
    </row>
    <row r="4392" spans="1:14">
      <c r="A4392">
        <v>4391</v>
      </c>
      <c r="B4392">
        <v>25</v>
      </c>
      <c r="C4392" t="s">
        <v>16</v>
      </c>
      <c r="D4392" t="s">
        <v>20</v>
      </c>
      <c r="E4392" t="s">
        <v>21</v>
      </c>
      <c r="F4392">
        <v>203.65</v>
      </c>
      <c r="G4392" t="s">
        <v>31</v>
      </c>
      <c r="H4392" t="s">
        <v>15</v>
      </c>
      <c r="I4392">
        <v>4.7</v>
      </c>
      <c r="J4392">
        <v>26</v>
      </c>
      <c r="K4392">
        <v>13</v>
      </c>
      <c r="L4392" s="4">
        <v>275.20270270270271</v>
      </c>
      <c r="M4392" s="4">
        <v>71.552702702702703</v>
      </c>
      <c r="N4392" t="s">
        <v>91</v>
      </c>
    </row>
    <row r="4393" spans="1:14">
      <c r="A4393">
        <v>4392</v>
      </c>
      <c r="B4393">
        <v>66</v>
      </c>
      <c r="C4393" t="s">
        <v>11</v>
      </c>
      <c r="D4393" t="s">
        <v>22</v>
      </c>
      <c r="E4393" t="s">
        <v>52</v>
      </c>
      <c r="F4393">
        <v>186.33</v>
      </c>
      <c r="G4393" t="s">
        <v>31</v>
      </c>
      <c r="H4393" t="s">
        <v>15</v>
      </c>
      <c r="I4393">
        <v>3.9</v>
      </c>
      <c r="J4393">
        <v>12</v>
      </c>
      <c r="K4393">
        <v>6</v>
      </c>
      <c r="L4393" s="4">
        <v>211.73863636363637</v>
      </c>
      <c r="M4393" s="4">
        <v>25.408636363636361</v>
      </c>
      <c r="N4393" t="s">
        <v>95</v>
      </c>
    </row>
    <row r="4394" spans="1:14">
      <c r="A4394">
        <v>4393</v>
      </c>
      <c r="B4394">
        <v>63</v>
      </c>
      <c r="C4394" t="s">
        <v>11</v>
      </c>
      <c r="D4394" t="s">
        <v>20</v>
      </c>
      <c r="E4394" t="s">
        <v>36</v>
      </c>
      <c r="F4394">
        <v>154.41</v>
      </c>
      <c r="G4394" t="s">
        <v>14</v>
      </c>
      <c r="H4394" t="s">
        <v>15</v>
      </c>
      <c r="I4394">
        <v>3.5</v>
      </c>
      <c r="J4394">
        <v>16</v>
      </c>
      <c r="K4394">
        <v>3</v>
      </c>
      <c r="L4394" s="4">
        <v>183.82142857142858</v>
      </c>
      <c r="M4394" s="4">
        <v>29.411428571428587</v>
      </c>
      <c r="N4394" t="s">
        <v>94</v>
      </c>
    </row>
    <row r="4395" spans="1:14">
      <c r="A4395">
        <v>4394</v>
      </c>
      <c r="B4395">
        <v>70</v>
      </c>
      <c r="C4395" t="s">
        <v>11</v>
      </c>
      <c r="D4395" t="s">
        <v>29</v>
      </c>
      <c r="E4395" t="s">
        <v>30</v>
      </c>
      <c r="F4395">
        <v>105.45</v>
      </c>
      <c r="G4395" t="s">
        <v>14</v>
      </c>
      <c r="H4395" t="s">
        <v>15</v>
      </c>
      <c r="I4395">
        <v>3.2</v>
      </c>
      <c r="J4395">
        <v>16</v>
      </c>
      <c r="K4395">
        <v>3</v>
      </c>
      <c r="L4395" s="4">
        <v>125.53571428571429</v>
      </c>
      <c r="M4395" s="4">
        <v>20.085714285714289</v>
      </c>
      <c r="N4395" t="s">
        <v>95</v>
      </c>
    </row>
    <row r="4396" spans="1:14">
      <c r="A4396">
        <v>4395</v>
      </c>
      <c r="B4396">
        <v>28</v>
      </c>
      <c r="C4396" t="s">
        <v>11</v>
      </c>
      <c r="D4396" t="s">
        <v>25</v>
      </c>
      <c r="E4396" t="s">
        <v>26</v>
      </c>
      <c r="F4396">
        <v>71.260000000000005</v>
      </c>
      <c r="G4396" t="s">
        <v>14</v>
      </c>
      <c r="H4396" t="s">
        <v>15</v>
      </c>
      <c r="I4396">
        <v>3.6</v>
      </c>
      <c r="J4396">
        <v>11</v>
      </c>
      <c r="K4396">
        <v>3</v>
      </c>
      <c r="L4396" s="4">
        <v>80.067415730337089</v>
      </c>
      <c r="M4396" s="4">
        <v>8.8074157303370839</v>
      </c>
      <c r="N4396" t="s">
        <v>91</v>
      </c>
    </row>
    <row r="4397" spans="1:14">
      <c r="A4397">
        <v>4396</v>
      </c>
      <c r="B4397">
        <v>28</v>
      </c>
      <c r="C4397" t="s">
        <v>11</v>
      </c>
      <c r="D4397" t="s">
        <v>33</v>
      </c>
      <c r="E4397" t="s">
        <v>40</v>
      </c>
      <c r="F4397">
        <v>210.09</v>
      </c>
      <c r="G4397" t="s">
        <v>31</v>
      </c>
      <c r="H4397" t="s">
        <v>15</v>
      </c>
      <c r="I4397">
        <v>4.4000000000000004</v>
      </c>
      <c r="J4397">
        <v>24</v>
      </c>
      <c r="K4397">
        <v>7</v>
      </c>
      <c r="L4397" s="4">
        <v>276.43421052631578</v>
      </c>
      <c r="M4397" s="4">
        <v>66.344210526315777</v>
      </c>
      <c r="N4397" t="s">
        <v>91</v>
      </c>
    </row>
    <row r="4398" spans="1:14">
      <c r="A4398">
        <v>4397</v>
      </c>
      <c r="B4398">
        <v>36</v>
      </c>
      <c r="C4398" t="s">
        <v>11</v>
      </c>
      <c r="D4398" t="s">
        <v>29</v>
      </c>
      <c r="E4398" t="s">
        <v>30</v>
      </c>
      <c r="F4398">
        <v>28.51</v>
      </c>
      <c r="G4398" t="s">
        <v>19</v>
      </c>
      <c r="H4398" t="s">
        <v>15</v>
      </c>
      <c r="I4398">
        <v>2.9</v>
      </c>
      <c r="J4398">
        <v>16</v>
      </c>
      <c r="K4398">
        <v>3</v>
      </c>
      <c r="L4398" s="4">
        <v>33.940476190476197</v>
      </c>
      <c r="M4398" s="4">
        <v>5.4304761904761953</v>
      </c>
      <c r="N4398" t="s">
        <v>92</v>
      </c>
    </row>
    <row r="4399" spans="1:14">
      <c r="A4399">
        <v>4398</v>
      </c>
      <c r="B4399">
        <v>47</v>
      </c>
      <c r="C4399" t="s">
        <v>11</v>
      </c>
      <c r="D4399" t="s">
        <v>29</v>
      </c>
      <c r="E4399" t="s">
        <v>55</v>
      </c>
      <c r="F4399">
        <v>108.76</v>
      </c>
      <c r="G4399" t="s">
        <v>19</v>
      </c>
      <c r="H4399" t="s">
        <v>15</v>
      </c>
      <c r="I4399">
        <v>3.7</v>
      </c>
      <c r="J4399">
        <v>6</v>
      </c>
      <c r="K4399">
        <v>3</v>
      </c>
      <c r="L4399" s="4">
        <v>115.70212765957449</v>
      </c>
      <c r="M4399" s="4">
        <v>6.9421276595744814</v>
      </c>
      <c r="N4399" t="s">
        <v>93</v>
      </c>
    </row>
    <row r="4400" spans="1:14">
      <c r="A4400">
        <v>4399</v>
      </c>
      <c r="B4400">
        <v>25</v>
      </c>
      <c r="C4400" t="s">
        <v>11</v>
      </c>
      <c r="D4400" t="s">
        <v>33</v>
      </c>
      <c r="E4400" t="s">
        <v>40</v>
      </c>
      <c r="F4400">
        <v>248.94</v>
      </c>
      <c r="G4400" t="s">
        <v>14</v>
      </c>
      <c r="H4400" t="s">
        <v>15</v>
      </c>
      <c r="I4400">
        <v>2.5</v>
      </c>
      <c r="J4400">
        <v>18</v>
      </c>
      <c r="K4400">
        <v>4</v>
      </c>
      <c r="L4400" s="4">
        <v>303.58536585365852</v>
      </c>
      <c r="M4400" s="4">
        <v>54.645365853658518</v>
      </c>
      <c r="N4400" t="s">
        <v>91</v>
      </c>
    </row>
    <row r="4401" spans="1:14">
      <c r="A4401">
        <v>4400</v>
      </c>
      <c r="B4401">
        <v>55</v>
      </c>
      <c r="C4401" t="s">
        <v>16</v>
      </c>
      <c r="D4401" t="s">
        <v>17</v>
      </c>
      <c r="E4401" t="s">
        <v>18</v>
      </c>
      <c r="F4401">
        <v>178.99</v>
      </c>
      <c r="G4401" t="s">
        <v>19</v>
      </c>
      <c r="H4401" t="s">
        <v>15</v>
      </c>
      <c r="I4401">
        <v>5</v>
      </c>
      <c r="J4401">
        <v>8</v>
      </c>
      <c r="K4401">
        <v>4</v>
      </c>
      <c r="L4401" s="4">
        <v>194.55434782608697</v>
      </c>
      <c r="M4401" s="4">
        <v>15.564347826086959</v>
      </c>
      <c r="N4401" t="s">
        <v>94</v>
      </c>
    </row>
    <row r="4402" spans="1:14">
      <c r="A4402">
        <v>4401</v>
      </c>
      <c r="B4402">
        <v>22</v>
      </c>
      <c r="C4402" t="s">
        <v>11</v>
      </c>
      <c r="D4402" t="s">
        <v>25</v>
      </c>
      <c r="E4402" t="s">
        <v>26</v>
      </c>
      <c r="F4402">
        <v>64.91</v>
      </c>
      <c r="G4402" t="s">
        <v>19</v>
      </c>
      <c r="H4402" t="s">
        <v>37</v>
      </c>
      <c r="I4402">
        <v>2.9</v>
      </c>
      <c r="J4402">
        <v>15</v>
      </c>
      <c r="K4402">
        <v>5</v>
      </c>
      <c r="L4402" s="4">
        <v>76.364705882352936</v>
      </c>
      <c r="M4402" s="4">
        <v>11.45470588235294</v>
      </c>
      <c r="N4402" t="s">
        <v>100</v>
      </c>
    </row>
    <row r="4403" spans="1:14">
      <c r="A4403">
        <v>4402</v>
      </c>
      <c r="B4403">
        <v>55</v>
      </c>
      <c r="C4403" t="s">
        <v>16</v>
      </c>
      <c r="D4403" t="s">
        <v>27</v>
      </c>
      <c r="E4403" t="s">
        <v>32</v>
      </c>
      <c r="F4403">
        <v>1774.32</v>
      </c>
      <c r="G4403" t="s">
        <v>31</v>
      </c>
      <c r="H4403" t="s">
        <v>15</v>
      </c>
      <c r="I4403">
        <v>4</v>
      </c>
      <c r="J4403">
        <v>26</v>
      </c>
      <c r="K4403">
        <v>8</v>
      </c>
      <c r="L4403" s="4">
        <v>2397.7297297297296</v>
      </c>
      <c r="M4403" s="4">
        <v>623.40972972972963</v>
      </c>
      <c r="N4403" t="s">
        <v>94</v>
      </c>
    </row>
    <row r="4404" spans="1:14">
      <c r="A4404">
        <v>4403</v>
      </c>
      <c r="B4404">
        <v>25</v>
      </c>
      <c r="C4404" t="s">
        <v>16</v>
      </c>
      <c r="D4404" t="s">
        <v>17</v>
      </c>
      <c r="E4404" t="s">
        <v>18</v>
      </c>
      <c r="F4404">
        <v>173.88</v>
      </c>
      <c r="G4404" t="s">
        <v>19</v>
      </c>
      <c r="H4404" t="s">
        <v>15</v>
      </c>
      <c r="I4404">
        <v>4.4000000000000004</v>
      </c>
      <c r="J4404">
        <v>21</v>
      </c>
      <c r="K4404">
        <v>8</v>
      </c>
      <c r="L4404" s="4">
        <v>220.1012658227848</v>
      </c>
      <c r="M4404" s="4">
        <v>46.221265822784801</v>
      </c>
      <c r="N4404" t="s">
        <v>91</v>
      </c>
    </row>
    <row r="4405" spans="1:14">
      <c r="A4405">
        <v>4404</v>
      </c>
      <c r="B4405">
        <v>34</v>
      </c>
      <c r="C4405" t="s">
        <v>16</v>
      </c>
      <c r="D4405" t="s">
        <v>20</v>
      </c>
      <c r="E4405" t="s">
        <v>39</v>
      </c>
      <c r="F4405">
        <v>130.83000000000001</v>
      </c>
      <c r="G4405" t="s">
        <v>19</v>
      </c>
      <c r="H4405" t="s">
        <v>15</v>
      </c>
      <c r="I4405">
        <v>3.6</v>
      </c>
      <c r="J4405">
        <v>20</v>
      </c>
      <c r="K4405">
        <v>5</v>
      </c>
      <c r="L4405" s="4">
        <v>163.53749999999999</v>
      </c>
      <c r="M4405" s="4">
        <v>32.707499999999982</v>
      </c>
      <c r="N4405" t="s">
        <v>91</v>
      </c>
    </row>
    <row r="4406" spans="1:14">
      <c r="A4406">
        <v>4405</v>
      </c>
      <c r="B4406">
        <v>39</v>
      </c>
      <c r="C4406" t="s">
        <v>11</v>
      </c>
      <c r="D4406" t="s">
        <v>12</v>
      </c>
      <c r="E4406" t="s">
        <v>56</v>
      </c>
      <c r="F4406">
        <v>47.44</v>
      </c>
      <c r="G4406" t="s">
        <v>31</v>
      </c>
      <c r="H4406" t="s">
        <v>15</v>
      </c>
      <c r="I4406">
        <v>3.8</v>
      </c>
      <c r="J4406">
        <v>15</v>
      </c>
      <c r="K4406">
        <v>5</v>
      </c>
      <c r="L4406" s="4">
        <v>55.811764705882354</v>
      </c>
      <c r="M4406" s="4">
        <v>8.3717647058823559</v>
      </c>
      <c r="N4406" t="s">
        <v>92</v>
      </c>
    </row>
    <row r="4407" spans="1:14">
      <c r="A4407">
        <v>4406</v>
      </c>
      <c r="B4407">
        <v>65</v>
      </c>
      <c r="C4407" t="s">
        <v>16</v>
      </c>
      <c r="D4407" t="s">
        <v>17</v>
      </c>
      <c r="E4407" t="s">
        <v>42</v>
      </c>
      <c r="F4407">
        <v>76.94</v>
      </c>
      <c r="G4407" t="s">
        <v>19</v>
      </c>
      <c r="H4407" t="s">
        <v>15</v>
      </c>
      <c r="I4407">
        <v>3.9</v>
      </c>
      <c r="J4407">
        <v>16</v>
      </c>
      <c r="K4407">
        <v>8</v>
      </c>
      <c r="L4407" s="4">
        <v>91.595238095238102</v>
      </c>
      <c r="M4407" s="4">
        <v>14.655238095238104</v>
      </c>
      <c r="N4407" t="s">
        <v>95</v>
      </c>
    </row>
    <row r="4408" spans="1:14">
      <c r="A4408">
        <v>4407</v>
      </c>
      <c r="B4408">
        <v>51</v>
      </c>
      <c r="C4408" t="s">
        <v>11</v>
      </c>
      <c r="D4408" t="s">
        <v>33</v>
      </c>
      <c r="E4408" t="s">
        <v>40</v>
      </c>
      <c r="F4408">
        <v>79.66</v>
      </c>
      <c r="G4408" t="s">
        <v>14</v>
      </c>
      <c r="H4408" t="s">
        <v>15</v>
      </c>
      <c r="I4408">
        <v>3.8</v>
      </c>
      <c r="J4408">
        <v>2</v>
      </c>
      <c r="K4408">
        <v>1</v>
      </c>
      <c r="L4408" s="4">
        <v>81.285714285714278</v>
      </c>
      <c r="M4408" s="4">
        <v>1.625714285714281</v>
      </c>
      <c r="N4408" t="s">
        <v>93</v>
      </c>
    </row>
    <row r="4409" spans="1:14">
      <c r="A4409">
        <v>4408</v>
      </c>
      <c r="B4409">
        <v>52</v>
      </c>
      <c r="C4409" t="s">
        <v>16</v>
      </c>
      <c r="D4409" t="s">
        <v>33</v>
      </c>
      <c r="E4409" t="s">
        <v>40</v>
      </c>
      <c r="F4409">
        <v>91.9</v>
      </c>
      <c r="G4409" t="s">
        <v>24</v>
      </c>
      <c r="H4409" t="s">
        <v>37</v>
      </c>
      <c r="I4409">
        <v>2.5</v>
      </c>
      <c r="J4409">
        <v>8</v>
      </c>
      <c r="K4409">
        <v>4</v>
      </c>
      <c r="L4409" s="4">
        <v>99.891304347826093</v>
      </c>
      <c r="M4409" s="4">
        <v>7.9913043478260875</v>
      </c>
      <c r="N4409" t="s">
        <v>93</v>
      </c>
    </row>
    <row r="4410" spans="1:14">
      <c r="A4410">
        <v>4409</v>
      </c>
      <c r="B4410">
        <v>48</v>
      </c>
      <c r="C4410" t="s">
        <v>11</v>
      </c>
      <c r="D4410" t="s">
        <v>33</v>
      </c>
      <c r="E4410" t="s">
        <v>38</v>
      </c>
      <c r="F4410">
        <v>146.85</v>
      </c>
      <c r="G4410" t="s">
        <v>19</v>
      </c>
      <c r="H4410" t="s">
        <v>15</v>
      </c>
      <c r="I4410">
        <v>3.5</v>
      </c>
      <c r="J4410">
        <v>11</v>
      </c>
      <c r="K4410">
        <v>3</v>
      </c>
      <c r="L4410" s="4">
        <v>165</v>
      </c>
      <c r="M4410" s="4">
        <v>18.150000000000006</v>
      </c>
      <c r="N4410" t="s">
        <v>93</v>
      </c>
    </row>
    <row r="4411" spans="1:14">
      <c r="A4411">
        <v>4410</v>
      </c>
      <c r="B4411">
        <v>25</v>
      </c>
      <c r="C4411" t="s">
        <v>11</v>
      </c>
      <c r="D4411" t="s">
        <v>12</v>
      </c>
      <c r="E4411" t="s">
        <v>13</v>
      </c>
      <c r="F4411">
        <v>100.99</v>
      </c>
      <c r="G4411" t="s">
        <v>14</v>
      </c>
      <c r="H4411" t="s">
        <v>15</v>
      </c>
      <c r="I4411">
        <v>3.5</v>
      </c>
      <c r="J4411">
        <v>19</v>
      </c>
      <c r="K4411">
        <v>7</v>
      </c>
      <c r="L4411" s="4">
        <v>124.679012345679</v>
      </c>
      <c r="M4411" s="4">
        <v>23.689012345679004</v>
      </c>
      <c r="N4411" t="s">
        <v>91</v>
      </c>
    </row>
    <row r="4412" spans="1:14">
      <c r="A4412">
        <v>4411</v>
      </c>
      <c r="B4412">
        <v>35</v>
      </c>
      <c r="C4412" t="s">
        <v>16</v>
      </c>
      <c r="D4412" t="s">
        <v>27</v>
      </c>
      <c r="E4412" t="s">
        <v>49</v>
      </c>
      <c r="F4412">
        <v>2272.6999999999998</v>
      </c>
      <c r="G4412" t="s">
        <v>24</v>
      </c>
      <c r="H4412" t="s">
        <v>15</v>
      </c>
      <c r="I4412">
        <v>2.2999999999999998</v>
      </c>
      <c r="J4412">
        <v>14</v>
      </c>
      <c r="K4412">
        <v>7</v>
      </c>
      <c r="L4412" s="4">
        <v>2642.6744186046508</v>
      </c>
      <c r="M4412" s="4">
        <v>369.97441860465096</v>
      </c>
      <c r="N4412" t="s">
        <v>92</v>
      </c>
    </row>
    <row r="4413" spans="1:14">
      <c r="A4413">
        <v>4412</v>
      </c>
      <c r="B4413">
        <v>42</v>
      </c>
      <c r="C4413" t="s">
        <v>16</v>
      </c>
      <c r="D4413" t="s">
        <v>27</v>
      </c>
      <c r="E4413" t="s">
        <v>28</v>
      </c>
      <c r="F4413">
        <v>783.29</v>
      </c>
      <c r="G4413" t="s">
        <v>24</v>
      </c>
      <c r="H4413" t="s">
        <v>15</v>
      </c>
      <c r="I4413">
        <v>3.6</v>
      </c>
      <c r="J4413">
        <v>20</v>
      </c>
      <c r="K4413">
        <v>5</v>
      </c>
      <c r="L4413" s="4">
        <v>979.11249999999995</v>
      </c>
      <c r="M4413" s="4">
        <v>195.82249999999999</v>
      </c>
      <c r="N4413" t="s">
        <v>92</v>
      </c>
    </row>
    <row r="4414" spans="1:14">
      <c r="A4414">
        <v>4413</v>
      </c>
      <c r="B4414">
        <v>46</v>
      </c>
      <c r="C4414" t="s">
        <v>16</v>
      </c>
      <c r="D4414" t="s">
        <v>20</v>
      </c>
      <c r="E4414" t="s">
        <v>36</v>
      </c>
      <c r="F4414">
        <v>125.6</v>
      </c>
      <c r="G4414" t="s">
        <v>19</v>
      </c>
      <c r="H4414" t="s">
        <v>15</v>
      </c>
      <c r="I4414">
        <v>1.8</v>
      </c>
      <c r="J4414">
        <v>10</v>
      </c>
      <c r="K4414">
        <v>5</v>
      </c>
      <c r="L4414" s="4">
        <v>139.55555555555554</v>
      </c>
      <c r="M4414" s="4">
        <v>13.955555555555549</v>
      </c>
      <c r="N4414" t="s">
        <v>93</v>
      </c>
    </row>
    <row r="4415" spans="1:14">
      <c r="A4415">
        <v>4414</v>
      </c>
      <c r="B4415">
        <v>21</v>
      </c>
      <c r="C4415" t="s">
        <v>16</v>
      </c>
      <c r="D4415" t="s">
        <v>33</v>
      </c>
      <c r="E4415" t="s">
        <v>34</v>
      </c>
      <c r="F4415">
        <v>151.15</v>
      </c>
      <c r="G4415" t="s">
        <v>31</v>
      </c>
      <c r="H4415" t="s">
        <v>15</v>
      </c>
      <c r="I4415">
        <v>4.2</v>
      </c>
      <c r="J4415">
        <v>9</v>
      </c>
      <c r="K4415">
        <v>2</v>
      </c>
      <c r="L4415" s="4">
        <v>166.09890109890111</v>
      </c>
      <c r="M4415" s="4">
        <v>14.948901098901104</v>
      </c>
      <c r="N4415" t="s">
        <v>100</v>
      </c>
    </row>
    <row r="4416" spans="1:14">
      <c r="A4416">
        <v>4415</v>
      </c>
      <c r="B4416">
        <v>22</v>
      </c>
      <c r="C4416" t="s">
        <v>11</v>
      </c>
      <c r="D4416" t="s">
        <v>29</v>
      </c>
      <c r="E4416" t="s">
        <v>51</v>
      </c>
      <c r="F4416">
        <v>116.28</v>
      </c>
      <c r="G4416" t="s">
        <v>31</v>
      </c>
      <c r="H4416" t="s">
        <v>15</v>
      </c>
      <c r="I4416">
        <v>4.2</v>
      </c>
      <c r="J4416">
        <v>12</v>
      </c>
      <c r="K4416">
        <v>6</v>
      </c>
      <c r="L4416" s="4">
        <v>132.13636363636363</v>
      </c>
      <c r="M4416" s="4">
        <v>15.856363636363625</v>
      </c>
      <c r="N4416" t="s">
        <v>100</v>
      </c>
    </row>
    <row r="4417" spans="1:14">
      <c r="A4417">
        <v>4416</v>
      </c>
      <c r="B4417">
        <v>53</v>
      </c>
      <c r="C4417" t="s">
        <v>11</v>
      </c>
      <c r="D4417" t="s">
        <v>25</v>
      </c>
      <c r="E4417" t="s">
        <v>26</v>
      </c>
      <c r="F4417">
        <v>46.85</v>
      </c>
      <c r="G4417" t="s">
        <v>24</v>
      </c>
      <c r="H4417" t="s">
        <v>37</v>
      </c>
      <c r="I4417">
        <v>3</v>
      </c>
      <c r="J4417">
        <v>18</v>
      </c>
      <c r="K4417">
        <v>4</v>
      </c>
      <c r="L4417" s="4">
        <v>57.134146341463413</v>
      </c>
      <c r="M4417" s="4">
        <v>10.284146341463412</v>
      </c>
      <c r="N4417" t="s">
        <v>93</v>
      </c>
    </row>
    <row r="4418" spans="1:14">
      <c r="A4418">
        <v>4417</v>
      </c>
      <c r="B4418">
        <v>26</v>
      </c>
      <c r="C4418" t="s">
        <v>16</v>
      </c>
      <c r="D4418" t="s">
        <v>27</v>
      </c>
      <c r="E4418" t="s">
        <v>32</v>
      </c>
      <c r="F4418">
        <v>2162.23</v>
      </c>
      <c r="G4418" t="s">
        <v>19</v>
      </c>
      <c r="H4418" t="s">
        <v>15</v>
      </c>
      <c r="I4418">
        <v>4.0999999999999996</v>
      </c>
      <c r="J4418">
        <v>4</v>
      </c>
      <c r="K4418">
        <v>2</v>
      </c>
      <c r="L4418" s="4">
        <v>2252.322916666667</v>
      </c>
      <c r="M4418" s="4">
        <v>90.092916666666952</v>
      </c>
      <c r="N4418" t="s">
        <v>91</v>
      </c>
    </row>
    <row r="4419" spans="1:14">
      <c r="A4419">
        <v>4418</v>
      </c>
      <c r="B4419">
        <v>29</v>
      </c>
      <c r="C4419" t="s">
        <v>16</v>
      </c>
      <c r="D4419" t="s">
        <v>17</v>
      </c>
      <c r="E4419" t="s">
        <v>48</v>
      </c>
      <c r="F4419">
        <v>99.56</v>
      </c>
      <c r="G4419" t="s">
        <v>19</v>
      </c>
      <c r="H4419" t="s">
        <v>15</v>
      </c>
      <c r="I4419">
        <v>3</v>
      </c>
      <c r="J4419">
        <v>20</v>
      </c>
      <c r="K4419">
        <v>5</v>
      </c>
      <c r="L4419" s="4">
        <v>124.45</v>
      </c>
      <c r="M4419" s="4">
        <v>24.89</v>
      </c>
      <c r="N4419" t="s">
        <v>91</v>
      </c>
    </row>
    <row r="4420" spans="1:14">
      <c r="A4420">
        <v>4419</v>
      </c>
      <c r="B4420">
        <v>22</v>
      </c>
      <c r="C4420" t="s">
        <v>16</v>
      </c>
      <c r="D4420" t="s">
        <v>27</v>
      </c>
      <c r="E4420" t="s">
        <v>49</v>
      </c>
      <c r="F4420">
        <v>2633.36</v>
      </c>
      <c r="G4420" t="s">
        <v>19</v>
      </c>
      <c r="H4420" t="s">
        <v>15</v>
      </c>
      <c r="I4420">
        <v>4.2</v>
      </c>
      <c r="J4420">
        <v>18</v>
      </c>
      <c r="K4420">
        <v>4</v>
      </c>
      <c r="L4420" s="4">
        <v>3211.4146341463415</v>
      </c>
      <c r="M4420" s="4">
        <v>578.05463414634141</v>
      </c>
      <c r="N4420" t="s">
        <v>100</v>
      </c>
    </row>
    <row r="4421" spans="1:14">
      <c r="A4421">
        <v>4420</v>
      </c>
      <c r="B4421">
        <v>63</v>
      </c>
      <c r="C4421" t="s">
        <v>11</v>
      </c>
      <c r="D4421" t="s">
        <v>12</v>
      </c>
      <c r="E4421" t="s">
        <v>50</v>
      </c>
      <c r="F4421">
        <v>132.84</v>
      </c>
      <c r="G4421" t="s">
        <v>14</v>
      </c>
      <c r="H4421" t="s">
        <v>15</v>
      </c>
      <c r="I4421">
        <v>4.0999999999999996</v>
      </c>
      <c r="J4421">
        <v>20</v>
      </c>
      <c r="K4421">
        <v>5</v>
      </c>
      <c r="L4421" s="4">
        <v>166.04999999999998</v>
      </c>
      <c r="M4421" s="4">
        <v>33.20999999999998</v>
      </c>
      <c r="N4421" t="s">
        <v>94</v>
      </c>
    </row>
    <row r="4422" spans="1:14">
      <c r="A4422">
        <v>4421</v>
      </c>
      <c r="B4422">
        <v>20</v>
      </c>
      <c r="C4422" t="s">
        <v>11</v>
      </c>
      <c r="D4422" t="s">
        <v>33</v>
      </c>
      <c r="E4422" t="s">
        <v>38</v>
      </c>
      <c r="F4422">
        <v>161.07</v>
      </c>
      <c r="G4422" t="s">
        <v>19</v>
      </c>
      <c r="H4422" t="s">
        <v>15</v>
      </c>
      <c r="I4422">
        <v>3.7</v>
      </c>
      <c r="J4422">
        <v>8</v>
      </c>
      <c r="K4422">
        <v>4</v>
      </c>
      <c r="L4422" s="4">
        <v>175.07608695652172</v>
      </c>
      <c r="M4422" s="4">
        <v>14.006086956521727</v>
      </c>
      <c r="N4422" t="s">
        <v>100</v>
      </c>
    </row>
    <row r="4423" spans="1:14">
      <c r="A4423">
        <v>4422</v>
      </c>
      <c r="B4423">
        <v>50</v>
      </c>
      <c r="C4423" t="s">
        <v>11</v>
      </c>
      <c r="D4423" t="s">
        <v>29</v>
      </c>
      <c r="E4423" t="s">
        <v>30</v>
      </c>
      <c r="F4423">
        <v>35.9</v>
      </c>
      <c r="G4423" t="s">
        <v>14</v>
      </c>
      <c r="H4423" t="s">
        <v>15</v>
      </c>
      <c r="I4423">
        <v>4.4000000000000004</v>
      </c>
      <c r="J4423">
        <v>18</v>
      </c>
      <c r="K4423">
        <v>9</v>
      </c>
      <c r="L4423" s="4">
        <v>43.780487804878042</v>
      </c>
      <c r="M4423" s="4">
        <v>7.8804878048780438</v>
      </c>
      <c r="N4423" t="s">
        <v>93</v>
      </c>
    </row>
    <row r="4424" spans="1:14">
      <c r="A4424">
        <v>4423</v>
      </c>
      <c r="B4424">
        <v>54</v>
      </c>
      <c r="C4424" t="s">
        <v>11</v>
      </c>
      <c r="D4424" t="s">
        <v>41</v>
      </c>
      <c r="E4424" t="s">
        <v>46</v>
      </c>
      <c r="F4424">
        <v>41.24</v>
      </c>
      <c r="G4424" t="s">
        <v>14</v>
      </c>
      <c r="H4424" t="s">
        <v>37</v>
      </c>
      <c r="I4424">
        <v>3.4</v>
      </c>
      <c r="J4424">
        <v>19</v>
      </c>
      <c r="K4424">
        <v>7</v>
      </c>
      <c r="L4424" s="4">
        <v>50.913580246913583</v>
      </c>
      <c r="M4424" s="4">
        <v>9.6735802469135805</v>
      </c>
      <c r="N4424" t="s">
        <v>93</v>
      </c>
    </row>
    <row r="4425" spans="1:14">
      <c r="A4425">
        <v>4424</v>
      </c>
      <c r="B4425">
        <v>45</v>
      </c>
      <c r="C4425" t="s">
        <v>16</v>
      </c>
      <c r="D4425" t="s">
        <v>20</v>
      </c>
      <c r="E4425" t="s">
        <v>39</v>
      </c>
      <c r="F4425">
        <v>160.08000000000001</v>
      </c>
      <c r="G4425" t="s">
        <v>31</v>
      </c>
      <c r="H4425" t="s">
        <v>15</v>
      </c>
      <c r="I4425">
        <v>3.9</v>
      </c>
      <c r="J4425">
        <v>17</v>
      </c>
      <c r="K4425">
        <v>6</v>
      </c>
      <c r="L4425" s="4">
        <v>192.8674698795181</v>
      </c>
      <c r="M4425" s="4">
        <v>32.787469879518085</v>
      </c>
      <c r="N4425" t="s">
        <v>93</v>
      </c>
    </row>
    <row r="4426" spans="1:14">
      <c r="A4426">
        <v>4425</v>
      </c>
      <c r="B4426">
        <v>59</v>
      </c>
      <c r="C4426" t="s">
        <v>11</v>
      </c>
      <c r="D4426" t="s">
        <v>12</v>
      </c>
      <c r="E4426" t="s">
        <v>56</v>
      </c>
      <c r="F4426">
        <v>152.97</v>
      </c>
      <c r="G4426" t="s">
        <v>24</v>
      </c>
      <c r="H4426" t="s">
        <v>15</v>
      </c>
      <c r="I4426">
        <v>3.5</v>
      </c>
      <c r="J4426">
        <v>17</v>
      </c>
      <c r="K4426">
        <v>6</v>
      </c>
      <c r="L4426" s="4">
        <v>184.3012048192771</v>
      </c>
      <c r="M4426" s="4">
        <v>31.331204819277104</v>
      </c>
      <c r="N4426" t="s">
        <v>94</v>
      </c>
    </row>
    <row r="4427" spans="1:14">
      <c r="A4427">
        <v>4426</v>
      </c>
      <c r="B4427">
        <v>43</v>
      </c>
      <c r="C4427" t="s">
        <v>11</v>
      </c>
      <c r="D4427" t="s">
        <v>41</v>
      </c>
      <c r="E4427" t="s">
        <v>44</v>
      </c>
      <c r="F4427">
        <v>71.83</v>
      </c>
      <c r="G4427" t="s">
        <v>31</v>
      </c>
      <c r="H4427" t="s">
        <v>37</v>
      </c>
      <c r="I4427">
        <v>4.0999999999999996</v>
      </c>
      <c r="J4427">
        <v>12</v>
      </c>
      <c r="K4427">
        <v>6</v>
      </c>
      <c r="L4427" s="4">
        <v>81.625</v>
      </c>
      <c r="M4427" s="4">
        <v>9.7950000000000017</v>
      </c>
      <c r="N4427" t="s">
        <v>92</v>
      </c>
    </row>
    <row r="4428" spans="1:14">
      <c r="A4428">
        <v>4427</v>
      </c>
      <c r="B4428">
        <v>21</v>
      </c>
      <c r="C4428" t="s">
        <v>11</v>
      </c>
      <c r="D4428" t="s">
        <v>12</v>
      </c>
      <c r="E4428" t="s">
        <v>13</v>
      </c>
      <c r="F4428">
        <v>95.84</v>
      </c>
      <c r="G4428" t="s">
        <v>14</v>
      </c>
      <c r="H4428" t="s">
        <v>37</v>
      </c>
      <c r="I4428">
        <v>4.3</v>
      </c>
      <c r="J4428">
        <v>22</v>
      </c>
      <c r="K4428">
        <v>6</v>
      </c>
      <c r="L4428" s="4">
        <v>122.87179487179488</v>
      </c>
      <c r="M4428" s="4">
        <v>27.031794871794872</v>
      </c>
      <c r="N4428" t="s">
        <v>100</v>
      </c>
    </row>
    <row r="4429" spans="1:14">
      <c r="A4429">
        <v>4428</v>
      </c>
      <c r="B4429">
        <v>62</v>
      </c>
      <c r="C4429" t="s">
        <v>16</v>
      </c>
      <c r="D4429" t="s">
        <v>22</v>
      </c>
      <c r="E4429" t="s">
        <v>23</v>
      </c>
      <c r="F4429">
        <v>38.659999999999997</v>
      </c>
      <c r="G4429" t="s">
        <v>24</v>
      </c>
      <c r="H4429" t="s">
        <v>37</v>
      </c>
      <c r="I4429">
        <v>3.6</v>
      </c>
      <c r="J4429">
        <v>8</v>
      </c>
      <c r="K4429">
        <v>4</v>
      </c>
      <c r="L4429" s="4">
        <v>42.021739130434774</v>
      </c>
      <c r="M4429" s="4">
        <v>3.3617391304347777</v>
      </c>
      <c r="N4429" t="s">
        <v>94</v>
      </c>
    </row>
    <row r="4430" spans="1:14">
      <c r="A4430">
        <v>4429</v>
      </c>
      <c r="B4430">
        <v>44</v>
      </c>
      <c r="C4430" t="s">
        <v>16</v>
      </c>
      <c r="D4430" t="s">
        <v>27</v>
      </c>
      <c r="E4430" t="s">
        <v>32</v>
      </c>
      <c r="F4430">
        <v>1769.68</v>
      </c>
      <c r="G4430" t="s">
        <v>19</v>
      </c>
      <c r="H4430" t="s">
        <v>15</v>
      </c>
      <c r="I4430">
        <v>4.8</v>
      </c>
      <c r="J4430">
        <v>20</v>
      </c>
      <c r="K4430">
        <v>5</v>
      </c>
      <c r="L4430" s="4">
        <v>2212.1</v>
      </c>
      <c r="M4430" s="4">
        <v>442.41999999999985</v>
      </c>
      <c r="N4430" t="s">
        <v>92</v>
      </c>
    </row>
    <row r="4431" spans="1:14">
      <c r="A4431">
        <v>4430</v>
      </c>
      <c r="B4431">
        <v>44</v>
      </c>
      <c r="C4431" t="s">
        <v>11</v>
      </c>
      <c r="D4431" t="s">
        <v>33</v>
      </c>
      <c r="E4431" t="s">
        <v>34</v>
      </c>
      <c r="F4431">
        <v>103.11</v>
      </c>
      <c r="G4431" t="s">
        <v>24</v>
      </c>
      <c r="H4431" t="s">
        <v>15</v>
      </c>
      <c r="I4431">
        <v>3.1</v>
      </c>
      <c r="J4431">
        <v>15</v>
      </c>
      <c r="K4431">
        <v>5</v>
      </c>
      <c r="L4431" s="4">
        <v>121.30588235294118</v>
      </c>
      <c r="M4431" s="4">
        <v>18.195882352941183</v>
      </c>
      <c r="N4431" t="s">
        <v>92</v>
      </c>
    </row>
    <row r="4432" spans="1:14">
      <c r="A4432">
        <v>4431</v>
      </c>
      <c r="B4432">
        <v>45</v>
      </c>
      <c r="C4432" t="s">
        <v>11</v>
      </c>
      <c r="D4432" t="s">
        <v>33</v>
      </c>
      <c r="E4432" t="s">
        <v>34</v>
      </c>
      <c r="F4432">
        <v>118.28</v>
      </c>
      <c r="G4432" t="s">
        <v>24</v>
      </c>
      <c r="H4432" t="s">
        <v>15</v>
      </c>
      <c r="I4432">
        <v>4</v>
      </c>
      <c r="J4432">
        <v>10</v>
      </c>
      <c r="K4432">
        <v>5</v>
      </c>
      <c r="L4432" s="4">
        <v>131.42222222222222</v>
      </c>
      <c r="M4432" s="4">
        <v>13.142222222222216</v>
      </c>
      <c r="N4432" t="s">
        <v>93</v>
      </c>
    </row>
    <row r="4433" spans="1:14">
      <c r="A4433">
        <v>4432</v>
      </c>
      <c r="B4433">
        <v>37</v>
      </c>
      <c r="C4433" t="s">
        <v>11</v>
      </c>
      <c r="D4433" t="s">
        <v>12</v>
      </c>
      <c r="E4433" t="s">
        <v>56</v>
      </c>
      <c r="F4433">
        <v>162.69999999999999</v>
      </c>
      <c r="G4433" t="s">
        <v>24</v>
      </c>
      <c r="H4433" t="s">
        <v>15</v>
      </c>
      <c r="I4433">
        <v>3.5</v>
      </c>
      <c r="J4433">
        <v>19</v>
      </c>
      <c r="K4433">
        <v>7</v>
      </c>
      <c r="L4433" s="4">
        <v>200.86419753086417</v>
      </c>
      <c r="M4433" s="4">
        <v>38.164197530864186</v>
      </c>
      <c r="N4433" t="s">
        <v>92</v>
      </c>
    </row>
    <row r="4434" spans="1:14">
      <c r="A4434">
        <v>4433</v>
      </c>
      <c r="B4434">
        <v>49</v>
      </c>
      <c r="C4434" t="s">
        <v>16</v>
      </c>
      <c r="D4434" t="s">
        <v>20</v>
      </c>
      <c r="E4434" t="s">
        <v>36</v>
      </c>
      <c r="F4434">
        <v>75.760000000000005</v>
      </c>
      <c r="G4434" t="s">
        <v>31</v>
      </c>
      <c r="H4434" t="s">
        <v>37</v>
      </c>
      <c r="I4434">
        <v>4.5</v>
      </c>
      <c r="J4434">
        <v>15</v>
      </c>
      <c r="K4434">
        <v>5</v>
      </c>
      <c r="L4434" s="4">
        <v>89.129411764705893</v>
      </c>
      <c r="M4434" s="4">
        <v>13.369411764705887</v>
      </c>
      <c r="N4434" t="s">
        <v>93</v>
      </c>
    </row>
    <row r="4435" spans="1:14">
      <c r="A4435">
        <v>4434</v>
      </c>
      <c r="B4435">
        <v>63</v>
      </c>
      <c r="C4435" t="s">
        <v>16</v>
      </c>
      <c r="D4435" t="s">
        <v>20</v>
      </c>
      <c r="E4435" t="s">
        <v>39</v>
      </c>
      <c r="F4435">
        <v>234.8</v>
      </c>
      <c r="G4435" t="s">
        <v>19</v>
      </c>
      <c r="H4435" t="s">
        <v>15</v>
      </c>
      <c r="I4435">
        <v>3.1</v>
      </c>
      <c r="J4435">
        <v>16</v>
      </c>
      <c r="K4435">
        <v>3</v>
      </c>
      <c r="L4435" s="4">
        <v>279.52380952380958</v>
      </c>
      <c r="M4435" s="4">
        <v>44.723809523809564</v>
      </c>
      <c r="N4435" t="s">
        <v>94</v>
      </c>
    </row>
    <row r="4436" spans="1:14">
      <c r="A4436">
        <v>4435</v>
      </c>
      <c r="B4436">
        <v>25</v>
      </c>
      <c r="C4436" t="s">
        <v>11</v>
      </c>
      <c r="D4436" t="s">
        <v>33</v>
      </c>
      <c r="E4436" t="s">
        <v>38</v>
      </c>
      <c r="F4436">
        <v>107.61</v>
      </c>
      <c r="G4436" t="s">
        <v>31</v>
      </c>
      <c r="H4436" t="s">
        <v>15</v>
      </c>
      <c r="I4436">
        <v>4.8</v>
      </c>
      <c r="J4436">
        <v>17</v>
      </c>
      <c r="K4436">
        <v>6</v>
      </c>
      <c r="L4436" s="4">
        <v>129.65060240963857</v>
      </c>
      <c r="M4436" s="4">
        <v>22.040602409638566</v>
      </c>
      <c r="N4436" t="s">
        <v>91</v>
      </c>
    </row>
    <row r="4437" spans="1:14">
      <c r="A4437">
        <v>4436</v>
      </c>
      <c r="B4437">
        <v>44</v>
      </c>
      <c r="C4437" t="s">
        <v>16</v>
      </c>
      <c r="D4437" t="s">
        <v>20</v>
      </c>
      <c r="E4437" t="s">
        <v>21</v>
      </c>
      <c r="F4437">
        <v>150.15</v>
      </c>
      <c r="G4437" t="s">
        <v>19</v>
      </c>
      <c r="H4437" t="s">
        <v>15</v>
      </c>
      <c r="I4437">
        <v>3.5</v>
      </c>
      <c r="J4437">
        <v>20</v>
      </c>
      <c r="K4437">
        <v>5</v>
      </c>
      <c r="L4437" s="4">
        <v>187.6875</v>
      </c>
      <c r="M4437" s="4">
        <v>37.537499999999994</v>
      </c>
      <c r="N4437" t="s">
        <v>92</v>
      </c>
    </row>
    <row r="4438" spans="1:14">
      <c r="A4438">
        <v>4437</v>
      </c>
      <c r="B4438">
        <v>36</v>
      </c>
      <c r="C4438" t="s">
        <v>16</v>
      </c>
      <c r="D4438" t="s">
        <v>20</v>
      </c>
      <c r="E4438" t="s">
        <v>39</v>
      </c>
      <c r="F4438">
        <v>97.03</v>
      </c>
      <c r="G4438" t="s">
        <v>31</v>
      </c>
      <c r="H4438" t="s">
        <v>15</v>
      </c>
      <c r="I4438">
        <v>3.4</v>
      </c>
      <c r="J4438">
        <v>6</v>
      </c>
      <c r="K4438">
        <v>3</v>
      </c>
      <c r="L4438" s="4">
        <v>103.22340425531915</v>
      </c>
      <c r="M4438" s="4">
        <v>6.1934042553191517</v>
      </c>
      <c r="N4438" t="s">
        <v>92</v>
      </c>
    </row>
    <row r="4439" spans="1:14">
      <c r="A4439">
        <v>4438</v>
      </c>
      <c r="B4439">
        <v>44</v>
      </c>
      <c r="C4439" t="s">
        <v>11</v>
      </c>
      <c r="D4439" t="s">
        <v>20</v>
      </c>
      <c r="E4439" t="s">
        <v>36</v>
      </c>
      <c r="F4439">
        <v>129.12</v>
      </c>
      <c r="G4439" t="s">
        <v>31</v>
      </c>
      <c r="H4439" t="s">
        <v>15</v>
      </c>
      <c r="I4439">
        <v>5</v>
      </c>
      <c r="J4439">
        <v>20</v>
      </c>
      <c r="K4439">
        <v>5</v>
      </c>
      <c r="L4439" s="4">
        <v>161.4</v>
      </c>
      <c r="M4439" s="4">
        <v>32.28</v>
      </c>
      <c r="N4439" t="s">
        <v>92</v>
      </c>
    </row>
    <row r="4440" spans="1:14">
      <c r="A4440">
        <v>4439</v>
      </c>
      <c r="B4440">
        <v>31</v>
      </c>
      <c r="C4440" t="s">
        <v>11</v>
      </c>
      <c r="D4440" t="s">
        <v>33</v>
      </c>
      <c r="E4440" t="s">
        <v>38</v>
      </c>
      <c r="F4440">
        <v>75.930000000000007</v>
      </c>
      <c r="G4440" t="s">
        <v>14</v>
      </c>
      <c r="H4440" t="s">
        <v>15</v>
      </c>
      <c r="I4440">
        <v>3.5</v>
      </c>
      <c r="J4440">
        <v>18</v>
      </c>
      <c r="K4440">
        <v>4</v>
      </c>
      <c r="L4440" s="4">
        <v>92.597560975609753</v>
      </c>
      <c r="M4440" s="4">
        <v>16.667560975609746</v>
      </c>
      <c r="N4440" t="s">
        <v>91</v>
      </c>
    </row>
    <row r="4441" spans="1:14">
      <c r="A4441">
        <v>4440</v>
      </c>
      <c r="B4441">
        <v>46</v>
      </c>
      <c r="C4441" t="s">
        <v>11</v>
      </c>
      <c r="D4441" t="s">
        <v>41</v>
      </c>
      <c r="E4441" t="s">
        <v>45</v>
      </c>
      <c r="F4441">
        <v>181.75</v>
      </c>
      <c r="G4441" t="s">
        <v>24</v>
      </c>
      <c r="H4441" t="s">
        <v>15</v>
      </c>
      <c r="I4441">
        <v>4.3</v>
      </c>
      <c r="J4441">
        <v>8</v>
      </c>
      <c r="K4441">
        <v>4</v>
      </c>
      <c r="L4441" s="4">
        <v>197.55434782608694</v>
      </c>
      <c r="M4441" s="4">
        <v>15.804347826086939</v>
      </c>
      <c r="N4441" t="s">
        <v>93</v>
      </c>
    </row>
    <row r="4442" spans="1:14">
      <c r="A4442">
        <v>4441</v>
      </c>
      <c r="B4442">
        <v>43</v>
      </c>
      <c r="C4442" t="s">
        <v>16</v>
      </c>
      <c r="D4442" t="s">
        <v>27</v>
      </c>
      <c r="E4442" t="s">
        <v>28</v>
      </c>
      <c r="F4442">
        <v>1217.08</v>
      </c>
      <c r="G4442" t="s">
        <v>19</v>
      </c>
      <c r="H4442" t="s">
        <v>15</v>
      </c>
      <c r="I4442">
        <v>4.5999999999999996</v>
      </c>
      <c r="J4442">
        <v>20</v>
      </c>
      <c r="K4442">
        <v>5</v>
      </c>
      <c r="L4442" s="4">
        <v>1521.35</v>
      </c>
      <c r="M4442" s="4">
        <v>304.27</v>
      </c>
      <c r="N4442" t="s">
        <v>92</v>
      </c>
    </row>
    <row r="4443" spans="1:14">
      <c r="A4443">
        <v>4442</v>
      </c>
      <c r="B4443">
        <v>23</v>
      </c>
      <c r="C4443" t="s">
        <v>11</v>
      </c>
      <c r="D4443" t="s">
        <v>33</v>
      </c>
      <c r="E4443" t="s">
        <v>40</v>
      </c>
      <c r="F4443">
        <v>241.42</v>
      </c>
      <c r="G4443" t="s">
        <v>19</v>
      </c>
      <c r="H4443" t="s">
        <v>15</v>
      </c>
      <c r="I4443">
        <v>5</v>
      </c>
      <c r="J4443">
        <v>8</v>
      </c>
      <c r="K4443">
        <v>4</v>
      </c>
      <c r="L4443" s="4">
        <v>262.41304347826082</v>
      </c>
      <c r="M4443" s="4">
        <v>20.99304347826083</v>
      </c>
      <c r="N4443" t="s">
        <v>100</v>
      </c>
    </row>
    <row r="4444" spans="1:14">
      <c r="A4444">
        <v>4443</v>
      </c>
      <c r="B4444">
        <v>58</v>
      </c>
      <c r="C4444" t="s">
        <v>16</v>
      </c>
      <c r="D4444" t="s">
        <v>27</v>
      </c>
      <c r="E4444" t="s">
        <v>49</v>
      </c>
      <c r="F4444">
        <v>1944.24</v>
      </c>
      <c r="G4444" t="s">
        <v>19</v>
      </c>
      <c r="H4444" t="s">
        <v>15</v>
      </c>
      <c r="I4444">
        <v>2.7</v>
      </c>
      <c r="J4444">
        <v>22</v>
      </c>
      <c r="K4444">
        <v>6</v>
      </c>
      <c r="L4444" s="4">
        <v>2492.6153846153848</v>
      </c>
      <c r="M4444" s="4">
        <v>548.37538461538475</v>
      </c>
      <c r="N4444" t="s">
        <v>94</v>
      </c>
    </row>
    <row r="4445" spans="1:14">
      <c r="A4445">
        <v>4444</v>
      </c>
      <c r="B4445">
        <v>22</v>
      </c>
      <c r="C4445" t="s">
        <v>16</v>
      </c>
      <c r="D4445" t="s">
        <v>20</v>
      </c>
      <c r="E4445" t="s">
        <v>36</v>
      </c>
      <c r="F4445">
        <v>48.39</v>
      </c>
      <c r="G4445" t="s">
        <v>31</v>
      </c>
      <c r="H4445" t="s">
        <v>37</v>
      </c>
      <c r="I4445">
        <v>4</v>
      </c>
      <c r="J4445">
        <v>4</v>
      </c>
      <c r="K4445">
        <v>2</v>
      </c>
      <c r="L4445" s="4">
        <v>50.40625</v>
      </c>
      <c r="M4445" s="4">
        <v>2.0162499999999994</v>
      </c>
      <c r="N4445" t="s">
        <v>100</v>
      </c>
    </row>
    <row r="4446" spans="1:14">
      <c r="A4446">
        <v>4445</v>
      </c>
      <c r="B4446">
        <v>63</v>
      </c>
      <c r="C4446" t="s">
        <v>11</v>
      </c>
      <c r="D4446" t="s">
        <v>12</v>
      </c>
      <c r="E4446" t="s">
        <v>50</v>
      </c>
      <c r="F4446">
        <v>107.47</v>
      </c>
      <c r="G4446" t="s">
        <v>14</v>
      </c>
      <c r="H4446" t="s">
        <v>15</v>
      </c>
      <c r="I4446">
        <v>2.2000000000000002</v>
      </c>
      <c r="J4446">
        <v>12</v>
      </c>
      <c r="K4446">
        <v>1</v>
      </c>
      <c r="L4446" s="4">
        <v>122.125</v>
      </c>
      <c r="M4446" s="4">
        <v>14.655000000000001</v>
      </c>
      <c r="N4446" t="s">
        <v>94</v>
      </c>
    </row>
    <row r="4447" spans="1:14">
      <c r="A4447">
        <v>4446</v>
      </c>
      <c r="B4447">
        <v>62</v>
      </c>
      <c r="C4447" t="s">
        <v>16</v>
      </c>
      <c r="D4447" t="s">
        <v>27</v>
      </c>
      <c r="E4447" t="s">
        <v>53</v>
      </c>
      <c r="F4447">
        <v>1763.47</v>
      </c>
      <c r="G4447" t="s">
        <v>14</v>
      </c>
      <c r="H4447" t="s">
        <v>15</v>
      </c>
      <c r="I4447">
        <v>4</v>
      </c>
      <c r="J4447">
        <v>20</v>
      </c>
      <c r="K4447">
        <v>5</v>
      </c>
      <c r="L4447" s="4">
        <v>2204.3375000000001</v>
      </c>
      <c r="M4447" s="4">
        <v>440.86750000000006</v>
      </c>
      <c r="N4447" t="s">
        <v>94</v>
      </c>
    </row>
    <row r="4448" spans="1:14">
      <c r="A4448">
        <v>4447</v>
      </c>
      <c r="B4448">
        <v>69</v>
      </c>
      <c r="C4448" t="s">
        <v>11</v>
      </c>
      <c r="D4448" t="s">
        <v>41</v>
      </c>
      <c r="E4448" t="s">
        <v>46</v>
      </c>
      <c r="F4448">
        <v>159.97999999999999</v>
      </c>
      <c r="G4448" t="s">
        <v>24</v>
      </c>
      <c r="H4448" t="s">
        <v>15</v>
      </c>
      <c r="I4448">
        <v>2.9</v>
      </c>
      <c r="J4448">
        <v>24</v>
      </c>
      <c r="K4448">
        <v>7</v>
      </c>
      <c r="L4448" s="4">
        <v>210.49999999999997</v>
      </c>
      <c r="M4448" s="4">
        <v>50.519999999999982</v>
      </c>
      <c r="N4448" t="s">
        <v>95</v>
      </c>
    </row>
    <row r="4449" spans="1:14">
      <c r="A4449">
        <v>4448</v>
      </c>
      <c r="B4449">
        <v>36</v>
      </c>
      <c r="C4449" t="s">
        <v>16</v>
      </c>
      <c r="D4449" t="s">
        <v>25</v>
      </c>
      <c r="E4449" t="s">
        <v>54</v>
      </c>
      <c r="F4449">
        <v>60.71</v>
      </c>
      <c r="G4449" t="s">
        <v>24</v>
      </c>
      <c r="H4449" t="s">
        <v>37</v>
      </c>
      <c r="I4449">
        <v>4.5</v>
      </c>
      <c r="J4449">
        <v>16</v>
      </c>
      <c r="K4449">
        <v>3</v>
      </c>
      <c r="L4449" s="4">
        <v>72.273809523809533</v>
      </c>
      <c r="M4449" s="4">
        <v>11.563809523809532</v>
      </c>
      <c r="N4449" t="s">
        <v>92</v>
      </c>
    </row>
    <row r="4450" spans="1:14">
      <c r="A4450">
        <v>4449</v>
      </c>
      <c r="B4450">
        <v>46</v>
      </c>
      <c r="C4450" t="s">
        <v>11</v>
      </c>
      <c r="D4450" t="s">
        <v>22</v>
      </c>
      <c r="E4450" t="s">
        <v>43</v>
      </c>
      <c r="F4450">
        <v>118.81</v>
      </c>
      <c r="G4450" t="s">
        <v>14</v>
      </c>
      <c r="H4450" t="s">
        <v>15</v>
      </c>
      <c r="I4450">
        <v>4.0999999999999996</v>
      </c>
      <c r="J4450">
        <v>16</v>
      </c>
      <c r="K4450">
        <v>3</v>
      </c>
      <c r="L4450" s="4">
        <v>141.4404761904762</v>
      </c>
      <c r="M4450" s="4">
        <v>22.630476190476202</v>
      </c>
      <c r="N4450" t="s">
        <v>93</v>
      </c>
    </row>
    <row r="4451" spans="1:14">
      <c r="A4451">
        <v>4450</v>
      </c>
      <c r="B4451">
        <v>53</v>
      </c>
      <c r="C4451" t="s">
        <v>16</v>
      </c>
      <c r="D4451" t="s">
        <v>20</v>
      </c>
      <c r="E4451" t="s">
        <v>21</v>
      </c>
      <c r="F4451">
        <v>115.93</v>
      </c>
      <c r="G4451" t="s">
        <v>31</v>
      </c>
      <c r="H4451" t="s">
        <v>15</v>
      </c>
      <c r="I4451">
        <v>3</v>
      </c>
      <c r="J4451">
        <v>6</v>
      </c>
      <c r="K4451">
        <v>3</v>
      </c>
      <c r="L4451" s="4">
        <v>123.32978723404257</v>
      </c>
      <c r="M4451" s="4">
        <v>7.399787234042563</v>
      </c>
      <c r="N4451" t="s">
        <v>93</v>
      </c>
    </row>
    <row r="4452" spans="1:14">
      <c r="A4452">
        <v>4451</v>
      </c>
      <c r="B4452">
        <v>20</v>
      </c>
      <c r="C4452" t="s">
        <v>11</v>
      </c>
      <c r="D4452" t="s">
        <v>29</v>
      </c>
      <c r="E4452" t="s">
        <v>30</v>
      </c>
      <c r="F4452">
        <v>109.6</v>
      </c>
      <c r="G4452" t="s">
        <v>24</v>
      </c>
      <c r="H4452" t="s">
        <v>15</v>
      </c>
      <c r="I4452">
        <v>4.4000000000000004</v>
      </c>
      <c r="J4452">
        <v>16</v>
      </c>
      <c r="K4452">
        <v>8</v>
      </c>
      <c r="L4452" s="4">
        <v>130.47619047619048</v>
      </c>
      <c r="M4452" s="4">
        <v>20.876190476190487</v>
      </c>
      <c r="N4452" t="s">
        <v>100</v>
      </c>
    </row>
    <row r="4453" spans="1:14">
      <c r="A4453">
        <v>4452</v>
      </c>
      <c r="B4453">
        <v>48</v>
      </c>
      <c r="C4453" t="s">
        <v>16</v>
      </c>
      <c r="D4453" t="s">
        <v>33</v>
      </c>
      <c r="E4453" t="s">
        <v>34</v>
      </c>
      <c r="F4453">
        <v>197.83</v>
      </c>
      <c r="G4453" t="s">
        <v>14</v>
      </c>
      <c r="H4453" t="s">
        <v>15</v>
      </c>
      <c r="I4453">
        <v>3.4</v>
      </c>
      <c r="J4453">
        <v>17</v>
      </c>
      <c r="K4453">
        <v>6</v>
      </c>
      <c r="L4453" s="4">
        <v>238.34939759036146</v>
      </c>
      <c r="M4453" s="4">
        <v>40.51939759036145</v>
      </c>
      <c r="N4453" t="s">
        <v>93</v>
      </c>
    </row>
    <row r="4454" spans="1:14">
      <c r="A4454">
        <v>4453</v>
      </c>
      <c r="B4454">
        <v>29</v>
      </c>
      <c r="C4454" t="s">
        <v>11</v>
      </c>
      <c r="D4454" t="s">
        <v>33</v>
      </c>
      <c r="E4454" t="s">
        <v>40</v>
      </c>
      <c r="F4454">
        <v>68.819999999999993</v>
      </c>
      <c r="G4454" t="s">
        <v>31</v>
      </c>
      <c r="H4454" t="s">
        <v>15</v>
      </c>
      <c r="I4454">
        <v>3.6</v>
      </c>
      <c r="J4454">
        <v>0</v>
      </c>
      <c r="K4454">
        <v>0</v>
      </c>
      <c r="L4454" s="4">
        <v>68.819999999999993</v>
      </c>
      <c r="M4454" s="4">
        <v>0</v>
      </c>
      <c r="N4454" t="s">
        <v>91</v>
      </c>
    </row>
    <row r="4455" spans="1:14">
      <c r="A4455">
        <v>4454</v>
      </c>
      <c r="B4455">
        <v>43</v>
      </c>
      <c r="C4455" t="s">
        <v>16</v>
      </c>
      <c r="D4455" t="s">
        <v>17</v>
      </c>
      <c r="E4455" t="s">
        <v>35</v>
      </c>
      <c r="F4455">
        <v>112.21</v>
      </c>
      <c r="G4455" t="s">
        <v>31</v>
      </c>
      <c r="H4455" t="s">
        <v>15</v>
      </c>
      <c r="I4455">
        <v>4.0999999999999996</v>
      </c>
      <c r="J4455">
        <v>12</v>
      </c>
      <c r="K4455">
        <v>6</v>
      </c>
      <c r="L4455" s="4">
        <v>127.51136363636363</v>
      </c>
      <c r="M4455" s="4">
        <v>15.301363636363632</v>
      </c>
      <c r="N4455" t="s">
        <v>92</v>
      </c>
    </row>
    <row r="4456" spans="1:14">
      <c r="A4456">
        <v>4455</v>
      </c>
      <c r="B4456">
        <v>37</v>
      </c>
      <c r="C4456" t="s">
        <v>16</v>
      </c>
      <c r="D4456" t="s">
        <v>33</v>
      </c>
      <c r="E4456" t="s">
        <v>38</v>
      </c>
      <c r="F4456">
        <v>75.17</v>
      </c>
      <c r="G4456" t="s">
        <v>14</v>
      </c>
      <c r="H4456" t="s">
        <v>15</v>
      </c>
      <c r="I4456">
        <v>2.9</v>
      </c>
      <c r="J4456">
        <v>11</v>
      </c>
      <c r="K4456">
        <v>3</v>
      </c>
      <c r="L4456" s="4">
        <v>84.460674157303373</v>
      </c>
      <c r="M4456" s="4">
        <v>9.2906741573033713</v>
      </c>
      <c r="N4456" t="s">
        <v>92</v>
      </c>
    </row>
    <row r="4457" spans="1:14">
      <c r="A4457">
        <v>4456</v>
      </c>
      <c r="B4457">
        <v>49</v>
      </c>
      <c r="C4457" t="s">
        <v>16</v>
      </c>
      <c r="D4457" t="s">
        <v>27</v>
      </c>
      <c r="E4457" t="s">
        <v>53</v>
      </c>
      <c r="F4457">
        <v>2429.83</v>
      </c>
      <c r="G4457" t="s">
        <v>24</v>
      </c>
      <c r="H4457" t="s">
        <v>15</v>
      </c>
      <c r="I4457">
        <v>2.9</v>
      </c>
      <c r="J4457">
        <v>18</v>
      </c>
      <c r="K4457">
        <v>9</v>
      </c>
      <c r="L4457" s="4">
        <v>2963.2073170731705</v>
      </c>
      <c r="M4457" s="4">
        <v>533.37731707317062</v>
      </c>
      <c r="N4457" t="s">
        <v>93</v>
      </c>
    </row>
    <row r="4458" spans="1:14">
      <c r="A4458">
        <v>4457</v>
      </c>
      <c r="B4458">
        <v>38</v>
      </c>
      <c r="C4458" t="s">
        <v>16</v>
      </c>
      <c r="D4458" t="s">
        <v>27</v>
      </c>
      <c r="E4458" t="s">
        <v>53</v>
      </c>
      <c r="F4458">
        <v>1961.17</v>
      </c>
      <c r="G4458" t="s">
        <v>31</v>
      </c>
      <c r="H4458" t="s">
        <v>15</v>
      </c>
      <c r="I4458">
        <v>2.9</v>
      </c>
      <c r="J4458">
        <v>26</v>
      </c>
      <c r="K4458">
        <v>8</v>
      </c>
      <c r="L4458" s="4">
        <v>2650.22972972973</v>
      </c>
      <c r="M4458" s="4">
        <v>689.05972972972995</v>
      </c>
      <c r="N4458" t="s">
        <v>92</v>
      </c>
    </row>
    <row r="4459" spans="1:14">
      <c r="A4459">
        <v>4458</v>
      </c>
      <c r="B4459">
        <v>41</v>
      </c>
      <c r="C4459" t="s">
        <v>11</v>
      </c>
      <c r="D4459" t="s">
        <v>33</v>
      </c>
      <c r="E4459" t="s">
        <v>38</v>
      </c>
      <c r="F4459">
        <v>119.89</v>
      </c>
      <c r="G4459" t="s">
        <v>24</v>
      </c>
      <c r="H4459" t="s">
        <v>15</v>
      </c>
      <c r="I4459">
        <v>3.6</v>
      </c>
      <c r="J4459">
        <v>11</v>
      </c>
      <c r="K4459">
        <v>3</v>
      </c>
      <c r="L4459" s="4">
        <v>134.70786516853931</v>
      </c>
      <c r="M4459" s="4">
        <v>14.817865168539313</v>
      </c>
      <c r="N4459" t="s">
        <v>92</v>
      </c>
    </row>
    <row r="4460" spans="1:14">
      <c r="A4460">
        <v>4459</v>
      </c>
      <c r="B4460">
        <v>25</v>
      </c>
      <c r="C4460" t="s">
        <v>11</v>
      </c>
      <c r="D4460" t="s">
        <v>25</v>
      </c>
      <c r="E4460" t="s">
        <v>54</v>
      </c>
      <c r="F4460">
        <v>78.319999999999993</v>
      </c>
      <c r="G4460" t="s">
        <v>24</v>
      </c>
      <c r="H4460" t="s">
        <v>37</v>
      </c>
      <c r="I4460">
        <v>4.5999999999999996</v>
      </c>
      <c r="J4460">
        <v>24</v>
      </c>
      <c r="K4460">
        <v>7</v>
      </c>
      <c r="L4460" s="4">
        <v>103.05263157894736</v>
      </c>
      <c r="M4460" s="4">
        <v>24.732631578947363</v>
      </c>
      <c r="N4460" t="s">
        <v>91</v>
      </c>
    </row>
    <row r="4461" spans="1:14">
      <c r="A4461">
        <v>4460</v>
      </c>
      <c r="B4461">
        <v>55</v>
      </c>
      <c r="C4461" t="s">
        <v>16</v>
      </c>
      <c r="D4461" t="s">
        <v>27</v>
      </c>
      <c r="E4461" t="s">
        <v>28</v>
      </c>
      <c r="F4461">
        <v>1710.6</v>
      </c>
      <c r="G4461" t="s">
        <v>14</v>
      </c>
      <c r="H4461" t="s">
        <v>15</v>
      </c>
      <c r="I4461">
        <v>4</v>
      </c>
      <c r="J4461">
        <v>16</v>
      </c>
      <c r="K4461">
        <v>3</v>
      </c>
      <c r="L4461" s="4">
        <v>2036.4285714285713</v>
      </c>
      <c r="M4461" s="4">
        <v>325.82857142857142</v>
      </c>
      <c r="N4461" t="s">
        <v>94</v>
      </c>
    </row>
    <row r="4462" spans="1:14">
      <c r="A4462">
        <v>4461</v>
      </c>
      <c r="B4462">
        <v>47</v>
      </c>
      <c r="C4462" t="s">
        <v>11</v>
      </c>
      <c r="D4462" t="s">
        <v>33</v>
      </c>
      <c r="E4462" t="s">
        <v>38</v>
      </c>
      <c r="F4462">
        <v>148.86000000000001</v>
      </c>
      <c r="G4462" t="s">
        <v>14</v>
      </c>
      <c r="H4462" t="s">
        <v>15</v>
      </c>
      <c r="I4462">
        <v>3.4</v>
      </c>
      <c r="J4462">
        <v>16</v>
      </c>
      <c r="K4462">
        <v>3</v>
      </c>
      <c r="L4462" s="4">
        <v>177.21428571428575</v>
      </c>
      <c r="M4462" s="4">
        <v>28.354285714285737</v>
      </c>
      <c r="N4462" t="s">
        <v>93</v>
      </c>
    </row>
    <row r="4463" spans="1:14">
      <c r="A4463">
        <v>4462</v>
      </c>
      <c r="B4463">
        <v>70</v>
      </c>
      <c r="C4463" t="s">
        <v>16</v>
      </c>
      <c r="D4463" t="s">
        <v>22</v>
      </c>
      <c r="E4463" t="s">
        <v>23</v>
      </c>
      <c r="F4463">
        <v>194.65</v>
      </c>
      <c r="G4463" t="s">
        <v>31</v>
      </c>
      <c r="H4463" t="s">
        <v>15</v>
      </c>
      <c r="I4463">
        <v>3.3</v>
      </c>
      <c r="J4463">
        <v>12</v>
      </c>
      <c r="K4463">
        <v>6</v>
      </c>
      <c r="L4463" s="4">
        <v>221.19318181818181</v>
      </c>
      <c r="M4463" s="4">
        <v>26.543181818181807</v>
      </c>
      <c r="N4463" t="s">
        <v>95</v>
      </c>
    </row>
    <row r="4464" spans="1:14">
      <c r="A4464">
        <v>4463</v>
      </c>
      <c r="B4464">
        <v>59</v>
      </c>
      <c r="C4464" t="s">
        <v>11</v>
      </c>
      <c r="D4464" t="s">
        <v>29</v>
      </c>
      <c r="E4464" t="s">
        <v>30</v>
      </c>
      <c r="F4464">
        <v>58.65</v>
      </c>
      <c r="G4464" t="s">
        <v>14</v>
      </c>
      <c r="H4464" t="s">
        <v>37</v>
      </c>
      <c r="I4464">
        <v>3.3</v>
      </c>
      <c r="J4464">
        <v>12</v>
      </c>
      <c r="K4464">
        <v>6</v>
      </c>
      <c r="L4464" s="4">
        <v>66.647727272727266</v>
      </c>
      <c r="M4464" s="4">
        <v>7.9977272727272677</v>
      </c>
      <c r="N4464" t="s">
        <v>94</v>
      </c>
    </row>
    <row r="4465" spans="1:14">
      <c r="A4465">
        <v>4464</v>
      </c>
      <c r="B4465">
        <v>21</v>
      </c>
      <c r="C4465" t="s">
        <v>11</v>
      </c>
      <c r="D4465" t="s">
        <v>33</v>
      </c>
      <c r="E4465" t="s">
        <v>38</v>
      </c>
      <c r="F4465">
        <v>228.61</v>
      </c>
      <c r="G4465" t="s">
        <v>14</v>
      </c>
      <c r="H4465" t="s">
        <v>15</v>
      </c>
      <c r="I4465">
        <v>2.5</v>
      </c>
      <c r="J4465">
        <v>10</v>
      </c>
      <c r="K4465">
        <v>5</v>
      </c>
      <c r="L4465" s="4">
        <v>254.01111111111112</v>
      </c>
      <c r="M4465" s="4">
        <v>25.401111111111106</v>
      </c>
      <c r="N4465" t="s">
        <v>100</v>
      </c>
    </row>
    <row r="4466" spans="1:14">
      <c r="A4466">
        <v>4465</v>
      </c>
      <c r="B4466">
        <v>62</v>
      </c>
      <c r="C4466" t="s">
        <v>16</v>
      </c>
      <c r="D4466" t="s">
        <v>27</v>
      </c>
      <c r="E4466" t="s">
        <v>28</v>
      </c>
      <c r="F4466">
        <v>2057.65</v>
      </c>
      <c r="G4466" t="s">
        <v>19</v>
      </c>
      <c r="H4466" t="s">
        <v>15</v>
      </c>
      <c r="I4466">
        <v>4.0999999999999996</v>
      </c>
      <c r="J4466">
        <v>24</v>
      </c>
      <c r="K4466">
        <v>7</v>
      </c>
      <c r="L4466" s="4">
        <v>2707.4342105263158</v>
      </c>
      <c r="M4466" s="4">
        <v>649.78421052631575</v>
      </c>
      <c r="N4466" t="s">
        <v>94</v>
      </c>
    </row>
    <row r="4467" spans="1:14">
      <c r="A4467">
        <v>4466</v>
      </c>
      <c r="B4467">
        <v>25</v>
      </c>
      <c r="C4467" t="s">
        <v>11</v>
      </c>
      <c r="D4467" t="s">
        <v>33</v>
      </c>
      <c r="E4467" t="s">
        <v>38</v>
      </c>
      <c r="F4467">
        <v>138.83000000000001</v>
      </c>
      <c r="G4467" t="s">
        <v>31</v>
      </c>
      <c r="H4467" t="s">
        <v>15</v>
      </c>
      <c r="I4467">
        <v>3.8</v>
      </c>
      <c r="J4467">
        <v>20</v>
      </c>
      <c r="K4467">
        <v>5</v>
      </c>
      <c r="L4467" s="4">
        <v>173.53749999999999</v>
      </c>
      <c r="M4467" s="4">
        <v>34.707499999999982</v>
      </c>
      <c r="N4467" t="s">
        <v>91</v>
      </c>
    </row>
    <row r="4468" spans="1:14">
      <c r="A4468">
        <v>4467</v>
      </c>
      <c r="B4468">
        <v>23</v>
      </c>
      <c r="C4468" t="s">
        <v>16</v>
      </c>
      <c r="D4468" t="s">
        <v>17</v>
      </c>
      <c r="E4468" t="s">
        <v>18</v>
      </c>
      <c r="F4468">
        <v>106.76</v>
      </c>
      <c r="G4468" t="s">
        <v>31</v>
      </c>
      <c r="H4468" t="s">
        <v>15</v>
      </c>
      <c r="I4468">
        <v>4.5</v>
      </c>
      <c r="J4468">
        <v>20</v>
      </c>
      <c r="K4468">
        <v>5</v>
      </c>
      <c r="L4468" s="4">
        <v>133.44999999999999</v>
      </c>
      <c r="M4468" s="4">
        <v>26.689999999999984</v>
      </c>
      <c r="N4468" t="s">
        <v>100</v>
      </c>
    </row>
    <row r="4469" spans="1:14">
      <c r="A4469">
        <v>4468</v>
      </c>
      <c r="B4469">
        <v>62</v>
      </c>
      <c r="C4469" t="s">
        <v>16</v>
      </c>
      <c r="D4469" t="s">
        <v>27</v>
      </c>
      <c r="E4469" t="s">
        <v>53</v>
      </c>
      <c r="F4469">
        <v>2593.67</v>
      </c>
      <c r="G4469" t="s">
        <v>14</v>
      </c>
      <c r="H4469" t="s">
        <v>15</v>
      </c>
      <c r="I4469">
        <v>2.9</v>
      </c>
      <c r="J4469">
        <v>10</v>
      </c>
      <c r="K4469">
        <v>5</v>
      </c>
      <c r="L4469" s="4">
        <v>2881.8555555555554</v>
      </c>
      <c r="M4469" s="4">
        <v>288.18555555555531</v>
      </c>
      <c r="N4469" t="s">
        <v>94</v>
      </c>
    </row>
    <row r="4470" spans="1:14">
      <c r="A4470">
        <v>4469</v>
      </c>
      <c r="B4470">
        <v>30</v>
      </c>
      <c r="C4470" t="s">
        <v>16</v>
      </c>
      <c r="D4470" t="s">
        <v>17</v>
      </c>
      <c r="E4470" t="s">
        <v>48</v>
      </c>
      <c r="F4470">
        <v>195.55</v>
      </c>
      <c r="G4470" t="s">
        <v>19</v>
      </c>
      <c r="H4470" t="s">
        <v>15</v>
      </c>
      <c r="I4470">
        <v>3.9</v>
      </c>
      <c r="J4470">
        <v>18</v>
      </c>
      <c r="K4470">
        <v>4</v>
      </c>
      <c r="L4470" s="4">
        <v>238.47560975609755</v>
      </c>
      <c r="M4470" s="4">
        <v>42.925609756097543</v>
      </c>
      <c r="N4470" t="s">
        <v>91</v>
      </c>
    </row>
    <row r="4471" spans="1:14">
      <c r="A4471">
        <v>4470</v>
      </c>
      <c r="B4471">
        <v>69</v>
      </c>
      <c r="C4471" t="s">
        <v>16</v>
      </c>
      <c r="D4471" t="s">
        <v>22</v>
      </c>
      <c r="E4471" t="s">
        <v>52</v>
      </c>
      <c r="F4471">
        <v>127.32</v>
      </c>
      <c r="G4471" t="s">
        <v>19</v>
      </c>
      <c r="H4471" t="s">
        <v>15</v>
      </c>
      <c r="I4471">
        <v>3.5</v>
      </c>
      <c r="J4471">
        <v>4</v>
      </c>
      <c r="K4471">
        <v>2</v>
      </c>
      <c r="L4471" s="4">
        <v>132.625</v>
      </c>
      <c r="M4471" s="4">
        <v>5.3050000000000068</v>
      </c>
      <c r="N4471" t="s">
        <v>95</v>
      </c>
    </row>
    <row r="4472" spans="1:14">
      <c r="A4472">
        <v>4471</v>
      </c>
      <c r="B4472">
        <v>29</v>
      </c>
      <c r="C4472" t="s">
        <v>16</v>
      </c>
      <c r="D4472" t="s">
        <v>33</v>
      </c>
      <c r="E4472" t="s">
        <v>34</v>
      </c>
      <c r="F4472">
        <v>86.48</v>
      </c>
      <c r="G4472" t="s">
        <v>19</v>
      </c>
      <c r="H4472" t="s">
        <v>15</v>
      </c>
      <c r="I4472">
        <v>3.7</v>
      </c>
      <c r="J4472">
        <v>11</v>
      </c>
      <c r="K4472">
        <v>3</v>
      </c>
      <c r="L4472" s="4">
        <v>97.168539325842701</v>
      </c>
      <c r="M4472" s="4">
        <v>10.688539325842697</v>
      </c>
      <c r="N4472" t="s">
        <v>91</v>
      </c>
    </row>
    <row r="4473" spans="1:14">
      <c r="A4473">
        <v>4472</v>
      </c>
      <c r="B4473">
        <v>21</v>
      </c>
      <c r="C4473" t="s">
        <v>11</v>
      </c>
      <c r="D4473" t="s">
        <v>29</v>
      </c>
      <c r="E4473" t="s">
        <v>55</v>
      </c>
      <c r="F4473">
        <v>109.66</v>
      </c>
      <c r="G4473" t="s">
        <v>24</v>
      </c>
      <c r="H4473" t="s">
        <v>15</v>
      </c>
      <c r="I4473">
        <v>3.5</v>
      </c>
      <c r="J4473">
        <v>16</v>
      </c>
      <c r="K4473">
        <v>8</v>
      </c>
      <c r="L4473" s="4">
        <v>130.54761904761904</v>
      </c>
      <c r="M4473" s="4">
        <v>20.88761904761904</v>
      </c>
      <c r="N4473" t="s">
        <v>100</v>
      </c>
    </row>
    <row r="4474" spans="1:14">
      <c r="A4474">
        <v>4473</v>
      </c>
      <c r="B4474">
        <v>57</v>
      </c>
      <c r="C4474" t="s">
        <v>11</v>
      </c>
      <c r="D4474" t="s">
        <v>12</v>
      </c>
      <c r="E4474" t="s">
        <v>13</v>
      </c>
      <c r="F4474">
        <v>63.39</v>
      </c>
      <c r="G4474" t="s">
        <v>24</v>
      </c>
      <c r="H4474" t="s">
        <v>37</v>
      </c>
      <c r="I4474">
        <v>4</v>
      </c>
      <c r="J4474">
        <v>17</v>
      </c>
      <c r="K4474">
        <v>6</v>
      </c>
      <c r="L4474" s="4">
        <v>76.373493975903614</v>
      </c>
      <c r="M4474" s="4">
        <v>12.983493975903613</v>
      </c>
      <c r="N4474" t="s">
        <v>94</v>
      </c>
    </row>
    <row r="4475" spans="1:14">
      <c r="A4475">
        <v>4474</v>
      </c>
      <c r="B4475">
        <v>61</v>
      </c>
      <c r="C4475" t="s">
        <v>11</v>
      </c>
      <c r="D4475" t="s">
        <v>41</v>
      </c>
      <c r="E4475" t="s">
        <v>45</v>
      </c>
      <c r="F4475">
        <v>198.86</v>
      </c>
      <c r="G4475" t="s">
        <v>24</v>
      </c>
      <c r="H4475" t="s">
        <v>15</v>
      </c>
      <c r="I4475">
        <v>3.5</v>
      </c>
      <c r="J4475">
        <v>15</v>
      </c>
      <c r="K4475">
        <v>5</v>
      </c>
      <c r="L4475" s="4">
        <v>233.9529411764706</v>
      </c>
      <c r="M4475" s="4">
        <v>35.092941176470589</v>
      </c>
      <c r="N4475" t="s">
        <v>94</v>
      </c>
    </row>
    <row r="4476" spans="1:14">
      <c r="A4476">
        <v>4475</v>
      </c>
      <c r="B4476">
        <v>29</v>
      </c>
      <c r="C4476" t="s">
        <v>11</v>
      </c>
      <c r="D4476" t="s">
        <v>29</v>
      </c>
      <c r="E4476" t="s">
        <v>51</v>
      </c>
      <c r="F4476">
        <v>143.68</v>
      </c>
      <c r="G4476" t="s">
        <v>19</v>
      </c>
      <c r="H4476" t="s">
        <v>15</v>
      </c>
      <c r="I4476">
        <v>3.5</v>
      </c>
      <c r="J4476">
        <v>11</v>
      </c>
      <c r="K4476">
        <v>3</v>
      </c>
      <c r="L4476" s="4">
        <v>161.43820224719101</v>
      </c>
      <c r="M4476" s="4">
        <v>17.758202247191008</v>
      </c>
      <c r="N4476" t="s">
        <v>91</v>
      </c>
    </row>
    <row r="4477" spans="1:14">
      <c r="A4477">
        <v>4476</v>
      </c>
      <c r="B4477">
        <v>44</v>
      </c>
      <c r="C4477" t="s">
        <v>16</v>
      </c>
      <c r="D4477" t="s">
        <v>27</v>
      </c>
      <c r="E4477" t="s">
        <v>28</v>
      </c>
      <c r="F4477">
        <v>605.67999999999995</v>
      </c>
      <c r="G4477" t="s">
        <v>31</v>
      </c>
      <c r="H4477" t="s">
        <v>15</v>
      </c>
      <c r="I4477">
        <v>3</v>
      </c>
      <c r="J4477">
        <v>20</v>
      </c>
      <c r="K4477">
        <v>5</v>
      </c>
      <c r="L4477" s="4">
        <v>757.09999999999991</v>
      </c>
      <c r="M4477" s="4">
        <v>151.41999999999996</v>
      </c>
      <c r="N4477" t="s">
        <v>92</v>
      </c>
    </row>
    <row r="4478" spans="1:14">
      <c r="A4478">
        <v>4477</v>
      </c>
      <c r="B4478">
        <v>24</v>
      </c>
      <c r="C4478" t="s">
        <v>11</v>
      </c>
      <c r="D4478" t="s">
        <v>33</v>
      </c>
      <c r="E4478" t="s">
        <v>34</v>
      </c>
      <c r="F4478">
        <v>52.58</v>
      </c>
      <c r="G4478" t="s">
        <v>14</v>
      </c>
      <c r="H4478" t="s">
        <v>37</v>
      </c>
      <c r="I4478">
        <v>2.4</v>
      </c>
      <c r="J4478">
        <v>13</v>
      </c>
      <c r="K4478">
        <v>4</v>
      </c>
      <c r="L4478" s="4">
        <v>60.4367816091954</v>
      </c>
      <c r="M4478" s="4">
        <v>7.8567816091954015</v>
      </c>
      <c r="N4478" t="s">
        <v>100</v>
      </c>
    </row>
    <row r="4479" spans="1:14">
      <c r="A4479">
        <v>4478</v>
      </c>
      <c r="B4479">
        <v>51</v>
      </c>
      <c r="C4479" t="s">
        <v>16</v>
      </c>
      <c r="D4479" t="s">
        <v>20</v>
      </c>
      <c r="E4479" t="s">
        <v>36</v>
      </c>
      <c r="F4479">
        <v>179.61</v>
      </c>
      <c r="G4479" t="s">
        <v>14</v>
      </c>
      <c r="H4479" t="s">
        <v>15</v>
      </c>
      <c r="I4479">
        <v>2.9</v>
      </c>
      <c r="J4479">
        <v>9</v>
      </c>
      <c r="K4479">
        <v>2</v>
      </c>
      <c r="L4479" s="4">
        <v>197.37362637362639</v>
      </c>
      <c r="M4479" s="4">
        <v>17.76362637362638</v>
      </c>
      <c r="N4479" t="s">
        <v>93</v>
      </c>
    </row>
    <row r="4480" spans="1:14">
      <c r="A4480">
        <v>4479</v>
      </c>
      <c r="B4480">
        <v>35</v>
      </c>
      <c r="C4480" t="s">
        <v>11</v>
      </c>
      <c r="D4480" t="s">
        <v>41</v>
      </c>
      <c r="E4480" t="s">
        <v>46</v>
      </c>
      <c r="F4480">
        <v>170.61</v>
      </c>
      <c r="G4480" t="s">
        <v>19</v>
      </c>
      <c r="H4480" t="s">
        <v>15</v>
      </c>
      <c r="I4480">
        <v>4.3</v>
      </c>
      <c r="J4480">
        <v>24</v>
      </c>
      <c r="K4480">
        <v>7</v>
      </c>
      <c r="L4480" s="4">
        <v>224.48684210526318</v>
      </c>
      <c r="M4480" s="4">
        <v>53.876842105263165</v>
      </c>
      <c r="N4480" t="s">
        <v>92</v>
      </c>
    </row>
    <row r="4481" spans="1:14">
      <c r="A4481">
        <v>4480</v>
      </c>
      <c r="B4481">
        <v>61</v>
      </c>
      <c r="C4481" t="s">
        <v>16</v>
      </c>
      <c r="D4481" t="s">
        <v>17</v>
      </c>
      <c r="E4481" t="s">
        <v>18</v>
      </c>
      <c r="F4481">
        <v>124.26</v>
      </c>
      <c r="G4481" t="s">
        <v>31</v>
      </c>
      <c r="H4481" t="s">
        <v>15</v>
      </c>
      <c r="I4481">
        <v>3.6</v>
      </c>
      <c r="J4481">
        <v>15</v>
      </c>
      <c r="K4481">
        <v>5</v>
      </c>
      <c r="L4481" s="4">
        <v>146.18823529411765</v>
      </c>
      <c r="M4481" s="4">
        <v>21.928235294117641</v>
      </c>
      <c r="N4481" t="s">
        <v>94</v>
      </c>
    </row>
    <row r="4482" spans="1:14">
      <c r="A4482">
        <v>4481</v>
      </c>
      <c r="B4482">
        <v>54</v>
      </c>
      <c r="C4482" t="s">
        <v>11</v>
      </c>
      <c r="D4482" t="s">
        <v>41</v>
      </c>
      <c r="E4482" t="s">
        <v>45</v>
      </c>
      <c r="F4482">
        <v>102.38</v>
      </c>
      <c r="G4482" t="s">
        <v>14</v>
      </c>
      <c r="H4482" t="s">
        <v>15</v>
      </c>
      <c r="I4482">
        <v>4.8</v>
      </c>
      <c r="J4482">
        <v>6</v>
      </c>
      <c r="K4482">
        <v>3</v>
      </c>
      <c r="L4482" s="4">
        <v>108.91489361702128</v>
      </c>
      <c r="M4482" s="4">
        <v>6.5348936170212824</v>
      </c>
      <c r="N4482" t="s">
        <v>93</v>
      </c>
    </row>
    <row r="4483" spans="1:14">
      <c r="A4483">
        <v>4482</v>
      </c>
      <c r="B4483">
        <v>31</v>
      </c>
      <c r="C4483" t="s">
        <v>16</v>
      </c>
      <c r="D4483" t="s">
        <v>17</v>
      </c>
      <c r="E4483" t="s">
        <v>42</v>
      </c>
      <c r="F4483">
        <v>129.77000000000001</v>
      </c>
      <c r="G4483" t="s">
        <v>14</v>
      </c>
      <c r="H4483" t="s">
        <v>15</v>
      </c>
      <c r="I4483">
        <v>3.3</v>
      </c>
      <c r="J4483">
        <v>11</v>
      </c>
      <c r="K4483">
        <v>3</v>
      </c>
      <c r="L4483" s="4">
        <v>145.80898876404495</v>
      </c>
      <c r="M4483" s="4">
        <v>16.038988764044944</v>
      </c>
      <c r="N4483" t="s">
        <v>91</v>
      </c>
    </row>
    <row r="4484" spans="1:14">
      <c r="A4484">
        <v>4483</v>
      </c>
      <c r="B4484">
        <v>31</v>
      </c>
      <c r="C4484" t="s">
        <v>16</v>
      </c>
      <c r="D4484" t="s">
        <v>20</v>
      </c>
      <c r="E4484" t="s">
        <v>21</v>
      </c>
      <c r="F4484">
        <v>107.4</v>
      </c>
      <c r="G4484" t="s">
        <v>19</v>
      </c>
      <c r="H4484" t="s">
        <v>15</v>
      </c>
      <c r="I4484">
        <v>3.2</v>
      </c>
      <c r="J4484">
        <v>15</v>
      </c>
      <c r="K4484">
        <v>5</v>
      </c>
      <c r="L4484" s="4">
        <v>126.35294117647059</v>
      </c>
      <c r="M4484" s="4">
        <v>18.952941176470588</v>
      </c>
      <c r="N4484" t="s">
        <v>91</v>
      </c>
    </row>
    <row r="4485" spans="1:14">
      <c r="A4485">
        <v>4484</v>
      </c>
      <c r="B4485">
        <v>56</v>
      </c>
      <c r="C4485" t="s">
        <v>16</v>
      </c>
      <c r="D4485" t="s">
        <v>27</v>
      </c>
      <c r="E4485" t="s">
        <v>28</v>
      </c>
      <c r="F4485">
        <v>1554.91</v>
      </c>
      <c r="G4485" t="s">
        <v>14</v>
      </c>
      <c r="H4485" t="s">
        <v>15</v>
      </c>
      <c r="I4485">
        <v>2.8</v>
      </c>
      <c r="J4485">
        <v>7</v>
      </c>
      <c r="K4485">
        <v>1</v>
      </c>
      <c r="L4485" s="4">
        <v>1671.9462365591401</v>
      </c>
      <c r="M4485" s="4">
        <v>117.03623655913998</v>
      </c>
      <c r="N4485" t="s">
        <v>94</v>
      </c>
    </row>
    <row r="4486" spans="1:14">
      <c r="A4486">
        <v>4485</v>
      </c>
      <c r="B4486">
        <v>66</v>
      </c>
      <c r="C4486" t="s">
        <v>11</v>
      </c>
      <c r="D4486" t="s">
        <v>41</v>
      </c>
      <c r="E4486" t="s">
        <v>45</v>
      </c>
      <c r="F4486">
        <v>131.11000000000001</v>
      </c>
      <c r="G4486" t="s">
        <v>14</v>
      </c>
      <c r="H4486" t="s">
        <v>15</v>
      </c>
      <c r="I4486">
        <v>3</v>
      </c>
      <c r="J4486">
        <v>20</v>
      </c>
      <c r="K4486">
        <v>10</v>
      </c>
      <c r="L4486" s="4">
        <v>163.88750000000002</v>
      </c>
      <c r="M4486" s="4">
        <v>32.777500000000003</v>
      </c>
      <c r="N4486" t="s">
        <v>95</v>
      </c>
    </row>
    <row r="4487" spans="1:14">
      <c r="A4487">
        <v>4486</v>
      </c>
      <c r="B4487">
        <v>38</v>
      </c>
      <c r="C4487" t="s">
        <v>16</v>
      </c>
      <c r="D4487" t="s">
        <v>17</v>
      </c>
      <c r="E4487" t="s">
        <v>48</v>
      </c>
      <c r="F4487">
        <v>52.09</v>
      </c>
      <c r="G4487" t="s">
        <v>24</v>
      </c>
      <c r="H4487" t="s">
        <v>15</v>
      </c>
      <c r="I4487">
        <v>4.2</v>
      </c>
      <c r="J4487">
        <v>14</v>
      </c>
      <c r="K4487">
        <v>2</v>
      </c>
      <c r="L4487" s="4">
        <v>60.569767441860471</v>
      </c>
      <c r="M4487" s="4">
        <v>8.4797674418604672</v>
      </c>
      <c r="N4487" t="s">
        <v>92</v>
      </c>
    </row>
    <row r="4488" spans="1:14">
      <c r="A4488">
        <v>4487</v>
      </c>
      <c r="B4488">
        <v>25</v>
      </c>
      <c r="C4488" t="s">
        <v>16</v>
      </c>
      <c r="D4488" t="s">
        <v>20</v>
      </c>
      <c r="E4488" t="s">
        <v>39</v>
      </c>
      <c r="F4488">
        <v>130.22999999999999</v>
      </c>
      <c r="G4488" t="s">
        <v>31</v>
      </c>
      <c r="H4488" t="s">
        <v>15</v>
      </c>
      <c r="I4488">
        <v>4.7</v>
      </c>
      <c r="J4488">
        <v>16</v>
      </c>
      <c r="K4488">
        <v>3</v>
      </c>
      <c r="L4488" s="4">
        <v>155.03571428571428</v>
      </c>
      <c r="M4488" s="4">
        <v>24.805714285714288</v>
      </c>
      <c r="N4488" t="s">
        <v>91</v>
      </c>
    </row>
    <row r="4489" spans="1:14">
      <c r="A4489">
        <v>4488</v>
      </c>
      <c r="B4489">
        <v>44</v>
      </c>
      <c r="C4489" t="s">
        <v>16</v>
      </c>
      <c r="D4489" t="s">
        <v>20</v>
      </c>
      <c r="E4489" t="s">
        <v>21</v>
      </c>
      <c r="F4489">
        <v>125.56</v>
      </c>
      <c r="G4489" t="s">
        <v>31</v>
      </c>
      <c r="H4489" t="s">
        <v>15</v>
      </c>
      <c r="I4489">
        <v>3.2</v>
      </c>
      <c r="J4489">
        <v>12</v>
      </c>
      <c r="K4489">
        <v>1</v>
      </c>
      <c r="L4489" s="4">
        <v>142.68181818181819</v>
      </c>
      <c r="M4489" s="4">
        <v>17.121818181818185</v>
      </c>
      <c r="N4489" t="s">
        <v>92</v>
      </c>
    </row>
    <row r="4490" spans="1:14">
      <c r="A4490">
        <v>4489</v>
      </c>
      <c r="B4490">
        <v>60</v>
      </c>
      <c r="C4490" t="s">
        <v>11</v>
      </c>
      <c r="D4490" t="s">
        <v>33</v>
      </c>
      <c r="E4490" t="s">
        <v>40</v>
      </c>
      <c r="F4490">
        <v>76.16</v>
      </c>
      <c r="G4490" t="s">
        <v>24</v>
      </c>
      <c r="H4490" t="s">
        <v>15</v>
      </c>
      <c r="I4490">
        <v>4.7</v>
      </c>
      <c r="J4490">
        <v>13</v>
      </c>
      <c r="K4490">
        <v>4</v>
      </c>
      <c r="L4490" s="4">
        <v>87.540229885057471</v>
      </c>
      <c r="M4490" s="4">
        <v>11.380229885057474</v>
      </c>
      <c r="N4490" t="s">
        <v>94</v>
      </c>
    </row>
    <row r="4491" spans="1:14">
      <c r="A4491">
        <v>4490</v>
      </c>
      <c r="B4491">
        <v>50</v>
      </c>
      <c r="C4491" t="s">
        <v>16</v>
      </c>
      <c r="D4491" t="s">
        <v>17</v>
      </c>
      <c r="E4491" t="s">
        <v>35</v>
      </c>
      <c r="F4491">
        <v>37.53</v>
      </c>
      <c r="G4491" t="s">
        <v>24</v>
      </c>
      <c r="H4491" t="s">
        <v>15</v>
      </c>
      <c r="I4491">
        <v>3.5</v>
      </c>
      <c r="J4491">
        <v>8</v>
      </c>
      <c r="K4491">
        <v>4</v>
      </c>
      <c r="L4491" s="4">
        <v>40.793478260869563</v>
      </c>
      <c r="M4491" s="4">
        <v>3.2634782608695616</v>
      </c>
      <c r="N4491" t="s">
        <v>93</v>
      </c>
    </row>
    <row r="4492" spans="1:14">
      <c r="A4492">
        <v>4491</v>
      </c>
      <c r="B4492">
        <v>51</v>
      </c>
      <c r="C4492" t="s">
        <v>16</v>
      </c>
      <c r="D4492" t="s">
        <v>17</v>
      </c>
      <c r="E4492" t="s">
        <v>35</v>
      </c>
      <c r="F4492">
        <v>100.29</v>
      </c>
      <c r="G4492" t="s">
        <v>24</v>
      </c>
      <c r="H4492" t="s">
        <v>15</v>
      </c>
      <c r="I4492">
        <v>3.5</v>
      </c>
      <c r="J4492">
        <v>14</v>
      </c>
      <c r="K4492">
        <v>7</v>
      </c>
      <c r="L4492" s="4">
        <v>116.61627906976744</v>
      </c>
      <c r="M4492" s="4">
        <v>16.326279069767438</v>
      </c>
      <c r="N4492" t="s">
        <v>93</v>
      </c>
    </row>
    <row r="4493" spans="1:14">
      <c r="A4493">
        <v>4492</v>
      </c>
      <c r="B4493">
        <v>26</v>
      </c>
      <c r="C4493" t="s">
        <v>16</v>
      </c>
      <c r="D4493" t="s">
        <v>27</v>
      </c>
      <c r="E4493" t="s">
        <v>49</v>
      </c>
      <c r="F4493">
        <v>1336.49</v>
      </c>
      <c r="G4493" t="s">
        <v>24</v>
      </c>
      <c r="H4493" t="s">
        <v>15</v>
      </c>
      <c r="I4493">
        <v>3.8</v>
      </c>
      <c r="J4493">
        <v>9</v>
      </c>
      <c r="K4493">
        <v>2</v>
      </c>
      <c r="L4493" s="4">
        <v>1468.6703296703297</v>
      </c>
      <c r="M4493" s="4">
        <v>132.18032967032968</v>
      </c>
      <c r="N4493" t="s">
        <v>91</v>
      </c>
    </row>
    <row r="4494" spans="1:14">
      <c r="A4494">
        <v>4493</v>
      </c>
      <c r="B4494">
        <v>23</v>
      </c>
      <c r="C4494" t="s">
        <v>16</v>
      </c>
      <c r="D4494" t="s">
        <v>22</v>
      </c>
      <c r="E4494" t="s">
        <v>52</v>
      </c>
      <c r="F4494">
        <v>207.75</v>
      </c>
      <c r="G4494" t="s">
        <v>24</v>
      </c>
      <c r="H4494" t="s">
        <v>15</v>
      </c>
      <c r="I4494">
        <v>4.9000000000000004</v>
      </c>
      <c r="J4494">
        <v>17</v>
      </c>
      <c r="K4494">
        <v>6</v>
      </c>
      <c r="L4494" s="4">
        <v>250.30120481927713</v>
      </c>
      <c r="M4494" s="4">
        <v>42.551204819277132</v>
      </c>
      <c r="N4494" t="s">
        <v>100</v>
      </c>
    </row>
    <row r="4495" spans="1:14">
      <c r="A4495">
        <v>4494</v>
      </c>
      <c r="B4495">
        <v>25</v>
      </c>
      <c r="C4495" t="s">
        <v>11</v>
      </c>
      <c r="D4495" t="s">
        <v>22</v>
      </c>
      <c r="E4495" t="s">
        <v>43</v>
      </c>
      <c r="F4495">
        <v>44.45</v>
      </c>
      <c r="G4495" t="s">
        <v>31</v>
      </c>
      <c r="H4495" t="s">
        <v>37</v>
      </c>
      <c r="I4495">
        <v>5</v>
      </c>
      <c r="J4495">
        <v>10</v>
      </c>
      <c r="K4495">
        <v>5</v>
      </c>
      <c r="L4495" s="4">
        <v>49.388888888888893</v>
      </c>
      <c r="M4495" s="4">
        <v>4.93888888888889</v>
      </c>
      <c r="N4495" t="s">
        <v>91</v>
      </c>
    </row>
    <row r="4496" spans="1:14">
      <c r="A4496">
        <v>4495</v>
      </c>
      <c r="B4496">
        <v>34</v>
      </c>
      <c r="C4496" t="s">
        <v>11</v>
      </c>
      <c r="D4496" t="s">
        <v>22</v>
      </c>
      <c r="E4496" t="s">
        <v>52</v>
      </c>
      <c r="F4496">
        <v>228.41</v>
      </c>
      <c r="G4496" t="s">
        <v>24</v>
      </c>
      <c r="H4496" t="s">
        <v>15</v>
      </c>
      <c r="I4496">
        <v>3.5</v>
      </c>
      <c r="J4496">
        <v>8</v>
      </c>
      <c r="K4496">
        <v>4</v>
      </c>
      <c r="L4496" s="4">
        <v>248.27173913043478</v>
      </c>
      <c r="M4496" s="4">
        <v>19.861739130434785</v>
      </c>
      <c r="N4496" t="s">
        <v>91</v>
      </c>
    </row>
    <row r="4497" spans="1:14">
      <c r="A4497">
        <v>4496</v>
      </c>
      <c r="B4497">
        <v>24</v>
      </c>
      <c r="C4497" t="s">
        <v>16</v>
      </c>
      <c r="D4497" t="s">
        <v>22</v>
      </c>
      <c r="E4497" t="s">
        <v>52</v>
      </c>
      <c r="F4497">
        <v>69.23</v>
      </c>
      <c r="G4497" t="s">
        <v>19</v>
      </c>
      <c r="H4497" t="s">
        <v>37</v>
      </c>
      <c r="I4497">
        <v>4.2</v>
      </c>
      <c r="J4497">
        <v>4</v>
      </c>
      <c r="K4497">
        <v>2</v>
      </c>
      <c r="L4497" s="4">
        <v>72.114583333333343</v>
      </c>
      <c r="M4497" s="4">
        <v>2.8845833333333388</v>
      </c>
      <c r="N4497" t="s">
        <v>100</v>
      </c>
    </row>
    <row r="4498" spans="1:14">
      <c r="A4498">
        <v>4497</v>
      </c>
      <c r="B4498">
        <v>40</v>
      </c>
      <c r="C4498" t="s">
        <v>11</v>
      </c>
      <c r="D4498" t="s">
        <v>29</v>
      </c>
      <c r="E4498" t="s">
        <v>55</v>
      </c>
      <c r="F4498">
        <v>37.65</v>
      </c>
      <c r="G4498" t="s">
        <v>24</v>
      </c>
      <c r="H4498" t="s">
        <v>37</v>
      </c>
      <c r="I4498">
        <v>4.3</v>
      </c>
      <c r="J4498">
        <v>27</v>
      </c>
      <c r="K4498">
        <v>11</v>
      </c>
      <c r="L4498" s="4">
        <v>51.575342465753423</v>
      </c>
      <c r="M4498" s="4">
        <v>13.925342465753424</v>
      </c>
      <c r="N4498" t="s">
        <v>92</v>
      </c>
    </row>
    <row r="4499" spans="1:14">
      <c r="A4499">
        <v>4498</v>
      </c>
      <c r="B4499">
        <v>23</v>
      </c>
      <c r="C4499" t="s">
        <v>16</v>
      </c>
      <c r="D4499" t="s">
        <v>27</v>
      </c>
      <c r="E4499" t="s">
        <v>49</v>
      </c>
      <c r="F4499">
        <v>1286.98</v>
      </c>
      <c r="G4499" t="s">
        <v>19</v>
      </c>
      <c r="H4499" t="s">
        <v>15</v>
      </c>
      <c r="I4499">
        <v>4</v>
      </c>
      <c r="J4499">
        <v>14</v>
      </c>
      <c r="K4499">
        <v>7</v>
      </c>
      <c r="L4499" s="4">
        <v>1496.4883720930234</v>
      </c>
      <c r="M4499" s="4">
        <v>209.50837209302335</v>
      </c>
      <c r="N4499" t="s">
        <v>100</v>
      </c>
    </row>
    <row r="4500" spans="1:14">
      <c r="A4500">
        <v>4499</v>
      </c>
      <c r="B4500">
        <v>28</v>
      </c>
      <c r="C4500" t="s">
        <v>11</v>
      </c>
      <c r="D4500" t="s">
        <v>33</v>
      </c>
      <c r="E4500" t="s">
        <v>40</v>
      </c>
      <c r="F4500">
        <v>99.44</v>
      </c>
      <c r="G4500" t="s">
        <v>24</v>
      </c>
      <c r="H4500" t="s">
        <v>15</v>
      </c>
      <c r="I4500">
        <v>3.7</v>
      </c>
      <c r="J4500">
        <v>20</v>
      </c>
      <c r="K4500">
        <v>5</v>
      </c>
      <c r="L4500" s="4">
        <v>124.3</v>
      </c>
      <c r="M4500" s="4">
        <v>24.86</v>
      </c>
      <c r="N4500" t="s">
        <v>91</v>
      </c>
    </row>
    <row r="4501" spans="1:14">
      <c r="A4501">
        <v>4500</v>
      </c>
      <c r="B4501">
        <v>22</v>
      </c>
      <c r="C4501" t="s">
        <v>16</v>
      </c>
      <c r="D4501" t="s">
        <v>20</v>
      </c>
      <c r="E4501" t="s">
        <v>21</v>
      </c>
      <c r="F4501">
        <v>215.07</v>
      </c>
      <c r="G4501" t="s">
        <v>24</v>
      </c>
      <c r="H4501" t="s">
        <v>15</v>
      </c>
      <c r="I4501">
        <v>2.5</v>
      </c>
      <c r="J4501">
        <v>24</v>
      </c>
      <c r="K4501">
        <v>7</v>
      </c>
      <c r="L4501" s="4">
        <v>282.98684210526312</v>
      </c>
      <c r="M4501" s="4">
        <v>67.916842105263129</v>
      </c>
      <c r="N4501" t="s">
        <v>100</v>
      </c>
    </row>
    <row r="4502" spans="1:14">
      <c r="A4502">
        <v>4501</v>
      </c>
      <c r="B4502">
        <v>27</v>
      </c>
      <c r="C4502" t="s">
        <v>16</v>
      </c>
      <c r="D4502" t="s">
        <v>27</v>
      </c>
      <c r="E4502" t="s">
        <v>53</v>
      </c>
      <c r="F4502">
        <v>975.24</v>
      </c>
      <c r="G4502" t="s">
        <v>19</v>
      </c>
      <c r="H4502" t="s">
        <v>15</v>
      </c>
      <c r="I4502">
        <v>3.6</v>
      </c>
      <c r="J4502">
        <v>4</v>
      </c>
      <c r="K4502">
        <v>2</v>
      </c>
      <c r="L4502" s="4">
        <v>1015.875</v>
      </c>
      <c r="M4502" s="4">
        <v>40.634999999999991</v>
      </c>
      <c r="N4502" t="s">
        <v>91</v>
      </c>
    </row>
    <row r="4503" spans="1:14">
      <c r="A4503">
        <v>4502</v>
      </c>
      <c r="B4503">
        <v>58</v>
      </c>
      <c r="C4503" t="s">
        <v>11</v>
      </c>
      <c r="D4503" t="s">
        <v>41</v>
      </c>
      <c r="E4503" t="s">
        <v>44</v>
      </c>
      <c r="F4503">
        <v>52.67</v>
      </c>
      <c r="G4503" t="s">
        <v>19</v>
      </c>
      <c r="H4503" t="s">
        <v>37</v>
      </c>
      <c r="I4503">
        <v>3.3</v>
      </c>
      <c r="J4503">
        <v>16</v>
      </c>
      <c r="K4503">
        <v>8</v>
      </c>
      <c r="L4503" s="4">
        <v>62.702380952380956</v>
      </c>
      <c r="M4503" s="4">
        <v>10.032380952380954</v>
      </c>
      <c r="N4503" t="s">
        <v>94</v>
      </c>
    </row>
    <row r="4504" spans="1:14">
      <c r="A4504">
        <v>4503</v>
      </c>
      <c r="B4504">
        <v>49</v>
      </c>
      <c r="C4504" t="s">
        <v>16</v>
      </c>
      <c r="D4504" t="s">
        <v>27</v>
      </c>
      <c r="E4504" t="s">
        <v>53</v>
      </c>
      <c r="F4504">
        <v>2177.2800000000002</v>
      </c>
      <c r="G4504" t="s">
        <v>31</v>
      </c>
      <c r="H4504" t="s">
        <v>15</v>
      </c>
      <c r="I4504">
        <v>3.6</v>
      </c>
      <c r="J4504">
        <v>26</v>
      </c>
      <c r="K4504">
        <v>8</v>
      </c>
      <c r="L4504" s="4">
        <v>2942.2702702702704</v>
      </c>
      <c r="M4504" s="4">
        <v>764.99027027027023</v>
      </c>
      <c r="N4504" t="s">
        <v>93</v>
      </c>
    </row>
    <row r="4505" spans="1:14">
      <c r="A4505">
        <v>4504</v>
      </c>
      <c r="B4505">
        <v>60</v>
      </c>
      <c r="C4505" t="s">
        <v>11</v>
      </c>
      <c r="D4505" t="s">
        <v>41</v>
      </c>
      <c r="E4505" t="s">
        <v>45</v>
      </c>
      <c r="F4505">
        <v>90.75</v>
      </c>
      <c r="G4505" t="s">
        <v>19</v>
      </c>
      <c r="H4505" t="s">
        <v>15</v>
      </c>
      <c r="I4505">
        <v>3.7</v>
      </c>
      <c r="J4505">
        <v>25</v>
      </c>
      <c r="K4505">
        <v>10</v>
      </c>
      <c r="L4505" s="4">
        <v>121</v>
      </c>
      <c r="M4505" s="4">
        <v>30.25</v>
      </c>
      <c r="N4505" t="s">
        <v>94</v>
      </c>
    </row>
    <row r="4506" spans="1:14">
      <c r="A4506">
        <v>4505</v>
      </c>
      <c r="B4506">
        <v>23</v>
      </c>
      <c r="C4506" t="s">
        <v>11</v>
      </c>
      <c r="D4506" t="s">
        <v>33</v>
      </c>
      <c r="E4506" t="s">
        <v>40</v>
      </c>
      <c r="F4506">
        <v>200.4</v>
      </c>
      <c r="G4506" t="s">
        <v>14</v>
      </c>
      <c r="H4506" t="s">
        <v>15</v>
      </c>
      <c r="I4506">
        <v>3</v>
      </c>
      <c r="J4506">
        <v>19</v>
      </c>
      <c r="K4506">
        <v>7</v>
      </c>
      <c r="L4506" s="4">
        <v>247.40740740740739</v>
      </c>
      <c r="M4506" s="4">
        <v>47.007407407407385</v>
      </c>
      <c r="N4506" t="s">
        <v>100</v>
      </c>
    </row>
    <row r="4507" spans="1:14">
      <c r="A4507">
        <v>4506</v>
      </c>
      <c r="B4507">
        <v>51</v>
      </c>
      <c r="C4507" t="s">
        <v>11</v>
      </c>
      <c r="D4507" t="s">
        <v>29</v>
      </c>
      <c r="E4507" t="s">
        <v>30</v>
      </c>
      <c r="F4507">
        <v>20.2</v>
      </c>
      <c r="G4507" t="s">
        <v>14</v>
      </c>
      <c r="H4507" t="s">
        <v>37</v>
      </c>
      <c r="I4507">
        <v>5</v>
      </c>
      <c r="J4507">
        <v>15</v>
      </c>
      <c r="K4507">
        <v>5</v>
      </c>
      <c r="L4507" s="4">
        <v>23.764705882352942</v>
      </c>
      <c r="M4507" s="4">
        <v>3.5647058823529427</v>
      </c>
      <c r="N4507" t="s">
        <v>93</v>
      </c>
    </row>
    <row r="4508" spans="1:14">
      <c r="A4508">
        <v>4507</v>
      </c>
      <c r="B4508">
        <v>42</v>
      </c>
      <c r="C4508" t="s">
        <v>16</v>
      </c>
      <c r="D4508" t="s">
        <v>17</v>
      </c>
      <c r="E4508" t="s">
        <v>18</v>
      </c>
      <c r="F4508">
        <v>120.04</v>
      </c>
      <c r="G4508" t="s">
        <v>31</v>
      </c>
      <c r="H4508" t="s">
        <v>15</v>
      </c>
      <c r="I4508">
        <v>4.8</v>
      </c>
      <c r="J4508">
        <v>17</v>
      </c>
      <c r="K4508">
        <v>6</v>
      </c>
      <c r="L4508" s="4">
        <v>144.62650602409639</v>
      </c>
      <c r="M4508" s="4">
        <v>24.58650602409638</v>
      </c>
      <c r="N4508" t="s">
        <v>92</v>
      </c>
    </row>
    <row r="4509" spans="1:14">
      <c r="A4509">
        <v>4508</v>
      </c>
      <c r="B4509">
        <v>63</v>
      </c>
      <c r="C4509" t="s">
        <v>11</v>
      </c>
      <c r="D4509" t="s">
        <v>29</v>
      </c>
      <c r="E4509" t="s">
        <v>55</v>
      </c>
      <c r="F4509">
        <v>64.58</v>
      </c>
      <c r="G4509" t="s">
        <v>14</v>
      </c>
      <c r="H4509" t="s">
        <v>15</v>
      </c>
      <c r="I4509">
        <v>3.5</v>
      </c>
      <c r="J4509">
        <v>6</v>
      </c>
      <c r="K4509">
        <v>3</v>
      </c>
      <c r="L4509" s="4">
        <v>68.702127659574472</v>
      </c>
      <c r="M4509" s="4">
        <v>4.122127659574474</v>
      </c>
      <c r="N4509" t="s">
        <v>94</v>
      </c>
    </row>
    <row r="4510" spans="1:14">
      <c r="A4510">
        <v>4509</v>
      </c>
      <c r="B4510">
        <v>21</v>
      </c>
      <c r="C4510" t="s">
        <v>16</v>
      </c>
      <c r="D4510" t="s">
        <v>25</v>
      </c>
      <c r="E4510" t="s">
        <v>47</v>
      </c>
      <c r="F4510">
        <v>5.44</v>
      </c>
      <c r="G4510" t="s">
        <v>31</v>
      </c>
      <c r="H4510" t="s">
        <v>15</v>
      </c>
      <c r="I4510">
        <v>3.7</v>
      </c>
      <c r="J4510">
        <v>22</v>
      </c>
      <c r="K4510">
        <v>6</v>
      </c>
      <c r="L4510" s="4">
        <v>6.9743589743589745</v>
      </c>
      <c r="M4510" s="4">
        <v>1.5343589743589741</v>
      </c>
      <c r="N4510" t="s">
        <v>100</v>
      </c>
    </row>
    <row r="4511" spans="1:14">
      <c r="A4511">
        <v>4510</v>
      </c>
      <c r="B4511">
        <v>52</v>
      </c>
      <c r="C4511" t="s">
        <v>16</v>
      </c>
      <c r="D4511" t="s">
        <v>27</v>
      </c>
      <c r="E4511" t="s">
        <v>28</v>
      </c>
      <c r="F4511">
        <v>1371.54</v>
      </c>
      <c r="G4511" t="s">
        <v>24</v>
      </c>
      <c r="H4511" t="s">
        <v>15</v>
      </c>
      <c r="I4511">
        <v>3.4</v>
      </c>
      <c r="J4511">
        <v>14</v>
      </c>
      <c r="K4511">
        <v>7</v>
      </c>
      <c r="L4511" s="4">
        <v>1594.8139534883721</v>
      </c>
      <c r="M4511" s="4">
        <v>223.27395348837217</v>
      </c>
      <c r="N4511" t="s">
        <v>93</v>
      </c>
    </row>
    <row r="4512" spans="1:14">
      <c r="A4512">
        <v>4511</v>
      </c>
      <c r="B4512">
        <v>30</v>
      </c>
      <c r="C4512" t="s">
        <v>16</v>
      </c>
      <c r="D4512" t="s">
        <v>33</v>
      </c>
      <c r="E4512" t="s">
        <v>34</v>
      </c>
      <c r="F4512">
        <v>193.68</v>
      </c>
      <c r="G4512" t="s">
        <v>24</v>
      </c>
      <c r="H4512" t="s">
        <v>15</v>
      </c>
      <c r="I4512">
        <v>3.1</v>
      </c>
      <c r="J4512">
        <v>14</v>
      </c>
      <c r="K4512">
        <v>2</v>
      </c>
      <c r="L4512" s="4">
        <v>225.2093023255814</v>
      </c>
      <c r="M4512" s="4">
        <v>31.529302325581398</v>
      </c>
      <c r="N4512" t="s">
        <v>91</v>
      </c>
    </row>
    <row r="4513" spans="1:14">
      <c r="A4513">
        <v>4512</v>
      </c>
      <c r="B4513">
        <v>70</v>
      </c>
      <c r="C4513" t="s">
        <v>11</v>
      </c>
      <c r="D4513" t="s">
        <v>41</v>
      </c>
      <c r="E4513" t="s">
        <v>42</v>
      </c>
      <c r="F4513">
        <v>142.97</v>
      </c>
      <c r="G4513" t="s">
        <v>24</v>
      </c>
      <c r="H4513" t="s">
        <v>15</v>
      </c>
      <c r="I4513">
        <v>4</v>
      </c>
      <c r="J4513">
        <v>17</v>
      </c>
      <c r="K4513">
        <v>6</v>
      </c>
      <c r="L4513" s="4">
        <v>172.25301204819277</v>
      </c>
      <c r="M4513" s="4">
        <v>29.283012048192774</v>
      </c>
      <c r="N4513" t="s">
        <v>95</v>
      </c>
    </row>
    <row r="4514" spans="1:14">
      <c r="A4514">
        <v>4513</v>
      </c>
      <c r="B4514">
        <v>61</v>
      </c>
      <c r="C4514" t="s">
        <v>11</v>
      </c>
      <c r="D4514" t="s">
        <v>12</v>
      </c>
      <c r="E4514" t="s">
        <v>50</v>
      </c>
      <c r="F4514">
        <v>119.4</v>
      </c>
      <c r="G4514" t="s">
        <v>24</v>
      </c>
      <c r="H4514" t="s">
        <v>15</v>
      </c>
      <c r="I4514">
        <v>4.3</v>
      </c>
      <c r="J4514">
        <v>26</v>
      </c>
      <c r="K4514">
        <v>8</v>
      </c>
      <c r="L4514" s="4">
        <v>161.35135135135135</v>
      </c>
      <c r="M4514" s="4">
        <v>41.951351351351349</v>
      </c>
      <c r="N4514" t="s">
        <v>94</v>
      </c>
    </row>
    <row r="4515" spans="1:14">
      <c r="A4515">
        <v>4514</v>
      </c>
      <c r="B4515">
        <v>55</v>
      </c>
      <c r="C4515" t="s">
        <v>11</v>
      </c>
      <c r="D4515" t="s">
        <v>41</v>
      </c>
      <c r="E4515" t="s">
        <v>45</v>
      </c>
      <c r="F4515">
        <v>178.14</v>
      </c>
      <c r="G4515" t="s">
        <v>14</v>
      </c>
      <c r="H4515" t="s">
        <v>15</v>
      </c>
      <c r="I4515">
        <v>4.7</v>
      </c>
      <c r="J4515">
        <v>16</v>
      </c>
      <c r="K4515">
        <v>3</v>
      </c>
      <c r="L4515" s="4">
        <v>212.07142857142856</v>
      </c>
      <c r="M4515" s="4">
        <v>33.931428571428569</v>
      </c>
      <c r="N4515" t="s">
        <v>94</v>
      </c>
    </row>
    <row r="4516" spans="1:14">
      <c r="A4516">
        <v>4515</v>
      </c>
      <c r="B4516">
        <v>65</v>
      </c>
      <c r="C4516" t="s">
        <v>16</v>
      </c>
      <c r="D4516" t="s">
        <v>25</v>
      </c>
      <c r="E4516" t="s">
        <v>54</v>
      </c>
      <c r="F4516">
        <v>13.59</v>
      </c>
      <c r="G4516" t="s">
        <v>19</v>
      </c>
      <c r="H4516" t="s">
        <v>15</v>
      </c>
      <c r="I4516">
        <v>3.1</v>
      </c>
      <c r="J4516">
        <v>10</v>
      </c>
      <c r="K4516">
        <v>5</v>
      </c>
      <c r="L4516" s="4">
        <v>15.1</v>
      </c>
      <c r="M4516" s="4">
        <v>1.5099999999999998</v>
      </c>
      <c r="N4516" t="s">
        <v>95</v>
      </c>
    </row>
    <row r="4517" spans="1:14">
      <c r="A4517">
        <v>4516</v>
      </c>
      <c r="B4517">
        <v>41</v>
      </c>
      <c r="C4517" t="s">
        <v>16</v>
      </c>
      <c r="D4517" t="s">
        <v>25</v>
      </c>
      <c r="E4517" t="s">
        <v>57</v>
      </c>
      <c r="F4517">
        <v>11.01</v>
      </c>
      <c r="G4517" t="s">
        <v>31</v>
      </c>
      <c r="H4517" t="s">
        <v>37</v>
      </c>
      <c r="I4517">
        <v>4.5999999999999996</v>
      </c>
      <c r="J4517">
        <v>13</v>
      </c>
      <c r="K4517">
        <v>4</v>
      </c>
      <c r="L4517" s="4">
        <v>12.655172413793103</v>
      </c>
      <c r="M4517" s="4">
        <v>1.6451724137931034</v>
      </c>
      <c r="N4517" t="s">
        <v>92</v>
      </c>
    </row>
    <row r="4518" spans="1:14">
      <c r="A4518">
        <v>4517</v>
      </c>
      <c r="B4518">
        <v>35</v>
      </c>
      <c r="C4518" t="s">
        <v>16</v>
      </c>
      <c r="D4518" t="s">
        <v>20</v>
      </c>
      <c r="E4518" t="s">
        <v>36</v>
      </c>
      <c r="F4518">
        <v>156.76</v>
      </c>
      <c r="G4518" t="s">
        <v>24</v>
      </c>
      <c r="H4518" t="s">
        <v>15</v>
      </c>
      <c r="I4518">
        <v>3.3</v>
      </c>
      <c r="J4518">
        <v>6</v>
      </c>
      <c r="K4518">
        <v>3</v>
      </c>
      <c r="L4518" s="4">
        <v>166.7659574468085</v>
      </c>
      <c r="M4518" s="4">
        <v>10.005957446808509</v>
      </c>
      <c r="N4518" t="s">
        <v>92</v>
      </c>
    </row>
    <row r="4519" spans="1:14">
      <c r="A4519">
        <v>4518</v>
      </c>
      <c r="B4519">
        <v>55</v>
      </c>
      <c r="C4519" t="s">
        <v>11</v>
      </c>
      <c r="D4519" t="s">
        <v>33</v>
      </c>
      <c r="E4519" t="s">
        <v>34</v>
      </c>
      <c r="F4519">
        <v>40.21</v>
      </c>
      <c r="G4519" t="s">
        <v>14</v>
      </c>
      <c r="H4519" t="s">
        <v>15</v>
      </c>
      <c r="I4519">
        <v>3.5</v>
      </c>
      <c r="J4519">
        <v>14</v>
      </c>
      <c r="K4519">
        <v>2</v>
      </c>
      <c r="L4519" s="4">
        <v>46.755813953488371</v>
      </c>
      <c r="M4519" s="4">
        <v>6.5458139534883699</v>
      </c>
      <c r="N4519" t="s">
        <v>94</v>
      </c>
    </row>
    <row r="4520" spans="1:14">
      <c r="A4520">
        <v>4519</v>
      </c>
      <c r="B4520">
        <v>65</v>
      </c>
      <c r="C4520" t="s">
        <v>11</v>
      </c>
      <c r="D4520" t="s">
        <v>29</v>
      </c>
      <c r="E4520" t="s">
        <v>55</v>
      </c>
      <c r="F4520">
        <v>54.03</v>
      </c>
      <c r="G4520" t="s">
        <v>31</v>
      </c>
      <c r="H4520" t="s">
        <v>15</v>
      </c>
      <c r="I4520">
        <v>3.6</v>
      </c>
      <c r="J4520">
        <v>15</v>
      </c>
      <c r="K4520">
        <v>5</v>
      </c>
      <c r="L4520" s="4">
        <v>63.564705882352946</v>
      </c>
      <c r="M4520" s="4">
        <v>9.5347058823529451</v>
      </c>
      <c r="N4520" t="s">
        <v>95</v>
      </c>
    </row>
    <row r="4521" spans="1:14">
      <c r="A4521">
        <v>4520</v>
      </c>
      <c r="B4521">
        <v>40</v>
      </c>
      <c r="C4521" t="s">
        <v>11</v>
      </c>
      <c r="D4521" t="s">
        <v>22</v>
      </c>
      <c r="E4521" t="s">
        <v>43</v>
      </c>
      <c r="F4521">
        <v>216.9</v>
      </c>
      <c r="G4521" t="s">
        <v>31</v>
      </c>
      <c r="H4521" t="s">
        <v>15</v>
      </c>
      <c r="I4521">
        <v>3.7</v>
      </c>
      <c r="J4521">
        <v>4</v>
      </c>
      <c r="K4521">
        <v>2</v>
      </c>
      <c r="L4521" s="4">
        <v>225.93750000000003</v>
      </c>
      <c r="M4521" s="4">
        <v>9.0375000000000227</v>
      </c>
      <c r="N4521" t="s">
        <v>92</v>
      </c>
    </row>
    <row r="4522" spans="1:14">
      <c r="A4522">
        <v>4521</v>
      </c>
      <c r="B4522">
        <v>59</v>
      </c>
      <c r="C4522" t="s">
        <v>11</v>
      </c>
      <c r="D4522" t="s">
        <v>12</v>
      </c>
      <c r="E4522" t="s">
        <v>50</v>
      </c>
      <c r="F4522">
        <v>29.8</v>
      </c>
      <c r="G4522" t="s">
        <v>24</v>
      </c>
      <c r="H4522" t="s">
        <v>37</v>
      </c>
      <c r="I4522">
        <v>3.2</v>
      </c>
      <c r="J4522">
        <v>10</v>
      </c>
      <c r="K4522">
        <v>5</v>
      </c>
      <c r="L4522" s="4">
        <v>33.111111111111114</v>
      </c>
      <c r="M4522" s="4">
        <v>3.3111111111111136</v>
      </c>
      <c r="N4522" t="s">
        <v>94</v>
      </c>
    </row>
    <row r="4523" spans="1:14">
      <c r="A4523">
        <v>4522</v>
      </c>
      <c r="B4523">
        <v>59</v>
      </c>
      <c r="C4523" t="s">
        <v>11</v>
      </c>
      <c r="D4523" t="s">
        <v>29</v>
      </c>
      <c r="E4523" t="s">
        <v>30</v>
      </c>
      <c r="F4523">
        <v>111.6</v>
      </c>
      <c r="G4523" t="s">
        <v>19</v>
      </c>
      <c r="H4523" t="s">
        <v>15</v>
      </c>
      <c r="I4523">
        <v>2.2000000000000002</v>
      </c>
      <c r="J4523">
        <v>4</v>
      </c>
      <c r="K4523">
        <v>2</v>
      </c>
      <c r="L4523" s="4">
        <v>116.25</v>
      </c>
      <c r="M4523" s="4">
        <v>4.6500000000000057</v>
      </c>
      <c r="N4523" t="s">
        <v>94</v>
      </c>
    </row>
    <row r="4524" spans="1:14">
      <c r="A4524">
        <v>4523</v>
      </c>
      <c r="B4524">
        <v>70</v>
      </c>
      <c r="C4524" t="s">
        <v>11</v>
      </c>
      <c r="D4524" t="s">
        <v>41</v>
      </c>
      <c r="E4524" t="s">
        <v>45</v>
      </c>
      <c r="F4524">
        <v>161.66999999999999</v>
      </c>
      <c r="G4524" t="s">
        <v>24</v>
      </c>
      <c r="H4524" t="s">
        <v>15</v>
      </c>
      <c r="I4524">
        <v>3.8</v>
      </c>
      <c r="J4524">
        <v>17</v>
      </c>
      <c r="K4524">
        <v>6</v>
      </c>
      <c r="L4524" s="4">
        <v>194.78313253012047</v>
      </c>
      <c r="M4524" s="4">
        <v>33.113132530120481</v>
      </c>
      <c r="N4524" t="s">
        <v>95</v>
      </c>
    </row>
    <row r="4525" spans="1:14">
      <c r="A4525">
        <v>4524</v>
      </c>
      <c r="B4525">
        <v>59</v>
      </c>
      <c r="C4525" t="s">
        <v>16</v>
      </c>
      <c r="D4525" t="s">
        <v>22</v>
      </c>
      <c r="E4525" t="s">
        <v>52</v>
      </c>
      <c r="F4525">
        <v>155.09</v>
      </c>
      <c r="G4525" t="s">
        <v>31</v>
      </c>
      <c r="H4525" t="s">
        <v>15</v>
      </c>
      <c r="I4525">
        <v>3.6</v>
      </c>
      <c r="J4525">
        <v>18</v>
      </c>
      <c r="K4525">
        <v>9</v>
      </c>
      <c r="L4525" s="4">
        <v>189.13414634146341</v>
      </c>
      <c r="M4525" s="4">
        <v>34.044146341463403</v>
      </c>
      <c r="N4525" t="s">
        <v>94</v>
      </c>
    </row>
    <row r="4526" spans="1:14">
      <c r="A4526">
        <v>4525</v>
      </c>
      <c r="B4526">
        <v>61</v>
      </c>
      <c r="C4526" t="s">
        <v>11</v>
      </c>
      <c r="D4526" t="s">
        <v>20</v>
      </c>
      <c r="E4526" t="s">
        <v>21</v>
      </c>
      <c r="F4526">
        <v>140.07</v>
      </c>
      <c r="G4526" t="s">
        <v>31</v>
      </c>
      <c r="H4526" t="s">
        <v>15</v>
      </c>
      <c r="I4526">
        <v>4</v>
      </c>
      <c r="J4526">
        <v>10</v>
      </c>
      <c r="K4526">
        <v>5</v>
      </c>
      <c r="L4526" s="4">
        <v>155.63333333333333</v>
      </c>
      <c r="M4526" s="4">
        <v>15.563333333333333</v>
      </c>
      <c r="N4526" t="s">
        <v>94</v>
      </c>
    </row>
    <row r="4527" spans="1:14">
      <c r="A4527">
        <v>4526</v>
      </c>
      <c r="B4527">
        <v>68</v>
      </c>
      <c r="C4527" t="s">
        <v>16</v>
      </c>
      <c r="D4527" t="s">
        <v>27</v>
      </c>
      <c r="E4527" t="s">
        <v>53</v>
      </c>
      <c r="F4527">
        <v>894.06</v>
      </c>
      <c r="G4527" t="s">
        <v>24</v>
      </c>
      <c r="H4527" t="s">
        <v>15</v>
      </c>
      <c r="I4527">
        <v>3.9</v>
      </c>
      <c r="J4527">
        <v>10</v>
      </c>
      <c r="K4527">
        <v>5</v>
      </c>
      <c r="L4527" s="4">
        <v>993.39999999999986</v>
      </c>
      <c r="M4527" s="4">
        <v>99.339999999999918</v>
      </c>
      <c r="N4527" t="s">
        <v>95</v>
      </c>
    </row>
    <row r="4528" spans="1:14">
      <c r="A4528">
        <v>4527</v>
      </c>
      <c r="B4528">
        <v>45</v>
      </c>
      <c r="C4528" t="s">
        <v>11</v>
      </c>
      <c r="D4528" t="s">
        <v>33</v>
      </c>
      <c r="E4528" t="s">
        <v>34</v>
      </c>
      <c r="F4528">
        <v>232.18</v>
      </c>
      <c r="G4528" t="s">
        <v>24</v>
      </c>
      <c r="H4528" t="s">
        <v>15</v>
      </c>
      <c r="I4528">
        <v>4.5</v>
      </c>
      <c r="J4528">
        <v>20</v>
      </c>
      <c r="K4528">
        <v>5</v>
      </c>
      <c r="L4528" s="4">
        <v>290.22499999999997</v>
      </c>
      <c r="M4528" s="4">
        <v>58.044999999999959</v>
      </c>
      <c r="N4528" t="s">
        <v>93</v>
      </c>
    </row>
    <row r="4529" spans="1:14">
      <c r="A4529">
        <v>4528</v>
      </c>
      <c r="B4529">
        <v>35</v>
      </c>
      <c r="C4529" t="s">
        <v>11</v>
      </c>
      <c r="D4529" t="s">
        <v>33</v>
      </c>
      <c r="E4529" t="s">
        <v>40</v>
      </c>
      <c r="F4529">
        <v>185.34</v>
      </c>
      <c r="G4529" t="s">
        <v>31</v>
      </c>
      <c r="H4529" t="s">
        <v>15</v>
      </c>
      <c r="I4529">
        <v>3.6</v>
      </c>
      <c r="J4529">
        <v>13</v>
      </c>
      <c r="K4529">
        <v>4</v>
      </c>
      <c r="L4529" s="4">
        <v>213.0344827586207</v>
      </c>
      <c r="M4529" s="4">
        <v>27.694482758620694</v>
      </c>
      <c r="N4529" t="s">
        <v>92</v>
      </c>
    </row>
    <row r="4530" spans="1:14">
      <c r="A4530">
        <v>4529</v>
      </c>
      <c r="B4530">
        <v>54</v>
      </c>
      <c r="C4530" t="s">
        <v>16</v>
      </c>
      <c r="D4530" t="s">
        <v>20</v>
      </c>
      <c r="E4530" t="s">
        <v>39</v>
      </c>
      <c r="F4530">
        <v>245.45</v>
      </c>
      <c r="G4530" t="s">
        <v>31</v>
      </c>
      <c r="H4530" t="s">
        <v>15</v>
      </c>
      <c r="I4530">
        <v>3.6</v>
      </c>
      <c r="J4530">
        <v>8</v>
      </c>
      <c r="K4530">
        <v>4</v>
      </c>
      <c r="L4530" s="4">
        <v>266.79347826086956</v>
      </c>
      <c r="M4530" s="4">
        <v>21.343478260869574</v>
      </c>
      <c r="N4530" t="s">
        <v>93</v>
      </c>
    </row>
    <row r="4531" spans="1:14">
      <c r="A4531">
        <v>4530</v>
      </c>
      <c r="B4531">
        <v>53</v>
      </c>
      <c r="C4531" t="s">
        <v>11</v>
      </c>
      <c r="D4531" t="s">
        <v>29</v>
      </c>
      <c r="E4531" t="s">
        <v>55</v>
      </c>
      <c r="F4531">
        <v>30.54</v>
      </c>
      <c r="G4531" t="s">
        <v>14</v>
      </c>
      <c r="H4531" t="s">
        <v>15</v>
      </c>
      <c r="I4531">
        <v>4</v>
      </c>
      <c r="J4531">
        <v>7</v>
      </c>
      <c r="K4531">
        <v>1</v>
      </c>
      <c r="L4531" s="4">
        <v>32.838709677419359</v>
      </c>
      <c r="M4531" s="4">
        <v>2.2987096774193603</v>
      </c>
      <c r="N4531" t="s">
        <v>93</v>
      </c>
    </row>
    <row r="4532" spans="1:14">
      <c r="A4532">
        <v>4531</v>
      </c>
      <c r="B4532">
        <v>30</v>
      </c>
      <c r="C4532" t="s">
        <v>11</v>
      </c>
      <c r="D4532" t="s">
        <v>41</v>
      </c>
      <c r="E4532" t="s">
        <v>45</v>
      </c>
      <c r="F4532">
        <v>95.64</v>
      </c>
      <c r="G4532" t="s">
        <v>24</v>
      </c>
      <c r="H4532" t="s">
        <v>37</v>
      </c>
      <c r="I4532">
        <v>4.5</v>
      </c>
      <c r="J4532">
        <v>17</v>
      </c>
      <c r="K4532">
        <v>6</v>
      </c>
      <c r="L4532" s="4">
        <v>115.22891566265061</v>
      </c>
      <c r="M4532" s="4">
        <v>19.588915662650606</v>
      </c>
      <c r="N4532" t="s">
        <v>91</v>
      </c>
    </row>
    <row r="4533" spans="1:14">
      <c r="A4533">
        <v>4532</v>
      </c>
      <c r="B4533">
        <v>52</v>
      </c>
      <c r="C4533" t="s">
        <v>16</v>
      </c>
      <c r="D4533" t="s">
        <v>17</v>
      </c>
      <c r="E4533" t="s">
        <v>18</v>
      </c>
      <c r="F4533">
        <v>134.28</v>
      </c>
      <c r="G4533" t="s">
        <v>24</v>
      </c>
      <c r="H4533" t="s">
        <v>15</v>
      </c>
      <c r="I4533">
        <v>3.1</v>
      </c>
      <c r="J4533">
        <v>8</v>
      </c>
      <c r="K4533">
        <v>4</v>
      </c>
      <c r="L4533" s="4">
        <v>145.95652173913044</v>
      </c>
      <c r="M4533" s="4">
        <v>11.676521739130436</v>
      </c>
      <c r="N4533" t="s">
        <v>93</v>
      </c>
    </row>
    <row r="4534" spans="1:14">
      <c r="A4534">
        <v>4533</v>
      </c>
      <c r="B4534">
        <v>42</v>
      </c>
      <c r="C4534" t="s">
        <v>16</v>
      </c>
      <c r="D4534" t="s">
        <v>20</v>
      </c>
      <c r="E4534" t="s">
        <v>21</v>
      </c>
      <c r="F4534">
        <v>249.3</v>
      </c>
      <c r="G4534" t="s">
        <v>31</v>
      </c>
      <c r="H4534" t="s">
        <v>15</v>
      </c>
      <c r="I4534">
        <v>5</v>
      </c>
      <c r="J4534">
        <v>18</v>
      </c>
      <c r="K4534">
        <v>4</v>
      </c>
      <c r="L4534" s="4">
        <v>304.02439024390242</v>
      </c>
      <c r="M4534" s="4">
        <v>54.724390243902405</v>
      </c>
      <c r="N4534" t="s">
        <v>92</v>
      </c>
    </row>
    <row r="4535" spans="1:14">
      <c r="A4535">
        <v>4534</v>
      </c>
      <c r="B4535">
        <v>44</v>
      </c>
      <c r="C4535" t="s">
        <v>16</v>
      </c>
      <c r="D4535" t="s">
        <v>33</v>
      </c>
      <c r="E4535" t="s">
        <v>40</v>
      </c>
      <c r="F4535">
        <v>55.33</v>
      </c>
      <c r="G4535" t="s">
        <v>31</v>
      </c>
      <c r="H4535" t="s">
        <v>15</v>
      </c>
      <c r="I4535">
        <v>4.5</v>
      </c>
      <c r="J4535">
        <v>28</v>
      </c>
      <c r="K4535">
        <v>9</v>
      </c>
      <c r="L4535" s="4">
        <v>76.847222222222229</v>
      </c>
      <c r="M4535" s="4">
        <v>21.51722222222223</v>
      </c>
      <c r="N4535" t="s">
        <v>92</v>
      </c>
    </row>
    <row r="4536" spans="1:14">
      <c r="A4536">
        <v>4535</v>
      </c>
      <c r="B4536">
        <v>60</v>
      </c>
      <c r="C4536" t="s">
        <v>16</v>
      </c>
      <c r="D4536" t="s">
        <v>25</v>
      </c>
      <c r="E4536" t="s">
        <v>26</v>
      </c>
      <c r="F4536">
        <v>10.3</v>
      </c>
      <c r="G4536" t="s">
        <v>19</v>
      </c>
      <c r="H4536" t="s">
        <v>37</v>
      </c>
      <c r="I4536">
        <v>3.9</v>
      </c>
      <c r="J4536">
        <v>17</v>
      </c>
      <c r="K4536">
        <v>6</v>
      </c>
      <c r="L4536" s="4">
        <v>12.409638554216869</v>
      </c>
      <c r="M4536" s="4">
        <v>2.1096385542168683</v>
      </c>
      <c r="N4536" t="s">
        <v>94</v>
      </c>
    </row>
    <row r="4537" spans="1:14">
      <c r="A4537">
        <v>4536</v>
      </c>
      <c r="B4537">
        <v>22</v>
      </c>
      <c r="C4537" t="s">
        <v>11</v>
      </c>
      <c r="D4537" t="s">
        <v>33</v>
      </c>
      <c r="E4537" t="s">
        <v>34</v>
      </c>
      <c r="F4537">
        <v>109.51</v>
      </c>
      <c r="G4537" t="s">
        <v>19</v>
      </c>
      <c r="H4537" t="s">
        <v>15</v>
      </c>
      <c r="I4537">
        <v>4.8</v>
      </c>
      <c r="J4537">
        <v>10</v>
      </c>
      <c r="K4537">
        <v>5</v>
      </c>
      <c r="L4537" s="4">
        <v>121.67777777777778</v>
      </c>
      <c r="M4537" s="4">
        <v>12.167777777777772</v>
      </c>
      <c r="N4537" t="s">
        <v>100</v>
      </c>
    </row>
    <row r="4538" spans="1:14">
      <c r="A4538">
        <v>4537</v>
      </c>
      <c r="B4538">
        <v>31</v>
      </c>
      <c r="C4538" t="s">
        <v>16</v>
      </c>
      <c r="D4538" t="s">
        <v>27</v>
      </c>
      <c r="E4538" t="s">
        <v>32</v>
      </c>
      <c r="F4538">
        <v>1550.91</v>
      </c>
      <c r="G4538" t="s">
        <v>19</v>
      </c>
      <c r="H4538" t="s">
        <v>15</v>
      </c>
      <c r="I4538">
        <v>2.1</v>
      </c>
      <c r="J4538">
        <v>9</v>
      </c>
      <c r="K4538">
        <v>2</v>
      </c>
      <c r="L4538" s="4">
        <v>1704.2967032967033</v>
      </c>
      <c r="M4538" s="4">
        <v>153.38670329670322</v>
      </c>
      <c r="N4538" t="s">
        <v>91</v>
      </c>
    </row>
    <row r="4539" spans="1:14">
      <c r="A4539">
        <v>4538</v>
      </c>
      <c r="B4539">
        <v>38</v>
      </c>
      <c r="C4539" t="s">
        <v>16</v>
      </c>
      <c r="D4539" t="s">
        <v>33</v>
      </c>
      <c r="E4539" t="s">
        <v>40</v>
      </c>
      <c r="F4539">
        <v>192.19</v>
      </c>
      <c r="G4539" t="s">
        <v>14</v>
      </c>
      <c r="H4539" t="s">
        <v>15</v>
      </c>
      <c r="I4539">
        <v>3.5</v>
      </c>
      <c r="J4539">
        <v>11</v>
      </c>
      <c r="K4539">
        <v>3</v>
      </c>
      <c r="L4539" s="4">
        <v>215.9438202247191</v>
      </c>
      <c r="M4539" s="4">
        <v>23.753820224719107</v>
      </c>
      <c r="N4539" t="s">
        <v>92</v>
      </c>
    </row>
    <row r="4540" spans="1:14">
      <c r="A4540">
        <v>4539</v>
      </c>
      <c r="B4540">
        <v>49</v>
      </c>
      <c r="C4540" t="s">
        <v>16</v>
      </c>
      <c r="D4540" t="s">
        <v>27</v>
      </c>
      <c r="E4540" t="s">
        <v>32</v>
      </c>
      <c r="F4540">
        <v>2208.2199999999998</v>
      </c>
      <c r="G4540" t="s">
        <v>31</v>
      </c>
      <c r="H4540" t="s">
        <v>15</v>
      </c>
      <c r="I4540">
        <v>3.8</v>
      </c>
      <c r="J4540">
        <v>8</v>
      </c>
      <c r="K4540">
        <v>4</v>
      </c>
      <c r="L4540" s="4">
        <v>2400.2391304347825</v>
      </c>
      <c r="M4540" s="4">
        <v>192.01913043478271</v>
      </c>
      <c r="N4540" t="s">
        <v>93</v>
      </c>
    </row>
    <row r="4541" spans="1:14">
      <c r="A4541">
        <v>4540</v>
      </c>
      <c r="B4541">
        <v>23</v>
      </c>
      <c r="C4541" t="s">
        <v>11</v>
      </c>
      <c r="D4541" t="s">
        <v>20</v>
      </c>
      <c r="E4541" t="s">
        <v>39</v>
      </c>
      <c r="F4541">
        <v>37.85</v>
      </c>
      <c r="G4541" t="s">
        <v>24</v>
      </c>
      <c r="H4541" t="s">
        <v>15</v>
      </c>
      <c r="I4541">
        <v>3.1</v>
      </c>
      <c r="J4541">
        <v>19</v>
      </c>
      <c r="K4541">
        <v>7</v>
      </c>
      <c r="L4541" s="4">
        <v>46.728395061728392</v>
      </c>
      <c r="M4541" s="4">
        <v>8.8783950617283907</v>
      </c>
      <c r="N4541" t="s">
        <v>100</v>
      </c>
    </row>
    <row r="4542" spans="1:14">
      <c r="A4542">
        <v>4541</v>
      </c>
      <c r="B4542">
        <v>40</v>
      </c>
      <c r="C4542" t="s">
        <v>11</v>
      </c>
      <c r="D4542" t="s">
        <v>33</v>
      </c>
      <c r="E4542" t="s">
        <v>40</v>
      </c>
      <c r="F4542">
        <v>96.16</v>
      </c>
      <c r="G4542" t="s">
        <v>31</v>
      </c>
      <c r="H4542" t="s">
        <v>37</v>
      </c>
      <c r="I4542">
        <v>4.0999999999999996</v>
      </c>
      <c r="J4542">
        <v>14</v>
      </c>
      <c r="K4542">
        <v>2</v>
      </c>
      <c r="L4542" s="4">
        <v>111.81395348837209</v>
      </c>
      <c r="M4542" s="4">
        <v>15.653953488372096</v>
      </c>
      <c r="N4542" t="s">
        <v>92</v>
      </c>
    </row>
    <row r="4543" spans="1:14">
      <c r="A4543">
        <v>4542</v>
      </c>
      <c r="B4543">
        <v>62</v>
      </c>
      <c r="C4543" t="s">
        <v>16</v>
      </c>
      <c r="D4543" t="s">
        <v>33</v>
      </c>
      <c r="E4543" t="s">
        <v>34</v>
      </c>
      <c r="F4543">
        <v>73.58</v>
      </c>
      <c r="G4543" t="s">
        <v>19</v>
      </c>
      <c r="H4543" t="s">
        <v>15</v>
      </c>
      <c r="I4543">
        <v>3.2</v>
      </c>
      <c r="J4543">
        <v>10</v>
      </c>
      <c r="K4543">
        <v>5</v>
      </c>
      <c r="L4543" s="4">
        <v>81.755555555555546</v>
      </c>
      <c r="M4543" s="4">
        <v>8.1755555555555475</v>
      </c>
      <c r="N4543" t="s">
        <v>94</v>
      </c>
    </row>
    <row r="4544" spans="1:14">
      <c r="A4544">
        <v>4543</v>
      </c>
      <c r="B4544">
        <v>27</v>
      </c>
      <c r="C4544" t="s">
        <v>11</v>
      </c>
      <c r="D4544" t="s">
        <v>33</v>
      </c>
      <c r="E4544" t="s">
        <v>34</v>
      </c>
      <c r="F4544">
        <v>108.25</v>
      </c>
      <c r="G4544" t="s">
        <v>24</v>
      </c>
      <c r="H4544" t="s">
        <v>15</v>
      </c>
      <c r="I4544">
        <v>4.4000000000000004</v>
      </c>
      <c r="J4544">
        <v>15</v>
      </c>
      <c r="K4544">
        <v>5</v>
      </c>
      <c r="L4544" s="4">
        <v>127.35294117647059</v>
      </c>
      <c r="M4544" s="4">
        <v>19.102941176470594</v>
      </c>
      <c r="N4544" t="s">
        <v>91</v>
      </c>
    </row>
    <row r="4545" spans="1:14">
      <c r="A4545">
        <v>4544</v>
      </c>
      <c r="B4545">
        <v>35</v>
      </c>
      <c r="C4545" t="s">
        <v>11</v>
      </c>
      <c r="D4545" t="s">
        <v>20</v>
      </c>
      <c r="E4545" t="s">
        <v>21</v>
      </c>
      <c r="F4545">
        <v>84.39</v>
      </c>
      <c r="G4545" t="s">
        <v>31</v>
      </c>
      <c r="H4545" t="s">
        <v>15</v>
      </c>
      <c r="I4545">
        <v>4.8</v>
      </c>
      <c r="J4545">
        <v>19</v>
      </c>
      <c r="K4545">
        <v>7</v>
      </c>
      <c r="L4545" s="4">
        <v>104.18518518518518</v>
      </c>
      <c r="M4545" s="4">
        <v>19.795185185185176</v>
      </c>
      <c r="N4545" t="s">
        <v>92</v>
      </c>
    </row>
    <row r="4546" spans="1:14">
      <c r="A4546">
        <v>4545</v>
      </c>
      <c r="B4546">
        <v>21</v>
      </c>
      <c r="C4546" t="s">
        <v>16</v>
      </c>
      <c r="D4546" t="s">
        <v>27</v>
      </c>
      <c r="E4546" t="s">
        <v>49</v>
      </c>
      <c r="F4546">
        <v>2196.35</v>
      </c>
      <c r="G4546" t="s">
        <v>24</v>
      </c>
      <c r="H4546" t="s">
        <v>15</v>
      </c>
      <c r="I4546">
        <v>3.8</v>
      </c>
      <c r="J4546">
        <v>10</v>
      </c>
      <c r="K4546">
        <v>5</v>
      </c>
      <c r="L4546" s="4">
        <v>2440.3888888888887</v>
      </c>
      <c r="M4546" s="4">
        <v>244.03888888888878</v>
      </c>
      <c r="N4546" t="s">
        <v>100</v>
      </c>
    </row>
    <row r="4547" spans="1:14">
      <c r="A4547">
        <v>4546</v>
      </c>
      <c r="B4547">
        <v>55</v>
      </c>
      <c r="C4547" t="s">
        <v>16</v>
      </c>
      <c r="D4547" t="s">
        <v>17</v>
      </c>
      <c r="E4547" t="s">
        <v>35</v>
      </c>
      <c r="F4547">
        <v>56.1</v>
      </c>
      <c r="G4547" t="s">
        <v>24</v>
      </c>
      <c r="H4547" t="s">
        <v>15</v>
      </c>
      <c r="I4547">
        <v>5</v>
      </c>
      <c r="J4547">
        <v>12</v>
      </c>
      <c r="K4547">
        <v>6</v>
      </c>
      <c r="L4547" s="4">
        <v>63.75</v>
      </c>
      <c r="M4547" s="4">
        <v>7.6499999999999986</v>
      </c>
      <c r="N4547" t="s">
        <v>94</v>
      </c>
    </row>
    <row r="4548" spans="1:14">
      <c r="A4548">
        <v>4547</v>
      </c>
      <c r="B4548">
        <v>49</v>
      </c>
      <c r="C4548" t="s">
        <v>16</v>
      </c>
      <c r="D4548" t="s">
        <v>17</v>
      </c>
      <c r="E4548" t="s">
        <v>48</v>
      </c>
      <c r="F4548">
        <v>115.95</v>
      </c>
      <c r="G4548" t="s">
        <v>19</v>
      </c>
      <c r="H4548" t="s">
        <v>15</v>
      </c>
      <c r="I4548">
        <v>3.7</v>
      </c>
      <c r="J4548">
        <v>15</v>
      </c>
      <c r="K4548">
        <v>5</v>
      </c>
      <c r="L4548" s="4">
        <v>136.41176470588235</v>
      </c>
      <c r="M4548" s="4">
        <v>20.461764705882345</v>
      </c>
      <c r="N4548" t="s">
        <v>93</v>
      </c>
    </row>
    <row r="4549" spans="1:14">
      <c r="A4549">
        <v>4548</v>
      </c>
      <c r="B4549">
        <v>60</v>
      </c>
      <c r="C4549" t="s">
        <v>16</v>
      </c>
      <c r="D4549" t="s">
        <v>20</v>
      </c>
      <c r="E4549" t="s">
        <v>21</v>
      </c>
      <c r="F4549">
        <v>122.97</v>
      </c>
      <c r="G4549" t="s">
        <v>14</v>
      </c>
      <c r="H4549" t="s">
        <v>15</v>
      </c>
      <c r="I4549">
        <v>3.8</v>
      </c>
      <c r="J4549">
        <v>9</v>
      </c>
      <c r="K4549">
        <v>2</v>
      </c>
      <c r="L4549" s="4">
        <v>135.13186813186812</v>
      </c>
      <c r="M4549" s="4">
        <v>12.161868131868118</v>
      </c>
      <c r="N4549" t="s">
        <v>94</v>
      </c>
    </row>
    <row r="4550" spans="1:14">
      <c r="A4550">
        <v>4549</v>
      </c>
      <c r="B4550">
        <v>46</v>
      </c>
      <c r="C4550" t="s">
        <v>16</v>
      </c>
      <c r="D4550" t="s">
        <v>27</v>
      </c>
      <c r="E4550" t="s">
        <v>28</v>
      </c>
      <c r="F4550">
        <v>561.66</v>
      </c>
      <c r="G4550" t="s">
        <v>31</v>
      </c>
      <c r="H4550" t="s">
        <v>15</v>
      </c>
      <c r="I4550">
        <v>3.8</v>
      </c>
      <c r="J4550">
        <v>12</v>
      </c>
      <c r="K4550">
        <v>6</v>
      </c>
      <c r="L4550" s="4">
        <v>638.25</v>
      </c>
      <c r="M4550" s="4">
        <v>76.590000000000032</v>
      </c>
      <c r="N4550" t="s">
        <v>93</v>
      </c>
    </row>
    <row r="4551" spans="1:14">
      <c r="A4551">
        <v>4550</v>
      </c>
      <c r="B4551">
        <v>69</v>
      </c>
      <c r="C4551" t="s">
        <v>11</v>
      </c>
      <c r="D4551" t="s">
        <v>41</v>
      </c>
      <c r="E4551" t="s">
        <v>45</v>
      </c>
      <c r="F4551">
        <v>73.88</v>
      </c>
      <c r="G4551" t="s">
        <v>31</v>
      </c>
      <c r="H4551" t="s">
        <v>15</v>
      </c>
      <c r="I4551">
        <v>4.3</v>
      </c>
      <c r="J4551">
        <v>17</v>
      </c>
      <c r="K4551">
        <v>6</v>
      </c>
      <c r="L4551" s="4">
        <v>89.01204819277109</v>
      </c>
      <c r="M4551" s="4">
        <v>15.132048192771094</v>
      </c>
      <c r="N4551" t="s">
        <v>95</v>
      </c>
    </row>
    <row r="4552" spans="1:14">
      <c r="A4552">
        <v>4551</v>
      </c>
      <c r="B4552">
        <v>49</v>
      </c>
      <c r="C4552" t="s">
        <v>11</v>
      </c>
      <c r="D4552" t="s">
        <v>33</v>
      </c>
      <c r="E4552" t="s">
        <v>38</v>
      </c>
      <c r="F4552">
        <v>96.13</v>
      </c>
      <c r="G4552" t="s">
        <v>19</v>
      </c>
      <c r="H4552" t="s">
        <v>37</v>
      </c>
      <c r="I4552">
        <v>4</v>
      </c>
      <c r="J4552">
        <v>15</v>
      </c>
      <c r="K4552">
        <v>5</v>
      </c>
      <c r="L4552" s="4">
        <v>113.09411764705882</v>
      </c>
      <c r="M4552" s="4">
        <v>16.964117647058828</v>
      </c>
      <c r="N4552" t="s">
        <v>93</v>
      </c>
    </row>
    <row r="4553" spans="1:14">
      <c r="A4553">
        <v>4552</v>
      </c>
      <c r="B4553">
        <v>58</v>
      </c>
      <c r="C4553" t="s">
        <v>16</v>
      </c>
      <c r="D4553" t="s">
        <v>17</v>
      </c>
      <c r="E4553" t="s">
        <v>35</v>
      </c>
      <c r="F4553">
        <v>128.34</v>
      </c>
      <c r="G4553" t="s">
        <v>19</v>
      </c>
      <c r="H4553" t="s">
        <v>15</v>
      </c>
      <c r="I4553">
        <v>3.6</v>
      </c>
      <c r="J4553">
        <v>22</v>
      </c>
      <c r="K4553">
        <v>6</v>
      </c>
      <c r="L4553" s="4">
        <v>164.53846153846155</v>
      </c>
      <c r="M4553" s="4">
        <v>36.198461538461544</v>
      </c>
      <c r="N4553" t="s">
        <v>94</v>
      </c>
    </row>
    <row r="4554" spans="1:14">
      <c r="A4554">
        <v>4553</v>
      </c>
      <c r="B4554">
        <v>22</v>
      </c>
      <c r="C4554" t="s">
        <v>16</v>
      </c>
      <c r="D4554" t="s">
        <v>25</v>
      </c>
      <c r="E4554" t="s">
        <v>54</v>
      </c>
      <c r="F4554">
        <v>36.200000000000003</v>
      </c>
      <c r="G4554" t="s">
        <v>14</v>
      </c>
      <c r="H4554" t="s">
        <v>37</v>
      </c>
      <c r="I4554">
        <v>5</v>
      </c>
      <c r="J4554">
        <v>20</v>
      </c>
      <c r="K4554">
        <v>5</v>
      </c>
      <c r="L4554" s="4">
        <v>45.25</v>
      </c>
      <c r="M4554" s="4">
        <v>9.0499999999999972</v>
      </c>
      <c r="N4554" t="s">
        <v>100</v>
      </c>
    </row>
    <row r="4555" spans="1:14">
      <c r="A4555">
        <v>4554</v>
      </c>
      <c r="B4555">
        <v>50</v>
      </c>
      <c r="C4555" t="s">
        <v>11</v>
      </c>
      <c r="D4555" t="s">
        <v>29</v>
      </c>
      <c r="E4555" t="s">
        <v>55</v>
      </c>
      <c r="F4555">
        <v>22.59</v>
      </c>
      <c r="G4555" t="s">
        <v>19</v>
      </c>
      <c r="H4555" t="s">
        <v>37</v>
      </c>
      <c r="I4555">
        <v>3.9</v>
      </c>
      <c r="J4555">
        <v>20</v>
      </c>
      <c r="K4555">
        <v>5</v>
      </c>
      <c r="L4555" s="4">
        <v>28.237499999999997</v>
      </c>
      <c r="M4555" s="4">
        <v>5.6474999999999973</v>
      </c>
      <c r="N4555" t="s">
        <v>93</v>
      </c>
    </row>
    <row r="4556" spans="1:14">
      <c r="A4556">
        <v>4555</v>
      </c>
      <c r="B4556">
        <v>41</v>
      </c>
      <c r="C4556" t="s">
        <v>11</v>
      </c>
      <c r="D4556" t="s">
        <v>33</v>
      </c>
      <c r="E4556" t="s">
        <v>38</v>
      </c>
      <c r="F4556">
        <v>55.08</v>
      </c>
      <c r="G4556" t="s">
        <v>19</v>
      </c>
      <c r="H4556" t="s">
        <v>37</v>
      </c>
      <c r="I4556">
        <v>4</v>
      </c>
      <c r="J4556">
        <v>26</v>
      </c>
      <c r="K4556">
        <v>8</v>
      </c>
      <c r="L4556" s="4">
        <v>74.432432432432435</v>
      </c>
      <c r="M4556" s="4">
        <v>19.352432432432437</v>
      </c>
      <c r="N4556" t="s">
        <v>92</v>
      </c>
    </row>
    <row r="4557" spans="1:14">
      <c r="A4557">
        <v>4556</v>
      </c>
      <c r="B4557">
        <v>68</v>
      </c>
      <c r="C4557" t="s">
        <v>11</v>
      </c>
      <c r="D4557" t="s">
        <v>12</v>
      </c>
      <c r="E4557" t="s">
        <v>56</v>
      </c>
      <c r="F4557">
        <v>121.36</v>
      </c>
      <c r="G4557" t="s">
        <v>24</v>
      </c>
      <c r="H4557" t="s">
        <v>15</v>
      </c>
      <c r="I4557">
        <v>2.7</v>
      </c>
      <c r="J4557">
        <v>15</v>
      </c>
      <c r="K4557">
        <v>5</v>
      </c>
      <c r="L4557" s="4">
        <v>142.7764705882353</v>
      </c>
      <c r="M4557" s="4">
        <v>21.416470588235299</v>
      </c>
      <c r="N4557" t="s">
        <v>95</v>
      </c>
    </row>
    <row r="4558" spans="1:14">
      <c r="A4558">
        <v>4557</v>
      </c>
      <c r="B4558">
        <v>67</v>
      </c>
      <c r="C4558" t="s">
        <v>16</v>
      </c>
      <c r="D4558" t="s">
        <v>33</v>
      </c>
      <c r="E4558" t="s">
        <v>34</v>
      </c>
      <c r="F4558">
        <v>202.9</v>
      </c>
      <c r="G4558" t="s">
        <v>14</v>
      </c>
      <c r="H4558" t="s">
        <v>15</v>
      </c>
      <c r="I4558">
        <v>3.7</v>
      </c>
      <c r="J4558">
        <v>20</v>
      </c>
      <c r="K4558">
        <v>5</v>
      </c>
      <c r="L4558" s="4">
        <v>253.625</v>
      </c>
      <c r="M4558" s="4">
        <v>50.724999999999994</v>
      </c>
      <c r="N4558" t="s">
        <v>95</v>
      </c>
    </row>
    <row r="4559" spans="1:14">
      <c r="A4559">
        <v>4558</v>
      </c>
      <c r="B4559">
        <v>67</v>
      </c>
      <c r="C4559" t="s">
        <v>16</v>
      </c>
      <c r="D4559" t="s">
        <v>17</v>
      </c>
      <c r="E4559" t="s">
        <v>42</v>
      </c>
      <c r="F4559">
        <v>185.7</v>
      </c>
      <c r="G4559" t="s">
        <v>14</v>
      </c>
      <c r="H4559" t="s">
        <v>15</v>
      </c>
      <c r="I4559">
        <v>3.1</v>
      </c>
      <c r="J4559">
        <v>2</v>
      </c>
      <c r="K4559">
        <v>1</v>
      </c>
      <c r="L4559" s="4">
        <v>189.48979591836735</v>
      </c>
      <c r="M4559" s="4">
        <v>3.7897959183673606</v>
      </c>
      <c r="N4559" t="s">
        <v>95</v>
      </c>
    </row>
    <row r="4560" spans="1:14">
      <c r="A4560">
        <v>4559</v>
      </c>
      <c r="B4560">
        <v>24</v>
      </c>
      <c r="C4560" t="s">
        <v>16</v>
      </c>
      <c r="D4560" t="s">
        <v>17</v>
      </c>
      <c r="E4560" t="s">
        <v>42</v>
      </c>
      <c r="F4560">
        <v>156.16999999999999</v>
      </c>
      <c r="G4560" t="s">
        <v>19</v>
      </c>
      <c r="H4560" t="s">
        <v>15</v>
      </c>
      <c r="I4560">
        <v>4.0999999999999996</v>
      </c>
      <c r="J4560">
        <v>11</v>
      </c>
      <c r="K4560">
        <v>3</v>
      </c>
      <c r="L4560" s="4">
        <v>175.47191011235952</v>
      </c>
      <c r="M4560" s="4">
        <v>19.301910112359536</v>
      </c>
      <c r="N4560" t="s">
        <v>100</v>
      </c>
    </row>
    <row r="4561" spans="1:14">
      <c r="A4561">
        <v>4560</v>
      </c>
      <c r="B4561">
        <v>56</v>
      </c>
      <c r="C4561" t="s">
        <v>11</v>
      </c>
      <c r="D4561" t="s">
        <v>29</v>
      </c>
      <c r="E4561" t="s">
        <v>30</v>
      </c>
      <c r="F4561">
        <v>32.07</v>
      </c>
      <c r="G4561" t="s">
        <v>31</v>
      </c>
      <c r="H4561" t="s">
        <v>15</v>
      </c>
      <c r="I4561">
        <v>3.7</v>
      </c>
      <c r="J4561">
        <v>34</v>
      </c>
      <c r="K4561">
        <v>12</v>
      </c>
      <c r="L4561" s="4">
        <v>48.590909090909101</v>
      </c>
      <c r="M4561" s="4">
        <v>16.5209090909091</v>
      </c>
      <c r="N4561" t="s">
        <v>94</v>
      </c>
    </row>
    <row r="4562" spans="1:14">
      <c r="A4562">
        <v>4561</v>
      </c>
      <c r="B4562">
        <v>70</v>
      </c>
      <c r="C4562" t="s">
        <v>11</v>
      </c>
      <c r="D4562" t="s">
        <v>25</v>
      </c>
      <c r="E4562" t="s">
        <v>47</v>
      </c>
      <c r="F4562">
        <v>65.38</v>
      </c>
      <c r="G4562" t="s">
        <v>31</v>
      </c>
      <c r="H4562" t="s">
        <v>37</v>
      </c>
      <c r="I4562">
        <v>3.7</v>
      </c>
      <c r="J4562">
        <v>20</v>
      </c>
      <c r="K4562">
        <v>5</v>
      </c>
      <c r="L4562" s="4">
        <v>81.724999999999994</v>
      </c>
      <c r="M4562" s="4">
        <v>16.344999999999999</v>
      </c>
      <c r="N4562" t="s">
        <v>95</v>
      </c>
    </row>
    <row r="4563" spans="1:14">
      <c r="A4563">
        <v>4562</v>
      </c>
      <c r="B4563">
        <v>62</v>
      </c>
      <c r="C4563" t="s">
        <v>11</v>
      </c>
      <c r="D4563" t="s">
        <v>33</v>
      </c>
      <c r="E4563" t="s">
        <v>34</v>
      </c>
      <c r="F4563">
        <v>48.76</v>
      </c>
      <c r="G4563" t="s">
        <v>14</v>
      </c>
      <c r="H4563" t="s">
        <v>15</v>
      </c>
      <c r="I4563">
        <v>3.4</v>
      </c>
      <c r="J4563">
        <v>10</v>
      </c>
      <c r="K4563">
        <v>5</v>
      </c>
      <c r="L4563" s="4">
        <v>54.177777777777777</v>
      </c>
      <c r="M4563" s="4">
        <v>5.4177777777777791</v>
      </c>
      <c r="N4563" t="s">
        <v>94</v>
      </c>
    </row>
    <row r="4564" spans="1:14">
      <c r="A4564">
        <v>4563</v>
      </c>
      <c r="B4564">
        <v>55</v>
      </c>
      <c r="C4564" t="s">
        <v>11</v>
      </c>
      <c r="D4564" t="s">
        <v>33</v>
      </c>
      <c r="E4564" t="s">
        <v>38</v>
      </c>
      <c r="F4564">
        <v>133.82</v>
      </c>
      <c r="G4564" t="s">
        <v>19</v>
      </c>
      <c r="H4564" t="s">
        <v>15</v>
      </c>
      <c r="I4564">
        <v>4.5</v>
      </c>
      <c r="J4564">
        <v>17</v>
      </c>
      <c r="K4564">
        <v>6</v>
      </c>
      <c r="L4564" s="4">
        <v>161.22891566265059</v>
      </c>
      <c r="M4564" s="4">
        <v>27.4089156626506</v>
      </c>
      <c r="N4564" t="s">
        <v>94</v>
      </c>
    </row>
    <row r="4565" spans="1:14">
      <c r="A4565">
        <v>4564</v>
      </c>
      <c r="B4565">
        <v>41</v>
      </c>
      <c r="C4565" t="s">
        <v>11</v>
      </c>
      <c r="D4565" t="s">
        <v>20</v>
      </c>
      <c r="E4565" t="s">
        <v>36</v>
      </c>
      <c r="F4565">
        <v>189.59</v>
      </c>
      <c r="G4565" t="s">
        <v>14</v>
      </c>
      <c r="H4565" t="s">
        <v>15</v>
      </c>
      <c r="I4565">
        <v>3</v>
      </c>
      <c r="J4565">
        <v>10</v>
      </c>
      <c r="K4565">
        <v>5</v>
      </c>
      <c r="L4565" s="4">
        <v>210.65555555555557</v>
      </c>
      <c r="M4565" s="4">
        <v>21.065555555555562</v>
      </c>
      <c r="N4565" t="s">
        <v>92</v>
      </c>
    </row>
    <row r="4566" spans="1:14">
      <c r="A4566">
        <v>4565</v>
      </c>
      <c r="B4566">
        <v>64</v>
      </c>
      <c r="C4566" t="s">
        <v>11</v>
      </c>
      <c r="D4566" t="s">
        <v>12</v>
      </c>
      <c r="E4566" t="s">
        <v>13</v>
      </c>
      <c r="F4566">
        <v>129.44999999999999</v>
      </c>
      <c r="G4566" t="s">
        <v>14</v>
      </c>
      <c r="H4566" t="s">
        <v>15</v>
      </c>
      <c r="I4566">
        <v>3.9</v>
      </c>
      <c r="J4566">
        <v>13</v>
      </c>
      <c r="K4566">
        <v>4</v>
      </c>
      <c r="L4566" s="4">
        <v>148.79310344827584</v>
      </c>
      <c r="M4566" s="4">
        <v>19.343103448275855</v>
      </c>
      <c r="N4566" t="s">
        <v>94</v>
      </c>
    </row>
    <row r="4567" spans="1:14">
      <c r="A4567">
        <v>4566</v>
      </c>
      <c r="B4567">
        <v>67</v>
      </c>
      <c r="C4567" t="s">
        <v>16</v>
      </c>
      <c r="D4567" t="s">
        <v>33</v>
      </c>
      <c r="E4567" t="s">
        <v>38</v>
      </c>
      <c r="F4567">
        <v>151.13</v>
      </c>
      <c r="G4567" t="s">
        <v>14</v>
      </c>
      <c r="H4567" t="s">
        <v>15</v>
      </c>
      <c r="I4567">
        <v>3.6</v>
      </c>
      <c r="J4567">
        <v>4</v>
      </c>
      <c r="K4567">
        <v>2</v>
      </c>
      <c r="L4567" s="4">
        <v>157.42708333333334</v>
      </c>
      <c r="M4567" s="4">
        <v>6.2970833333333474</v>
      </c>
      <c r="N4567" t="s">
        <v>95</v>
      </c>
    </row>
    <row r="4568" spans="1:14">
      <c r="A4568">
        <v>4567</v>
      </c>
      <c r="B4568">
        <v>30</v>
      </c>
      <c r="C4568" t="s">
        <v>16</v>
      </c>
      <c r="D4568" t="s">
        <v>33</v>
      </c>
      <c r="E4568" t="s">
        <v>40</v>
      </c>
      <c r="F4568">
        <v>122.89</v>
      </c>
      <c r="G4568" t="s">
        <v>24</v>
      </c>
      <c r="H4568" t="s">
        <v>15</v>
      </c>
      <c r="I4568">
        <v>5</v>
      </c>
      <c r="J4568">
        <v>13</v>
      </c>
      <c r="K4568">
        <v>4</v>
      </c>
      <c r="L4568" s="4">
        <v>141.2528735632184</v>
      </c>
      <c r="M4568" s="4">
        <v>18.3628735632184</v>
      </c>
      <c r="N4568" t="s">
        <v>91</v>
      </c>
    </row>
    <row r="4569" spans="1:14">
      <c r="A4569">
        <v>4568</v>
      </c>
      <c r="B4569">
        <v>70</v>
      </c>
      <c r="C4569" t="s">
        <v>16</v>
      </c>
      <c r="D4569" t="s">
        <v>33</v>
      </c>
      <c r="E4569" t="s">
        <v>38</v>
      </c>
      <c r="F4569">
        <v>112.06</v>
      </c>
      <c r="G4569" t="s">
        <v>19</v>
      </c>
      <c r="H4569" t="s">
        <v>15</v>
      </c>
      <c r="I4569">
        <v>5</v>
      </c>
      <c r="J4569">
        <v>25</v>
      </c>
      <c r="K4569">
        <v>10</v>
      </c>
      <c r="L4569" s="4">
        <v>149.41333333333333</v>
      </c>
      <c r="M4569" s="4">
        <v>37.353333333333325</v>
      </c>
      <c r="N4569" t="s">
        <v>95</v>
      </c>
    </row>
    <row r="4570" spans="1:14">
      <c r="A4570">
        <v>4569</v>
      </c>
      <c r="B4570">
        <v>66</v>
      </c>
      <c r="C4570" t="s">
        <v>11</v>
      </c>
      <c r="D4570" t="s">
        <v>20</v>
      </c>
      <c r="E4570" t="s">
        <v>39</v>
      </c>
      <c r="F4570">
        <v>115.8</v>
      </c>
      <c r="G4570" t="s">
        <v>24</v>
      </c>
      <c r="H4570" t="s">
        <v>15</v>
      </c>
      <c r="I4570">
        <v>3.2</v>
      </c>
      <c r="J4570">
        <v>12</v>
      </c>
      <c r="K4570">
        <v>1</v>
      </c>
      <c r="L4570" s="4">
        <v>131.59090909090909</v>
      </c>
      <c r="M4570" s="4">
        <v>15.790909090909096</v>
      </c>
      <c r="N4570" t="s">
        <v>95</v>
      </c>
    </row>
    <row r="4571" spans="1:14">
      <c r="A4571">
        <v>4570</v>
      </c>
      <c r="B4571">
        <v>55</v>
      </c>
      <c r="C4571" t="s">
        <v>11</v>
      </c>
      <c r="D4571" t="s">
        <v>25</v>
      </c>
      <c r="E4571" t="s">
        <v>47</v>
      </c>
      <c r="F4571">
        <v>68.87</v>
      </c>
      <c r="G4571" t="s">
        <v>14</v>
      </c>
      <c r="H4571" t="s">
        <v>37</v>
      </c>
      <c r="I4571">
        <v>4</v>
      </c>
      <c r="J4571">
        <v>6</v>
      </c>
      <c r="K4571">
        <v>3</v>
      </c>
      <c r="L4571" s="4">
        <v>73.265957446808514</v>
      </c>
      <c r="M4571" s="4">
        <v>4.3959574468085094</v>
      </c>
      <c r="N4571" t="s">
        <v>94</v>
      </c>
    </row>
    <row r="4572" spans="1:14">
      <c r="A4572">
        <v>4571</v>
      </c>
      <c r="B4572">
        <v>63</v>
      </c>
      <c r="C4572" t="s">
        <v>16</v>
      </c>
      <c r="D4572" t="s">
        <v>17</v>
      </c>
      <c r="E4572" t="s">
        <v>42</v>
      </c>
      <c r="F4572">
        <v>99.6</v>
      </c>
      <c r="G4572" t="s">
        <v>14</v>
      </c>
      <c r="H4572" t="s">
        <v>37</v>
      </c>
      <c r="I4572">
        <v>4.5999999999999996</v>
      </c>
      <c r="J4572">
        <v>14</v>
      </c>
      <c r="K4572">
        <v>2</v>
      </c>
      <c r="L4572" s="4">
        <v>115.81395348837209</v>
      </c>
      <c r="M4572" s="4">
        <v>16.213953488372098</v>
      </c>
      <c r="N4572" t="s">
        <v>94</v>
      </c>
    </row>
    <row r="4573" spans="1:14">
      <c r="A4573">
        <v>4572</v>
      </c>
      <c r="B4573">
        <v>65</v>
      </c>
      <c r="C4573" t="s">
        <v>16</v>
      </c>
      <c r="D4573" t="s">
        <v>20</v>
      </c>
      <c r="E4573" t="s">
        <v>36</v>
      </c>
      <c r="F4573">
        <v>112.71</v>
      </c>
      <c r="G4573" t="s">
        <v>24</v>
      </c>
      <c r="H4573" t="s">
        <v>15</v>
      </c>
      <c r="I4573">
        <v>4.7</v>
      </c>
      <c r="J4573">
        <v>25</v>
      </c>
      <c r="K4573">
        <v>10</v>
      </c>
      <c r="L4573" s="4">
        <v>150.28</v>
      </c>
      <c r="M4573" s="4">
        <v>37.570000000000007</v>
      </c>
      <c r="N4573" t="s">
        <v>95</v>
      </c>
    </row>
    <row r="4574" spans="1:14">
      <c r="A4574">
        <v>4573</v>
      </c>
      <c r="B4574">
        <v>42</v>
      </c>
      <c r="C4574" t="s">
        <v>16</v>
      </c>
      <c r="D4574" t="s">
        <v>33</v>
      </c>
      <c r="E4574" t="s">
        <v>34</v>
      </c>
      <c r="F4574">
        <v>176.05</v>
      </c>
      <c r="G4574" t="s">
        <v>31</v>
      </c>
      <c r="H4574" t="s">
        <v>15</v>
      </c>
      <c r="I4574">
        <v>4.3</v>
      </c>
      <c r="J4574">
        <v>10</v>
      </c>
      <c r="K4574">
        <v>5</v>
      </c>
      <c r="L4574" s="4">
        <v>195.61111111111111</v>
      </c>
      <c r="M4574" s="4">
        <v>19.561111111111103</v>
      </c>
      <c r="N4574" t="s">
        <v>92</v>
      </c>
    </row>
    <row r="4575" spans="1:14">
      <c r="A4575">
        <v>4574</v>
      </c>
      <c r="B4575">
        <v>53</v>
      </c>
      <c r="C4575" t="s">
        <v>16</v>
      </c>
      <c r="D4575" t="s">
        <v>20</v>
      </c>
      <c r="E4575" t="s">
        <v>21</v>
      </c>
      <c r="F4575">
        <v>122.14</v>
      </c>
      <c r="G4575" t="s">
        <v>31</v>
      </c>
      <c r="H4575" t="s">
        <v>15</v>
      </c>
      <c r="I4575">
        <v>4.7</v>
      </c>
      <c r="J4575">
        <v>17</v>
      </c>
      <c r="K4575">
        <v>6</v>
      </c>
      <c r="L4575" s="4">
        <v>147.15662650602411</v>
      </c>
      <c r="M4575" s="4">
        <v>25.01662650602411</v>
      </c>
      <c r="N4575" t="s">
        <v>93</v>
      </c>
    </row>
    <row r="4576" spans="1:14">
      <c r="A4576">
        <v>4575</v>
      </c>
      <c r="B4576">
        <v>29</v>
      </c>
      <c r="C4576" t="s">
        <v>11</v>
      </c>
      <c r="D4576" t="s">
        <v>41</v>
      </c>
      <c r="E4576" t="s">
        <v>44</v>
      </c>
      <c r="F4576">
        <v>70.08</v>
      </c>
      <c r="G4576" t="s">
        <v>24</v>
      </c>
      <c r="H4576" t="s">
        <v>15</v>
      </c>
      <c r="I4576">
        <v>3.1</v>
      </c>
      <c r="J4576">
        <v>8</v>
      </c>
      <c r="K4576">
        <v>4</v>
      </c>
      <c r="L4576" s="4">
        <v>76.173913043478251</v>
      </c>
      <c r="M4576" s="4">
        <v>6.0939130434782527</v>
      </c>
      <c r="N4576" t="s">
        <v>91</v>
      </c>
    </row>
    <row r="4577" spans="1:14">
      <c r="A4577">
        <v>4576</v>
      </c>
      <c r="B4577">
        <v>31</v>
      </c>
      <c r="C4577" t="s">
        <v>11</v>
      </c>
      <c r="D4577" t="s">
        <v>22</v>
      </c>
      <c r="E4577" t="s">
        <v>43</v>
      </c>
      <c r="F4577">
        <v>212.12</v>
      </c>
      <c r="G4577" t="s">
        <v>19</v>
      </c>
      <c r="H4577" t="s">
        <v>15</v>
      </c>
      <c r="I4577">
        <v>3.6</v>
      </c>
      <c r="J4577">
        <v>8</v>
      </c>
      <c r="K4577">
        <v>4</v>
      </c>
      <c r="L4577" s="4">
        <v>230.56521739130434</v>
      </c>
      <c r="M4577" s="4">
        <v>18.44521739130434</v>
      </c>
      <c r="N4577" t="s">
        <v>91</v>
      </c>
    </row>
    <row r="4578" spans="1:14">
      <c r="A4578">
        <v>4577</v>
      </c>
      <c r="B4578">
        <v>22</v>
      </c>
      <c r="C4578" t="s">
        <v>16</v>
      </c>
      <c r="D4578" t="s">
        <v>17</v>
      </c>
      <c r="E4578" t="s">
        <v>35</v>
      </c>
      <c r="F4578">
        <v>132.21</v>
      </c>
      <c r="G4578" t="s">
        <v>19</v>
      </c>
      <c r="H4578" t="s">
        <v>15</v>
      </c>
      <c r="I4578">
        <v>4.2</v>
      </c>
      <c r="J4578">
        <v>12</v>
      </c>
      <c r="K4578">
        <v>6</v>
      </c>
      <c r="L4578" s="4">
        <v>150.23863636363637</v>
      </c>
      <c r="M4578" s="4">
        <v>18.028636363636366</v>
      </c>
      <c r="N4578" t="s">
        <v>100</v>
      </c>
    </row>
    <row r="4579" spans="1:14">
      <c r="A4579">
        <v>4578</v>
      </c>
      <c r="B4579">
        <v>61</v>
      </c>
      <c r="C4579" t="s">
        <v>16</v>
      </c>
      <c r="D4579" t="s">
        <v>22</v>
      </c>
      <c r="E4579" t="s">
        <v>43</v>
      </c>
      <c r="F4579">
        <v>30.41</v>
      </c>
      <c r="G4579" t="s">
        <v>19</v>
      </c>
      <c r="H4579" t="s">
        <v>15</v>
      </c>
      <c r="I4579">
        <v>4.5</v>
      </c>
      <c r="J4579">
        <v>24</v>
      </c>
      <c r="K4579">
        <v>7</v>
      </c>
      <c r="L4579" s="4">
        <v>40.013157894736842</v>
      </c>
      <c r="M4579" s="4">
        <v>9.6031578947368423</v>
      </c>
      <c r="N4579" t="s">
        <v>94</v>
      </c>
    </row>
    <row r="4580" spans="1:14">
      <c r="A4580">
        <v>4579</v>
      </c>
      <c r="B4580">
        <v>70</v>
      </c>
      <c r="C4580" t="s">
        <v>11</v>
      </c>
      <c r="D4580" t="s">
        <v>41</v>
      </c>
      <c r="E4580" t="s">
        <v>44</v>
      </c>
      <c r="F4580">
        <v>155.75</v>
      </c>
      <c r="G4580" t="s">
        <v>19</v>
      </c>
      <c r="H4580" t="s">
        <v>15</v>
      </c>
      <c r="I4580">
        <v>4.8</v>
      </c>
      <c r="J4580">
        <v>26</v>
      </c>
      <c r="K4580">
        <v>8</v>
      </c>
      <c r="L4580" s="4">
        <v>210.47297297297297</v>
      </c>
      <c r="M4580" s="4">
        <v>54.722972972972968</v>
      </c>
      <c r="N4580" t="s">
        <v>95</v>
      </c>
    </row>
    <row r="4581" spans="1:14">
      <c r="A4581">
        <v>4580</v>
      </c>
      <c r="B4581">
        <v>23</v>
      </c>
      <c r="C4581" t="s">
        <v>11</v>
      </c>
      <c r="D4581" t="s">
        <v>41</v>
      </c>
      <c r="E4581" t="s">
        <v>45</v>
      </c>
      <c r="F4581">
        <v>139.63999999999999</v>
      </c>
      <c r="G4581" t="s">
        <v>31</v>
      </c>
      <c r="H4581" t="s">
        <v>15</v>
      </c>
      <c r="I4581">
        <v>3.2</v>
      </c>
      <c r="J4581">
        <v>13</v>
      </c>
      <c r="K4581">
        <v>4</v>
      </c>
      <c r="L4581" s="4">
        <v>160.50574712643677</v>
      </c>
      <c r="M4581" s="4">
        <v>20.865747126436787</v>
      </c>
      <c r="N4581" t="s">
        <v>100</v>
      </c>
    </row>
    <row r="4582" spans="1:14">
      <c r="A4582">
        <v>4581</v>
      </c>
      <c r="B4582">
        <v>37</v>
      </c>
      <c r="C4582" t="s">
        <v>11</v>
      </c>
      <c r="D4582" t="s">
        <v>41</v>
      </c>
      <c r="E4582" t="s">
        <v>44</v>
      </c>
      <c r="F4582">
        <v>68.14</v>
      </c>
      <c r="G4582" t="s">
        <v>19</v>
      </c>
      <c r="H4582" t="s">
        <v>15</v>
      </c>
      <c r="I4582">
        <v>5</v>
      </c>
      <c r="J4582">
        <v>15</v>
      </c>
      <c r="K4582">
        <v>5</v>
      </c>
      <c r="L4582" s="4">
        <v>80.164705882352948</v>
      </c>
      <c r="M4582" s="4">
        <v>12.024705882352947</v>
      </c>
      <c r="N4582" t="s">
        <v>92</v>
      </c>
    </row>
    <row r="4583" spans="1:14">
      <c r="A4583">
        <v>4582</v>
      </c>
      <c r="B4583">
        <v>46</v>
      </c>
      <c r="C4583" t="s">
        <v>11</v>
      </c>
      <c r="D4583" t="s">
        <v>29</v>
      </c>
      <c r="E4583" t="s">
        <v>55</v>
      </c>
      <c r="F4583">
        <v>90.16</v>
      </c>
      <c r="G4583" t="s">
        <v>14</v>
      </c>
      <c r="H4583" t="s">
        <v>37</v>
      </c>
      <c r="I4583">
        <v>3.4</v>
      </c>
      <c r="J4583">
        <v>8</v>
      </c>
      <c r="K4583">
        <v>4</v>
      </c>
      <c r="L4583" s="4">
        <v>97.999999999999986</v>
      </c>
      <c r="M4583" s="4">
        <v>7.8399999999999892</v>
      </c>
      <c r="N4583" t="s">
        <v>93</v>
      </c>
    </row>
    <row r="4584" spans="1:14">
      <c r="A4584">
        <v>4583</v>
      </c>
      <c r="B4584">
        <v>30</v>
      </c>
      <c r="C4584" t="s">
        <v>16</v>
      </c>
      <c r="D4584" t="s">
        <v>25</v>
      </c>
      <c r="E4584" t="s">
        <v>57</v>
      </c>
      <c r="F4584">
        <v>31.14</v>
      </c>
      <c r="G4584" t="s">
        <v>31</v>
      </c>
      <c r="H4584" t="s">
        <v>37</v>
      </c>
      <c r="I4584">
        <v>4.3</v>
      </c>
      <c r="J4584">
        <v>22</v>
      </c>
      <c r="K4584">
        <v>6</v>
      </c>
      <c r="L4584" s="4">
        <v>39.92307692307692</v>
      </c>
      <c r="M4584" s="4">
        <v>8.7830769230769192</v>
      </c>
      <c r="N4584" t="s">
        <v>91</v>
      </c>
    </row>
    <row r="4585" spans="1:14">
      <c r="A4585">
        <v>4584</v>
      </c>
      <c r="B4585">
        <v>40</v>
      </c>
      <c r="C4585" t="s">
        <v>11</v>
      </c>
      <c r="D4585" t="s">
        <v>29</v>
      </c>
      <c r="E4585" t="s">
        <v>30</v>
      </c>
      <c r="F4585">
        <v>58.36</v>
      </c>
      <c r="G4585" t="s">
        <v>24</v>
      </c>
      <c r="H4585" t="s">
        <v>37</v>
      </c>
      <c r="I4585">
        <v>3.4</v>
      </c>
      <c r="J4585">
        <v>16</v>
      </c>
      <c r="K4585">
        <v>3</v>
      </c>
      <c r="L4585" s="4">
        <v>69.476190476190482</v>
      </c>
      <c r="M4585" s="4">
        <v>11.116190476190482</v>
      </c>
      <c r="N4585" t="s">
        <v>92</v>
      </c>
    </row>
    <row r="4586" spans="1:14">
      <c r="A4586">
        <v>4585</v>
      </c>
      <c r="B4586">
        <v>22</v>
      </c>
      <c r="C4586" t="s">
        <v>11</v>
      </c>
      <c r="D4586" t="s">
        <v>33</v>
      </c>
      <c r="E4586" t="s">
        <v>38</v>
      </c>
      <c r="F4586">
        <v>185.34</v>
      </c>
      <c r="G4586" t="s">
        <v>24</v>
      </c>
      <c r="H4586" t="s">
        <v>15</v>
      </c>
      <c r="I4586">
        <v>3.7</v>
      </c>
      <c r="J4586">
        <v>13</v>
      </c>
      <c r="K4586">
        <v>4</v>
      </c>
      <c r="L4586" s="4">
        <v>213.0344827586207</v>
      </c>
      <c r="M4586" s="4">
        <v>27.694482758620694</v>
      </c>
      <c r="N4586" t="s">
        <v>100</v>
      </c>
    </row>
    <row r="4587" spans="1:14">
      <c r="A4587">
        <v>4586</v>
      </c>
      <c r="B4587">
        <v>36</v>
      </c>
      <c r="C4587" t="s">
        <v>11</v>
      </c>
      <c r="D4587" t="s">
        <v>33</v>
      </c>
      <c r="E4587" t="s">
        <v>40</v>
      </c>
      <c r="F4587">
        <v>195.92</v>
      </c>
      <c r="G4587" t="s">
        <v>19</v>
      </c>
      <c r="H4587" t="s">
        <v>15</v>
      </c>
      <c r="I4587">
        <v>3.3</v>
      </c>
      <c r="J4587">
        <v>8</v>
      </c>
      <c r="K4587">
        <v>4</v>
      </c>
      <c r="L4587" s="4">
        <v>212.95652173913041</v>
      </c>
      <c r="M4587" s="4">
        <v>17.036521739130421</v>
      </c>
      <c r="N4587" t="s">
        <v>92</v>
      </c>
    </row>
    <row r="4588" spans="1:14">
      <c r="A4588">
        <v>4587</v>
      </c>
      <c r="B4588">
        <v>37</v>
      </c>
      <c r="C4588" t="s">
        <v>11</v>
      </c>
      <c r="D4588" t="s">
        <v>29</v>
      </c>
      <c r="E4588" t="s">
        <v>55</v>
      </c>
      <c r="F4588">
        <v>126.73</v>
      </c>
      <c r="G4588" t="s">
        <v>31</v>
      </c>
      <c r="H4588" t="s">
        <v>15</v>
      </c>
      <c r="I4588">
        <v>4.4000000000000004</v>
      </c>
      <c r="J4588">
        <v>18</v>
      </c>
      <c r="K4588">
        <v>4</v>
      </c>
      <c r="L4588" s="4">
        <v>154.54878048780486</v>
      </c>
      <c r="M4588" s="4">
        <v>27.818780487804858</v>
      </c>
      <c r="N4588" t="s">
        <v>92</v>
      </c>
    </row>
    <row r="4589" spans="1:14">
      <c r="A4589">
        <v>4588</v>
      </c>
      <c r="B4589">
        <v>36</v>
      </c>
      <c r="C4589" t="s">
        <v>16</v>
      </c>
      <c r="D4589" t="s">
        <v>20</v>
      </c>
      <c r="E4589" t="s">
        <v>39</v>
      </c>
      <c r="F4589">
        <v>57.52</v>
      </c>
      <c r="G4589" t="s">
        <v>24</v>
      </c>
      <c r="H4589" t="s">
        <v>37</v>
      </c>
      <c r="I4589">
        <v>3.6</v>
      </c>
      <c r="J4589">
        <v>17</v>
      </c>
      <c r="K4589">
        <v>6</v>
      </c>
      <c r="L4589" s="4">
        <v>69.301204819277118</v>
      </c>
      <c r="M4589" s="4">
        <v>11.781204819277114</v>
      </c>
      <c r="N4589" t="s">
        <v>92</v>
      </c>
    </row>
    <row r="4590" spans="1:14">
      <c r="A4590">
        <v>4589</v>
      </c>
      <c r="B4590">
        <v>63</v>
      </c>
      <c r="C4590" t="s">
        <v>11</v>
      </c>
      <c r="D4590" t="s">
        <v>20</v>
      </c>
      <c r="E4590" t="s">
        <v>36</v>
      </c>
      <c r="F4590">
        <v>50.03</v>
      </c>
      <c r="G4590" t="s">
        <v>31</v>
      </c>
      <c r="H4590" t="s">
        <v>37</v>
      </c>
      <c r="I4590">
        <v>4.9000000000000004</v>
      </c>
      <c r="J4590">
        <v>13</v>
      </c>
      <c r="K4590">
        <v>4</v>
      </c>
      <c r="L4590" s="4">
        <v>57.505747126436781</v>
      </c>
      <c r="M4590" s="4">
        <v>7.4757471264367794</v>
      </c>
      <c r="N4590" t="s">
        <v>94</v>
      </c>
    </row>
    <row r="4591" spans="1:14">
      <c r="A4591">
        <v>4590</v>
      </c>
      <c r="B4591">
        <v>55</v>
      </c>
      <c r="C4591" t="s">
        <v>16</v>
      </c>
      <c r="D4591" t="s">
        <v>33</v>
      </c>
      <c r="E4591" t="s">
        <v>34</v>
      </c>
      <c r="F4591">
        <v>127.27</v>
      </c>
      <c r="G4591" t="s">
        <v>19</v>
      </c>
      <c r="H4591" t="s">
        <v>15</v>
      </c>
      <c r="I4591">
        <v>3.8</v>
      </c>
      <c r="J4591">
        <v>17</v>
      </c>
      <c r="K4591">
        <v>6</v>
      </c>
      <c r="L4591" s="4">
        <v>153.33734939759037</v>
      </c>
      <c r="M4591" s="4">
        <v>26.067349397590377</v>
      </c>
      <c r="N4591" t="s">
        <v>94</v>
      </c>
    </row>
    <row r="4592" spans="1:14">
      <c r="A4592">
        <v>4591</v>
      </c>
      <c r="B4592">
        <v>59</v>
      </c>
      <c r="C4592" t="s">
        <v>16</v>
      </c>
      <c r="D4592" t="s">
        <v>33</v>
      </c>
      <c r="E4592" t="s">
        <v>38</v>
      </c>
      <c r="F4592">
        <v>146.82</v>
      </c>
      <c r="G4592" t="s">
        <v>14</v>
      </c>
      <c r="H4592" t="s">
        <v>15</v>
      </c>
      <c r="I4592">
        <v>2.8</v>
      </c>
      <c r="J4592">
        <v>9</v>
      </c>
      <c r="K4592">
        <v>2</v>
      </c>
      <c r="L4592" s="4">
        <v>161.34065934065933</v>
      </c>
      <c r="M4592" s="4">
        <v>14.520659340659336</v>
      </c>
      <c r="N4592" t="s">
        <v>94</v>
      </c>
    </row>
    <row r="4593" spans="1:14">
      <c r="A4593">
        <v>4592</v>
      </c>
      <c r="B4593">
        <v>27</v>
      </c>
      <c r="C4593" t="s">
        <v>16</v>
      </c>
      <c r="D4593" t="s">
        <v>27</v>
      </c>
      <c r="E4593" t="s">
        <v>53</v>
      </c>
      <c r="F4593">
        <v>1476.44</v>
      </c>
      <c r="G4593" t="s">
        <v>14</v>
      </c>
      <c r="H4593" t="s">
        <v>15</v>
      </c>
      <c r="I4593">
        <v>5</v>
      </c>
      <c r="J4593">
        <v>16</v>
      </c>
      <c r="K4593">
        <v>3</v>
      </c>
      <c r="L4593" s="4">
        <v>1757.6666666666667</v>
      </c>
      <c r="M4593" s="4">
        <v>281.22666666666669</v>
      </c>
      <c r="N4593" t="s">
        <v>91</v>
      </c>
    </row>
    <row r="4594" spans="1:14">
      <c r="A4594">
        <v>4593</v>
      </c>
      <c r="B4594">
        <v>40</v>
      </c>
      <c r="C4594" t="s">
        <v>11</v>
      </c>
      <c r="D4594" t="s">
        <v>22</v>
      </c>
      <c r="E4594" t="s">
        <v>52</v>
      </c>
      <c r="F4594">
        <v>67.92</v>
      </c>
      <c r="G4594" t="s">
        <v>19</v>
      </c>
      <c r="H4594" t="s">
        <v>15</v>
      </c>
      <c r="I4594">
        <v>4.5999999999999996</v>
      </c>
      <c r="J4594">
        <v>12</v>
      </c>
      <c r="K4594">
        <v>6</v>
      </c>
      <c r="L4594" s="4">
        <v>77.181818181818187</v>
      </c>
      <c r="M4594" s="4">
        <v>9.2618181818181853</v>
      </c>
      <c r="N4594" t="s">
        <v>92</v>
      </c>
    </row>
    <row r="4595" spans="1:14">
      <c r="A4595">
        <v>4594</v>
      </c>
      <c r="B4595">
        <v>45</v>
      </c>
      <c r="C4595" t="s">
        <v>11</v>
      </c>
      <c r="D4595" t="s">
        <v>29</v>
      </c>
      <c r="E4595" t="s">
        <v>55</v>
      </c>
      <c r="F4595">
        <v>78.650000000000006</v>
      </c>
      <c r="G4595" t="s">
        <v>24</v>
      </c>
      <c r="H4595" t="s">
        <v>37</v>
      </c>
      <c r="I4595">
        <v>3.6</v>
      </c>
      <c r="J4595">
        <v>18</v>
      </c>
      <c r="K4595">
        <v>4</v>
      </c>
      <c r="L4595" s="4">
        <v>95.91463414634147</v>
      </c>
      <c r="M4595" s="4">
        <v>17.264634146341464</v>
      </c>
      <c r="N4595" t="s">
        <v>93</v>
      </c>
    </row>
    <row r="4596" spans="1:14">
      <c r="A4596">
        <v>4595</v>
      </c>
      <c r="B4596">
        <v>64</v>
      </c>
      <c r="C4596" t="s">
        <v>16</v>
      </c>
      <c r="D4596" t="s">
        <v>17</v>
      </c>
      <c r="E4596" t="s">
        <v>48</v>
      </c>
      <c r="F4596">
        <v>158.12</v>
      </c>
      <c r="G4596" t="s">
        <v>31</v>
      </c>
      <c r="H4596" t="s">
        <v>15</v>
      </c>
      <c r="I4596">
        <v>3.9</v>
      </c>
      <c r="J4596">
        <v>4</v>
      </c>
      <c r="K4596">
        <v>2</v>
      </c>
      <c r="L4596" s="4">
        <v>164.70833333333334</v>
      </c>
      <c r="M4596" s="4">
        <v>6.5883333333333383</v>
      </c>
      <c r="N4596" t="s">
        <v>94</v>
      </c>
    </row>
    <row r="4597" spans="1:14">
      <c r="A4597">
        <v>4596</v>
      </c>
      <c r="B4597">
        <v>44</v>
      </c>
      <c r="C4597" t="s">
        <v>11</v>
      </c>
      <c r="D4597" t="s">
        <v>12</v>
      </c>
      <c r="E4597" t="s">
        <v>50</v>
      </c>
      <c r="F4597">
        <v>92.21</v>
      </c>
      <c r="G4597" t="s">
        <v>19</v>
      </c>
      <c r="H4597" t="s">
        <v>15</v>
      </c>
      <c r="I4597">
        <v>2.9</v>
      </c>
      <c r="J4597">
        <v>15</v>
      </c>
      <c r="K4597">
        <v>5</v>
      </c>
      <c r="L4597" s="4">
        <v>108.48235294117647</v>
      </c>
      <c r="M4597" s="4">
        <v>16.272352941176479</v>
      </c>
      <c r="N4597" t="s">
        <v>92</v>
      </c>
    </row>
    <row r="4598" spans="1:14">
      <c r="A4598">
        <v>4597</v>
      </c>
      <c r="B4598">
        <v>27</v>
      </c>
      <c r="C4598" t="s">
        <v>16</v>
      </c>
      <c r="D4598" t="s">
        <v>17</v>
      </c>
      <c r="E4598" t="s">
        <v>18</v>
      </c>
      <c r="F4598">
        <v>86.53</v>
      </c>
      <c r="G4598" t="s">
        <v>24</v>
      </c>
      <c r="H4598" t="s">
        <v>15</v>
      </c>
      <c r="I4598">
        <v>4.0999999999999996</v>
      </c>
      <c r="J4598">
        <v>5</v>
      </c>
      <c r="K4598">
        <v>0</v>
      </c>
      <c r="L4598" s="4">
        <v>91.0842105263158</v>
      </c>
      <c r="M4598" s="4">
        <v>4.5542105263157993</v>
      </c>
      <c r="N4598" t="s">
        <v>91</v>
      </c>
    </row>
    <row r="4599" spans="1:14">
      <c r="A4599">
        <v>4598</v>
      </c>
      <c r="B4599">
        <v>64</v>
      </c>
      <c r="C4599" t="s">
        <v>11</v>
      </c>
      <c r="D4599" t="s">
        <v>33</v>
      </c>
      <c r="E4599" t="s">
        <v>34</v>
      </c>
      <c r="F4599">
        <v>233.47</v>
      </c>
      <c r="G4599" t="s">
        <v>14</v>
      </c>
      <c r="H4599" t="s">
        <v>15</v>
      </c>
      <c r="I4599">
        <v>4.8</v>
      </c>
      <c r="J4599">
        <v>6</v>
      </c>
      <c r="K4599">
        <v>3</v>
      </c>
      <c r="L4599" s="4">
        <v>248.37234042553192</v>
      </c>
      <c r="M4599" s="4">
        <v>14.902340425531918</v>
      </c>
      <c r="N4599" t="s">
        <v>94</v>
      </c>
    </row>
    <row r="4600" spans="1:14">
      <c r="A4600">
        <v>4599</v>
      </c>
      <c r="B4600">
        <v>60</v>
      </c>
      <c r="C4600" t="s">
        <v>16</v>
      </c>
      <c r="D4600" t="s">
        <v>22</v>
      </c>
      <c r="E4600" t="s">
        <v>43</v>
      </c>
      <c r="F4600">
        <v>82.83</v>
      </c>
      <c r="G4600" t="s">
        <v>19</v>
      </c>
      <c r="H4600" t="s">
        <v>37</v>
      </c>
      <c r="I4600">
        <v>3.6</v>
      </c>
      <c r="J4600">
        <v>21</v>
      </c>
      <c r="K4600">
        <v>8</v>
      </c>
      <c r="L4600" s="4">
        <v>104.84810126582278</v>
      </c>
      <c r="M4600" s="4">
        <v>22.018101265822779</v>
      </c>
      <c r="N4600" t="s">
        <v>94</v>
      </c>
    </row>
    <row r="4601" spans="1:14">
      <c r="A4601">
        <v>4600</v>
      </c>
      <c r="B4601">
        <v>60</v>
      </c>
      <c r="C4601" t="s">
        <v>11</v>
      </c>
      <c r="D4601" t="s">
        <v>20</v>
      </c>
      <c r="E4601" t="s">
        <v>21</v>
      </c>
      <c r="F4601">
        <v>217.78</v>
      </c>
      <c r="G4601" t="s">
        <v>24</v>
      </c>
      <c r="H4601" t="s">
        <v>15</v>
      </c>
      <c r="I4601">
        <v>4.8</v>
      </c>
      <c r="J4601">
        <v>18</v>
      </c>
      <c r="K4601">
        <v>4</v>
      </c>
      <c r="L4601" s="4">
        <v>265.58536585365852</v>
      </c>
      <c r="M4601" s="4">
        <v>47.805365853658515</v>
      </c>
      <c r="N4601" t="s">
        <v>94</v>
      </c>
    </row>
    <row r="4602" spans="1:14">
      <c r="A4602">
        <v>4601</v>
      </c>
      <c r="B4602">
        <v>68</v>
      </c>
      <c r="C4602" t="s">
        <v>11</v>
      </c>
      <c r="D4602" t="s">
        <v>33</v>
      </c>
      <c r="E4602" t="s">
        <v>40</v>
      </c>
      <c r="F4602">
        <v>69.89</v>
      </c>
      <c r="G4602" t="s">
        <v>14</v>
      </c>
      <c r="H4602" t="s">
        <v>37</v>
      </c>
      <c r="I4602">
        <v>3.9</v>
      </c>
      <c r="J4602">
        <v>9</v>
      </c>
      <c r="K4602">
        <v>2</v>
      </c>
      <c r="L4602" s="4">
        <v>76.802197802197796</v>
      </c>
      <c r="M4602" s="4">
        <v>6.9121978021977952</v>
      </c>
      <c r="N4602" t="s">
        <v>95</v>
      </c>
    </row>
    <row r="4603" spans="1:14">
      <c r="A4603">
        <v>4602</v>
      </c>
      <c r="B4603">
        <v>23</v>
      </c>
      <c r="C4603" t="s">
        <v>11</v>
      </c>
      <c r="D4603" t="s">
        <v>29</v>
      </c>
      <c r="E4603" t="s">
        <v>30</v>
      </c>
      <c r="F4603">
        <v>86.48</v>
      </c>
      <c r="G4603" t="s">
        <v>24</v>
      </c>
      <c r="H4603" t="s">
        <v>15</v>
      </c>
      <c r="I4603">
        <v>4.3</v>
      </c>
      <c r="J4603">
        <v>13</v>
      </c>
      <c r="K4603">
        <v>4</v>
      </c>
      <c r="L4603" s="4">
        <v>99.402298850574724</v>
      </c>
      <c r="M4603" s="4">
        <v>12.92229885057472</v>
      </c>
      <c r="N4603" t="s">
        <v>100</v>
      </c>
    </row>
    <row r="4604" spans="1:14">
      <c r="A4604">
        <v>4603</v>
      </c>
      <c r="B4604">
        <v>63</v>
      </c>
      <c r="C4604" t="s">
        <v>16</v>
      </c>
      <c r="D4604" t="s">
        <v>20</v>
      </c>
      <c r="E4604" t="s">
        <v>36</v>
      </c>
      <c r="F4604">
        <v>29.89</v>
      </c>
      <c r="G4604" t="s">
        <v>14</v>
      </c>
      <c r="H4604" t="s">
        <v>37</v>
      </c>
      <c r="I4604">
        <v>3.9</v>
      </c>
      <c r="J4604">
        <v>14</v>
      </c>
      <c r="K4604">
        <v>7</v>
      </c>
      <c r="L4604" s="4">
        <v>34.755813953488371</v>
      </c>
      <c r="M4604" s="4">
        <v>4.8658139534883702</v>
      </c>
      <c r="N4604" t="s">
        <v>94</v>
      </c>
    </row>
    <row r="4605" spans="1:14">
      <c r="A4605">
        <v>4604</v>
      </c>
      <c r="B4605">
        <v>25</v>
      </c>
      <c r="C4605" t="s">
        <v>16</v>
      </c>
      <c r="D4605" t="s">
        <v>20</v>
      </c>
      <c r="E4605" t="s">
        <v>39</v>
      </c>
      <c r="F4605">
        <v>30.91</v>
      </c>
      <c r="G4605" t="s">
        <v>14</v>
      </c>
      <c r="H4605" t="s">
        <v>37</v>
      </c>
      <c r="I4605">
        <v>3.9</v>
      </c>
      <c r="J4605">
        <v>22</v>
      </c>
      <c r="K4605">
        <v>6</v>
      </c>
      <c r="L4605" s="4">
        <v>39.628205128205124</v>
      </c>
      <c r="M4605" s="4">
        <v>8.7182051282051241</v>
      </c>
      <c r="N4605" t="s">
        <v>91</v>
      </c>
    </row>
    <row r="4606" spans="1:14">
      <c r="A4606">
        <v>4605</v>
      </c>
      <c r="B4606">
        <v>44</v>
      </c>
      <c r="C4606" t="s">
        <v>11</v>
      </c>
      <c r="D4606" t="s">
        <v>29</v>
      </c>
      <c r="E4606" t="s">
        <v>55</v>
      </c>
      <c r="F4606">
        <v>138.36000000000001</v>
      </c>
      <c r="G4606" t="s">
        <v>24</v>
      </c>
      <c r="H4606" t="s">
        <v>15</v>
      </c>
      <c r="I4606">
        <v>4.4000000000000004</v>
      </c>
      <c r="J4606">
        <v>16</v>
      </c>
      <c r="K4606">
        <v>3</v>
      </c>
      <c r="L4606" s="4">
        <v>164.71428571428575</v>
      </c>
      <c r="M4606" s="4">
        <v>26.354285714285737</v>
      </c>
      <c r="N4606" t="s">
        <v>92</v>
      </c>
    </row>
    <row r="4607" spans="1:14">
      <c r="A4607">
        <v>4606</v>
      </c>
      <c r="B4607">
        <v>48</v>
      </c>
      <c r="C4607" t="s">
        <v>11</v>
      </c>
      <c r="D4607" t="s">
        <v>41</v>
      </c>
      <c r="E4607" t="s">
        <v>46</v>
      </c>
      <c r="F4607">
        <v>42.2</v>
      </c>
      <c r="G4607" t="s">
        <v>24</v>
      </c>
      <c r="H4607" t="s">
        <v>37</v>
      </c>
      <c r="I4607">
        <v>3.1</v>
      </c>
      <c r="J4607">
        <v>16</v>
      </c>
      <c r="K4607">
        <v>3</v>
      </c>
      <c r="L4607" s="4">
        <v>50.238095238095241</v>
      </c>
      <c r="M4607" s="4">
        <v>8.038095238095238</v>
      </c>
      <c r="N4607" t="s">
        <v>93</v>
      </c>
    </row>
    <row r="4608" spans="1:14">
      <c r="A4608">
        <v>4607</v>
      </c>
      <c r="B4608">
        <v>30</v>
      </c>
      <c r="C4608" t="s">
        <v>11</v>
      </c>
      <c r="D4608" t="s">
        <v>41</v>
      </c>
      <c r="E4608" t="s">
        <v>46</v>
      </c>
      <c r="F4608">
        <v>137.13</v>
      </c>
      <c r="G4608" t="s">
        <v>31</v>
      </c>
      <c r="H4608" t="s">
        <v>15</v>
      </c>
      <c r="I4608">
        <v>4.4000000000000004</v>
      </c>
      <c r="J4608">
        <v>16</v>
      </c>
      <c r="K4608">
        <v>3</v>
      </c>
      <c r="L4608" s="4">
        <v>163.25</v>
      </c>
      <c r="M4608" s="4">
        <v>26.120000000000005</v>
      </c>
      <c r="N4608" t="s">
        <v>91</v>
      </c>
    </row>
    <row r="4609" spans="1:14">
      <c r="A4609">
        <v>4608</v>
      </c>
      <c r="B4609">
        <v>24</v>
      </c>
      <c r="C4609" t="s">
        <v>16</v>
      </c>
      <c r="D4609" t="s">
        <v>22</v>
      </c>
      <c r="E4609" t="s">
        <v>23</v>
      </c>
      <c r="F4609">
        <v>232.57</v>
      </c>
      <c r="G4609" t="s">
        <v>31</v>
      </c>
      <c r="H4609" t="s">
        <v>15</v>
      </c>
      <c r="I4609">
        <v>3.6</v>
      </c>
      <c r="J4609">
        <v>26</v>
      </c>
      <c r="K4609">
        <v>8</v>
      </c>
      <c r="L4609" s="4">
        <v>314.2837837837838</v>
      </c>
      <c r="M4609" s="4">
        <v>81.713783783783811</v>
      </c>
      <c r="N4609" t="s">
        <v>100</v>
      </c>
    </row>
    <row r="4610" spans="1:14">
      <c r="A4610">
        <v>4609</v>
      </c>
      <c r="B4610">
        <v>25</v>
      </c>
      <c r="C4610" t="s">
        <v>11</v>
      </c>
      <c r="D4610" t="s">
        <v>12</v>
      </c>
      <c r="E4610" t="s">
        <v>13</v>
      </c>
      <c r="F4610">
        <v>22.59</v>
      </c>
      <c r="G4610" t="s">
        <v>24</v>
      </c>
      <c r="H4610" t="s">
        <v>37</v>
      </c>
      <c r="I4610">
        <v>2.9</v>
      </c>
      <c r="J4610">
        <v>12</v>
      </c>
      <c r="K4610">
        <v>6</v>
      </c>
      <c r="L4610" s="4">
        <v>25.670454545454547</v>
      </c>
      <c r="M4610" s="4">
        <v>3.0804545454545469</v>
      </c>
      <c r="N4610" t="s">
        <v>91</v>
      </c>
    </row>
    <row r="4611" spans="1:14">
      <c r="A4611">
        <v>4610</v>
      </c>
      <c r="B4611">
        <v>50</v>
      </c>
      <c r="C4611" t="s">
        <v>16</v>
      </c>
      <c r="D4611" t="s">
        <v>27</v>
      </c>
      <c r="E4611" t="s">
        <v>32</v>
      </c>
      <c r="F4611">
        <v>2642.49</v>
      </c>
      <c r="G4611" t="s">
        <v>24</v>
      </c>
      <c r="H4611" t="s">
        <v>15</v>
      </c>
      <c r="I4611">
        <v>3.5</v>
      </c>
      <c r="J4611">
        <v>20</v>
      </c>
      <c r="K4611">
        <v>5</v>
      </c>
      <c r="L4611" s="4">
        <v>3303.1124999999997</v>
      </c>
      <c r="M4611" s="4">
        <v>660.62249999999995</v>
      </c>
      <c r="N4611" t="s">
        <v>93</v>
      </c>
    </row>
    <row r="4612" spans="1:14">
      <c r="A4612">
        <v>4611</v>
      </c>
      <c r="B4612">
        <v>64</v>
      </c>
      <c r="C4612" t="s">
        <v>11</v>
      </c>
      <c r="D4612" t="s">
        <v>29</v>
      </c>
      <c r="E4612" t="s">
        <v>55</v>
      </c>
      <c r="F4612">
        <v>103.84</v>
      </c>
      <c r="G4612" t="s">
        <v>19</v>
      </c>
      <c r="H4612" t="s">
        <v>15</v>
      </c>
      <c r="I4612">
        <v>4.3</v>
      </c>
      <c r="J4612">
        <v>14</v>
      </c>
      <c r="K4612">
        <v>7</v>
      </c>
      <c r="L4612" s="4">
        <v>120.74418604651163</v>
      </c>
      <c r="M4612" s="4">
        <v>16.904186046511626</v>
      </c>
      <c r="N4612" t="s">
        <v>94</v>
      </c>
    </row>
    <row r="4613" spans="1:14">
      <c r="A4613">
        <v>4612</v>
      </c>
      <c r="B4613">
        <v>28</v>
      </c>
      <c r="C4613" t="s">
        <v>11</v>
      </c>
      <c r="D4613" t="s">
        <v>29</v>
      </c>
      <c r="E4613" t="s">
        <v>30</v>
      </c>
      <c r="F4613">
        <v>107.9</v>
      </c>
      <c r="G4613" t="s">
        <v>31</v>
      </c>
      <c r="H4613" t="s">
        <v>15</v>
      </c>
      <c r="I4613">
        <v>3.2</v>
      </c>
      <c r="J4613">
        <v>11</v>
      </c>
      <c r="K4613">
        <v>3</v>
      </c>
      <c r="L4613" s="4">
        <v>121.23595505617978</v>
      </c>
      <c r="M4613" s="4">
        <v>13.33595505617977</v>
      </c>
      <c r="N4613" t="s">
        <v>91</v>
      </c>
    </row>
    <row r="4614" spans="1:14">
      <c r="A4614">
        <v>4613</v>
      </c>
      <c r="B4614">
        <v>55</v>
      </c>
      <c r="C4614" t="s">
        <v>16</v>
      </c>
      <c r="D4614" t="s">
        <v>20</v>
      </c>
      <c r="E4614" t="s">
        <v>39</v>
      </c>
      <c r="F4614">
        <v>175.64</v>
      </c>
      <c r="G4614" t="s">
        <v>31</v>
      </c>
      <c r="H4614" t="s">
        <v>15</v>
      </c>
      <c r="I4614">
        <v>4.4000000000000004</v>
      </c>
      <c r="J4614">
        <v>18</v>
      </c>
      <c r="K4614">
        <v>9</v>
      </c>
      <c r="L4614" s="4">
        <v>214.19512195121948</v>
      </c>
      <c r="M4614" s="4">
        <v>38.55512195121949</v>
      </c>
      <c r="N4614" t="s">
        <v>94</v>
      </c>
    </row>
    <row r="4615" spans="1:14">
      <c r="A4615">
        <v>4614</v>
      </c>
      <c r="B4615">
        <v>42</v>
      </c>
      <c r="C4615" t="s">
        <v>16</v>
      </c>
      <c r="D4615" t="s">
        <v>27</v>
      </c>
      <c r="E4615" t="s">
        <v>28</v>
      </c>
      <c r="F4615">
        <v>909.94</v>
      </c>
      <c r="G4615" t="s">
        <v>14</v>
      </c>
      <c r="H4615" t="s">
        <v>15</v>
      </c>
      <c r="I4615">
        <v>3.5</v>
      </c>
      <c r="J4615">
        <v>19</v>
      </c>
      <c r="K4615">
        <v>7</v>
      </c>
      <c r="L4615" s="4">
        <v>1123.3827160493827</v>
      </c>
      <c r="M4615" s="4">
        <v>213.44271604938262</v>
      </c>
      <c r="N4615" t="s">
        <v>92</v>
      </c>
    </row>
    <row r="4616" spans="1:14">
      <c r="A4616">
        <v>4615</v>
      </c>
      <c r="B4616">
        <v>37</v>
      </c>
      <c r="C4616" t="s">
        <v>16</v>
      </c>
      <c r="D4616" t="s">
        <v>20</v>
      </c>
      <c r="E4616" t="s">
        <v>39</v>
      </c>
      <c r="F4616">
        <v>72.13</v>
      </c>
      <c r="G4616" t="s">
        <v>14</v>
      </c>
      <c r="H4616" t="s">
        <v>37</v>
      </c>
      <c r="I4616">
        <v>3.6</v>
      </c>
      <c r="J4616">
        <v>12</v>
      </c>
      <c r="K4616">
        <v>6</v>
      </c>
      <c r="L4616" s="4">
        <v>81.965909090909079</v>
      </c>
      <c r="M4616" s="4">
        <v>9.8359090909090838</v>
      </c>
      <c r="N4616" t="s">
        <v>92</v>
      </c>
    </row>
    <row r="4617" spans="1:14">
      <c r="A4617">
        <v>4616</v>
      </c>
      <c r="B4617">
        <v>60</v>
      </c>
      <c r="C4617" t="s">
        <v>11</v>
      </c>
      <c r="D4617" t="s">
        <v>33</v>
      </c>
      <c r="E4617" t="s">
        <v>34</v>
      </c>
      <c r="F4617">
        <v>150.30000000000001</v>
      </c>
      <c r="G4617" t="s">
        <v>31</v>
      </c>
      <c r="H4617" t="s">
        <v>15</v>
      </c>
      <c r="I4617">
        <v>4.2</v>
      </c>
      <c r="J4617">
        <v>22</v>
      </c>
      <c r="K4617">
        <v>6</v>
      </c>
      <c r="L4617" s="4">
        <v>192.69230769230771</v>
      </c>
      <c r="M4617" s="4">
        <v>42.392307692307696</v>
      </c>
      <c r="N4617" t="s">
        <v>94</v>
      </c>
    </row>
    <row r="4618" spans="1:14">
      <c r="A4618">
        <v>4617</v>
      </c>
      <c r="B4618">
        <v>32</v>
      </c>
      <c r="C4618" t="s">
        <v>16</v>
      </c>
      <c r="D4618" t="s">
        <v>20</v>
      </c>
      <c r="E4618" t="s">
        <v>21</v>
      </c>
      <c r="F4618">
        <v>59.98</v>
      </c>
      <c r="G4618" t="s">
        <v>14</v>
      </c>
      <c r="H4618" t="s">
        <v>37</v>
      </c>
      <c r="I4618">
        <v>4.4000000000000004</v>
      </c>
      <c r="J4618">
        <v>11</v>
      </c>
      <c r="K4618">
        <v>3</v>
      </c>
      <c r="L4618" s="4">
        <v>67.393258426966284</v>
      </c>
      <c r="M4618" s="4">
        <v>7.4132584269662871</v>
      </c>
      <c r="N4618" t="s">
        <v>91</v>
      </c>
    </row>
    <row r="4619" spans="1:14">
      <c r="A4619">
        <v>4618</v>
      </c>
      <c r="B4619">
        <v>38</v>
      </c>
      <c r="C4619" t="s">
        <v>11</v>
      </c>
      <c r="D4619" t="s">
        <v>41</v>
      </c>
      <c r="E4619" t="s">
        <v>42</v>
      </c>
      <c r="F4619">
        <v>55.88</v>
      </c>
      <c r="G4619" t="s">
        <v>24</v>
      </c>
      <c r="H4619" t="s">
        <v>15</v>
      </c>
      <c r="I4619">
        <v>4.9000000000000004</v>
      </c>
      <c r="J4619">
        <v>18</v>
      </c>
      <c r="K4619">
        <v>9</v>
      </c>
      <c r="L4619" s="4">
        <v>68.146341463414629</v>
      </c>
      <c r="M4619" s="4">
        <v>12.266341463414626</v>
      </c>
      <c r="N4619" t="s">
        <v>92</v>
      </c>
    </row>
    <row r="4620" spans="1:14">
      <c r="A4620">
        <v>4619</v>
      </c>
      <c r="B4620">
        <v>62</v>
      </c>
      <c r="C4620" t="s">
        <v>16</v>
      </c>
      <c r="D4620" t="s">
        <v>17</v>
      </c>
      <c r="E4620" t="s">
        <v>42</v>
      </c>
      <c r="F4620">
        <v>86.82</v>
      </c>
      <c r="G4620" t="s">
        <v>31</v>
      </c>
      <c r="H4620" t="s">
        <v>37</v>
      </c>
      <c r="I4620">
        <v>3</v>
      </c>
      <c r="J4620">
        <v>11</v>
      </c>
      <c r="K4620">
        <v>3</v>
      </c>
      <c r="L4620" s="4">
        <v>97.550561797752806</v>
      </c>
      <c r="M4620" s="4">
        <v>10.730561797752813</v>
      </c>
      <c r="N4620" t="s">
        <v>94</v>
      </c>
    </row>
    <row r="4621" spans="1:14">
      <c r="A4621">
        <v>4620</v>
      </c>
      <c r="B4621">
        <v>58</v>
      </c>
      <c r="C4621" t="s">
        <v>16</v>
      </c>
      <c r="D4621" t="s">
        <v>20</v>
      </c>
      <c r="E4621" t="s">
        <v>21</v>
      </c>
      <c r="F4621">
        <v>88.53</v>
      </c>
      <c r="G4621" t="s">
        <v>24</v>
      </c>
      <c r="H4621" t="s">
        <v>15</v>
      </c>
      <c r="I4621">
        <v>3.5</v>
      </c>
      <c r="J4621">
        <v>13</v>
      </c>
      <c r="K4621">
        <v>4</v>
      </c>
      <c r="L4621" s="4">
        <v>101.75862068965517</v>
      </c>
      <c r="M4621" s="4">
        <v>13.228620689655173</v>
      </c>
      <c r="N4621" t="s">
        <v>94</v>
      </c>
    </row>
    <row r="4622" spans="1:14">
      <c r="A4622">
        <v>4621</v>
      </c>
      <c r="B4622">
        <v>20</v>
      </c>
      <c r="C4622" t="s">
        <v>16</v>
      </c>
      <c r="D4622" t="s">
        <v>33</v>
      </c>
      <c r="E4622" t="s">
        <v>40</v>
      </c>
      <c r="F4622">
        <v>155.1</v>
      </c>
      <c r="G4622" t="s">
        <v>14</v>
      </c>
      <c r="H4622" t="s">
        <v>15</v>
      </c>
      <c r="I4622">
        <v>3.8</v>
      </c>
      <c r="J4622">
        <v>7</v>
      </c>
      <c r="K4622">
        <v>1</v>
      </c>
      <c r="L4622" s="4">
        <v>166.7741935483871</v>
      </c>
      <c r="M4622" s="4">
        <v>11.674193548387109</v>
      </c>
      <c r="N4622" t="s">
        <v>100</v>
      </c>
    </row>
    <row r="4623" spans="1:14">
      <c r="A4623">
        <v>4622</v>
      </c>
      <c r="B4623">
        <v>43</v>
      </c>
      <c r="C4623" t="s">
        <v>11</v>
      </c>
      <c r="D4623" t="s">
        <v>29</v>
      </c>
      <c r="E4623" t="s">
        <v>30</v>
      </c>
      <c r="F4623">
        <v>79.400000000000006</v>
      </c>
      <c r="G4623" t="s">
        <v>24</v>
      </c>
      <c r="H4623" t="s">
        <v>37</v>
      </c>
      <c r="I4623">
        <v>4.3</v>
      </c>
      <c r="J4623">
        <v>21</v>
      </c>
      <c r="K4623">
        <v>8</v>
      </c>
      <c r="L4623" s="4">
        <v>100.50632911392405</v>
      </c>
      <c r="M4623" s="4">
        <v>21.106329113924048</v>
      </c>
      <c r="N4623" t="s">
        <v>92</v>
      </c>
    </row>
    <row r="4624" spans="1:14">
      <c r="A4624">
        <v>4623</v>
      </c>
      <c r="B4624">
        <v>23</v>
      </c>
      <c r="C4624" t="s">
        <v>16</v>
      </c>
      <c r="D4624" t="s">
        <v>27</v>
      </c>
      <c r="E4624" t="s">
        <v>28</v>
      </c>
      <c r="F4624">
        <v>1000.65</v>
      </c>
      <c r="G4624" t="s">
        <v>19</v>
      </c>
      <c r="H4624" t="s">
        <v>15</v>
      </c>
      <c r="I4624">
        <v>3.6</v>
      </c>
      <c r="J4624">
        <v>19</v>
      </c>
      <c r="K4624">
        <v>7</v>
      </c>
      <c r="L4624" s="4">
        <v>1235.3703703703702</v>
      </c>
      <c r="M4624" s="4">
        <v>234.72037037037023</v>
      </c>
      <c r="N4624" t="s">
        <v>100</v>
      </c>
    </row>
    <row r="4625" spans="1:14">
      <c r="A4625">
        <v>4624</v>
      </c>
      <c r="B4625">
        <v>34</v>
      </c>
      <c r="C4625" t="s">
        <v>16</v>
      </c>
      <c r="D4625" t="s">
        <v>27</v>
      </c>
      <c r="E4625" t="s">
        <v>28</v>
      </c>
      <c r="F4625">
        <v>654.41999999999996</v>
      </c>
      <c r="G4625" t="s">
        <v>31</v>
      </c>
      <c r="H4625" t="s">
        <v>15</v>
      </c>
      <c r="I4625">
        <v>5</v>
      </c>
      <c r="J4625">
        <v>13</v>
      </c>
      <c r="K4625">
        <v>4</v>
      </c>
      <c r="L4625" s="4">
        <v>752.20689655172407</v>
      </c>
      <c r="M4625" s="4">
        <v>97.786896551724112</v>
      </c>
      <c r="N4625" t="s">
        <v>91</v>
      </c>
    </row>
    <row r="4626" spans="1:14">
      <c r="A4626">
        <v>4625</v>
      </c>
      <c r="B4626">
        <v>31</v>
      </c>
      <c r="C4626" t="s">
        <v>16</v>
      </c>
      <c r="D4626" t="s">
        <v>20</v>
      </c>
      <c r="E4626" t="s">
        <v>39</v>
      </c>
      <c r="F4626">
        <v>226.81</v>
      </c>
      <c r="G4626" t="s">
        <v>19</v>
      </c>
      <c r="H4626" t="s">
        <v>15</v>
      </c>
      <c r="I4626">
        <v>4.5</v>
      </c>
      <c r="J4626">
        <v>4</v>
      </c>
      <c r="K4626">
        <v>2</v>
      </c>
      <c r="L4626" s="4">
        <v>236.26041666666669</v>
      </c>
      <c r="M4626" s="4">
        <v>9.4504166666666833</v>
      </c>
      <c r="N4626" t="s">
        <v>91</v>
      </c>
    </row>
    <row r="4627" spans="1:14">
      <c r="A4627">
        <v>4626</v>
      </c>
      <c r="B4627">
        <v>32</v>
      </c>
      <c r="C4627" t="s">
        <v>11</v>
      </c>
      <c r="D4627" t="s">
        <v>12</v>
      </c>
      <c r="E4627" t="s">
        <v>50</v>
      </c>
      <c r="F4627">
        <v>40.26</v>
      </c>
      <c r="G4627" t="s">
        <v>31</v>
      </c>
      <c r="H4627" t="s">
        <v>15</v>
      </c>
      <c r="I4627">
        <v>5</v>
      </c>
      <c r="J4627">
        <v>18</v>
      </c>
      <c r="K4627">
        <v>4</v>
      </c>
      <c r="L4627" s="4">
        <v>49.097560975609753</v>
      </c>
      <c r="M4627" s="4">
        <v>8.8375609756097546</v>
      </c>
      <c r="N4627" t="s">
        <v>91</v>
      </c>
    </row>
    <row r="4628" spans="1:14">
      <c r="A4628">
        <v>4627</v>
      </c>
      <c r="B4628">
        <v>55</v>
      </c>
      <c r="C4628" t="s">
        <v>16</v>
      </c>
      <c r="D4628" t="s">
        <v>27</v>
      </c>
      <c r="E4628" t="s">
        <v>32</v>
      </c>
      <c r="F4628">
        <v>556.03</v>
      </c>
      <c r="G4628" t="s">
        <v>14</v>
      </c>
      <c r="H4628" t="s">
        <v>15</v>
      </c>
      <c r="I4628">
        <v>4.0999999999999996</v>
      </c>
      <c r="J4628">
        <v>12</v>
      </c>
      <c r="K4628">
        <v>6</v>
      </c>
      <c r="L4628" s="4">
        <v>631.85227272727275</v>
      </c>
      <c r="M4628" s="4">
        <v>75.822272727272775</v>
      </c>
      <c r="N4628" t="s">
        <v>94</v>
      </c>
    </row>
    <row r="4629" spans="1:14">
      <c r="A4629">
        <v>4628</v>
      </c>
      <c r="B4629">
        <v>35</v>
      </c>
      <c r="C4629" t="s">
        <v>11</v>
      </c>
      <c r="D4629" t="s">
        <v>29</v>
      </c>
      <c r="E4629" t="s">
        <v>55</v>
      </c>
      <c r="F4629">
        <v>108.74</v>
      </c>
      <c r="G4629" t="s">
        <v>24</v>
      </c>
      <c r="H4629" t="s">
        <v>15</v>
      </c>
      <c r="I4629">
        <v>3.8</v>
      </c>
      <c r="J4629">
        <v>4</v>
      </c>
      <c r="K4629">
        <v>2</v>
      </c>
      <c r="L4629" s="4">
        <v>113.27083333333333</v>
      </c>
      <c r="M4629" s="4">
        <v>4.5308333333333337</v>
      </c>
      <c r="N4629" t="s">
        <v>92</v>
      </c>
    </row>
    <row r="4630" spans="1:14">
      <c r="A4630">
        <v>4629</v>
      </c>
      <c r="B4630">
        <v>27</v>
      </c>
      <c r="C4630" t="s">
        <v>11</v>
      </c>
      <c r="D4630" t="s">
        <v>22</v>
      </c>
      <c r="E4630" t="s">
        <v>23</v>
      </c>
      <c r="F4630">
        <v>176.23</v>
      </c>
      <c r="G4630" t="s">
        <v>14</v>
      </c>
      <c r="H4630" t="s">
        <v>15</v>
      </c>
      <c r="I4630">
        <v>4.0999999999999996</v>
      </c>
      <c r="J4630">
        <v>20</v>
      </c>
      <c r="K4630">
        <v>5</v>
      </c>
      <c r="L4630" s="4">
        <v>220.28749999999997</v>
      </c>
      <c r="M4630" s="4">
        <v>44.057499999999976</v>
      </c>
      <c r="N4630" t="s">
        <v>91</v>
      </c>
    </row>
    <row r="4631" spans="1:14">
      <c r="A4631">
        <v>4630</v>
      </c>
      <c r="B4631">
        <v>30</v>
      </c>
      <c r="C4631" t="s">
        <v>11</v>
      </c>
      <c r="D4631" t="s">
        <v>33</v>
      </c>
      <c r="E4631" t="s">
        <v>34</v>
      </c>
      <c r="F4631">
        <v>189.68</v>
      </c>
      <c r="G4631" t="s">
        <v>31</v>
      </c>
      <c r="H4631" t="s">
        <v>15</v>
      </c>
      <c r="I4631">
        <v>4</v>
      </c>
      <c r="J4631">
        <v>13</v>
      </c>
      <c r="K4631">
        <v>4</v>
      </c>
      <c r="L4631" s="4">
        <v>218.02298850574712</v>
      </c>
      <c r="M4631" s="4">
        <v>28.342988505747115</v>
      </c>
      <c r="N4631" t="s">
        <v>91</v>
      </c>
    </row>
    <row r="4632" spans="1:14">
      <c r="A4632">
        <v>4631</v>
      </c>
      <c r="B4632">
        <v>34</v>
      </c>
      <c r="C4632" t="s">
        <v>11</v>
      </c>
      <c r="D4632" t="s">
        <v>20</v>
      </c>
      <c r="E4632" t="s">
        <v>36</v>
      </c>
      <c r="F4632">
        <v>196.56</v>
      </c>
      <c r="G4632" t="s">
        <v>31</v>
      </c>
      <c r="H4632" t="s">
        <v>15</v>
      </c>
      <c r="I4632">
        <v>3.8</v>
      </c>
      <c r="J4632">
        <v>14</v>
      </c>
      <c r="K4632">
        <v>7</v>
      </c>
      <c r="L4632" s="4">
        <v>228.55813953488374</v>
      </c>
      <c r="M4632" s="4">
        <v>31.998139534883734</v>
      </c>
      <c r="N4632" t="s">
        <v>91</v>
      </c>
    </row>
    <row r="4633" spans="1:14">
      <c r="A4633">
        <v>4632</v>
      </c>
      <c r="B4633">
        <v>52</v>
      </c>
      <c r="C4633" t="s">
        <v>16</v>
      </c>
      <c r="D4633" t="s">
        <v>20</v>
      </c>
      <c r="E4633" t="s">
        <v>21</v>
      </c>
      <c r="F4633">
        <v>42.78</v>
      </c>
      <c r="G4633" t="s">
        <v>24</v>
      </c>
      <c r="H4633" t="s">
        <v>37</v>
      </c>
      <c r="I4633">
        <v>2.5</v>
      </c>
      <c r="J4633">
        <v>10</v>
      </c>
      <c r="K4633">
        <v>5</v>
      </c>
      <c r="L4633" s="4">
        <v>47.533333333333331</v>
      </c>
      <c r="M4633" s="4">
        <v>4.7533333333333303</v>
      </c>
      <c r="N4633" t="s">
        <v>93</v>
      </c>
    </row>
    <row r="4634" spans="1:14">
      <c r="A4634">
        <v>4633</v>
      </c>
      <c r="B4634">
        <v>70</v>
      </c>
      <c r="C4634" t="s">
        <v>16</v>
      </c>
      <c r="D4634" t="s">
        <v>17</v>
      </c>
      <c r="E4634" t="s">
        <v>42</v>
      </c>
      <c r="F4634">
        <v>79.5</v>
      </c>
      <c r="G4634" t="s">
        <v>14</v>
      </c>
      <c r="H4634" t="s">
        <v>15</v>
      </c>
      <c r="I4634">
        <v>4.4000000000000004</v>
      </c>
      <c r="J4634">
        <v>13</v>
      </c>
      <c r="K4634">
        <v>4</v>
      </c>
      <c r="L4634" s="4">
        <v>91.379310344827587</v>
      </c>
      <c r="M4634" s="4">
        <v>11.879310344827587</v>
      </c>
      <c r="N4634" t="s">
        <v>95</v>
      </c>
    </row>
    <row r="4635" spans="1:14">
      <c r="A4635">
        <v>4634</v>
      </c>
      <c r="B4635">
        <v>42</v>
      </c>
      <c r="C4635" t="s">
        <v>11</v>
      </c>
      <c r="D4635" t="s">
        <v>33</v>
      </c>
      <c r="E4635" t="s">
        <v>40</v>
      </c>
      <c r="F4635">
        <v>145.34</v>
      </c>
      <c r="G4635" t="s">
        <v>31</v>
      </c>
      <c r="H4635" t="s">
        <v>15</v>
      </c>
      <c r="I4635">
        <v>4.0999999999999996</v>
      </c>
      <c r="J4635">
        <v>6</v>
      </c>
      <c r="K4635">
        <v>3</v>
      </c>
      <c r="L4635" s="4">
        <v>154.61702127659575</v>
      </c>
      <c r="M4635" s="4">
        <v>9.2770212765957467</v>
      </c>
      <c r="N4635" t="s">
        <v>92</v>
      </c>
    </row>
    <row r="4636" spans="1:14">
      <c r="A4636">
        <v>4635</v>
      </c>
      <c r="B4636">
        <v>29</v>
      </c>
      <c r="C4636" t="s">
        <v>16</v>
      </c>
      <c r="D4636" t="s">
        <v>27</v>
      </c>
      <c r="E4636" t="s">
        <v>49</v>
      </c>
      <c r="F4636">
        <v>1135.48</v>
      </c>
      <c r="G4636" t="s">
        <v>14</v>
      </c>
      <c r="H4636" t="s">
        <v>15</v>
      </c>
      <c r="I4636">
        <v>4.2</v>
      </c>
      <c r="J4636">
        <v>8</v>
      </c>
      <c r="K4636">
        <v>4</v>
      </c>
      <c r="L4636" s="4">
        <v>1234.2173913043478</v>
      </c>
      <c r="M4636" s="4">
        <v>98.737391304347739</v>
      </c>
      <c r="N4636" t="s">
        <v>91</v>
      </c>
    </row>
    <row r="4637" spans="1:14">
      <c r="A4637">
        <v>4636</v>
      </c>
      <c r="B4637">
        <v>33</v>
      </c>
      <c r="C4637" t="s">
        <v>11</v>
      </c>
      <c r="D4637" t="s">
        <v>33</v>
      </c>
      <c r="E4637" t="s">
        <v>38</v>
      </c>
      <c r="F4637">
        <v>156.04</v>
      </c>
      <c r="G4637" t="s">
        <v>31</v>
      </c>
      <c r="H4637" t="s">
        <v>15</v>
      </c>
      <c r="I4637">
        <v>4.4000000000000004</v>
      </c>
      <c r="J4637">
        <v>20</v>
      </c>
      <c r="K4637">
        <v>5</v>
      </c>
      <c r="L4637" s="4">
        <v>195.04999999999998</v>
      </c>
      <c r="M4637" s="4">
        <v>39.009999999999991</v>
      </c>
      <c r="N4637" t="s">
        <v>91</v>
      </c>
    </row>
    <row r="4638" spans="1:14">
      <c r="A4638">
        <v>4637</v>
      </c>
      <c r="B4638">
        <v>68</v>
      </c>
      <c r="C4638" t="s">
        <v>11</v>
      </c>
      <c r="D4638" t="s">
        <v>29</v>
      </c>
      <c r="E4638" t="s">
        <v>55</v>
      </c>
      <c r="F4638">
        <v>91.12</v>
      </c>
      <c r="G4638" t="s">
        <v>14</v>
      </c>
      <c r="H4638" t="s">
        <v>15</v>
      </c>
      <c r="I4638">
        <v>3.7</v>
      </c>
      <c r="J4638">
        <v>20</v>
      </c>
      <c r="K4638">
        <v>5</v>
      </c>
      <c r="L4638" s="4">
        <v>113.9</v>
      </c>
      <c r="M4638" s="4">
        <v>22.78</v>
      </c>
      <c r="N4638" t="s">
        <v>95</v>
      </c>
    </row>
    <row r="4639" spans="1:14">
      <c r="A4639">
        <v>4638</v>
      </c>
      <c r="B4639">
        <v>47</v>
      </c>
      <c r="C4639" t="s">
        <v>11</v>
      </c>
      <c r="D4639" t="s">
        <v>29</v>
      </c>
      <c r="E4639" t="s">
        <v>51</v>
      </c>
      <c r="F4639">
        <v>125.68</v>
      </c>
      <c r="G4639" t="s">
        <v>31</v>
      </c>
      <c r="H4639" t="s">
        <v>15</v>
      </c>
      <c r="I4639">
        <v>4.9000000000000004</v>
      </c>
      <c r="J4639">
        <v>18</v>
      </c>
      <c r="K4639">
        <v>4</v>
      </c>
      <c r="L4639" s="4">
        <v>153.26829268292681</v>
      </c>
      <c r="M4639" s="4">
        <v>27.588292682926806</v>
      </c>
      <c r="N4639" t="s">
        <v>93</v>
      </c>
    </row>
    <row r="4640" spans="1:14">
      <c r="A4640">
        <v>4639</v>
      </c>
      <c r="B4640">
        <v>59</v>
      </c>
      <c r="C4640" t="s">
        <v>16</v>
      </c>
      <c r="D4640" t="s">
        <v>33</v>
      </c>
      <c r="E4640" t="s">
        <v>40</v>
      </c>
      <c r="F4640">
        <v>118.38</v>
      </c>
      <c r="G4640" t="s">
        <v>14</v>
      </c>
      <c r="H4640" t="s">
        <v>15</v>
      </c>
      <c r="I4640">
        <v>4.3</v>
      </c>
      <c r="J4640">
        <v>17</v>
      </c>
      <c r="K4640">
        <v>6</v>
      </c>
      <c r="L4640" s="4">
        <v>142.62650602409639</v>
      </c>
      <c r="M4640" s="4">
        <v>24.246506024096391</v>
      </c>
      <c r="N4640" t="s">
        <v>94</v>
      </c>
    </row>
    <row r="4641" spans="1:14">
      <c r="A4641">
        <v>4640</v>
      </c>
      <c r="B4641">
        <v>41</v>
      </c>
      <c r="C4641" t="s">
        <v>16</v>
      </c>
      <c r="D4641" t="s">
        <v>27</v>
      </c>
      <c r="E4641" t="s">
        <v>32</v>
      </c>
      <c r="F4641">
        <v>2452.5500000000002</v>
      </c>
      <c r="G4641" t="s">
        <v>24</v>
      </c>
      <c r="H4641" t="s">
        <v>15</v>
      </c>
      <c r="I4641">
        <v>4.4000000000000004</v>
      </c>
      <c r="J4641">
        <v>18</v>
      </c>
      <c r="K4641">
        <v>4</v>
      </c>
      <c r="L4641" s="4">
        <v>2990.9146341463415</v>
      </c>
      <c r="M4641" s="4">
        <v>538.36463414634136</v>
      </c>
      <c r="N4641" t="s">
        <v>92</v>
      </c>
    </row>
    <row r="4642" spans="1:14">
      <c r="A4642">
        <v>4641</v>
      </c>
      <c r="B4642">
        <v>60</v>
      </c>
      <c r="C4642" t="s">
        <v>11</v>
      </c>
      <c r="D4642" t="s">
        <v>33</v>
      </c>
      <c r="E4642" t="s">
        <v>38</v>
      </c>
      <c r="F4642">
        <v>126.78</v>
      </c>
      <c r="G4642" t="s">
        <v>31</v>
      </c>
      <c r="H4642" t="s">
        <v>15</v>
      </c>
      <c r="I4642">
        <v>3.2</v>
      </c>
      <c r="J4642">
        <v>13</v>
      </c>
      <c r="K4642">
        <v>4</v>
      </c>
      <c r="L4642" s="4">
        <v>145.72413793103448</v>
      </c>
      <c r="M4642" s="4">
        <v>18.944137931034476</v>
      </c>
      <c r="N4642" t="s">
        <v>94</v>
      </c>
    </row>
    <row r="4643" spans="1:14">
      <c r="A4643">
        <v>4642</v>
      </c>
      <c r="B4643">
        <v>20</v>
      </c>
      <c r="C4643" t="s">
        <v>16</v>
      </c>
      <c r="D4643" t="s">
        <v>20</v>
      </c>
      <c r="E4643" t="s">
        <v>39</v>
      </c>
      <c r="F4643">
        <v>167.57</v>
      </c>
      <c r="G4643" t="s">
        <v>31</v>
      </c>
      <c r="H4643" t="s">
        <v>15</v>
      </c>
      <c r="I4643">
        <v>2.7</v>
      </c>
      <c r="J4643">
        <v>13</v>
      </c>
      <c r="K4643">
        <v>4</v>
      </c>
      <c r="L4643" s="4">
        <v>192.60919540229884</v>
      </c>
      <c r="M4643" s="4">
        <v>25.039195402298844</v>
      </c>
      <c r="N4643" t="s">
        <v>100</v>
      </c>
    </row>
    <row r="4644" spans="1:14">
      <c r="A4644">
        <v>4643</v>
      </c>
      <c r="B4644">
        <v>29</v>
      </c>
      <c r="C4644" t="s">
        <v>16</v>
      </c>
      <c r="D4644" t="s">
        <v>17</v>
      </c>
      <c r="E4644" t="s">
        <v>18</v>
      </c>
      <c r="F4644">
        <v>89.05</v>
      </c>
      <c r="G4644" t="s">
        <v>19</v>
      </c>
      <c r="H4644" t="s">
        <v>37</v>
      </c>
      <c r="I4644">
        <v>3.8</v>
      </c>
      <c r="J4644">
        <v>15</v>
      </c>
      <c r="K4644">
        <v>5</v>
      </c>
      <c r="L4644" s="4">
        <v>104.76470588235294</v>
      </c>
      <c r="M4644" s="4">
        <v>15.714705882352945</v>
      </c>
      <c r="N4644" t="s">
        <v>91</v>
      </c>
    </row>
    <row r="4645" spans="1:14">
      <c r="A4645">
        <v>4644</v>
      </c>
      <c r="B4645">
        <v>41</v>
      </c>
      <c r="C4645" t="s">
        <v>11</v>
      </c>
      <c r="D4645" t="s">
        <v>33</v>
      </c>
      <c r="E4645" t="s">
        <v>34</v>
      </c>
      <c r="F4645">
        <v>83.85</v>
      </c>
      <c r="G4645" t="s">
        <v>14</v>
      </c>
      <c r="H4645" t="s">
        <v>37</v>
      </c>
      <c r="I4645">
        <v>4.4000000000000004</v>
      </c>
      <c r="J4645">
        <v>24</v>
      </c>
      <c r="K4645">
        <v>7</v>
      </c>
      <c r="L4645" s="4">
        <v>110.32894736842104</v>
      </c>
      <c r="M4645" s="4">
        <v>26.478947368421046</v>
      </c>
      <c r="N4645" t="s">
        <v>92</v>
      </c>
    </row>
    <row r="4646" spans="1:14">
      <c r="A4646">
        <v>4645</v>
      </c>
      <c r="B4646">
        <v>22</v>
      </c>
      <c r="C4646" t="s">
        <v>11</v>
      </c>
      <c r="D4646" t="s">
        <v>41</v>
      </c>
      <c r="E4646" t="s">
        <v>44</v>
      </c>
      <c r="F4646">
        <v>73.430000000000007</v>
      </c>
      <c r="G4646" t="s">
        <v>14</v>
      </c>
      <c r="H4646" t="s">
        <v>15</v>
      </c>
      <c r="I4646">
        <v>3.9</v>
      </c>
      <c r="J4646">
        <v>18</v>
      </c>
      <c r="K4646">
        <v>4</v>
      </c>
      <c r="L4646" s="4">
        <v>89.548780487804876</v>
      </c>
      <c r="M4646" s="4">
        <v>16.118780487804869</v>
      </c>
      <c r="N4646" t="s">
        <v>100</v>
      </c>
    </row>
    <row r="4647" spans="1:14">
      <c r="A4647">
        <v>4646</v>
      </c>
      <c r="B4647">
        <v>50</v>
      </c>
      <c r="C4647" t="s">
        <v>11</v>
      </c>
      <c r="D4647" t="s">
        <v>22</v>
      </c>
      <c r="E4647" t="s">
        <v>23</v>
      </c>
      <c r="F4647">
        <v>99.03</v>
      </c>
      <c r="G4647" t="s">
        <v>24</v>
      </c>
      <c r="H4647" t="s">
        <v>15</v>
      </c>
      <c r="I4647">
        <v>4.5999999999999996</v>
      </c>
      <c r="J4647">
        <v>17</v>
      </c>
      <c r="K4647">
        <v>6</v>
      </c>
      <c r="L4647" s="4">
        <v>119.31325301204819</v>
      </c>
      <c r="M4647" s="4">
        <v>20.283253012048192</v>
      </c>
      <c r="N4647" t="s">
        <v>93</v>
      </c>
    </row>
    <row r="4648" spans="1:14">
      <c r="A4648">
        <v>4647</v>
      </c>
      <c r="B4648">
        <v>51</v>
      </c>
      <c r="C4648" t="s">
        <v>16</v>
      </c>
      <c r="D4648" t="s">
        <v>27</v>
      </c>
      <c r="E4648" t="s">
        <v>49</v>
      </c>
      <c r="F4648">
        <v>912.84</v>
      </c>
      <c r="G4648" t="s">
        <v>31</v>
      </c>
      <c r="H4648" t="s">
        <v>15</v>
      </c>
      <c r="I4648">
        <v>4.4000000000000004</v>
      </c>
      <c r="J4648">
        <v>18</v>
      </c>
      <c r="K4648">
        <v>9</v>
      </c>
      <c r="L4648" s="4">
        <v>1113.219512195122</v>
      </c>
      <c r="M4648" s="4">
        <v>200.37951219512195</v>
      </c>
      <c r="N4648" t="s">
        <v>93</v>
      </c>
    </row>
    <row r="4649" spans="1:14">
      <c r="A4649">
        <v>4648</v>
      </c>
      <c r="B4649">
        <v>30</v>
      </c>
      <c r="C4649" t="s">
        <v>16</v>
      </c>
      <c r="D4649" t="s">
        <v>33</v>
      </c>
      <c r="E4649" t="s">
        <v>38</v>
      </c>
      <c r="F4649">
        <v>115.58</v>
      </c>
      <c r="G4649" t="s">
        <v>19</v>
      </c>
      <c r="H4649" t="s">
        <v>15</v>
      </c>
      <c r="I4649">
        <v>4.3</v>
      </c>
      <c r="J4649">
        <v>15</v>
      </c>
      <c r="K4649">
        <v>5</v>
      </c>
      <c r="L4649" s="4">
        <v>135.97647058823529</v>
      </c>
      <c r="M4649" s="4">
        <v>20.396470588235289</v>
      </c>
      <c r="N4649" t="s">
        <v>91</v>
      </c>
    </row>
    <row r="4650" spans="1:14">
      <c r="A4650">
        <v>4649</v>
      </c>
      <c r="B4650">
        <v>47</v>
      </c>
      <c r="C4650" t="s">
        <v>16</v>
      </c>
      <c r="D4650" t="s">
        <v>17</v>
      </c>
      <c r="E4650" t="s">
        <v>35</v>
      </c>
      <c r="F4650">
        <v>93.05</v>
      </c>
      <c r="G4650" t="s">
        <v>24</v>
      </c>
      <c r="H4650" t="s">
        <v>37</v>
      </c>
      <c r="I4650">
        <v>3.6</v>
      </c>
      <c r="J4650">
        <v>15</v>
      </c>
      <c r="K4650">
        <v>5</v>
      </c>
      <c r="L4650" s="4">
        <v>109.47058823529412</v>
      </c>
      <c r="M4650" s="4">
        <v>16.420588235294119</v>
      </c>
      <c r="N4650" t="s">
        <v>93</v>
      </c>
    </row>
    <row r="4651" spans="1:14">
      <c r="A4651">
        <v>4650</v>
      </c>
      <c r="B4651">
        <v>67</v>
      </c>
      <c r="C4651" t="s">
        <v>11</v>
      </c>
      <c r="D4651" t="s">
        <v>41</v>
      </c>
      <c r="E4651" t="s">
        <v>44</v>
      </c>
      <c r="F4651">
        <v>35.619999999999997</v>
      </c>
      <c r="G4651" t="s">
        <v>19</v>
      </c>
      <c r="H4651" t="s">
        <v>37</v>
      </c>
      <c r="I4651">
        <v>3.4</v>
      </c>
      <c r="J4651">
        <v>13</v>
      </c>
      <c r="K4651">
        <v>4</v>
      </c>
      <c r="L4651" s="4">
        <v>40.94252873563218</v>
      </c>
      <c r="M4651" s="4">
        <v>5.3225287356321829</v>
      </c>
      <c r="N4651" t="s">
        <v>95</v>
      </c>
    </row>
    <row r="4652" spans="1:14">
      <c r="A4652">
        <v>4651</v>
      </c>
      <c r="B4652">
        <v>64</v>
      </c>
      <c r="C4652" t="s">
        <v>11</v>
      </c>
      <c r="D4652" t="s">
        <v>12</v>
      </c>
      <c r="E4652" t="s">
        <v>50</v>
      </c>
      <c r="F4652">
        <v>132.69</v>
      </c>
      <c r="G4652" t="s">
        <v>31</v>
      </c>
      <c r="H4652" t="s">
        <v>15</v>
      </c>
      <c r="I4652">
        <v>3.3</v>
      </c>
      <c r="J4652">
        <v>19</v>
      </c>
      <c r="K4652">
        <v>7</v>
      </c>
      <c r="L4652" s="4">
        <v>163.81481481481481</v>
      </c>
      <c r="M4652" s="4">
        <v>31.124814814814812</v>
      </c>
      <c r="N4652" t="s">
        <v>94</v>
      </c>
    </row>
    <row r="4653" spans="1:14">
      <c r="A4653">
        <v>4652</v>
      </c>
      <c r="B4653">
        <v>25</v>
      </c>
      <c r="C4653" t="s">
        <v>16</v>
      </c>
      <c r="D4653" t="s">
        <v>17</v>
      </c>
      <c r="E4653" t="s">
        <v>35</v>
      </c>
      <c r="F4653">
        <v>170.07</v>
      </c>
      <c r="G4653" t="s">
        <v>19</v>
      </c>
      <c r="H4653" t="s">
        <v>15</v>
      </c>
      <c r="I4653">
        <v>3.6</v>
      </c>
      <c r="J4653">
        <v>9</v>
      </c>
      <c r="K4653">
        <v>2</v>
      </c>
      <c r="L4653" s="4">
        <v>186.89010989010987</v>
      </c>
      <c r="M4653" s="4">
        <v>16.820109890109876</v>
      </c>
      <c r="N4653" t="s">
        <v>91</v>
      </c>
    </row>
    <row r="4654" spans="1:14">
      <c r="A4654">
        <v>4653</v>
      </c>
      <c r="B4654">
        <v>48</v>
      </c>
      <c r="C4654" t="s">
        <v>11</v>
      </c>
      <c r="D4654" t="s">
        <v>12</v>
      </c>
      <c r="E4654" t="s">
        <v>56</v>
      </c>
      <c r="F4654">
        <v>86.33</v>
      </c>
      <c r="G4654" t="s">
        <v>31</v>
      </c>
      <c r="H4654" t="s">
        <v>15</v>
      </c>
      <c r="I4654">
        <v>3.4</v>
      </c>
      <c r="J4654">
        <v>6</v>
      </c>
      <c r="K4654">
        <v>3</v>
      </c>
      <c r="L4654" s="4">
        <v>91.840425531914903</v>
      </c>
      <c r="M4654" s="4">
        <v>5.5104255319149047</v>
      </c>
      <c r="N4654" t="s">
        <v>93</v>
      </c>
    </row>
    <row r="4655" spans="1:14">
      <c r="A4655">
        <v>4654</v>
      </c>
      <c r="B4655">
        <v>47</v>
      </c>
      <c r="C4655" t="s">
        <v>16</v>
      </c>
      <c r="D4655" t="s">
        <v>27</v>
      </c>
      <c r="E4655" t="s">
        <v>53</v>
      </c>
      <c r="F4655">
        <v>2683.15</v>
      </c>
      <c r="G4655" t="s">
        <v>14</v>
      </c>
      <c r="H4655" t="s">
        <v>15</v>
      </c>
      <c r="I4655">
        <v>3.3</v>
      </c>
      <c r="J4655">
        <v>11</v>
      </c>
      <c r="K4655">
        <v>3</v>
      </c>
      <c r="L4655" s="4">
        <v>3014.7752808988766</v>
      </c>
      <c r="M4655" s="4">
        <v>331.62528089887655</v>
      </c>
      <c r="N4655" t="s">
        <v>93</v>
      </c>
    </row>
    <row r="4656" spans="1:14">
      <c r="A4656">
        <v>4655</v>
      </c>
      <c r="B4656">
        <v>64</v>
      </c>
      <c r="C4656" t="s">
        <v>16</v>
      </c>
      <c r="D4656" t="s">
        <v>27</v>
      </c>
      <c r="E4656" t="s">
        <v>32</v>
      </c>
      <c r="F4656">
        <v>1406.03</v>
      </c>
      <c r="G4656" t="s">
        <v>24</v>
      </c>
      <c r="H4656" t="s">
        <v>15</v>
      </c>
      <c r="I4656">
        <v>3.7</v>
      </c>
      <c r="J4656">
        <v>22</v>
      </c>
      <c r="K4656">
        <v>6</v>
      </c>
      <c r="L4656" s="4">
        <v>1802.602564102564</v>
      </c>
      <c r="M4656" s="4">
        <v>396.572564102564</v>
      </c>
      <c r="N4656" t="s">
        <v>94</v>
      </c>
    </row>
    <row r="4657" spans="1:14">
      <c r="A4657">
        <v>4656</v>
      </c>
      <c r="B4657">
        <v>41</v>
      </c>
      <c r="C4657" t="s">
        <v>11</v>
      </c>
      <c r="D4657" t="s">
        <v>33</v>
      </c>
      <c r="E4657" t="s">
        <v>34</v>
      </c>
      <c r="F4657">
        <v>192.14</v>
      </c>
      <c r="G4657" t="s">
        <v>31</v>
      </c>
      <c r="H4657" t="s">
        <v>15</v>
      </c>
      <c r="I4657">
        <v>3.8</v>
      </c>
      <c r="J4657">
        <v>13</v>
      </c>
      <c r="K4657">
        <v>4</v>
      </c>
      <c r="L4657" s="4">
        <v>220.85057471264366</v>
      </c>
      <c r="M4657" s="4">
        <v>28.710574712643677</v>
      </c>
      <c r="N4657" t="s">
        <v>92</v>
      </c>
    </row>
    <row r="4658" spans="1:14">
      <c r="A4658">
        <v>4657</v>
      </c>
      <c r="B4658">
        <v>56</v>
      </c>
      <c r="C4658" t="s">
        <v>11</v>
      </c>
      <c r="D4658" t="s">
        <v>33</v>
      </c>
      <c r="E4658" t="s">
        <v>38</v>
      </c>
      <c r="F4658">
        <v>234.23</v>
      </c>
      <c r="G4658" t="s">
        <v>19</v>
      </c>
      <c r="H4658" t="s">
        <v>15</v>
      </c>
      <c r="I4658">
        <v>4.7</v>
      </c>
      <c r="J4658">
        <v>13</v>
      </c>
      <c r="K4658">
        <v>4</v>
      </c>
      <c r="L4658" s="4">
        <v>269.22988505747128</v>
      </c>
      <c r="M4658" s="4">
        <v>34.999885057471289</v>
      </c>
      <c r="N4658" t="s">
        <v>94</v>
      </c>
    </row>
    <row r="4659" spans="1:14">
      <c r="A4659">
        <v>4658</v>
      </c>
      <c r="B4659">
        <v>65</v>
      </c>
      <c r="C4659" t="s">
        <v>11</v>
      </c>
      <c r="D4659" t="s">
        <v>41</v>
      </c>
      <c r="E4659" t="s">
        <v>45</v>
      </c>
      <c r="F4659">
        <v>50.96</v>
      </c>
      <c r="G4659" t="s">
        <v>14</v>
      </c>
      <c r="H4659" t="s">
        <v>15</v>
      </c>
      <c r="I4659">
        <v>4</v>
      </c>
      <c r="J4659">
        <v>23</v>
      </c>
      <c r="K4659">
        <v>9</v>
      </c>
      <c r="L4659" s="4">
        <v>66.181818181818187</v>
      </c>
      <c r="M4659" s="4">
        <v>15.221818181818186</v>
      </c>
      <c r="N4659" t="s">
        <v>95</v>
      </c>
    </row>
    <row r="4660" spans="1:14">
      <c r="A4660">
        <v>4659</v>
      </c>
      <c r="B4660">
        <v>62</v>
      </c>
      <c r="C4660" t="s">
        <v>11</v>
      </c>
      <c r="D4660" t="s">
        <v>33</v>
      </c>
      <c r="E4660" t="s">
        <v>40</v>
      </c>
      <c r="F4660">
        <v>50.04</v>
      </c>
      <c r="G4660" t="s">
        <v>19</v>
      </c>
      <c r="H4660" t="s">
        <v>37</v>
      </c>
      <c r="I4660">
        <v>2.5</v>
      </c>
      <c r="J4660">
        <v>19</v>
      </c>
      <c r="K4660">
        <v>7</v>
      </c>
      <c r="L4660" s="4">
        <v>61.777777777777771</v>
      </c>
      <c r="M4660" s="4">
        <v>11.737777777777772</v>
      </c>
      <c r="N4660" t="s">
        <v>94</v>
      </c>
    </row>
    <row r="4661" spans="1:14">
      <c r="A4661">
        <v>4660</v>
      </c>
      <c r="B4661">
        <v>63</v>
      </c>
      <c r="C4661" t="s">
        <v>16</v>
      </c>
      <c r="D4661" t="s">
        <v>17</v>
      </c>
      <c r="E4661" t="s">
        <v>42</v>
      </c>
      <c r="F4661">
        <v>156.43</v>
      </c>
      <c r="G4661" t="s">
        <v>24</v>
      </c>
      <c r="H4661" t="s">
        <v>15</v>
      </c>
      <c r="I4661">
        <v>3.7</v>
      </c>
      <c r="J4661">
        <v>13</v>
      </c>
      <c r="K4661">
        <v>4</v>
      </c>
      <c r="L4661" s="4">
        <v>179.80459770114945</v>
      </c>
      <c r="M4661" s="4">
        <v>23.37459770114944</v>
      </c>
      <c r="N4661" t="s">
        <v>94</v>
      </c>
    </row>
    <row r="4662" spans="1:14">
      <c r="A4662">
        <v>4661</v>
      </c>
      <c r="B4662">
        <v>32</v>
      </c>
      <c r="C4662" t="s">
        <v>11</v>
      </c>
      <c r="D4662" t="s">
        <v>33</v>
      </c>
      <c r="E4662" t="s">
        <v>34</v>
      </c>
      <c r="F4662">
        <v>44.71</v>
      </c>
      <c r="G4662" t="s">
        <v>24</v>
      </c>
      <c r="H4662" t="s">
        <v>37</v>
      </c>
      <c r="I4662">
        <v>3.8</v>
      </c>
      <c r="J4662">
        <v>18</v>
      </c>
      <c r="K4662">
        <v>4</v>
      </c>
      <c r="L4662" s="4">
        <v>54.524390243902438</v>
      </c>
      <c r="M4662" s="4">
        <v>9.8143902439024373</v>
      </c>
      <c r="N4662" t="s">
        <v>91</v>
      </c>
    </row>
    <row r="4663" spans="1:14">
      <c r="A4663">
        <v>4662</v>
      </c>
      <c r="B4663">
        <v>42</v>
      </c>
      <c r="C4663" t="s">
        <v>16</v>
      </c>
      <c r="D4663" t="s">
        <v>33</v>
      </c>
      <c r="E4663" t="s">
        <v>34</v>
      </c>
      <c r="F4663">
        <v>220.57</v>
      </c>
      <c r="G4663" t="s">
        <v>19</v>
      </c>
      <c r="H4663" t="s">
        <v>15</v>
      </c>
      <c r="I4663">
        <v>2.4</v>
      </c>
      <c r="J4663">
        <v>15</v>
      </c>
      <c r="K4663">
        <v>5</v>
      </c>
      <c r="L4663" s="4">
        <v>259.49411764705883</v>
      </c>
      <c r="M4663" s="4">
        <v>38.924117647058836</v>
      </c>
      <c r="N4663" t="s">
        <v>92</v>
      </c>
    </row>
    <row r="4664" spans="1:14">
      <c r="A4664">
        <v>4663</v>
      </c>
      <c r="B4664">
        <v>31</v>
      </c>
      <c r="C4664" t="s">
        <v>11</v>
      </c>
      <c r="D4664" t="s">
        <v>33</v>
      </c>
      <c r="E4664" t="s">
        <v>38</v>
      </c>
      <c r="F4664">
        <v>42.84</v>
      </c>
      <c r="G4664" t="s">
        <v>14</v>
      </c>
      <c r="H4664" t="s">
        <v>37</v>
      </c>
      <c r="I4664">
        <v>3.4</v>
      </c>
      <c r="J4664">
        <v>5</v>
      </c>
      <c r="K4664">
        <v>0</v>
      </c>
      <c r="L4664" s="4">
        <v>45.09473684210527</v>
      </c>
      <c r="M4664" s="4">
        <v>2.2547368421052667</v>
      </c>
      <c r="N4664" t="s">
        <v>91</v>
      </c>
    </row>
    <row r="4665" spans="1:14">
      <c r="A4665">
        <v>4664</v>
      </c>
      <c r="B4665">
        <v>65</v>
      </c>
      <c r="C4665" t="s">
        <v>16</v>
      </c>
      <c r="D4665" t="s">
        <v>20</v>
      </c>
      <c r="E4665" t="s">
        <v>21</v>
      </c>
      <c r="F4665">
        <v>182.38</v>
      </c>
      <c r="G4665" t="s">
        <v>24</v>
      </c>
      <c r="H4665" t="s">
        <v>15</v>
      </c>
      <c r="I4665">
        <v>4.5999999999999996</v>
      </c>
      <c r="J4665">
        <v>11</v>
      </c>
      <c r="K4665">
        <v>3</v>
      </c>
      <c r="L4665" s="4">
        <v>204.92134831460675</v>
      </c>
      <c r="M4665" s="4">
        <v>22.541348314606751</v>
      </c>
      <c r="N4665" t="s">
        <v>95</v>
      </c>
    </row>
    <row r="4666" spans="1:14">
      <c r="A4666">
        <v>4665</v>
      </c>
      <c r="B4666">
        <v>47</v>
      </c>
      <c r="C4666" t="s">
        <v>16</v>
      </c>
      <c r="D4666" t="s">
        <v>33</v>
      </c>
      <c r="E4666" t="s">
        <v>34</v>
      </c>
      <c r="F4666">
        <v>147.94</v>
      </c>
      <c r="G4666" t="s">
        <v>19</v>
      </c>
      <c r="H4666" t="s">
        <v>15</v>
      </c>
      <c r="I4666">
        <v>4.3</v>
      </c>
      <c r="J4666">
        <v>26</v>
      </c>
      <c r="K4666">
        <v>8</v>
      </c>
      <c r="L4666" s="4">
        <v>199.91891891891891</v>
      </c>
      <c r="M4666" s="4">
        <v>51.978918918918907</v>
      </c>
      <c r="N4666" t="s">
        <v>93</v>
      </c>
    </row>
    <row r="4667" spans="1:14">
      <c r="A4667">
        <v>4666</v>
      </c>
      <c r="B4667">
        <v>55</v>
      </c>
      <c r="C4667" t="s">
        <v>16</v>
      </c>
      <c r="D4667" t="s">
        <v>17</v>
      </c>
      <c r="E4667" t="s">
        <v>42</v>
      </c>
      <c r="F4667">
        <v>178.41</v>
      </c>
      <c r="G4667" t="s">
        <v>14</v>
      </c>
      <c r="H4667" t="s">
        <v>15</v>
      </c>
      <c r="I4667">
        <v>4</v>
      </c>
      <c r="J4667">
        <v>11</v>
      </c>
      <c r="K4667">
        <v>3</v>
      </c>
      <c r="L4667" s="4">
        <v>200.46067415730337</v>
      </c>
      <c r="M4667" s="4">
        <v>22.050674157303376</v>
      </c>
      <c r="N4667" t="s">
        <v>94</v>
      </c>
    </row>
    <row r="4668" spans="1:14">
      <c r="A4668">
        <v>4667</v>
      </c>
      <c r="B4668">
        <v>35</v>
      </c>
      <c r="C4668" t="s">
        <v>11</v>
      </c>
      <c r="D4668" t="s">
        <v>29</v>
      </c>
      <c r="E4668" t="s">
        <v>51</v>
      </c>
      <c r="F4668">
        <v>24.39</v>
      </c>
      <c r="G4668" t="s">
        <v>14</v>
      </c>
      <c r="H4668" t="s">
        <v>15</v>
      </c>
      <c r="I4668">
        <v>2.9</v>
      </c>
      <c r="J4668">
        <v>14</v>
      </c>
      <c r="K4668">
        <v>2</v>
      </c>
      <c r="L4668" s="4">
        <v>28.36046511627907</v>
      </c>
      <c r="M4668" s="4">
        <v>3.970465116279069</v>
      </c>
      <c r="N4668" t="s">
        <v>92</v>
      </c>
    </row>
    <row r="4669" spans="1:14">
      <c r="A4669">
        <v>4668</v>
      </c>
      <c r="B4669">
        <v>42</v>
      </c>
      <c r="C4669" t="s">
        <v>11</v>
      </c>
      <c r="D4669" t="s">
        <v>29</v>
      </c>
      <c r="E4669" t="s">
        <v>30</v>
      </c>
      <c r="F4669">
        <v>94.95</v>
      </c>
      <c r="G4669" t="s">
        <v>24</v>
      </c>
      <c r="H4669" t="s">
        <v>15</v>
      </c>
      <c r="I4669">
        <v>3.6</v>
      </c>
      <c r="J4669">
        <v>9</v>
      </c>
      <c r="K4669">
        <v>2</v>
      </c>
      <c r="L4669" s="4">
        <v>104.34065934065934</v>
      </c>
      <c r="M4669" s="4">
        <v>9.3906593406593402</v>
      </c>
      <c r="N4669" t="s">
        <v>92</v>
      </c>
    </row>
    <row r="4670" spans="1:14">
      <c r="A4670">
        <v>4669</v>
      </c>
      <c r="B4670">
        <v>60</v>
      </c>
      <c r="C4670" t="s">
        <v>11</v>
      </c>
      <c r="D4670" t="s">
        <v>20</v>
      </c>
      <c r="E4670" t="s">
        <v>36</v>
      </c>
      <c r="F4670">
        <v>119.16</v>
      </c>
      <c r="G4670" t="s">
        <v>31</v>
      </c>
      <c r="H4670" t="s">
        <v>15</v>
      </c>
      <c r="I4670">
        <v>4.3</v>
      </c>
      <c r="J4670">
        <v>5</v>
      </c>
      <c r="K4670">
        <v>0</v>
      </c>
      <c r="L4670" s="4">
        <v>125.43157894736842</v>
      </c>
      <c r="M4670" s="4">
        <v>6.2715789473684254</v>
      </c>
      <c r="N4670" t="s">
        <v>94</v>
      </c>
    </row>
    <row r="4671" spans="1:14">
      <c r="A4671">
        <v>4670</v>
      </c>
      <c r="B4671">
        <v>66</v>
      </c>
      <c r="C4671" t="s">
        <v>11</v>
      </c>
      <c r="D4671" t="s">
        <v>29</v>
      </c>
      <c r="E4671" t="s">
        <v>30</v>
      </c>
      <c r="F4671">
        <v>102.5</v>
      </c>
      <c r="G4671" t="s">
        <v>31</v>
      </c>
      <c r="H4671" t="s">
        <v>15</v>
      </c>
      <c r="I4671">
        <v>3.1</v>
      </c>
      <c r="J4671">
        <v>10</v>
      </c>
      <c r="K4671">
        <v>5</v>
      </c>
      <c r="L4671" s="4">
        <v>113.88888888888889</v>
      </c>
      <c r="M4671" s="4">
        <v>11.388888888888886</v>
      </c>
      <c r="N4671" t="s">
        <v>95</v>
      </c>
    </row>
    <row r="4672" spans="1:14">
      <c r="A4672">
        <v>4671</v>
      </c>
      <c r="B4672">
        <v>54</v>
      </c>
      <c r="C4672" t="s">
        <v>11</v>
      </c>
      <c r="D4672" t="s">
        <v>12</v>
      </c>
      <c r="E4672" t="s">
        <v>13</v>
      </c>
      <c r="F4672">
        <v>151.18</v>
      </c>
      <c r="G4672" t="s">
        <v>19</v>
      </c>
      <c r="H4672" t="s">
        <v>15</v>
      </c>
      <c r="I4672">
        <v>4.9000000000000004</v>
      </c>
      <c r="J4672">
        <v>11</v>
      </c>
      <c r="K4672">
        <v>3</v>
      </c>
      <c r="L4672" s="4">
        <v>169.86516853932585</v>
      </c>
      <c r="M4672" s="4">
        <v>18.685168539325844</v>
      </c>
      <c r="N4672" t="s">
        <v>93</v>
      </c>
    </row>
    <row r="4673" spans="1:14">
      <c r="A4673">
        <v>4672</v>
      </c>
      <c r="B4673">
        <v>69</v>
      </c>
      <c r="C4673" t="s">
        <v>16</v>
      </c>
      <c r="D4673" t="s">
        <v>17</v>
      </c>
      <c r="E4673" t="s">
        <v>42</v>
      </c>
      <c r="F4673">
        <v>172.82</v>
      </c>
      <c r="G4673" t="s">
        <v>14</v>
      </c>
      <c r="H4673" t="s">
        <v>15</v>
      </c>
      <c r="I4673">
        <v>3.2</v>
      </c>
      <c r="J4673">
        <v>17</v>
      </c>
      <c r="K4673">
        <v>6</v>
      </c>
      <c r="L4673" s="4">
        <v>208.21686746987953</v>
      </c>
      <c r="M4673" s="4">
        <v>35.396867469879538</v>
      </c>
      <c r="N4673" t="s">
        <v>95</v>
      </c>
    </row>
    <row r="4674" spans="1:14">
      <c r="A4674">
        <v>4673</v>
      </c>
      <c r="B4674">
        <v>59</v>
      </c>
      <c r="C4674" t="s">
        <v>16</v>
      </c>
      <c r="D4674" t="s">
        <v>20</v>
      </c>
      <c r="E4674" t="s">
        <v>39</v>
      </c>
      <c r="F4674">
        <v>181.52</v>
      </c>
      <c r="G4674" t="s">
        <v>19</v>
      </c>
      <c r="H4674" t="s">
        <v>15</v>
      </c>
      <c r="I4674">
        <v>4.4000000000000004</v>
      </c>
      <c r="J4674">
        <v>20</v>
      </c>
      <c r="K4674">
        <v>5</v>
      </c>
      <c r="L4674" s="4">
        <v>226.9</v>
      </c>
      <c r="M4674" s="4">
        <v>45.379999999999995</v>
      </c>
      <c r="N4674" t="s">
        <v>94</v>
      </c>
    </row>
    <row r="4675" spans="1:14">
      <c r="A4675">
        <v>4674</v>
      </c>
      <c r="B4675">
        <v>23</v>
      </c>
      <c r="C4675" t="s">
        <v>11</v>
      </c>
      <c r="D4675" t="s">
        <v>12</v>
      </c>
      <c r="E4675" t="s">
        <v>13</v>
      </c>
      <c r="F4675">
        <v>120.86</v>
      </c>
      <c r="G4675" t="s">
        <v>19</v>
      </c>
      <c r="H4675" t="s">
        <v>15</v>
      </c>
      <c r="I4675">
        <v>3.9</v>
      </c>
      <c r="J4675">
        <v>8</v>
      </c>
      <c r="K4675">
        <v>4</v>
      </c>
      <c r="L4675" s="4">
        <v>131.36956521739131</v>
      </c>
      <c r="M4675" s="4">
        <v>10.509565217391312</v>
      </c>
      <c r="N4675" t="s">
        <v>100</v>
      </c>
    </row>
    <row r="4676" spans="1:14">
      <c r="A4676">
        <v>4675</v>
      </c>
      <c r="B4676">
        <v>45</v>
      </c>
      <c r="C4676" t="s">
        <v>16</v>
      </c>
      <c r="D4676" t="s">
        <v>20</v>
      </c>
      <c r="E4676" t="s">
        <v>36</v>
      </c>
      <c r="F4676">
        <v>153.69999999999999</v>
      </c>
      <c r="G4676" t="s">
        <v>19</v>
      </c>
      <c r="H4676" t="s">
        <v>15</v>
      </c>
      <c r="I4676">
        <v>2.9</v>
      </c>
      <c r="J4676">
        <v>12</v>
      </c>
      <c r="K4676">
        <v>6</v>
      </c>
      <c r="L4676" s="4">
        <v>174.65909090909091</v>
      </c>
      <c r="M4676" s="4">
        <v>20.959090909090918</v>
      </c>
      <c r="N4676" t="s">
        <v>93</v>
      </c>
    </row>
    <row r="4677" spans="1:14">
      <c r="A4677">
        <v>4676</v>
      </c>
      <c r="B4677">
        <v>55</v>
      </c>
      <c r="C4677" t="s">
        <v>11</v>
      </c>
      <c r="D4677" t="s">
        <v>33</v>
      </c>
      <c r="E4677" t="s">
        <v>40</v>
      </c>
      <c r="F4677">
        <v>220.12</v>
      </c>
      <c r="G4677" t="s">
        <v>19</v>
      </c>
      <c r="H4677" t="s">
        <v>15</v>
      </c>
      <c r="I4677">
        <v>3.7</v>
      </c>
      <c r="J4677">
        <v>15</v>
      </c>
      <c r="K4677">
        <v>5</v>
      </c>
      <c r="L4677" s="4">
        <v>258.96470588235297</v>
      </c>
      <c r="M4677" s="4">
        <v>38.844705882352969</v>
      </c>
      <c r="N4677" t="s">
        <v>94</v>
      </c>
    </row>
    <row r="4678" spans="1:14">
      <c r="A4678">
        <v>4677</v>
      </c>
      <c r="B4678">
        <v>56</v>
      </c>
      <c r="C4678" t="s">
        <v>16</v>
      </c>
      <c r="D4678" t="s">
        <v>33</v>
      </c>
      <c r="E4678" t="s">
        <v>34</v>
      </c>
      <c r="F4678">
        <v>197.64</v>
      </c>
      <c r="G4678" t="s">
        <v>24</v>
      </c>
      <c r="H4678" t="s">
        <v>15</v>
      </c>
      <c r="I4678">
        <v>3.8</v>
      </c>
      <c r="J4678">
        <v>21</v>
      </c>
      <c r="K4678">
        <v>8</v>
      </c>
      <c r="L4678" s="4">
        <v>250.17721518987338</v>
      </c>
      <c r="M4678" s="4">
        <v>52.537215189873393</v>
      </c>
      <c r="N4678" t="s">
        <v>94</v>
      </c>
    </row>
    <row r="4679" spans="1:14">
      <c r="A4679">
        <v>4678</v>
      </c>
      <c r="B4679">
        <v>37</v>
      </c>
      <c r="C4679" t="s">
        <v>11</v>
      </c>
      <c r="D4679" t="s">
        <v>12</v>
      </c>
      <c r="E4679" t="s">
        <v>50</v>
      </c>
      <c r="F4679">
        <v>172.67</v>
      </c>
      <c r="G4679" t="s">
        <v>14</v>
      </c>
      <c r="H4679" t="s">
        <v>15</v>
      </c>
      <c r="I4679">
        <v>3.4</v>
      </c>
      <c r="J4679">
        <v>11</v>
      </c>
      <c r="K4679">
        <v>3</v>
      </c>
      <c r="L4679" s="4">
        <v>194.01123595505615</v>
      </c>
      <c r="M4679" s="4">
        <v>21.341235955056163</v>
      </c>
      <c r="N4679" t="s">
        <v>92</v>
      </c>
    </row>
    <row r="4680" spans="1:14">
      <c r="A4680">
        <v>4679</v>
      </c>
      <c r="B4680">
        <v>26</v>
      </c>
      <c r="C4680" t="s">
        <v>16</v>
      </c>
      <c r="D4680" t="s">
        <v>17</v>
      </c>
      <c r="E4680" t="s">
        <v>42</v>
      </c>
      <c r="F4680">
        <v>146.24</v>
      </c>
      <c r="G4680" t="s">
        <v>31</v>
      </c>
      <c r="H4680" t="s">
        <v>15</v>
      </c>
      <c r="I4680">
        <v>4.4000000000000004</v>
      </c>
      <c r="J4680">
        <v>23</v>
      </c>
      <c r="K4680">
        <v>9</v>
      </c>
      <c r="L4680" s="4">
        <v>189.92207792207793</v>
      </c>
      <c r="M4680" s="4">
        <v>43.682077922077923</v>
      </c>
      <c r="N4680" t="s">
        <v>91</v>
      </c>
    </row>
    <row r="4681" spans="1:14">
      <c r="A4681">
        <v>4680</v>
      </c>
      <c r="B4681">
        <v>29</v>
      </c>
      <c r="C4681" t="s">
        <v>11</v>
      </c>
      <c r="D4681" t="s">
        <v>12</v>
      </c>
      <c r="E4681" t="s">
        <v>13</v>
      </c>
      <c r="F4681">
        <v>22.75</v>
      </c>
      <c r="G4681" t="s">
        <v>19</v>
      </c>
      <c r="H4681" t="s">
        <v>15</v>
      </c>
      <c r="I4681">
        <v>4.2</v>
      </c>
      <c r="J4681">
        <v>24</v>
      </c>
      <c r="K4681">
        <v>7</v>
      </c>
      <c r="L4681" s="4">
        <v>29.934210526315788</v>
      </c>
      <c r="M4681" s="4">
        <v>7.1842105263157876</v>
      </c>
      <c r="N4681" t="s">
        <v>91</v>
      </c>
    </row>
    <row r="4682" spans="1:14">
      <c r="A4682">
        <v>4681</v>
      </c>
      <c r="B4682">
        <v>27</v>
      </c>
      <c r="C4682" t="s">
        <v>16</v>
      </c>
      <c r="D4682" t="s">
        <v>20</v>
      </c>
      <c r="E4682" t="s">
        <v>36</v>
      </c>
      <c r="F4682">
        <v>229.25</v>
      </c>
      <c r="G4682" t="s">
        <v>19</v>
      </c>
      <c r="H4682" t="s">
        <v>15</v>
      </c>
      <c r="I4682">
        <v>4.0999999999999996</v>
      </c>
      <c r="J4682">
        <v>30</v>
      </c>
      <c r="K4682">
        <v>10</v>
      </c>
      <c r="L4682" s="4">
        <v>327.5</v>
      </c>
      <c r="M4682" s="4">
        <v>98.25</v>
      </c>
      <c r="N4682" t="s">
        <v>91</v>
      </c>
    </row>
    <row r="4683" spans="1:14">
      <c r="A4683">
        <v>4682</v>
      </c>
      <c r="B4683">
        <v>40</v>
      </c>
      <c r="C4683" t="s">
        <v>16</v>
      </c>
      <c r="D4683" t="s">
        <v>27</v>
      </c>
      <c r="E4683" t="s">
        <v>49</v>
      </c>
      <c r="F4683">
        <v>2163.41</v>
      </c>
      <c r="G4683" t="s">
        <v>19</v>
      </c>
      <c r="H4683" t="s">
        <v>15</v>
      </c>
      <c r="I4683">
        <v>3.9</v>
      </c>
      <c r="J4683">
        <v>11</v>
      </c>
      <c r="K4683">
        <v>3</v>
      </c>
      <c r="L4683" s="4">
        <v>2430.7977528089887</v>
      </c>
      <c r="M4683" s="4">
        <v>267.38775280898881</v>
      </c>
      <c r="N4683" t="s">
        <v>92</v>
      </c>
    </row>
    <row r="4684" spans="1:14">
      <c r="A4684">
        <v>4683</v>
      </c>
      <c r="B4684">
        <v>42</v>
      </c>
      <c r="C4684" t="s">
        <v>11</v>
      </c>
      <c r="D4684" t="s">
        <v>33</v>
      </c>
      <c r="E4684" t="s">
        <v>40</v>
      </c>
      <c r="F4684">
        <v>222.57</v>
      </c>
      <c r="G4684" t="s">
        <v>24</v>
      </c>
      <c r="H4684" t="s">
        <v>15</v>
      </c>
      <c r="I4684">
        <v>3.3</v>
      </c>
      <c r="J4684">
        <v>12</v>
      </c>
      <c r="K4684">
        <v>6</v>
      </c>
      <c r="L4684" s="4">
        <v>252.92045454545453</v>
      </c>
      <c r="M4684" s="4">
        <v>30.350454545454539</v>
      </c>
      <c r="N4684" t="s">
        <v>92</v>
      </c>
    </row>
    <row r="4685" spans="1:14">
      <c r="A4685">
        <v>4684</v>
      </c>
      <c r="B4685">
        <v>23</v>
      </c>
      <c r="C4685" t="s">
        <v>11</v>
      </c>
      <c r="D4685" t="s">
        <v>41</v>
      </c>
      <c r="E4685" t="s">
        <v>44</v>
      </c>
      <c r="F4685">
        <v>75.36</v>
      </c>
      <c r="G4685" t="s">
        <v>19</v>
      </c>
      <c r="H4685" t="s">
        <v>37</v>
      </c>
      <c r="I4685">
        <v>3.2</v>
      </c>
      <c r="J4685">
        <v>15</v>
      </c>
      <c r="K4685">
        <v>5</v>
      </c>
      <c r="L4685" s="4">
        <v>88.658823529411762</v>
      </c>
      <c r="M4685" s="4">
        <v>13.298823529411763</v>
      </c>
      <c r="N4685" t="s">
        <v>100</v>
      </c>
    </row>
    <row r="4686" spans="1:14">
      <c r="A4686">
        <v>4685</v>
      </c>
      <c r="B4686">
        <v>68</v>
      </c>
      <c r="C4686" t="s">
        <v>16</v>
      </c>
      <c r="D4686" t="s">
        <v>27</v>
      </c>
      <c r="E4686" t="s">
        <v>32</v>
      </c>
      <c r="F4686">
        <v>1944.68</v>
      </c>
      <c r="G4686" t="s">
        <v>19</v>
      </c>
      <c r="H4686" t="s">
        <v>15</v>
      </c>
      <c r="I4686">
        <v>2.4</v>
      </c>
      <c r="J4686">
        <v>18</v>
      </c>
      <c r="K4686">
        <v>4</v>
      </c>
      <c r="L4686" s="4">
        <v>2371.560975609756</v>
      </c>
      <c r="M4686" s="4">
        <v>426.88097560975598</v>
      </c>
      <c r="N4686" t="s">
        <v>95</v>
      </c>
    </row>
    <row r="4687" spans="1:14">
      <c r="A4687">
        <v>4686</v>
      </c>
      <c r="B4687">
        <v>22</v>
      </c>
      <c r="C4687" t="s">
        <v>16</v>
      </c>
      <c r="D4687" t="s">
        <v>20</v>
      </c>
      <c r="E4687" t="s">
        <v>36</v>
      </c>
      <c r="F4687">
        <v>40.119999999999997</v>
      </c>
      <c r="G4687" t="s">
        <v>31</v>
      </c>
      <c r="H4687" t="s">
        <v>37</v>
      </c>
      <c r="I4687">
        <v>4.2</v>
      </c>
      <c r="J4687">
        <v>9</v>
      </c>
      <c r="K4687">
        <v>2</v>
      </c>
      <c r="L4687" s="4">
        <v>44.08791208791208</v>
      </c>
      <c r="M4687" s="4">
        <v>3.9679120879120831</v>
      </c>
      <c r="N4687" t="s">
        <v>100</v>
      </c>
    </row>
    <row r="4688" spans="1:14">
      <c r="A4688">
        <v>4687</v>
      </c>
      <c r="B4688">
        <v>54</v>
      </c>
      <c r="C4688" t="s">
        <v>11</v>
      </c>
      <c r="D4688" t="s">
        <v>20</v>
      </c>
      <c r="E4688" t="s">
        <v>36</v>
      </c>
      <c r="F4688">
        <v>48.75</v>
      </c>
      <c r="G4688" t="s">
        <v>24</v>
      </c>
      <c r="H4688" t="s">
        <v>37</v>
      </c>
      <c r="I4688">
        <v>3.8</v>
      </c>
      <c r="J4688">
        <v>18</v>
      </c>
      <c r="K4688">
        <v>4</v>
      </c>
      <c r="L4688" s="4">
        <v>59.451219512195117</v>
      </c>
      <c r="M4688" s="4">
        <v>10.701219512195117</v>
      </c>
      <c r="N4688" t="s">
        <v>93</v>
      </c>
    </row>
    <row r="4689" spans="1:14">
      <c r="A4689">
        <v>4688</v>
      </c>
      <c r="B4689">
        <v>50</v>
      </c>
      <c r="C4689" t="s">
        <v>11</v>
      </c>
      <c r="D4689" t="s">
        <v>25</v>
      </c>
      <c r="E4689" t="s">
        <v>47</v>
      </c>
      <c r="F4689">
        <v>43.15</v>
      </c>
      <c r="G4689" t="s">
        <v>24</v>
      </c>
      <c r="H4689" t="s">
        <v>15</v>
      </c>
      <c r="I4689">
        <v>3.5</v>
      </c>
      <c r="J4689">
        <v>20</v>
      </c>
      <c r="K4689">
        <v>5</v>
      </c>
      <c r="L4689" s="4">
        <v>53.937499999999993</v>
      </c>
      <c r="M4689" s="4">
        <v>10.787499999999994</v>
      </c>
      <c r="N4689" t="s">
        <v>93</v>
      </c>
    </row>
    <row r="4690" spans="1:14">
      <c r="A4690">
        <v>4689</v>
      </c>
      <c r="B4690">
        <v>34</v>
      </c>
      <c r="C4690" t="s">
        <v>16</v>
      </c>
      <c r="D4690" t="s">
        <v>20</v>
      </c>
      <c r="E4690" t="s">
        <v>21</v>
      </c>
      <c r="F4690">
        <v>246.17</v>
      </c>
      <c r="G4690" t="s">
        <v>24</v>
      </c>
      <c r="H4690" t="s">
        <v>15</v>
      </c>
      <c r="I4690">
        <v>3.1</v>
      </c>
      <c r="J4690">
        <v>17</v>
      </c>
      <c r="K4690">
        <v>6</v>
      </c>
      <c r="L4690" s="4">
        <v>296.59036144578312</v>
      </c>
      <c r="M4690" s="4">
        <v>50.420361445783129</v>
      </c>
      <c r="N4690" t="s">
        <v>91</v>
      </c>
    </row>
    <row r="4691" spans="1:14">
      <c r="A4691">
        <v>4690</v>
      </c>
      <c r="B4691">
        <v>28</v>
      </c>
      <c r="C4691" t="s">
        <v>16</v>
      </c>
      <c r="D4691" t="s">
        <v>17</v>
      </c>
      <c r="E4691" t="s">
        <v>35</v>
      </c>
      <c r="F4691">
        <v>185.01</v>
      </c>
      <c r="G4691" t="s">
        <v>24</v>
      </c>
      <c r="H4691" t="s">
        <v>15</v>
      </c>
      <c r="I4691">
        <v>4.0999999999999996</v>
      </c>
      <c r="J4691">
        <v>13</v>
      </c>
      <c r="K4691">
        <v>4</v>
      </c>
      <c r="L4691" s="4">
        <v>212.65517241379308</v>
      </c>
      <c r="M4691" s="4">
        <v>27.645172413793091</v>
      </c>
      <c r="N4691" t="s">
        <v>91</v>
      </c>
    </row>
    <row r="4692" spans="1:14">
      <c r="A4692">
        <v>4691</v>
      </c>
      <c r="B4692">
        <v>32</v>
      </c>
      <c r="C4692" t="s">
        <v>16</v>
      </c>
      <c r="D4692" t="s">
        <v>17</v>
      </c>
      <c r="E4692" t="s">
        <v>42</v>
      </c>
      <c r="F4692">
        <v>81.069999999999993</v>
      </c>
      <c r="G4692" t="s">
        <v>31</v>
      </c>
      <c r="H4692" t="s">
        <v>15</v>
      </c>
      <c r="I4692">
        <v>3.8</v>
      </c>
      <c r="J4692">
        <v>24</v>
      </c>
      <c r="K4692">
        <v>7</v>
      </c>
      <c r="L4692" s="4">
        <v>106.67105263157893</v>
      </c>
      <c r="M4692" s="4">
        <v>25.601052631578938</v>
      </c>
      <c r="N4692" t="s">
        <v>91</v>
      </c>
    </row>
    <row r="4693" spans="1:14">
      <c r="A4693">
        <v>4692</v>
      </c>
      <c r="B4693">
        <v>50</v>
      </c>
      <c r="C4693" t="s">
        <v>16</v>
      </c>
      <c r="D4693" t="s">
        <v>17</v>
      </c>
      <c r="E4693" t="s">
        <v>35</v>
      </c>
      <c r="F4693">
        <v>108.87</v>
      </c>
      <c r="G4693" t="s">
        <v>19</v>
      </c>
      <c r="H4693" t="s">
        <v>15</v>
      </c>
      <c r="I4693">
        <v>4</v>
      </c>
      <c r="J4693">
        <v>12</v>
      </c>
      <c r="K4693">
        <v>6</v>
      </c>
      <c r="L4693" s="4">
        <v>123.71590909090909</v>
      </c>
      <c r="M4693" s="4">
        <v>14.845909090909089</v>
      </c>
      <c r="N4693" t="s">
        <v>93</v>
      </c>
    </row>
    <row r="4694" spans="1:14">
      <c r="A4694">
        <v>4693</v>
      </c>
      <c r="B4694">
        <v>34</v>
      </c>
      <c r="C4694" t="s">
        <v>11</v>
      </c>
      <c r="D4694" t="s">
        <v>12</v>
      </c>
      <c r="E4694" t="s">
        <v>13</v>
      </c>
      <c r="F4694">
        <v>52.23</v>
      </c>
      <c r="G4694" t="s">
        <v>19</v>
      </c>
      <c r="H4694" t="s">
        <v>15</v>
      </c>
      <c r="I4694">
        <v>3.7</v>
      </c>
      <c r="J4694">
        <v>15</v>
      </c>
      <c r="K4694">
        <v>5</v>
      </c>
      <c r="L4694" s="4">
        <v>61.44705882352941</v>
      </c>
      <c r="M4694" s="4">
        <v>9.2170588235294133</v>
      </c>
      <c r="N4694" t="s">
        <v>91</v>
      </c>
    </row>
    <row r="4695" spans="1:14">
      <c r="A4695">
        <v>4694</v>
      </c>
      <c r="B4695">
        <v>60</v>
      </c>
      <c r="C4695" t="s">
        <v>11</v>
      </c>
      <c r="D4695" t="s">
        <v>12</v>
      </c>
      <c r="E4695" t="s">
        <v>56</v>
      </c>
      <c r="F4695">
        <v>129.80000000000001</v>
      </c>
      <c r="G4695" t="s">
        <v>19</v>
      </c>
      <c r="H4695" t="s">
        <v>15</v>
      </c>
      <c r="I4695">
        <v>4</v>
      </c>
      <c r="J4695">
        <v>24</v>
      </c>
      <c r="K4695">
        <v>7</v>
      </c>
      <c r="L4695" s="4">
        <v>170.78947368421055</v>
      </c>
      <c r="M4695" s="4">
        <v>40.989473684210537</v>
      </c>
      <c r="N4695" t="s">
        <v>94</v>
      </c>
    </row>
    <row r="4696" spans="1:14">
      <c r="A4696">
        <v>4695</v>
      </c>
      <c r="B4696">
        <v>59</v>
      </c>
      <c r="C4696" t="s">
        <v>16</v>
      </c>
      <c r="D4696" t="s">
        <v>17</v>
      </c>
      <c r="E4696" t="s">
        <v>48</v>
      </c>
      <c r="F4696">
        <v>115.65</v>
      </c>
      <c r="G4696" t="s">
        <v>24</v>
      </c>
      <c r="H4696" t="s">
        <v>15</v>
      </c>
      <c r="I4696">
        <v>4.8</v>
      </c>
      <c r="J4696">
        <v>15</v>
      </c>
      <c r="K4696">
        <v>5</v>
      </c>
      <c r="L4696" s="4">
        <v>136.05882352941177</v>
      </c>
      <c r="M4696" s="4">
        <v>20.408823529411762</v>
      </c>
      <c r="N4696" t="s">
        <v>94</v>
      </c>
    </row>
    <row r="4697" spans="1:14">
      <c r="A4697">
        <v>4696</v>
      </c>
      <c r="B4697">
        <v>40</v>
      </c>
      <c r="C4697" t="s">
        <v>11</v>
      </c>
      <c r="D4697" t="s">
        <v>25</v>
      </c>
      <c r="E4697" t="s">
        <v>47</v>
      </c>
      <c r="F4697">
        <v>25.94</v>
      </c>
      <c r="G4697" t="s">
        <v>31</v>
      </c>
      <c r="H4697" t="s">
        <v>37</v>
      </c>
      <c r="I4697">
        <v>3.3</v>
      </c>
      <c r="J4697">
        <v>9</v>
      </c>
      <c r="K4697">
        <v>2</v>
      </c>
      <c r="L4697" s="4">
        <v>28.505494505494507</v>
      </c>
      <c r="M4697" s="4">
        <v>2.565494505494506</v>
      </c>
      <c r="N4697" t="s">
        <v>92</v>
      </c>
    </row>
    <row r="4698" spans="1:14">
      <c r="A4698">
        <v>4697</v>
      </c>
      <c r="B4698">
        <v>66</v>
      </c>
      <c r="C4698" t="s">
        <v>11</v>
      </c>
      <c r="D4698" t="s">
        <v>41</v>
      </c>
      <c r="E4698" t="s">
        <v>45</v>
      </c>
      <c r="F4698">
        <v>101.87</v>
      </c>
      <c r="G4698" t="s">
        <v>19</v>
      </c>
      <c r="H4698" t="s">
        <v>15</v>
      </c>
      <c r="I4698">
        <v>3.3</v>
      </c>
      <c r="J4698">
        <v>11</v>
      </c>
      <c r="K4698">
        <v>3</v>
      </c>
      <c r="L4698" s="4">
        <v>114.46067415730337</v>
      </c>
      <c r="M4698" s="4">
        <v>12.590674157303368</v>
      </c>
      <c r="N4698" t="s">
        <v>95</v>
      </c>
    </row>
    <row r="4699" spans="1:14">
      <c r="A4699">
        <v>4698</v>
      </c>
      <c r="B4699">
        <v>44</v>
      </c>
      <c r="C4699" t="s">
        <v>11</v>
      </c>
      <c r="D4699" t="s">
        <v>29</v>
      </c>
      <c r="E4699" t="s">
        <v>30</v>
      </c>
      <c r="F4699">
        <v>106.04</v>
      </c>
      <c r="G4699" t="s">
        <v>19</v>
      </c>
      <c r="H4699" t="s">
        <v>15</v>
      </c>
      <c r="I4699">
        <v>3.6</v>
      </c>
      <c r="J4699">
        <v>17</v>
      </c>
      <c r="K4699">
        <v>6</v>
      </c>
      <c r="L4699" s="4">
        <v>127.75903614457833</v>
      </c>
      <c r="M4699" s="4">
        <v>21.719036144578325</v>
      </c>
      <c r="N4699" t="s">
        <v>92</v>
      </c>
    </row>
    <row r="4700" spans="1:14">
      <c r="A4700">
        <v>4699</v>
      </c>
      <c r="B4700">
        <v>43</v>
      </c>
      <c r="C4700" t="s">
        <v>11</v>
      </c>
      <c r="D4700" t="s">
        <v>33</v>
      </c>
      <c r="E4700" t="s">
        <v>40</v>
      </c>
      <c r="F4700">
        <v>200.13</v>
      </c>
      <c r="G4700" t="s">
        <v>14</v>
      </c>
      <c r="H4700" t="s">
        <v>15</v>
      </c>
      <c r="I4700">
        <v>4</v>
      </c>
      <c r="J4700">
        <v>17</v>
      </c>
      <c r="K4700">
        <v>6</v>
      </c>
      <c r="L4700" s="4">
        <v>241.12048192771084</v>
      </c>
      <c r="M4700" s="4">
        <v>40.990481927710846</v>
      </c>
      <c r="N4700" t="s">
        <v>92</v>
      </c>
    </row>
    <row r="4701" spans="1:14">
      <c r="A4701">
        <v>4700</v>
      </c>
      <c r="B4701">
        <v>60</v>
      </c>
      <c r="C4701" t="s">
        <v>16</v>
      </c>
      <c r="D4701" t="s">
        <v>33</v>
      </c>
      <c r="E4701" t="s">
        <v>40</v>
      </c>
      <c r="F4701">
        <v>210.29</v>
      </c>
      <c r="G4701" t="s">
        <v>31</v>
      </c>
      <c r="H4701" t="s">
        <v>15</v>
      </c>
      <c r="I4701">
        <v>4.8</v>
      </c>
      <c r="J4701">
        <v>15</v>
      </c>
      <c r="K4701">
        <v>5</v>
      </c>
      <c r="L4701" s="4">
        <v>247.4</v>
      </c>
      <c r="M4701" s="4">
        <v>37.110000000000014</v>
      </c>
      <c r="N4701" t="s">
        <v>94</v>
      </c>
    </row>
    <row r="4702" spans="1:14">
      <c r="A4702">
        <v>4701</v>
      </c>
      <c r="B4702">
        <v>41</v>
      </c>
      <c r="C4702" t="s">
        <v>11</v>
      </c>
      <c r="D4702" t="s">
        <v>41</v>
      </c>
      <c r="E4702" t="s">
        <v>42</v>
      </c>
      <c r="F4702">
        <v>41.5</v>
      </c>
      <c r="G4702" t="s">
        <v>24</v>
      </c>
      <c r="H4702" t="s">
        <v>15</v>
      </c>
      <c r="I4702">
        <v>4.0999999999999996</v>
      </c>
      <c r="J4702">
        <v>13</v>
      </c>
      <c r="K4702">
        <v>4</v>
      </c>
      <c r="L4702" s="4">
        <v>47.701149425287355</v>
      </c>
      <c r="M4702" s="4">
        <v>6.2011494252873547</v>
      </c>
      <c r="N4702" t="s">
        <v>92</v>
      </c>
    </row>
    <row r="4703" spans="1:14">
      <c r="A4703">
        <v>4702</v>
      </c>
      <c r="B4703">
        <v>32</v>
      </c>
      <c r="C4703" t="s">
        <v>16</v>
      </c>
      <c r="D4703" t="s">
        <v>20</v>
      </c>
      <c r="E4703" t="s">
        <v>39</v>
      </c>
      <c r="F4703">
        <v>186.57</v>
      </c>
      <c r="G4703" t="s">
        <v>31</v>
      </c>
      <c r="H4703" t="s">
        <v>15</v>
      </c>
      <c r="I4703">
        <v>3.2</v>
      </c>
      <c r="J4703">
        <v>12</v>
      </c>
      <c r="K4703">
        <v>6</v>
      </c>
      <c r="L4703" s="4">
        <v>212.01136363636363</v>
      </c>
      <c r="M4703" s="4">
        <v>25.441363636363633</v>
      </c>
      <c r="N4703" t="s">
        <v>91</v>
      </c>
    </row>
    <row r="4704" spans="1:14">
      <c r="A4704">
        <v>4703</v>
      </c>
      <c r="B4704">
        <v>42</v>
      </c>
      <c r="C4704" t="s">
        <v>16</v>
      </c>
      <c r="D4704" t="s">
        <v>17</v>
      </c>
      <c r="E4704" t="s">
        <v>35</v>
      </c>
      <c r="F4704">
        <v>189.79</v>
      </c>
      <c r="G4704" t="s">
        <v>24</v>
      </c>
      <c r="H4704" t="s">
        <v>15</v>
      </c>
      <c r="I4704">
        <v>3</v>
      </c>
      <c r="J4704">
        <v>14</v>
      </c>
      <c r="K4704">
        <v>7</v>
      </c>
      <c r="L4704" s="4">
        <v>220.68604651162789</v>
      </c>
      <c r="M4704" s="4">
        <v>30.896046511627901</v>
      </c>
      <c r="N4704" t="s">
        <v>92</v>
      </c>
    </row>
    <row r="4705" spans="1:14">
      <c r="A4705">
        <v>4704</v>
      </c>
      <c r="B4705">
        <v>30</v>
      </c>
      <c r="C4705" t="s">
        <v>16</v>
      </c>
      <c r="D4705" t="s">
        <v>25</v>
      </c>
      <c r="E4705" t="s">
        <v>54</v>
      </c>
      <c r="F4705">
        <v>63.78</v>
      </c>
      <c r="G4705" t="s">
        <v>24</v>
      </c>
      <c r="H4705" t="s">
        <v>37</v>
      </c>
      <c r="I4705">
        <v>4.4000000000000004</v>
      </c>
      <c r="J4705">
        <v>21</v>
      </c>
      <c r="K4705">
        <v>8</v>
      </c>
      <c r="L4705" s="4">
        <v>80.734177215189874</v>
      </c>
      <c r="M4705" s="4">
        <v>16.954177215189873</v>
      </c>
      <c r="N4705" t="s">
        <v>91</v>
      </c>
    </row>
    <row r="4706" spans="1:14">
      <c r="A4706">
        <v>4705</v>
      </c>
      <c r="B4706">
        <v>25</v>
      </c>
      <c r="C4706" t="s">
        <v>11</v>
      </c>
      <c r="D4706" t="s">
        <v>41</v>
      </c>
      <c r="E4706" t="s">
        <v>44</v>
      </c>
      <c r="F4706">
        <v>161.91</v>
      </c>
      <c r="G4706" t="s">
        <v>24</v>
      </c>
      <c r="H4706" t="s">
        <v>15</v>
      </c>
      <c r="I4706">
        <v>3.6</v>
      </c>
      <c r="J4706">
        <v>14</v>
      </c>
      <c r="K4706">
        <v>7</v>
      </c>
      <c r="L4706" s="4">
        <v>188.26744186046511</v>
      </c>
      <c r="M4706" s="4">
        <v>26.357441860465116</v>
      </c>
      <c r="N4706" t="s">
        <v>91</v>
      </c>
    </row>
    <row r="4707" spans="1:14">
      <c r="A4707">
        <v>4706</v>
      </c>
      <c r="B4707">
        <v>54</v>
      </c>
      <c r="C4707" t="s">
        <v>16</v>
      </c>
      <c r="D4707" t="s">
        <v>27</v>
      </c>
      <c r="E4707" t="s">
        <v>53</v>
      </c>
      <c r="F4707">
        <v>2349.33</v>
      </c>
      <c r="G4707" t="s">
        <v>31</v>
      </c>
      <c r="H4707" t="s">
        <v>15</v>
      </c>
      <c r="I4707">
        <v>3.3</v>
      </c>
      <c r="J4707">
        <v>7</v>
      </c>
      <c r="K4707">
        <v>1</v>
      </c>
      <c r="L4707" s="4">
        <v>2526.161290322581</v>
      </c>
      <c r="M4707" s="4">
        <v>176.83129032258103</v>
      </c>
      <c r="N4707" t="s">
        <v>93</v>
      </c>
    </row>
    <row r="4708" spans="1:14">
      <c r="A4708">
        <v>4707</v>
      </c>
      <c r="B4708">
        <v>70</v>
      </c>
      <c r="C4708" t="s">
        <v>11</v>
      </c>
      <c r="D4708" t="s">
        <v>41</v>
      </c>
      <c r="E4708" t="s">
        <v>42</v>
      </c>
      <c r="F4708">
        <v>61.86</v>
      </c>
      <c r="G4708" t="s">
        <v>31</v>
      </c>
      <c r="H4708" t="s">
        <v>15</v>
      </c>
      <c r="I4708">
        <v>2.9</v>
      </c>
      <c r="J4708">
        <v>17</v>
      </c>
      <c r="K4708">
        <v>6</v>
      </c>
      <c r="L4708" s="4">
        <v>74.53012048192771</v>
      </c>
      <c r="M4708" s="4">
        <v>12.670120481927711</v>
      </c>
      <c r="N4708" t="s">
        <v>95</v>
      </c>
    </row>
    <row r="4709" spans="1:14">
      <c r="A4709">
        <v>4708</v>
      </c>
      <c r="B4709">
        <v>26</v>
      </c>
      <c r="C4709" t="s">
        <v>11</v>
      </c>
      <c r="D4709" t="s">
        <v>41</v>
      </c>
      <c r="E4709" t="s">
        <v>42</v>
      </c>
      <c r="F4709">
        <v>96.69</v>
      </c>
      <c r="G4709" t="s">
        <v>14</v>
      </c>
      <c r="H4709" t="s">
        <v>37</v>
      </c>
      <c r="I4709">
        <v>4.8</v>
      </c>
      <c r="J4709">
        <v>18</v>
      </c>
      <c r="K4709">
        <v>4</v>
      </c>
      <c r="L4709" s="4">
        <v>117.91463414634146</v>
      </c>
      <c r="M4709" s="4">
        <v>21.224634146341458</v>
      </c>
      <c r="N4709" t="s">
        <v>91</v>
      </c>
    </row>
    <row r="4710" spans="1:14">
      <c r="A4710">
        <v>4709</v>
      </c>
      <c r="B4710">
        <v>57</v>
      </c>
      <c r="C4710" t="s">
        <v>16</v>
      </c>
      <c r="D4710" t="s">
        <v>20</v>
      </c>
      <c r="E4710" t="s">
        <v>36</v>
      </c>
      <c r="F4710">
        <v>126.2</v>
      </c>
      <c r="G4710" t="s">
        <v>14</v>
      </c>
      <c r="H4710" t="s">
        <v>15</v>
      </c>
      <c r="I4710">
        <v>5</v>
      </c>
      <c r="J4710">
        <v>11</v>
      </c>
      <c r="K4710">
        <v>3</v>
      </c>
      <c r="L4710" s="4">
        <v>141.79775280898878</v>
      </c>
      <c r="M4710" s="4">
        <v>15.597752808988773</v>
      </c>
      <c r="N4710" t="s">
        <v>94</v>
      </c>
    </row>
    <row r="4711" spans="1:14">
      <c r="A4711">
        <v>4710</v>
      </c>
      <c r="B4711">
        <v>38</v>
      </c>
      <c r="C4711" t="s">
        <v>11</v>
      </c>
      <c r="D4711" t="s">
        <v>29</v>
      </c>
      <c r="E4711" t="s">
        <v>51</v>
      </c>
      <c r="F4711">
        <v>62.65</v>
      </c>
      <c r="G4711" t="s">
        <v>14</v>
      </c>
      <c r="H4711" t="s">
        <v>15</v>
      </c>
      <c r="I4711">
        <v>3.3</v>
      </c>
      <c r="J4711">
        <v>13</v>
      </c>
      <c r="K4711">
        <v>4</v>
      </c>
      <c r="L4711" s="4">
        <v>72.011494252873561</v>
      </c>
      <c r="M4711" s="4">
        <v>9.3614942528735625</v>
      </c>
      <c r="N4711" t="s">
        <v>92</v>
      </c>
    </row>
    <row r="4712" spans="1:14">
      <c r="A4712">
        <v>4711</v>
      </c>
      <c r="B4712">
        <v>57</v>
      </c>
      <c r="C4712" t="s">
        <v>11</v>
      </c>
      <c r="D4712" t="s">
        <v>41</v>
      </c>
      <c r="E4712" t="s">
        <v>45</v>
      </c>
      <c r="F4712">
        <v>149.91</v>
      </c>
      <c r="G4712" t="s">
        <v>24</v>
      </c>
      <c r="H4712" t="s">
        <v>15</v>
      </c>
      <c r="I4712">
        <v>3.1</v>
      </c>
      <c r="J4712">
        <v>14</v>
      </c>
      <c r="K4712">
        <v>7</v>
      </c>
      <c r="L4712" s="4">
        <v>174.31395348837208</v>
      </c>
      <c r="M4712" s="4">
        <v>24.403953488372082</v>
      </c>
      <c r="N4712" t="s">
        <v>94</v>
      </c>
    </row>
    <row r="4713" spans="1:14">
      <c r="A4713">
        <v>4712</v>
      </c>
      <c r="B4713">
        <v>68</v>
      </c>
      <c r="C4713" t="s">
        <v>11</v>
      </c>
      <c r="D4713" t="s">
        <v>25</v>
      </c>
      <c r="E4713" t="s">
        <v>57</v>
      </c>
      <c r="F4713">
        <v>54.83</v>
      </c>
      <c r="G4713" t="s">
        <v>24</v>
      </c>
      <c r="H4713" t="s">
        <v>37</v>
      </c>
      <c r="I4713">
        <v>3.5</v>
      </c>
      <c r="J4713">
        <v>12</v>
      </c>
      <c r="K4713">
        <v>6</v>
      </c>
      <c r="L4713" s="4">
        <v>62.30681818181818</v>
      </c>
      <c r="M4713" s="4">
        <v>7.4768181818181816</v>
      </c>
      <c r="N4713" t="s">
        <v>95</v>
      </c>
    </row>
    <row r="4714" spans="1:14">
      <c r="A4714">
        <v>4713</v>
      </c>
      <c r="B4714">
        <v>26</v>
      </c>
      <c r="C4714" t="s">
        <v>16</v>
      </c>
      <c r="D4714" t="s">
        <v>27</v>
      </c>
      <c r="E4714" t="s">
        <v>53</v>
      </c>
      <c r="F4714">
        <v>733.03</v>
      </c>
      <c r="G4714" t="s">
        <v>19</v>
      </c>
      <c r="H4714" t="s">
        <v>15</v>
      </c>
      <c r="I4714">
        <v>3</v>
      </c>
      <c r="J4714">
        <v>13</v>
      </c>
      <c r="K4714">
        <v>4</v>
      </c>
      <c r="L4714" s="4">
        <v>842.56321839080454</v>
      </c>
      <c r="M4714" s="4">
        <v>109.53321839080456</v>
      </c>
      <c r="N4714" t="s">
        <v>91</v>
      </c>
    </row>
    <row r="4715" spans="1:14">
      <c r="A4715">
        <v>4714</v>
      </c>
      <c r="B4715">
        <v>22</v>
      </c>
      <c r="C4715" t="s">
        <v>16</v>
      </c>
      <c r="D4715" t="s">
        <v>33</v>
      </c>
      <c r="E4715" t="s">
        <v>34</v>
      </c>
      <c r="F4715">
        <v>116.76</v>
      </c>
      <c r="G4715" t="s">
        <v>24</v>
      </c>
      <c r="H4715" t="s">
        <v>15</v>
      </c>
      <c r="I4715">
        <v>4.8</v>
      </c>
      <c r="J4715">
        <v>17</v>
      </c>
      <c r="K4715">
        <v>6</v>
      </c>
      <c r="L4715" s="4">
        <v>140.67469879518075</v>
      </c>
      <c r="M4715" s="4">
        <v>23.91469879518074</v>
      </c>
      <c r="N4715" t="s">
        <v>100</v>
      </c>
    </row>
    <row r="4716" spans="1:14">
      <c r="A4716">
        <v>4715</v>
      </c>
      <c r="B4716">
        <v>38</v>
      </c>
      <c r="C4716" t="s">
        <v>16</v>
      </c>
      <c r="D4716" t="s">
        <v>33</v>
      </c>
      <c r="E4716" t="s">
        <v>40</v>
      </c>
      <c r="F4716">
        <v>139.77000000000001</v>
      </c>
      <c r="G4716" t="s">
        <v>24</v>
      </c>
      <c r="H4716" t="s">
        <v>15</v>
      </c>
      <c r="I4716">
        <v>5</v>
      </c>
      <c r="J4716">
        <v>8</v>
      </c>
      <c r="K4716">
        <v>4</v>
      </c>
      <c r="L4716" s="4">
        <v>151.92391304347828</v>
      </c>
      <c r="M4716" s="4">
        <v>12.153913043478269</v>
      </c>
      <c r="N4716" t="s">
        <v>92</v>
      </c>
    </row>
    <row r="4717" spans="1:14">
      <c r="A4717">
        <v>4716</v>
      </c>
      <c r="B4717">
        <v>58</v>
      </c>
      <c r="C4717" t="s">
        <v>16</v>
      </c>
      <c r="D4717" t="s">
        <v>20</v>
      </c>
      <c r="E4717" t="s">
        <v>39</v>
      </c>
      <c r="F4717">
        <v>95.93</v>
      </c>
      <c r="G4717" t="s">
        <v>31</v>
      </c>
      <c r="H4717" t="s">
        <v>15</v>
      </c>
      <c r="I4717">
        <v>3.7</v>
      </c>
      <c r="J4717">
        <v>13</v>
      </c>
      <c r="K4717">
        <v>4</v>
      </c>
      <c r="L4717" s="4">
        <v>110.26436781609196</v>
      </c>
      <c r="M4717" s="4">
        <v>14.334367816091955</v>
      </c>
      <c r="N4717" t="s">
        <v>94</v>
      </c>
    </row>
    <row r="4718" spans="1:14">
      <c r="A4718">
        <v>4717</v>
      </c>
      <c r="B4718">
        <v>66</v>
      </c>
      <c r="C4718" t="s">
        <v>16</v>
      </c>
      <c r="D4718" t="s">
        <v>20</v>
      </c>
      <c r="E4718" t="s">
        <v>21</v>
      </c>
      <c r="F4718">
        <v>51.77</v>
      </c>
      <c r="G4718" t="s">
        <v>31</v>
      </c>
      <c r="H4718" t="s">
        <v>37</v>
      </c>
      <c r="I4718">
        <v>5</v>
      </c>
      <c r="J4718">
        <v>17</v>
      </c>
      <c r="K4718">
        <v>6</v>
      </c>
      <c r="L4718" s="4">
        <v>62.373493975903621</v>
      </c>
      <c r="M4718" s="4">
        <v>10.603493975903618</v>
      </c>
      <c r="N4718" t="s">
        <v>95</v>
      </c>
    </row>
    <row r="4719" spans="1:14">
      <c r="A4719">
        <v>4718</v>
      </c>
      <c r="B4719">
        <v>44</v>
      </c>
      <c r="C4719" t="s">
        <v>11</v>
      </c>
      <c r="D4719" t="s">
        <v>29</v>
      </c>
      <c r="E4719" t="s">
        <v>55</v>
      </c>
      <c r="F4719">
        <v>28.68</v>
      </c>
      <c r="G4719" t="s">
        <v>19</v>
      </c>
      <c r="H4719" t="s">
        <v>37</v>
      </c>
      <c r="I4719">
        <v>3.5</v>
      </c>
      <c r="J4719">
        <v>12</v>
      </c>
      <c r="K4719">
        <v>6</v>
      </c>
      <c r="L4719" s="4">
        <v>32.590909090909093</v>
      </c>
      <c r="M4719" s="4">
        <v>3.9109090909090938</v>
      </c>
      <c r="N4719" t="s">
        <v>92</v>
      </c>
    </row>
    <row r="4720" spans="1:14">
      <c r="A4720">
        <v>4719</v>
      </c>
      <c r="B4720">
        <v>34</v>
      </c>
      <c r="C4720" t="s">
        <v>11</v>
      </c>
      <c r="D4720" t="s">
        <v>12</v>
      </c>
      <c r="E4720" t="s">
        <v>56</v>
      </c>
      <c r="F4720">
        <v>140.63</v>
      </c>
      <c r="G4720" t="s">
        <v>31</v>
      </c>
      <c r="H4720" t="s">
        <v>15</v>
      </c>
      <c r="I4720">
        <v>4.5</v>
      </c>
      <c r="J4720">
        <v>19</v>
      </c>
      <c r="K4720">
        <v>7</v>
      </c>
      <c r="L4720" s="4">
        <v>173.61728395061726</v>
      </c>
      <c r="M4720" s="4">
        <v>32.987283950617268</v>
      </c>
      <c r="N4720" t="s">
        <v>91</v>
      </c>
    </row>
    <row r="4721" spans="1:14">
      <c r="A4721">
        <v>4720</v>
      </c>
      <c r="B4721">
        <v>25</v>
      </c>
      <c r="C4721" t="s">
        <v>16</v>
      </c>
      <c r="D4721" t="s">
        <v>20</v>
      </c>
      <c r="E4721" t="s">
        <v>21</v>
      </c>
      <c r="F4721">
        <v>27.85</v>
      </c>
      <c r="G4721" t="s">
        <v>24</v>
      </c>
      <c r="H4721" t="s">
        <v>15</v>
      </c>
      <c r="I4721">
        <v>3.5</v>
      </c>
      <c r="J4721">
        <v>2</v>
      </c>
      <c r="K4721">
        <v>1</v>
      </c>
      <c r="L4721" s="4">
        <v>28.418367346938776</v>
      </c>
      <c r="M4721" s="4">
        <v>0.56836734693877489</v>
      </c>
      <c r="N4721" t="s">
        <v>91</v>
      </c>
    </row>
    <row r="4722" spans="1:14">
      <c r="A4722">
        <v>4721</v>
      </c>
      <c r="B4722">
        <v>49</v>
      </c>
      <c r="C4722" t="s">
        <v>16</v>
      </c>
      <c r="D4722" t="s">
        <v>27</v>
      </c>
      <c r="E4722" t="s">
        <v>28</v>
      </c>
      <c r="F4722">
        <v>2620.52</v>
      </c>
      <c r="G4722" t="s">
        <v>24</v>
      </c>
      <c r="H4722" t="s">
        <v>15</v>
      </c>
      <c r="I4722">
        <v>3.3</v>
      </c>
      <c r="J4722">
        <v>18</v>
      </c>
      <c r="K4722">
        <v>4</v>
      </c>
      <c r="L4722" s="4">
        <v>3195.7560975609754</v>
      </c>
      <c r="M4722" s="4">
        <v>575.2360975609754</v>
      </c>
      <c r="N4722" t="s">
        <v>93</v>
      </c>
    </row>
    <row r="4723" spans="1:14">
      <c r="A4723">
        <v>4722</v>
      </c>
      <c r="B4723">
        <v>36</v>
      </c>
      <c r="C4723" t="s">
        <v>11</v>
      </c>
      <c r="D4723" t="s">
        <v>12</v>
      </c>
      <c r="E4723" t="s">
        <v>50</v>
      </c>
      <c r="F4723">
        <v>60.24</v>
      </c>
      <c r="G4723" t="s">
        <v>24</v>
      </c>
      <c r="H4723" t="s">
        <v>37</v>
      </c>
      <c r="I4723">
        <v>4.4000000000000004</v>
      </c>
      <c r="J4723">
        <v>6</v>
      </c>
      <c r="K4723">
        <v>3</v>
      </c>
      <c r="L4723" s="4">
        <v>64.085106382978722</v>
      </c>
      <c r="M4723" s="4">
        <v>3.8451063829787202</v>
      </c>
      <c r="N4723" t="s">
        <v>92</v>
      </c>
    </row>
    <row r="4724" spans="1:14">
      <c r="A4724">
        <v>4723</v>
      </c>
      <c r="B4724">
        <v>24</v>
      </c>
      <c r="C4724" t="s">
        <v>16</v>
      </c>
      <c r="D4724" t="s">
        <v>20</v>
      </c>
      <c r="E4724" t="s">
        <v>36</v>
      </c>
      <c r="F4724">
        <v>89.29</v>
      </c>
      <c r="G4724" t="s">
        <v>24</v>
      </c>
      <c r="H4724" t="s">
        <v>15</v>
      </c>
      <c r="I4724">
        <v>3.8</v>
      </c>
      <c r="J4724">
        <v>0</v>
      </c>
      <c r="K4724">
        <v>0</v>
      </c>
      <c r="L4724" s="4">
        <v>89.29</v>
      </c>
      <c r="M4724" s="4">
        <v>0</v>
      </c>
      <c r="N4724" t="s">
        <v>100</v>
      </c>
    </row>
    <row r="4725" spans="1:14">
      <c r="A4725">
        <v>4724</v>
      </c>
      <c r="B4725">
        <v>32</v>
      </c>
      <c r="C4725" t="s">
        <v>11</v>
      </c>
      <c r="D4725" t="s">
        <v>33</v>
      </c>
      <c r="E4725" t="s">
        <v>38</v>
      </c>
      <c r="F4725">
        <v>52.53</v>
      </c>
      <c r="G4725" t="s">
        <v>19</v>
      </c>
      <c r="H4725" t="s">
        <v>37</v>
      </c>
      <c r="I4725">
        <v>3.1</v>
      </c>
      <c r="J4725">
        <v>18</v>
      </c>
      <c r="K4725">
        <v>4</v>
      </c>
      <c r="L4725" s="4">
        <v>64.060975609756099</v>
      </c>
      <c r="M4725" s="4">
        <v>11.530975609756098</v>
      </c>
      <c r="N4725" t="s">
        <v>91</v>
      </c>
    </row>
    <row r="4726" spans="1:14">
      <c r="A4726">
        <v>4725</v>
      </c>
      <c r="B4726">
        <v>62</v>
      </c>
      <c r="C4726" t="s">
        <v>11</v>
      </c>
      <c r="D4726" t="s">
        <v>29</v>
      </c>
      <c r="E4726" t="s">
        <v>30</v>
      </c>
      <c r="F4726">
        <v>93.41</v>
      </c>
      <c r="G4726" t="s">
        <v>24</v>
      </c>
      <c r="H4726" t="s">
        <v>37</v>
      </c>
      <c r="I4726">
        <v>4.0999999999999996</v>
      </c>
      <c r="J4726">
        <v>12</v>
      </c>
      <c r="K4726">
        <v>6</v>
      </c>
      <c r="L4726" s="4">
        <v>106.14772727272727</v>
      </c>
      <c r="M4726" s="4">
        <v>12.73772727272727</v>
      </c>
      <c r="N4726" t="s">
        <v>94</v>
      </c>
    </row>
    <row r="4727" spans="1:14">
      <c r="A4727">
        <v>4726</v>
      </c>
      <c r="B4727">
        <v>48</v>
      </c>
      <c r="C4727" t="s">
        <v>11</v>
      </c>
      <c r="D4727" t="s">
        <v>29</v>
      </c>
      <c r="E4727" t="s">
        <v>51</v>
      </c>
      <c r="F4727">
        <v>96.12</v>
      </c>
      <c r="G4727" t="s">
        <v>14</v>
      </c>
      <c r="H4727" t="s">
        <v>15</v>
      </c>
      <c r="I4727">
        <v>3.8</v>
      </c>
      <c r="J4727">
        <v>22</v>
      </c>
      <c r="K4727">
        <v>11</v>
      </c>
      <c r="L4727" s="4">
        <v>123.23076923076923</v>
      </c>
      <c r="M4727" s="4">
        <v>27.110769230769222</v>
      </c>
      <c r="N4727" t="s">
        <v>93</v>
      </c>
    </row>
    <row r="4728" spans="1:14">
      <c r="A4728">
        <v>4727</v>
      </c>
      <c r="B4728">
        <v>44</v>
      </c>
      <c r="C4728" t="s">
        <v>16</v>
      </c>
      <c r="D4728" t="s">
        <v>25</v>
      </c>
      <c r="E4728" t="s">
        <v>26</v>
      </c>
      <c r="F4728">
        <v>51.5</v>
      </c>
      <c r="G4728" t="s">
        <v>14</v>
      </c>
      <c r="H4728" t="s">
        <v>37</v>
      </c>
      <c r="I4728">
        <v>3.8</v>
      </c>
      <c r="J4728">
        <v>22</v>
      </c>
      <c r="K4728">
        <v>6</v>
      </c>
      <c r="L4728" s="4">
        <v>66.025641025641022</v>
      </c>
      <c r="M4728" s="4">
        <v>14.525641025641022</v>
      </c>
      <c r="N4728" t="s">
        <v>92</v>
      </c>
    </row>
    <row r="4729" spans="1:14">
      <c r="A4729">
        <v>4728</v>
      </c>
      <c r="B4729">
        <v>58</v>
      </c>
      <c r="C4729" t="s">
        <v>16</v>
      </c>
      <c r="D4729" t="s">
        <v>20</v>
      </c>
      <c r="E4729" t="s">
        <v>21</v>
      </c>
      <c r="F4729">
        <v>147.1</v>
      </c>
      <c r="G4729" t="s">
        <v>31</v>
      </c>
      <c r="H4729" t="s">
        <v>15</v>
      </c>
      <c r="I4729">
        <v>4.0999999999999996</v>
      </c>
      <c r="J4729">
        <v>12</v>
      </c>
      <c r="K4729">
        <v>1</v>
      </c>
      <c r="L4729" s="4">
        <v>167.15909090909091</v>
      </c>
      <c r="M4729" s="4">
        <v>20.059090909090912</v>
      </c>
      <c r="N4729" t="s">
        <v>94</v>
      </c>
    </row>
    <row r="4730" spans="1:14">
      <c r="A4730">
        <v>4729</v>
      </c>
      <c r="B4730">
        <v>59</v>
      </c>
      <c r="C4730" t="s">
        <v>16</v>
      </c>
      <c r="D4730" t="s">
        <v>33</v>
      </c>
      <c r="E4730" t="s">
        <v>40</v>
      </c>
      <c r="F4730">
        <v>208.77</v>
      </c>
      <c r="G4730" t="s">
        <v>19</v>
      </c>
      <c r="H4730" t="s">
        <v>15</v>
      </c>
      <c r="I4730">
        <v>4</v>
      </c>
      <c r="J4730">
        <v>12</v>
      </c>
      <c r="K4730">
        <v>6</v>
      </c>
      <c r="L4730" s="4">
        <v>237.23863636363637</v>
      </c>
      <c r="M4730" s="4">
        <v>28.468636363636364</v>
      </c>
      <c r="N4730" t="s">
        <v>94</v>
      </c>
    </row>
    <row r="4731" spans="1:14">
      <c r="A4731">
        <v>4730</v>
      </c>
      <c r="B4731">
        <v>31</v>
      </c>
      <c r="C4731" t="s">
        <v>16</v>
      </c>
      <c r="D4731" t="s">
        <v>33</v>
      </c>
      <c r="E4731" t="s">
        <v>40</v>
      </c>
      <c r="F4731">
        <v>222.63</v>
      </c>
      <c r="G4731" t="s">
        <v>31</v>
      </c>
      <c r="H4731" t="s">
        <v>15</v>
      </c>
      <c r="I4731">
        <v>4.3</v>
      </c>
      <c r="J4731">
        <v>18</v>
      </c>
      <c r="K4731">
        <v>9</v>
      </c>
      <c r="L4731" s="4">
        <v>271.5</v>
      </c>
      <c r="M4731" s="4">
        <v>48.870000000000005</v>
      </c>
      <c r="N4731" t="s">
        <v>91</v>
      </c>
    </row>
    <row r="4732" spans="1:14">
      <c r="A4732">
        <v>4731</v>
      </c>
      <c r="B4732">
        <v>37</v>
      </c>
      <c r="C4732" t="s">
        <v>11</v>
      </c>
      <c r="D4732" t="s">
        <v>41</v>
      </c>
      <c r="E4732" t="s">
        <v>44</v>
      </c>
      <c r="F4732">
        <v>56.66</v>
      </c>
      <c r="G4732" t="s">
        <v>14</v>
      </c>
      <c r="H4732" t="s">
        <v>15</v>
      </c>
      <c r="I4732">
        <v>5</v>
      </c>
      <c r="J4732">
        <v>14</v>
      </c>
      <c r="K4732">
        <v>7</v>
      </c>
      <c r="L4732" s="4">
        <v>65.883720930232556</v>
      </c>
      <c r="M4732" s="4">
        <v>9.2237209302325596</v>
      </c>
      <c r="N4732" t="s">
        <v>92</v>
      </c>
    </row>
    <row r="4733" spans="1:14">
      <c r="A4733">
        <v>4732</v>
      </c>
      <c r="B4733">
        <v>32</v>
      </c>
      <c r="C4733" t="s">
        <v>16</v>
      </c>
      <c r="D4733" t="s">
        <v>20</v>
      </c>
      <c r="E4733" t="s">
        <v>39</v>
      </c>
      <c r="F4733">
        <v>46.9</v>
      </c>
      <c r="G4733" t="s">
        <v>19</v>
      </c>
      <c r="H4733" t="s">
        <v>37</v>
      </c>
      <c r="I4733">
        <v>3.4</v>
      </c>
      <c r="J4733">
        <v>17</v>
      </c>
      <c r="K4733">
        <v>6</v>
      </c>
      <c r="L4733" s="4">
        <v>56.506024096385545</v>
      </c>
      <c r="M4733" s="4">
        <v>9.6060240963855463</v>
      </c>
      <c r="N4733" t="s">
        <v>91</v>
      </c>
    </row>
    <row r="4734" spans="1:14">
      <c r="A4734">
        <v>4733</v>
      </c>
      <c r="B4734">
        <v>69</v>
      </c>
      <c r="C4734" t="s">
        <v>16</v>
      </c>
      <c r="D4734" t="s">
        <v>27</v>
      </c>
      <c r="E4734" t="s">
        <v>32</v>
      </c>
      <c r="F4734">
        <v>771.91</v>
      </c>
      <c r="G4734" t="s">
        <v>14</v>
      </c>
      <c r="H4734" t="s">
        <v>15</v>
      </c>
      <c r="I4734">
        <v>4.8</v>
      </c>
      <c r="J4734">
        <v>14</v>
      </c>
      <c r="K4734">
        <v>7</v>
      </c>
      <c r="L4734" s="4">
        <v>897.56976744186045</v>
      </c>
      <c r="M4734" s="4">
        <v>125.65976744186048</v>
      </c>
      <c r="N4734" t="s">
        <v>95</v>
      </c>
    </row>
    <row r="4735" spans="1:14">
      <c r="A4735">
        <v>4734</v>
      </c>
      <c r="B4735">
        <v>40</v>
      </c>
      <c r="C4735" t="s">
        <v>16</v>
      </c>
      <c r="D4735" t="s">
        <v>20</v>
      </c>
      <c r="E4735" t="s">
        <v>36</v>
      </c>
      <c r="F4735">
        <v>122.71</v>
      </c>
      <c r="G4735" t="s">
        <v>14</v>
      </c>
      <c r="H4735" t="s">
        <v>15</v>
      </c>
      <c r="I4735">
        <v>2.8</v>
      </c>
      <c r="J4735">
        <v>13</v>
      </c>
      <c r="K4735">
        <v>4</v>
      </c>
      <c r="L4735" s="4">
        <v>141.04597701149424</v>
      </c>
      <c r="M4735" s="4">
        <v>18.335977011494251</v>
      </c>
      <c r="N4735" t="s">
        <v>92</v>
      </c>
    </row>
    <row r="4736" spans="1:14">
      <c r="A4736">
        <v>4735</v>
      </c>
      <c r="B4736">
        <v>21</v>
      </c>
      <c r="C4736" t="s">
        <v>11</v>
      </c>
      <c r="D4736" t="s">
        <v>41</v>
      </c>
      <c r="E4736" t="s">
        <v>42</v>
      </c>
      <c r="F4736">
        <v>195.09</v>
      </c>
      <c r="G4736" t="s">
        <v>24</v>
      </c>
      <c r="H4736" t="s">
        <v>15</v>
      </c>
      <c r="I4736">
        <v>4.4000000000000004</v>
      </c>
      <c r="J4736">
        <v>20</v>
      </c>
      <c r="K4736">
        <v>5</v>
      </c>
      <c r="L4736" s="4">
        <v>243.86249999999998</v>
      </c>
      <c r="M4736" s="4">
        <v>48.77249999999998</v>
      </c>
      <c r="N4736" t="s">
        <v>100</v>
      </c>
    </row>
    <row r="4737" spans="1:14">
      <c r="A4737">
        <v>4736</v>
      </c>
      <c r="B4737">
        <v>60</v>
      </c>
      <c r="C4737" t="s">
        <v>11</v>
      </c>
      <c r="D4737" t="s">
        <v>29</v>
      </c>
      <c r="E4737" t="s">
        <v>30</v>
      </c>
      <c r="F4737">
        <v>80.38</v>
      </c>
      <c r="G4737" t="s">
        <v>19</v>
      </c>
      <c r="H4737" t="s">
        <v>15</v>
      </c>
      <c r="I4737">
        <v>3.6</v>
      </c>
      <c r="J4737">
        <v>14</v>
      </c>
      <c r="K4737">
        <v>7</v>
      </c>
      <c r="L4737" s="4">
        <v>93.465116279069761</v>
      </c>
      <c r="M4737" s="4">
        <v>13.085116279069766</v>
      </c>
      <c r="N4737" t="s">
        <v>94</v>
      </c>
    </row>
    <row r="4738" spans="1:14">
      <c r="A4738">
        <v>4737</v>
      </c>
      <c r="B4738">
        <v>66</v>
      </c>
      <c r="C4738" t="s">
        <v>11</v>
      </c>
      <c r="D4738" t="s">
        <v>41</v>
      </c>
      <c r="E4738" t="s">
        <v>45</v>
      </c>
      <c r="F4738">
        <v>109.58</v>
      </c>
      <c r="G4738" t="s">
        <v>31</v>
      </c>
      <c r="H4738" t="s">
        <v>15</v>
      </c>
      <c r="I4738">
        <v>4.3</v>
      </c>
      <c r="J4738">
        <v>26</v>
      </c>
      <c r="K4738">
        <v>8</v>
      </c>
      <c r="L4738" s="4">
        <v>148.08108108108107</v>
      </c>
      <c r="M4738" s="4">
        <v>38.501081081081068</v>
      </c>
      <c r="N4738" t="s">
        <v>95</v>
      </c>
    </row>
    <row r="4739" spans="1:14">
      <c r="A4739">
        <v>4738</v>
      </c>
      <c r="B4739">
        <v>42</v>
      </c>
      <c r="C4739" t="s">
        <v>11</v>
      </c>
      <c r="D4739" t="s">
        <v>29</v>
      </c>
      <c r="E4739" t="s">
        <v>51</v>
      </c>
      <c r="F4739">
        <v>133.84</v>
      </c>
      <c r="G4739" t="s">
        <v>31</v>
      </c>
      <c r="H4739" t="s">
        <v>15</v>
      </c>
      <c r="I4739">
        <v>3.3</v>
      </c>
      <c r="J4739">
        <v>14</v>
      </c>
      <c r="K4739">
        <v>7</v>
      </c>
      <c r="L4739" s="4">
        <v>155.62790697674419</v>
      </c>
      <c r="M4739" s="4">
        <v>21.787906976744182</v>
      </c>
      <c r="N4739" t="s">
        <v>92</v>
      </c>
    </row>
    <row r="4740" spans="1:14">
      <c r="A4740">
        <v>4739</v>
      </c>
      <c r="B4740">
        <v>28</v>
      </c>
      <c r="C4740" t="s">
        <v>16</v>
      </c>
      <c r="D4740" t="s">
        <v>17</v>
      </c>
      <c r="E4740" t="s">
        <v>35</v>
      </c>
      <c r="F4740">
        <v>37.090000000000003</v>
      </c>
      <c r="G4740" t="s">
        <v>31</v>
      </c>
      <c r="H4740" t="s">
        <v>15</v>
      </c>
      <c r="I4740">
        <v>4.4000000000000004</v>
      </c>
      <c r="J4740">
        <v>22</v>
      </c>
      <c r="K4740">
        <v>6</v>
      </c>
      <c r="L4740" s="4">
        <v>47.551282051282051</v>
      </c>
      <c r="M4740" s="4">
        <v>10.461282051282048</v>
      </c>
      <c r="N4740" t="s">
        <v>91</v>
      </c>
    </row>
    <row r="4741" spans="1:14">
      <c r="A4741">
        <v>4740</v>
      </c>
      <c r="B4741">
        <v>50</v>
      </c>
      <c r="C4741" t="s">
        <v>16</v>
      </c>
      <c r="D4741" t="s">
        <v>25</v>
      </c>
      <c r="E4741" t="s">
        <v>47</v>
      </c>
      <c r="F4741">
        <v>19.579999999999998</v>
      </c>
      <c r="G4741" t="s">
        <v>24</v>
      </c>
      <c r="H4741" t="s">
        <v>15</v>
      </c>
      <c r="I4741">
        <v>3.3</v>
      </c>
      <c r="J4741">
        <v>19</v>
      </c>
      <c r="K4741">
        <v>7</v>
      </c>
      <c r="L4741" s="4">
        <v>24.172839506172835</v>
      </c>
      <c r="M4741" s="4">
        <v>4.5928395061728366</v>
      </c>
      <c r="N4741" t="s">
        <v>93</v>
      </c>
    </row>
    <row r="4742" spans="1:14">
      <c r="A4742">
        <v>4741</v>
      </c>
      <c r="B4742">
        <v>65</v>
      </c>
      <c r="C4742" t="s">
        <v>16</v>
      </c>
      <c r="D4742" t="s">
        <v>25</v>
      </c>
      <c r="E4742" t="s">
        <v>47</v>
      </c>
      <c r="F4742">
        <v>13.95</v>
      </c>
      <c r="G4742" t="s">
        <v>31</v>
      </c>
      <c r="H4742" t="s">
        <v>15</v>
      </c>
      <c r="I4742">
        <v>4.0999999999999996</v>
      </c>
      <c r="J4742">
        <v>21</v>
      </c>
      <c r="K4742">
        <v>8</v>
      </c>
      <c r="L4742" s="4">
        <v>17.658227848101266</v>
      </c>
      <c r="M4742" s="4">
        <v>3.7082278481012665</v>
      </c>
      <c r="N4742" t="s">
        <v>95</v>
      </c>
    </row>
    <row r="4743" spans="1:14">
      <c r="A4743">
        <v>4742</v>
      </c>
      <c r="B4743">
        <v>48</v>
      </c>
      <c r="C4743" t="s">
        <v>16</v>
      </c>
      <c r="D4743" t="s">
        <v>20</v>
      </c>
      <c r="E4743" t="s">
        <v>39</v>
      </c>
      <c r="F4743">
        <v>147.08000000000001</v>
      </c>
      <c r="G4743" t="s">
        <v>31</v>
      </c>
      <c r="H4743" t="s">
        <v>15</v>
      </c>
      <c r="I4743">
        <v>3.4</v>
      </c>
      <c r="J4743">
        <v>20</v>
      </c>
      <c r="K4743">
        <v>5</v>
      </c>
      <c r="L4743" s="4">
        <v>183.85</v>
      </c>
      <c r="M4743" s="4">
        <v>36.769999999999982</v>
      </c>
      <c r="N4743" t="s">
        <v>93</v>
      </c>
    </row>
    <row r="4744" spans="1:14">
      <c r="A4744">
        <v>4743</v>
      </c>
      <c r="B4744">
        <v>56</v>
      </c>
      <c r="C4744" t="s">
        <v>11</v>
      </c>
      <c r="D4744" t="s">
        <v>41</v>
      </c>
      <c r="E4744" t="s">
        <v>44</v>
      </c>
      <c r="F4744">
        <v>172.44</v>
      </c>
      <c r="G4744" t="s">
        <v>31</v>
      </c>
      <c r="H4744" t="s">
        <v>15</v>
      </c>
      <c r="I4744">
        <v>3.7</v>
      </c>
      <c r="J4744">
        <v>18</v>
      </c>
      <c r="K4744">
        <v>4</v>
      </c>
      <c r="L4744" s="4">
        <v>210.29268292682926</v>
      </c>
      <c r="M4744" s="4">
        <v>37.85268292682926</v>
      </c>
      <c r="N4744" t="s">
        <v>94</v>
      </c>
    </row>
    <row r="4745" spans="1:14">
      <c r="A4745">
        <v>4744</v>
      </c>
      <c r="B4745">
        <v>41</v>
      </c>
      <c r="C4745" t="s">
        <v>16</v>
      </c>
      <c r="D4745" t="s">
        <v>20</v>
      </c>
      <c r="E4745" t="s">
        <v>39</v>
      </c>
      <c r="F4745">
        <v>179</v>
      </c>
      <c r="G4745" t="s">
        <v>14</v>
      </c>
      <c r="H4745" t="s">
        <v>15</v>
      </c>
      <c r="I4745">
        <v>4.9000000000000004</v>
      </c>
      <c r="J4745">
        <v>8</v>
      </c>
      <c r="K4745">
        <v>4</v>
      </c>
      <c r="L4745" s="4">
        <v>194.56521739130434</v>
      </c>
      <c r="M4745" s="4">
        <v>15.565217391304344</v>
      </c>
      <c r="N4745" t="s">
        <v>92</v>
      </c>
    </row>
    <row r="4746" spans="1:14">
      <c r="A4746">
        <v>4745</v>
      </c>
      <c r="B4746">
        <v>26</v>
      </c>
      <c r="C4746" t="s">
        <v>11</v>
      </c>
      <c r="D4746" t="s">
        <v>33</v>
      </c>
      <c r="E4746" t="s">
        <v>38</v>
      </c>
      <c r="F4746">
        <v>104.75</v>
      </c>
      <c r="G4746" t="s">
        <v>24</v>
      </c>
      <c r="H4746" t="s">
        <v>15</v>
      </c>
      <c r="I4746">
        <v>4.0999999999999996</v>
      </c>
      <c r="J4746">
        <v>6</v>
      </c>
      <c r="K4746">
        <v>3</v>
      </c>
      <c r="L4746" s="4">
        <v>111.43617021276596</v>
      </c>
      <c r="M4746" s="4">
        <v>6.6861702127659584</v>
      </c>
      <c r="N4746" t="s">
        <v>91</v>
      </c>
    </row>
    <row r="4747" spans="1:14">
      <c r="A4747">
        <v>4746</v>
      </c>
      <c r="B4747">
        <v>61</v>
      </c>
      <c r="C4747" t="s">
        <v>16</v>
      </c>
      <c r="D4747" t="s">
        <v>20</v>
      </c>
      <c r="E4747" t="s">
        <v>21</v>
      </c>
      <c r="F4747">
        <v>216.67</v>
      </c>
      <c r="G4747" t="s">
        <v>14</v>
      </c>
      <c r="H4747" t="s">
        <v>15</v>
      </c>
      <c r="I4747">
        <v>4.4000000000000004</v>
      </c>
      <c r="J4747">
        <v>13</v>
      </c>
      <c r="K4747">
        <v>4</v>
      </c>
      <c r="L4747" s="4">
        <v>249.04597701149424</v>
      </c>
      <c r="M4747" s="4">
        <v>32.375977011494257</v>
      </c>
      <c r="N4747" t="s">
        <v>94</v>
      </c>
    </row>
    <row r="4748" spans="1:14">
      <c r="A4748">
        <v>4747</v>
      </c>
      <c r="B4748">
        <v>54</v>
      </c>
      <c r="C4748" t="s">
        <v>16</v>
      </c>
      <c r="D4748" t="s">
        <v>27</v>
      </c>
      <c r="E4748" t="s">
        <v>49</v>
      </c>
      <c r="F4748">
        <v>572.52</v>
      </c>
      <c r="G4748" t="s">
        <v>14</v>
      </c>
      <c r="H4748" t="s">
        <v>15</v>
      </c>
      <c r="I4748">
        <v>3.7</v>
      </c>
      <c r="J4748">
        <v>11</v>
      </c>
      <c r="K4748">
        <v>3</v>
      </c>
      <c r="L4748" s="4">
        <v>643.28089887640442</v>
      </c>
      <c r="M4748" s="4">
        <v>70.76089887640444</v>
      </c>
      <c r="N4748" t="s">
        <v>93</v>
      </c>
    </row>
    <row r="4749" spans="1:14">
      <c r="A4749">
        <v>4748</v>
      </c>
      <c r="B4749">
        <v>45</v>
      </c>
      <c r="C4749" t="s">
        <v>11</v>
      </c>
      <c r="D4749" t="s">
        <v>33</v>
      </c>
      <c r="E4749" t="s">
        <v>40</v>
      </c>
      <c r="F4749">
        <v>198.44</v>
      </c>
      <c r="G4749" t="s">
        <v>24</v>
      </c>
      <c r="H4749" t="s">
        <v>15</v>
      </c>
      <c r="I4749">
        <v>2.6</v>
      </c>
      <c r="J4749">
        <v>18</v>
      </c>
      <c r="K4749">
        <v>4</v>
      </c>
      <c r="L4749" s="4">
        <v>241.99999999999997</v>
      </c>
      <c r="M4749" s="4">
        <v>43.559999999999974</v>
      </c>
      <c r="N4749" t="s">
        <v>93</v>
      </c>
    </row>
    <row r="4750" spans="1:14">
      <c r="A4750">
        <v>4749</v>
      </c>
      <c r="B4750">
        <v>66</v>
      </c>
      <c r="C4750" t="s">
        <v>16</v>
      </c>
      <c r="D4750" t="s">
        <v>20</v>
      </c>
      <c r="E4750" t="s">
        <v>36</v>
      </c>
      <c r="F4750">
        <v>32.81</v>
      </c>
      <c r="G4750" t="s">
        <v>14</v>
      </c>
      <c r="H4750" t="s">
        <v>37</v>
      </c>
      <c r="I4750">
        <v>3.6</v>
      </c>
      <c r="J4750">
        <v>16</v>
      </c>
      <c r="K4750">
        <v>3</v>
      </c>
      <c r="L4750" s="4">
        <v>39.05952380952381</v>
      </c>
      <c r="M4750" s="4">
        <v>6.2495238095238079</v>
      </c>
      <c r="N4750" t="s">
        <v>95</v>
      </c>
    </row>
    <row r="4751" spans="1:14">
      <c r="A4751">
        <v>4750</v>
      </c>
      <c r="B4751">
        <v>29</v>
      </c>
      <c r="C4751" t="s">
        <v>16</v>
      </c>
      <c r="D4751" t="s">
        <v>33</v>
      </c>
      <c r="E4751" t="s">
        <v>34</v>
      </c>
      <c r="F4751">
        <v>218.6</v>
      </c>
      <c r="G4751" t="s">
        <v>31</v>
      </c>
      <c r="H4751" t="s">
        <v>15</v>
      </c>
      <c r="I4751">
        <v>2.2999999999999998</v>
      </c>
      <c r="J4751">
        <v>8</v>
      </c>
      <c r="K4751">
        <v>4</v>
      </c>
      <c r="L4751" s="4">
        <v>237.60869565217391</v>
      </c>
      <c r="M4751" s="4">
        <v>19.008695652173913</v>
      </c>
      <c r="N4751" t="s">
        <v>91</v>
      </c>
    </row>
    <row r="4752" spans="1:14">
      <c r="A4752">
        <v>4751</v>
      </c>
      <c r="B4752">
        <v>27</v>
      </c>
      <c r="C4752" t="s">
        <v>16</v>
      </c>
      <c r="D4752" t="s">
        <v>20</v>
      </c>
      <c r="E4752" t="s">
        <v>21</v>
      </c>
      <c r="F4752">
        <v>96.93</v>
      </c>
      <c r="G4752" t="s">
        <v>14</v>
      </c>
      <c r="H4752" t="s">
        <v>37</v>
      </c>
      <c r="I4752">
        <v>3.2</v>
      </c>
      <c r="J4752">
        <v>8</v>
      </c>
      <c r="K4752">
        <v>4</v>
      </c>
      <c r="L4752" s="4">
        <v>105.35869565217392</v>
      </c>
      <c r="M4752" s="4">
        <v>8.4286956521739143</v>
      </c>
      <c r="N4752" t="s">
        <v>91</v>
      </c>
    </row>
    <row r="4753" spans="1:14">
      <c r="A4753">
        <v>4752</v>
      </c>
      <c r="B4753">
        <v>29</v>
      </c>
      <c r="C4753" t="s">
        <v>16</v>
      </c>
      <c r="D4753" t="s">
        <v>27</v>
      </c>
      <c r="E4753" t="s">
        <v>53</v>
      </c>
      <c r="F4753">
        <v>2817.6</v>
      </c>
      <c r="G4753" t="s">
        <v>14</v>
      </c>
      <c r="H4753" t="s">
        <v>15</v>
      </c>
      <c r="I4753">
        <v>4.0999999999999996</v>
      </c>
      <c r="J4753">
        <v>14</v>
      </c>
      <c r="K4753">
        <v>2</v>
      </c>
      <c r="L4753" s="4">
        <v>3276.2790697674418</v>
      </c>
      <c r="M4753" s="4">
        <v>458.67906976744189</v>
      </c>
      <c r="N4753" t="s">
        <v>91</v>
      </c>
    </row>
    <row r="4754" spans="1:14">
      <c r="A4754">
        <v>4753</v>
      </c>
      <c r="B4754">
        <v>24</v>
      </c>
      <c r="C4754" t="s">
        <v>11</v>
      </c>
      <c r="D4754" t="s">
        <v>22</v>
      </c>
      <c r="E4754" t="s">
        <v>23</v>
      </c>
      <c r="F4754">
        <v>209.24</v>
      </c>
      <c r="G4754" t="s">
        <v>14</v>
      </c>
      <c r="H4754" t="s">
        <v>15</v>
      </c>
      <c r="I4754">
        <v>3.1</v>
      </c>
      <c r="J4754">
        <v>6</v>
      </c>
      <c r="K4754">
        <v>3</v>
      </c>
      <c r="L4754" s="4">
        <v>222.59574468085108</v>
      </c>
      <c r="M4754" s="4">
        <v>13.355744680851075</v>
      </c>
      <c r="N4754" t="s">
        <v>100</v>
      </c>
    </row>
    <row r="4755" spans="1:14">
      <c r="A4755">
        <v>4754</v>
      </c>
      <c r="B4755">
        <v>65</v>
      </c>
      <c r="C4755" t="s">
        <v>16</v>
      </c>
      <c r="D4755" t="s">
        <v>22</v>
      </c>
      <c r="E4755" t="s">
        <v>52</v>
      </c>
      <c r="F4755">
        <v>205.4</v>
      </c>
      <c r="G4755" t="s">
        <v>31</v>
      </c>
      <c r="H4755" t="s">
        <v>15</v>
      </c>
      <c r="I4755">
        <v>3.8</v>
      </c>
      <c r="J4755">
        <v>8</v>
      </c>
      <c r="K4755">
        <v>4</v>
      </c>
      <c r="L4755" s="4">
        <v>223.26086956521738</v>
      </c>
      <c r="M4755" s="4">
        <v>17.860869565217371</v>
      </c>
      <c r="N4755" t="s">
        <v>95</v>
      </c>
    </row>
    <row r="4756" spans="1:14">
      <c r="A4756">
        <v>4755</v>
      </c>
      <c r="B4756">
        <v>50</v>
      </c>
      <c r="C4756" t="s">
        <v>11</v>
      </c>
      <c r="D4756" t="s">
        <v>33</v>
      </c>
      <c r="E4756" t="s">
        <v>34</v>
      </c>
      <c r="F4756">
        <v>69.78</v>
      </c>
      <c r="G4756" t="s">
        <v>24</v>
      </c>
      <c r="H4756" t="s">
        <v>15</v>
      </c>
      <c r="I4756">
        <v>3.1</v>
      </c>
      <c r="J4756">
        <v>13</v>
      </c>
      <c r="K4756">
        <v>4</v>
      </c>
      <c r="L4756" s="4">
        <v>80.206896551724142</v>
      </c>
      <c r="M4756" s="4">
        <v>10.426896551724141</v>
      </c>
      <c r="N4756" t="s">
        <v>93</v>
      </c>
    </row>
    <row r="4757" spans="1:14">
      <c r="A4757">
        <v>4756</v>
      </c>
      <c r="B4757">
        <v>28</v>
      </c>
      <c r="C4757" t="s">
        <v>11</v>
      </c>
      <c r="D4757" t="s">
        <v>29</v>
      </c>
      <c r="E4757" t="s">
        <v>51</v>
      </c>
      <c r="F4757">
        <v>133.09</v>
      </c>
      <c r="G4757" t="s">
        <v>24</v>
      </c>
      <c r="H4757" t="s">
        <v>15</v>
      </c>
      <c r="I4757">
        <v>4.4000000000000004</v>
      </c>
      <c r="J4757">
        <v>17</v>
      </c>
      <c r="K4757">
        <v>6</v>
      </c>
      <c r="L4757" s="4">
        <v>160.34939759036146</v>
      </c>
      <c r="M4757" s="4">
        <v>27.259397590361459</v>
      </c>
      <c r="N4757" t="s">
        <v>91</v>
      </c>
    </row>
    <row r="4758" spans="1:14">
      <c r="A4758">
        <v>4757</v>
      </c>
      <c r="B4758">
        <v>26</v>
      </c>
      <c r="C4758" t="s">
        <v>16</v>
      </c>
      <c r="D4758" t="s">
        <v>22</v>
      </c>
      <c r="E4758" t="s">
        <v>23</v>
      </c>
      <c r="F4758">
        <v>239.79</v>
      </c>
      <c r="G4758" t="s">
        <v>19</v>
      </c>
      <c r="H4758" t="s">
        <v>15</v>
      </c>
      <c r="I4758">
        <v>3.5</v>
      </c>
      <c r="J4758">
        <v>8</v>
      </c>
      <c r="K4758">
        <v>4</v>
      </c>
      <c r="L4758" s="4">
        <v>260.64130434782606</v>
      </c>
      <c r="M4758" s="4">
        <v>20.851304347826073</v>
      </c>
      <c r="N4758" t="s">
        <v>91</v>
      </c>
    </row>
    <row r="4759" spans="1:14">
      <c r="A4759">
        <v>4758</v>
      </c>
      <c r="B4759">
        <v>33</v>
      </c>
      <c r="C4759" t="s">
        <v>11</v>
      </c>
      <c r="D4759" t="s">
        <v>33</v>
      </c>
      <c r="E4759" t="s">
        <v>34</v>
      </c>
      <c r="F4759">
        <v>226.44</v>
      </c>
      <c r="G4759" t="s">
        <v>31</v>
      </c>
      <c r="H4759" t="s">
        <v>15</v>
      </c>
      <c r="I4759">
        <v>4.5</v>
      </c>
      <c r="J4759">
        <v>8</v>
      </c>
      <c r="K4759">
        <v>4</v>
      </c>
      <c r="L4759" s="4">
        <v>246.13043478260869</v>
      </c>
      <c r="M4759" s="4">
        <v>19.690434782608691</v>
      </c>
      <c r="N4759" t="s">
        <v>91</v>
      </c>
    </row>
    <row r="4760" spans="1:14">
      <c r="A4760">
        <v>4759</v>
      </c>
      <c r="B4760">
        <v>69</v>
      </c>
      <c r="C4760" t="s">
        <v>16</v>
      </c>
      <c r="D4760" t="s">
        <v>22</v>
      </c>
      <c r="E4760" t="s">
        <v>52</v>
      </c>
      <c r="F4760">
        <v>232.66</v>
      </c>
      <c r="G4760" t="s">
        <v>19</v>
      </c>
      <c r="H4760" t="s">
        <v>15</v>
      </c>
      <c r="I4760">
        <v>3.7</v>
      </c>
      <c r="J4760">
        <v>26</v>
      </c>
      <c r="K4760">
        <v>8</v>
      </c>
      <c r="L4760" s="4">
        <v>314.40540540540542</v>
      </c>
      <c r="M4760" s="4">
        <v>81.745405405405421</v>
      </c>
      <c r="N4760" t="s">
        <v>95</v>
      </c>
    </row>
    <row r="4761" spans="1:14">
      <c r="A4761">
        <v>4760</v>
      </c>
      <c r="B4761">
        <v>31</v>
      </c>
      <c r="C4761" t="s">
        <v>11</v>
      </c>
      <c r="D4761" t="s">
        <v>41</v>
      </c>
      <c r="E4761" t="s">
        <v>44</v>
      </c>
      <c r="F4761">
        <v>158.41999999999999</v>
      </c>
      <c r="G4761" t="s">
        <v>19</v>
      </c>
      <c r="H4761" t="s">
        <v>15</v>
      </c>
      <c r="I4761">
        <v>3.3</v>
      </c>
      <c r="J4761">
        <v>15</v>
      </c>
      <c r="K4761">
        <v>5</v>
      </c>
      <c r="L4761" s="4">
        <v>186.37647058823529</v>
      </c>
      <c r="M4761" s="4">
        <v>27.956470588235305</v>
      </c>
      <c r="N4761" t="s">
        <v>91</v>
      </c>
    </row>
    <row r="4762" spans="1:14">
      <c r="A4762">
        <v>4761</v>
      </c>
      <c r="B4762">
        <v>59</v>
      </c>
      <c r="C4762" t="s">
        <v>11</v>
      </c>
      <c r="D4762" t="s">
        <v>25</v>
      </c>
      <c r="E4762" t="s">
        <v>57</v>
      </c>
      <c r="F4762">
        <v>23.69</v>
      </c>
      <c r="G4762" t="s">
        <v>14</v>
      </c>
      <c r="H4762" t="s">
        <v>37</v>
      </c>
      <c r="I4762">
        <v>3.5</v>
      </c>
      <c r="J4762">
        <v>14</v>
      </c>
      <c r="K4762">
        <v>2</v>
      </c>
      <c r="L4762" s="4">
        <v>27.54651162790698</v>
      </c>
      <c r="M4762" s="4">
        <v>3.8565116279069791</v>
      </c>
      <c r="N4762" t="s">
        <v>94</v>
      </c>
    </row>
    <row r="4763" spans="1:14">
      <c r="A4763">
        <v>4762</v>
      </c>
      <c r="B4763">
        <v>34</v>
      </c>
      <c r="C4763" t="s">
        <v>16</v>
      </c>
      <c r="D4763" t="s">
        <v>17</v>
      </c>
      <c r="E4763" t="s">
        <v>18</v>
      </c>
      <c r="F4763">
        <v>174.51</v>
      </c>
      <c r="G4763" t="s">
        <v>19</v>
      </c>
      <c r="H4763" t="s">
        <v>15</v>
      </c>
      <c r="I4763">
        <v>2.6</v>
      </c>
      <c r="J4763">
        <v>12</v>
      </c>
      <c r="K4763">
        <v>6</v>
      </c>
      <c r="L4763" s="4">
        <v>198.30681818181816</v>
      </c>
      <c r="M4763" s="4">
        <v>23.796818181818168</v>
      </c>
      <c r="N4763" t="s">
        <v>91</v>
      </c>
    </row>
    <row r="4764" spans="1:14">
      <c r="A4764">
        <v>4763</v>
      </c>
      <c r="B4764">
        <v>36</v>
      </c>
      <c r="C4764" t="s">
        <v>16</v>
      </c>
      <c r="D4764" t="s">
        <v>20</v>
      </c>
      <c r="E4764" t="s">
        <v>39</v>
      </c>
      <c r="F4764">
        <v>189.27</v>
      </c>
      <c r="G4764" t="s">
        <v>14</v>
      </c>
      <c r="H4764" t="s">
        <v>15</v>
      </c>
      <c r="I4764">
        <v>2.4</v>
      </c>
      <c r="J4764">
        <v>16</v>
      </c>
      <c r="K4764">
        <v>3</v>
      </c>
      <c r="L4764" s="4">
        <v>225.32142857142858</v>
      </c>
      <c r="M4764" s="4">
        <v>36.051428571428573</v>
      </c>
      <c r="N4764" t="s">
        <v>92</v>
      </c>
    </row>
    <row r="4765" spans="1:14">
      <c r="A4765">
        <v>4764</v>
      </c>
      <c r="B4765">
        <v>22</v>
      </c>
      <c r="C4765" t="s">
        <v>11</v>
      </c>
      <c r="D4765" t="s">
        <v>29</v>
      </c>
      <c r="E4765" t="s">
        <v>51</v>
      </c>
      <c r="F4765">
        <v>28.45</v>
      </c>
      <c r="G4765" t="s">
        <v>24</v>
      </c>
      <c r="H4765" t="s">
        <v>37</v>
      </c>
      <c r="I4765">
        <v>3.6</v>
      </c>
      <c r="J4765">
        <v>15</v>
      </c>
      <c r="K4765">
        <v>5</v>
      </c>
      <c r="L4765" s="4">
        <v>33.470588235294116</v>
      </c>
      <c r="M4765" s="4">
        <v>5.0205882352941167</v>
      </c>
      <c r="N4765" t="s">
        <v>100</v>
      </c>
    </row>
    <row r="4766" spans="1:14">
      <c r="A4766">
        <v>4765</v>
      </c>
      <c r="B4766">
        <v>42</v>
      </c>
      <c r="C4766" t="s">
        <v>11</v>
      </c>
      <c r="D4766" t="s">
        <v>12</v>
      </c>
      <c r="E4766" t="s">
        <v>13</v>
      </c>
      <c r="F4766">
        <v>103.25</v>
      </c>
      <c r="G4766" t="s">
        <v>31</v>
      </c>
      <c r="H4766" t="s">
        <v>15</v>
      </c>
      <c r="I4766">
        <v>4.0999999999999996</v>
      </c>
      <c r="J4766">
        <v>15</v>
      </c>
      <c r="K4766">
        <v>5</v>
      </c>
      <c r="L4766" s="4">
        <v>121.47058823529412</v>
      </c>
      <c r="M4766" s="4">
        <v>18.220588235294116</v>
      </c>
      <c r="N4766" t="s">
        <v>92</v>
      </c>
    </row>
    <row r="4767" spans="1:14">
      <c r="A4767">
        <v>4766</v>
      </c>
      <c r="B4767">
        <v>32</v>
      </c>
      <c r="C4767" t="s">
        <v>16</v>
      </c>
      <c r="D4767" t="s">
        <v>27</v>
      </c>
      <c r="E4767" t="s">
        <v>28</v>
      </c>
      <c r="F4767">
        <v>2817.12</v>
      </c>
      <c r="G4767" t="s">
        <v>14</v>
      </c>
      <c r="H4767" t="s">
        <v>15</v>
      </c>
      <c r="I4767">
        <v>2.6</v>
      </c>
      <c r="J4767">
        <v>12</v>
      </c>
      <c r="K4767">
        <v>6</v>
      </c>
      <c r="L4767" s="4">
        <v>3201.272727272727</v>
      </c>
      <c r="M4767" s="4">
        <v>384.15272727272713</v>
      </c>
      <c r="N4767" t="s">
        <v>91</v>
      </c>
    </row>
    <row r="4768" spans="1:14">
      <c r="A4768">
        <v>4767</v>
      </c>
      <c r="B4768">
        <v>45</v>
      </c>
      <c r="C4768" t="s">
        <v>16</v>
      </c>
      <c r="D4768" t="s">
        <v>33</v>
      </c>
      <c r="E4768" t="s">
        <v>40</v>
      </c>
      <c r="F4768">
        <v>239.66</v>
      </c>
      <c r="G4768" t="s">
        <v>19</v>
      </c>
      <c r="H4768" t="s">
        <v>15</v>
      </c>
      <c r="I4768">
        <v>4.7</v>
      </c>
      <c r="J4768">
        <v>12</v>
      </c>
      <c r="K4768">
        <v>6</v>
      </c>
      <c r="L4768" s="4">
        <v>272.34090909090907</v>
      </c>
      <c r="M4768" s="4">
        <v>32.680909090909068</v>
      </c>
      <c r="N4768" t="s">
        <v>93</v>
      </c>
    </row>
    <row r="4769" spans="1:14">
      <c r="A4769">
        <v>4768</v>
      </c>
      <c r="B4769">
        <v>30</v>
      </c>
      <c r="C4769" t="s">
        <v>16</v>
      </c>
      <c r="D4769" t="s">
        <v>17</v>
      </c>
      <c r="E4769" t="s">
        <v>35</v>
      </c>
      <c r="F4769">
        <v>56.45</v>
      </c>
      <c r="G4769" t="s">
        <v>24</v>
      </c>
      <c r="H4769" t="s">
        <v>15</v>
      </c>
      <c r="I4769">
        <v>3.7</v>
      </c>
      <c r="J4769">
        <v>24</v>
      </c>
      <c r="K4769">
        <v>7</v>
      </c>
      <c r="L4769" s="4">
        <v>74.276315789473685</v>
      </c>
      <c r="M4769" s="4">
        <v>17.826315789473682</v>
      </c>
      <c r="N4769" t="s">
        <v>91</v>
      </c>
    </row>
    <row r="4770" spans="1:14">
      <c r="A4770">
        <v>4769</v>
      </c>
      <c r="B4770">
        <v>69</v>
      </c>
      <c r="C4770" t="s">
        <v>11</v>
      </c>
      <c r="D4770" t="s">
        <v>33</v>
      </c>
      <c r="E4770" t="s">
        <v>34</v>
      </c>
      <c r="F4770">
        <v>114.1</v>
      </c>
      <c r="G4770" t="s">
        <v>24</v>
      </c>
      <c r="H4770" t="s">
        <v>15</v>
      </c>
      <c r="I4770">
        <v>3.4</v>
      </c>
      <c r="J4770">
        <v>28</v>
      </c>
      <c r="K4770">
        <v>9</v>
      </c>
      <c r="L4770" s="4">
        <v>158.47222222222223</v>
      </c>
      <c r="M4770" s="4">
        <v>44.372222222222234</v>
      </c>
      <c r="N4770" t="s">
        <v>95</v>
      </c>
    </row>
    <row r="4771" spans="1:14">
      <c r="A4771">
        <v>4770</v>
      </c>
      <c r="B4771">
        <v>48</v>
      </c>
      <c r="C4771" t="s">
        <v>11</v>
      </c>
      <c r="D4771" t="s">
        <v>41</v>
      </c>
      <c r="E4771" t="s">
        <v>44</v>
      </c>
      <c r="F4771">
        <v>180.95</v>
      </c>
      <c r="G4771" t="s">
        <v>14</v>
      </c>
      <c r="H4771" t="s">
        <v>15</v>
      </c>
      <c r="I4771">
        <v>4</v>
      </c>
      <c r="J4771">
        <v>10</v>
      </c>
      <c r="K4771">
        <v>5</v>
      </c>
      <c r="L4771" s="4">
        <v>201.05555555555554</v>
      </c>
      <c r="M4771" s="4">
        <v>20.105555555555554</v>
      </c>
      <c r="N4771" t="s">
        <v>93</v>
      </c>
    </row>
    <row r="4772" spans="1:14">
      <c r="A4772">
        <v>4771</v>
      </c>
      <c r="B4772">
        <v>44</v>
      </c>
      <c r="C4772" t="s">
        <v>11</v>
      </c>
      <c r="D4772" t="s">
        <v>41</v>
      </c>
      <c r="E4772" t="s">
        <v>42</v>
      </c>
      <c r="F4772">
        <v>45.18</v>
      </c>
      <c r="G4772" t="s">
        <v>19</v>
      </c>
      <c r="H4772" t="s">
        <v>15</v>
      </c>
      <c r="I4772">
        <v>4.4000000000000004</v>
      </c>
      <c r="J4772">
        <v>15</v>
      </c>
      <c r="K4772">
        <v>5</v>
      </c>
      <c r="L4772" s="4">
        <v>53.152941176470591</v>
      </c>
      <c r="M4772" s="4">
        <v>7.9729411764705915</v>
      </c>
      <c r="N4772" t="s">
        <v>92</v>
      </c>
    </row>
    <row r="4773" spans="1:14">
      <c r="A4773">
        <v>4772</v>
      </c>
      <c r="B4773">
        <v>30</v>
      </c>
      <c r="C4773" t="s">
        <v>16</v>
      </c>
      <c r="D4773" t="s">
        <v>33</v>
      </c>
      <c r="E4773" t="s">
        <v>34</v>
      </c>
      <c r="F4773">
        <v>243.11</v>
      </c>
      <c r="G4773" t="s">
        <v>24</v>
      </c>
      <c r="H4773" t="s">
        <v>15</v>
      </c>
      <c r="I4773">
        <v>3.4</v>
      </c>
      <c r="J4773">
        <v>18</v>
      </c>
      <c r="K4773">
        <v>9</v>
      </c>
      <c r="L4773" s="4">
        <v>296.47560975609758</v>
      </c>
      <c r="M4773" s="4">
        <v>53.36560975609757</v>
      </c>
      <c r="N4773" t="s">
        <v>91</v>
      </c>
    </row>
    <row r="4774" spans="1:14">
      <c r="A4774">
        <v>4773</v>
      </c>
      <c r="B4774">
        <v>66</v>
      </c>
      <c r="C4774" t="s">
        <v>16</v>
      </c>
      <c r="D4774" t="s">
        <v>33</v>
      </c>
      <c r="E4774" t="s">
        <v>38</v>
      </c>
      <c r="F4774">
        <v>200.45</v>
      </c>
      <c r="G4774" t="s">
        <v>19</v>
      </c>
      <c r="H4774" t="s">
        <v>15</v>
      </c>
      <c r="I4774">
        <v>4.4000000000000004</v>
      </c>
      <c r="J4774">
        <v>18</v>
      </c>
      <c r="K4774">
        <v>4</v>
      </c>
      <c r="L4774" s="4">
        <v>244.45121951219508</v>
      </c>
      <c r="M4774" s="4">
        <v>44.001219512195092</v>
      </c>
      <c r="N4774" t="s">
        <v>95</v>
      </c>
    </row>
    <row r="4775" spans="1:14">
      <c r="A4775">
        <v>4774</v>
      </c>
      <c r="B4775">
        <v>33</v>
      </c>
      <c r="C4775" t="s">
        <v>11</v>
      </c>
      <c r="D4775" t="s">
        <v>29</v>
      </c>
      <c r="E4775" t="s">
        <v>55</v>
      </c>
      <c r="F4775">
        <v>121.83</v>
      </c>
      <c r="G4775" t="s">
        <v>24</v>
      </c>
      <c r="H4775" t="s">
        <v>15</v>
      </c>
      <c r="I4775">
        <v>4.4000000000000004</v>
      </c>
      <c r="J4775">
        <v>8</v>
      </c>
      <c r="K4775">
        <v>4</v>
      </c>
      <c r="L4775" s="4">
        <v>132.42391304347825</v>
      </c>
      <c r="M4775" s="4">
        <v>10.593913043478253</v>
      </c>
      <c r="N4775" t="s">
        <v>91</v>
      </c>
    </row>
    <row r="4776" spans="1:14">
      <c r="A4776">
        <v>4775</v>
      </c>
      <c r="B4776">
        <v>41</v>
      </c>
      <c r="C4776" t="s">
        <v>11</v>
      </c>
      <c r="D4776" t="s">
        <v>25</v>
      </c>
      <c r="E4776" t="s">
        <v>47</v>
      </c>
      <c r="F4776">
        <v>28.73</v>
      </c>
      <c r="G4776" t="s">
        <v>31</v>
      </c>
      <c r="H4776" t="s">
        <v>15</v>
      </c>
      <c r="I4776">
        <v>3.9</v>
      </c>
      <c r="J4776">
        <v>6</v>
      </c>
      <c r="K4776">
        <v>3</v>
      </c>
      <c r="L4776" s="4">
        <v>30.563829787234045</v>
      </c>
      <c r="M4776" s="4">
        <v>1.8338297872340448</v>
      </c>
      <c r="N4776" t="s">
        <v>92</v>
      </c>
    </row>
    <row r="4777" spans="1:14">
      <c r="A4777">
        <v>4776</v>
      </c>
      <c r="B4777">
        <v>27</v>
      </c>
      <c r="C4777" t="s">
        <v>11</v>
      </c>
      <c r="D4777" t="s">
        <v>33</v>
      </c>
      <c r="E4777" t="s">
        <v>34</v>
      </c>
      <c r="F4777">
        <v>117.43</v>
      </c>
      <c r="G4777" t="s">
        <v>19</v>
      </c>
      <c r="H4777" t="s">
        <v>15</v>
      </c>
      <c r="I4777">
        <v>3.4</v>
      </c>
      <c r="J4777">
        <v>10</v>
      </c>
      <c r="K4777">
        <v>5</v>
      </c>
      <c r="L4777" s="4">
        <v>130.47777777777779</v>
      </c>
      <c r="M4777" s="4">
        <v>13.047777777777782</v>
      </c>
      <c r="N4777" t="s">
        <v>91</v>
      </c>
    </row>
    <row r="4778" spans="1:14">
      <c r="A4778">
        <v>4777</v>
      </c>
      <c r="B4778">
        <v>57</v>
      </c>
      <c r="C4778" t="s">
        <v>16</v>
      </c>
      <c r="D4778" t="s">
        <v>27</v>
      </c>
      <c r="E4778" t="s">
        <v>53</v>
      </c>
      <c r="F4778">
        <v>1597.87</v>
      </c>
      <c r="G4778" t="s">
        <v>14</v>
      </c>
      <c r="H4778" t="s">
        <v>15</v>
      </c>
      <c r="I4778">
        <v>4.2</v>
      </c>
      <c r="J4778">
        <v>19</v>
      </c>
      <c r="K4778">
        <v>7</v>
      </c>
      <c r="L4778" s="4">
        <v>1972.6790123456788</v>
      </c>
      <c r="M4778" s="4">
        <v>374.80901234567887</v>
      </c>
      <c r="N4778" t="s">
        <v>94</v>
      </c>
    </row>
    <row r="4779" spans="1:14">
      <c r="A4779">
        <v>4778</v>
      </c>
      <c r="B4779">
        <v>48</v>
      </c>
      <c r="C4779" t="s">
        <v>16</v>
      </c>
      <c r="D4779" t="s">
        <v>20</v>
      </c>
      <c r="E4779" t="s">
        <v>36</v>
      </c>
      <c r="F4779">
        <v>137.63</v>
      </c>
      <c r="G4779" t="s">
        <v>14</v>
      </c>
      <c r="H4779" t="s">
        <v>15</v>
      </c>
      <c r="I4779">
        <v>3.5</v>
      </c>
      <c r="J4779">
        <v>8</v>
      </c>
      <c r="K4779">
        <v>4</v>
      </c>
      <c r="L4779" s="4">
        <v>149.5978260869565</v>
      </c>
      <c r="M4779" s="4">
        <v>11.967826086956507</v>
      </c>
      <c r="N4779" t="s">
        <v>93</v>
      </c>
    </row>
    <row r="4780" spans="1:14">
      <c r="A4780">
        <v>4779</v>
      </c>
      <c r="B4780">
        <v>67</v>
      </c>
      <c r="C4780" t="s">
        <v>11</v>
      </c>
      <c r="D4780" t="s">
        <v>41</v>
      </c>
      <c r="E4780" t="s">
        <v>44</v>
      </c>
      <c r="F4780">
        <v>134.72999999999999</v>
      </c>
      <c r="G4780" t="s">
        <v>24</v>
      </c>
      <c r="H4780" t="s">
        <v>15</v>
      </c>
      <c r="I4780">
        <v>3.9</v>
      </c>
      <c r="J4780">
        <v>13</v>
      </c>
      <c r="K4780">
        <v>4</v>
      </c>
      <c r="L4780" s="4">
        <v>154.86206896551724</v>
      </c>
      <c r="M4780" s="4">
        <v>20.132068965517249</v>
      </c>
      <c r="N4780" t="s">
        <v>95</v>
      </c>
    </row>
    <row r="4781" spans="1:14">
      <c r="A4781">
        <v>4780</v>
      </c>
      <c r="B4781">
        <v>59</v>
      </c>
      <c r="C4781" t="s">
        <v>11</v>
      </c>
      <c r="D4781" t="s">
        <v>29</v>
      </c>
      <c r="E4781" t="s">
        <v>55</v>
      </c>
      <c r="F4781">
        <v>42.19</v>
      </c>
      <c r="G4781" t="s">
        <v>31</v>
      </c>
      <c r="H4781" t="s">
        <v>15</v>
      </c>
      <c r="I4781">
        <v>2.2000000000000002</v>
      </c>
      <c r="J4781">
        <v>11</v>
      </c>
      <c r="K4781">
        <v>3</v>
      </c>
      <c r="L4781" s="4">
        <v>47.40449438202247</v>
      </c>
      <c r="M4781" s="4">
        <v>5.2144943820224725</v>
      </c>
      <c r="N4781" t="s">
        <v>94</v>
      </c>
    </row>
    <row r="4782" spans="1:14">
      <c r="A4782">
        <v>4781</v>
      </c>
      <c r="B4782">
        <v>66</v>
      </c>
      <c r="C4782" t="s">
        <v>16</v>
      </c>
      <c r="D4782" t="s">
        <v>25</v>
      </c>
      <c r="E4782" t="s">
        <v>54</v>
      </c>
      <c r="F4782">
        <v>44.99</v>
      </c>
      <c r="G4782" t="s">
        <v>14</v>
      </c>
      <c r="H4782" t="s">
        <v>37</v>
      </c>
      <c r="I4782">
        <v>4.3</v>
      </c>
      <c r="J4782">
        <v>19</v>
      </c>
      <c r="K4782">
        <v>7</v>
      </c>
      <c r="L4782" s="4">
        <v>55.543209876543209</v>
      </c>
      <c r="M4782" s="4">
        <v>10.553209876543207</v>
      </c>
      <c r="N4782" t="s">
        <v>95</v>
      </c>
    </row>
    <row r="4783" spans="1:14">
      <c r="A4783">
        <v>4782</v>
      </c>
      <c r="B4783">
        <v>60</v>
      </c>
      <c r="C4783" t="s">
        <v>16</v>
      </c>
      <c r="D4783" t="s">
        <v>25</v>
      </c>
      <c r="E4783" t="s">
        <v>57</v>
      </c>
      <c r="F4783">
        <v>5.98</v>
      </c>
      <c r="G4783" t="s">
        <v>31</v>
      </c>
      <c r="H4783" t="s">
        <v>37</v>
      </c>
      <c r="I4783">
        <v>3.7</v>
      </c>
      <c r="J4783">
        <v>15</v>
      </c>
      <c r="K4783">
        <v>5</v>
      </c>
      <c r="L4783" s="4">
        <v>7.0352941176470596</v>
      </c>
      <c r="M4783" s="4">
        <v>1.0552941176470592</v>
      </c>
      <c r="N4783" t="s">
        <v>94</v>
      </c>
    </row>
    <row r="4784" spans="1:14">
      <c r="A4784">
        <v>4783</v>
      </c>
      <c r="B4784">
        <v>50</v>
      </c>
      <c r="C4784" t="s">
        <v>11</v>
      </c>
      <c r="D4784" t="s">
        <v>41</v>
      </c>
      <c r="E4784" t="s">
        <v>46</v>
      </c>
      <c r="F4784">
        <v>90.5</v>
      </c>
      <c r="G4784" t="s">
        <v>14</v>
      </c>
      <c r="H4784" t="s">
        <v>37</v>
      </c>
      <c r="I4784">
        <v>3.6</v>
      </c>
      <c r="J4784">
        <v>19</v>
      </c>
      <c r="K4784">
        <v>7</v>
      </c>
      <c r="L4784" s="4">
        <v>111.72839506172839</v>
      </c>
      <c r="M4784" s="4">
        <v>21.228395061728392</v>
      </c>
      <c r="N4784" t="s">
        <v>93</v>
      </c>
    </row>
    <row r="4785" spans="1:14">
      <c r="A4785">
        <v>4784</v>
      </c>
      <c r="B4785">
        <v>67</v>
      </c>
      <c r="C4785" t="s">
        <v>11</v>
      </c>
      <c r="D4785" t="s">
        <v>41</v>
      </c>
      <c r="E4785" t="s">
        <v>42</v>
      </c>
      <c r="F4785">
        <v>61.64</v>
      </c>
      <c r="G4785" t="s">
        <v>19</v>
      </c>
      <c r="H4785" t="s">
        <v>37</v>
      </c>
      <c r="I4785">
        <v>3.8</v>
      </c>
      <c r="J4785">
        <v>14</v>
      </c>
      <c r="K4785">
        <v>2</v>
      </c>
      <c r="L4785" s="4">
        <v>71.674418604651166</v>
      </c>
      <c r="M4785" s="4">
        <v>10.034418604651165</v>
      </c>
      <c r="N4785" t="s">
        <v>95</v>
      </c>
    </row>
    <row r="4786" spans="1:14">
      <c r="A4786">
        <v>4785</v>
      </c>
      <c r="B4786">
        <v>21</v>
      </c>
      <c r="C4786" t="s">
        <v>16</v>
      </c>
      <c r="D4786" t="s">
        <v>17</v>
      </c>
      <c r="E4786" t="s">
        <v>35</v>
      </c>
      <c r="F4786">
        <v>30.63</v>
      </c>
      <c r="G4786" t="s">
        <v>24</v>
      </c>
      <c r="H4786" t="s">
        <v>15</v>
      </c>
      <c r="I4786">
        <v>3.2</v>
      </c>
      <c r="J4786">
        <v>15</v>
      </c>
      <c r="K4786">
        <v>5</v>
      </c>
      <c r="L4786" s="4">
        <v>36.035294117647055</v>
      </c>
      <c r="M4786" s="4">
        <v>5.4052941176470561</v>
      </c>
      <c r="N4786" t="s">
        <v>100</v>
      </c>
    </row>
    <row r="4787" spans="1:14">
      <c r="A4787">
        <v>4786</v>
      </c>
      <c r="B4787">
        <v>31</v>
      </c>
      <c r="C4787" t="s">
        <v>16</v>
      </c>
      <c r="D4787" t="s">
        <v>20</v>
      </c>
      <c r="E4787" t="s">
        <v>39</v>
      </c>
      <c r="F4787">
        <v>82.96</v>
      </c>
      <c r="G4787" t="s">
        <v>19</v>
      </c>
      <c r="H4787" t="s">
        <v>15</v>
      </c>
      <c r="I4787">
        <v>3.2</v>
      </c>
      <c r="J4787">
        <v>13</v>
      </c>
      <c r="K4787">
        <v>4</v>
      </c>
      <c r="L4787" s="4">
        <v>95.356321839080451</v>
      </c>
      <c r="M4787" s="4">
        <v>12.396321839080457</v>
      </c>
      <c r="N4787" t="s">
        <v>91</v>
      </c>
    </row>
    <row r="4788" spans="1:14">
      <c r="A4788">
        <v>4787</v>
      </c>
      <c r="B4788">
        <v>43</v>
      </c>
      <c r="C4788" t="s">
        <v>11</v>
      </c>
      <c r="D4788" t="s">
        <v>22</v>
      </c>
      <c r="E4788" t="s">
        <v>23</v>
      </c>
      <c r="F4788">
        <v>162.78</v>
      </c>
      <c r="G4788" t="s">
        <v>14</v>
      </c>
      <c r="H4788" t="s">
        <v>15</v>
      </c>
      <c r="I4788">
        <v>3.3</v>
      </c>
      <c r="J4788">
        <v>12</v>
      </c>
      <c r="K4788">
        <v>1</v>
      </c>
      <c r="L4788" s="4">
        <v>184.97727272727272</v>
      </c>
      <c r="M4788" s="4">
        <v>22.197272727272718</v>
      </c>
      <c r="N4788" t="s">
        <v>92</v>
      </c>
    </row>
    <row r="4789" spans="1:14">
      <c r="A4789">
        <v>4788</v>
      </c>
      <c r="B4789">
        <v>20</v>
      </c>
      <c r="C4789" t="s">
        <v>16</v>
      </c>
      <c r="D4789" t="s">
        <v>20</v>
      </c>
      <c r="E4789" t="s">
        <v>39</v>
      </c>
      <c r="F4789">
        <v>173.24</v>
      </c>
      <c r="G4789" t="s">
        <v>19</v>
      </c>
      <c r="H4789" t="s">
        <v>15</v>
      </c>
      <c r="I4789">
        <v>2.9</v>
      </c>
      <c r="J4789">
        <v>10</v>
      </c>
      <c r="K4789">
        <v>5</v>
      </c>
      <c r="L4789" s="4">
        <v>192.48888888888888</v>
      </c>
      <c r="M4789" s="4">
        <v>19.248888888888871</v>
      </c>
      <c r="N4789" t="s">
        <v>100</v>
      </c>
    </row>
    <row r="4790" spans="1:14">
      <c r="A4790">
        <v>4789</v>
      </c>
      <c r="B4790">
        <v>58</v>
      </c>
      <c r="C4790" t="s">
        <v>16</v>
      </c>
      <c r="D4790" t="s">
        <v>27</v>
      </c>
      <c r="E4790" t="s">
        <v>53</v>
      </c>
      <c r="F4790">
        <v>1498.26</v>
      </c>
      <c r="G4790" t="s">
        <v>19</v>
      </c>
      <c r="H4790" t="s">
        <v>15</v>
      </c>
      <c r="I4790">
        <v>4.2</v>
      </c>
      <c r="J4790">
        <v>8</v>
      </c>
      <c r="K4790">
        <v>4</v>
      </c>
      <c r="L4790" s="4">
        <v>1628.5434782608695</v>
      </c>
      <c r="M4790" s="4">
        <v>130.28347826086951</v>
      </c>
      <c r="N4790" t="s">
        <v>94</v>
      </c>
    </row>
    <row r="4791" spans="1:14">
      <c r="A4791">
        <v>4790</v>
      </c>
      <c r="B4791">
        <v>68</v>
      </c>
      <c r="C4791" t="s">
        <v>11</v>
      </c>
      <c r="D4791" t="s">
        <v>12</v>
      </c>
      <c r="E4791" t="s">
        <v>50</v>
      </c>
      <c r="F4791">
        <v>124.8</v>
      </c>
      <c r="G4791" t="s">
        <v>19</v>
      </c>
      <c r="H4791" t="s">
        <v>15</v>
      </c>
      <c r="I4791">
        <v>4.0999999999999996</v>
      </c>
      <c r="J4791">
        <v>11</v>
      </c>
      <c r="K4791">
        <v>3</v>
      </c>
      <c r="L4791" s="4">
        <v>140.22471910112358</v>
      </c>
      <c r="M4791" s="4">
        <v>15.424719101123586</v>
      </c>
      <c r="N4791" t="s">
        <v>95</v>
      </c>
    </row>
    <row r="4792" spans="1:14">
      <c r="A4792">
        <v>4791</v>
      </c>
      <c r="B4792">
        <v>57</v>
      </c>
      <c r="C4792" t="s">
        <v>16</v>
      </c>
      <c r="D4792" t="s">
        <v>25</v>
      </c>
      <c r="E4792" t="s">
        <v>57</v>
      </c>
      <c r="F4792">
        <v>45.07</v>
      </c>
      <c r="G4792" t="s">
        <v>14</v>
      </c>
      <c r="H4792" t="s">
        <v>37</v>
      </c>
      <c r="I4792">
        <v>4.5</v>
      </c>
      <c r="J4792">
        <v>9</v>
      </c>
      <c r="K4792">
        <v>2</v>
      </c>
      <c r="L4792" s="4">
        <v>49.527472527472526</v>
      </c>
      <c r="M4792" s="4">
        <v>4.4574725274725253</v>
      </c>
      <c r="N4792" t="s">
        <v>94</v>
      </c>
    </row>
    <row r="4793" spans="1:14">
      <c r="A4793">
        <v>4792</v>
      </c>
      <c r="B4793">
        <v>66</v>
      </c>
      <c r="C4793" t="s">
        <v>11</v>
      </c>
      <c r="D4793" t="s">
        <v>41</v>
      </c>
      <c r="E4793" t="s">
        <v>46</v>
      </c>
      <c r="F4793">
        <v>121.66</v>
      </c>
      <c r="G4793" t="s">
        <v>24</v>
      </c>
      <c r="H4793" t="s">
        <v>15</v>
      </c>
      <c r="I4793">
        <v>3.9</v>
      </c>
      <c r="J4793">
        <v>24</v>
      </c>
      <c r="K4793">
        <v>7</v>
      </c>
      <c r="L4793" s="4">
        <v>160.07894736842104</v>
      </c>
      <c r="M4793" s="4">
        <v>38.418947368421044</v>
      </c>
      <c r="N4793" t="s">
        <v>95</v>
      </c>
    </row>
    <row r="4794" spans="1:14">
      <c r="A4794">
        <v>4793</v>
      </c>
      <c r="B4794">
        <v>55</v>
      </c>
      <c r="C4794" t="s">
        <v>16</v>
      </c>
      <c r="D4794" t="s">
        <v>17</v>
      </c>
      <c r="E4794" t="s">
        <v>18</v>
      </c>
      <c r="F4794">
        <v>63.17</v>
      </c>
      <c r="G4794" t="s">
        <v>24</v>
      </c>
      <c r="H4794" t="s">
        <v>37</v>
      </c>
      <c r="I4794">
        <v>2.9</v>
      </c>
      <c r="J4794">
        <v>12</v>
      </c>
      <c r="K4794">
        <v>6</v>
      </c>
      <c r="L4794" s="4">
        <v>71.784090909090907</v>
      </c>
      <c r="M4794" s="4">
        <v>8.6140909090909048</v>
      </c>
      <c r="N4794" t="s">
        <v>94</v>
      </c>
    </row>
    <row r="4795" spans="1:14">
      <c r="A4795">
        <v>4794</v>
      </c>
      <c r="B4795">
        <v>37</v>
      </c>
      <c r="C4795" t="s">
        <v>16</v>
      </c>
      <c r="D4795" t="s">
        <v>17</v>
      </c>
      <c r="E4795" t="s">
        <v>48</v>
      </c>
      <c r="F4795">
        <v>34.630000000000003</v>
      </c>
      <c r="G4795" t="s">
        <v>31</v>
      </c>
      <c r="H4795" t="s">
        <v>37</v>
      </c>
      <c r="I4795">
        <v>2.9</v>
      </c>
      <c r="J4795">
        <v>10</v>
      </c>
      <c r="K4795">
        <v>0</v>
      </c>
      <c r="L4795" s="4">
        <v>38.477777777777781</v>
      </c>
      <c r="M4795" s="4">
        <v>3.8477777777777789</v>
      </c>
      <c r="N4795" t="s">
        <v>92</v>
      </c>
    </row>
    <row r="4796" spans="1:14">
      <c r="A4796">
        <v>4795</v>
      </c>
      <c r="B4796">
        <v>24</v>
      </c>
      <c r="C4796" t="s">
        <v>11</v>
      </c>
      <c r="D4796" t="s">
        <v>41</v>
      </c>
      <c r="E4796" t="s">
        <v>45</v>
      </c>
      <c r="F4796">
        <v>59.95</v>
      </c>
      <c r="G4796" t="s">
        <v>24</v>
      </c>
      <c r="H4796" t="s">
        <v>15</v>
      </c>
      <c r="I4796">
        <v>3.3</v>
      </c>
      <c r="J4796">
        <v>14</v>
      </c>
      <c r="K4796">
        <v>2</v>
      </c>
      <c r="L4796" s="4">
        <v>69.709302325581405</v>
      </c>
      <c r="M4796" s="4">
        <v>9.7593023255814018</v>
      </c>
      <c r="N4796" t="s">
        <v>100</v>
      </c>
    </row>
    <row r="4797" spans="1:14">
      <c r="A4797">
        <v>4796</v>
      </c>
      <c r="B4797">
        <v>65</v>
      </c>
      <c r="C4797" t="s">
        <v>11</v>
      </c>
      <c r="D4797" t="s">
        <v>12</v>
      </c>
      <c r="E4797" t="s">
        <v>56</v>
      </c>
      <c r="F4797">
        <v>177.54</v>
      </c>
      <c r="G4797" t="s">
        <v>24</v>
      </c>
      <c r="H4797" t="s">
        <v>15</v>
      </c>
      <c r="I4797">
        <v>2.8</v>
      </c>
      <c r="J4797">
        <v>18</v>
      </c>
      <c r="K4797">
        <v>4</v>
      </c>
      <c r="L4797" s="4">
        <v>216.51219512195118</v>
      </c>
      <c r="M4797" s="4">
        <v>38.972195121951188</v>
      </c>
      <c r="N4797" t="s">
        <v>95</v>
      </c>
    </row>
    <row r="4798" spans="1:14">
      <c r="A4798">
        <v>4797</v>
      </c>
      <c r="B4798">
        <v>66</v>
      </c>
      <c r="C4798" t="s">
        <v>16</v>
      </c>
      <c r="D4798" t="s">
        <v>20</v>
      </c>
      <c r="E4798" t="s">
        <v>36</v>
      </c>
      <c r="F4798">
        <v>97.98</v>
      </c>
      <c r="G4798" t="s">
        <v>14</v>
      </c>
      <c r="H4798" t="s">
        <v>37</v>
      </c>
      <c r="I4798">
        <v>3.3</v>
      </c>
      <c r="J4798">
        <v>18</v>
      </c>
      <c r="K4798">
        <v>9</v>
      </c>
      <c r="L4798" s="4">
        <v>119.48780487804878</v>
      </c>
      <c r="M4798" s="4">
        <v>21.507804878048773</v>
      </c>
      <c r="N4798" t="s">
        <v>95</v>
      </c>
    </row>
    <row r="4799" spans="1:14">
      <c r="A4799">
        <v>4798</v>
      </c>
      <c r="B4799">
        <v>56</v>
      </c>
      <c r="C4799" t="s">
        <v>11</v>
      </c>
      <c r="D4799" t="s">
        <v>12</v>
      </c>
      <c r="E4799" t="s">
        <v>56</v>
      </c>
      <c r="F4799">
        <v>62.19</v>
      </c>
      <c r="G4799" t="s">
        <v>24</v>
      </c>
      <c r="H4799" t="s">
        <v>37</v>
      </c>
      <c r="I4799">
        <v>4.4000000000000004</v>
      </c>
      <c r="J4799">
        <v>7</v>
      </c>
      <c r="K4799">
        <v>1</v>
      </c>
      <c r="L4799" s="4">
        <v>66.870967741935488</v>
      </c>
      <c r="M4799" s="4">
        <v>4.6809677419354898</v>
      </c>
      <c r="N4799" t="s">
        <v>94</v>
      </c>
    </row>
    <row r="4800" spans="1:14">
      <c r="A4800">
        <v>4799</v>
      </c>
      <c r="B4800">
        <v>65</v>
      </c>
      <c r="C4800" t="s">
        <v>11</v>
      </c>
      <c r="D4800" t="s">
        <v>20</v>
      </c>
      <c r="E4800" t="s">
        <v>21</v>
      </c>
      <c r="F4800">
        <v>36.71</v>
      </c>
      <c r="G4800" t="s">
        <v>14</v>
      </c>
      <c r="H4800" t="s">
        <v>37</v>
      </c>
      <c r="I4800">
        <v>3.5</v>
      </c>
      <c r="J4800">
        <v>23</v>
      </c>
      <c r="K4800">
        <v>9</v>
      </c>
      <c r="L4800" s="4">
        <v>47.675324675324674</v>
      </c>
      <c r="M4800" s="4">
        <v>10.965324675324673</v>
      </c>
      <c r="N4800" t="s">
        <v>95</v>
      </c>
    </row>
    <row r="4801" spans="1:14">
      <c r="A4801">
        <v>4800</v>
      </c>
      <c r="B4801">
        <v>50</v>
      </c>
      <c r="C4801" t="s">
        <v>11</v>
      </c>
      <c r="D4801" t="s">
        <v>20</v>
      </c>
      <c r="E4801" t="s">
        <v>36</v>
      </c>
      <c r="F4801">
        <v>34.659999999999997</v>
      </c>
      <c r="G4801" t="s">
        <v>31</v>
      </c>
      <c r="H4801" t="s">
        <v>15</v>
      </c>
      <c r="I4801">
        <v>2.8</v>
      </c>
      <c r="J4801">
        <v>12</v>
      </c>
      <c r="K4801">
        <v>6</v>
      </c>
      <c r="L4801" s="4">
        <v>39.386363636363633</v>
      </c>
      <c r="M4801" s="4">
        <v>4.7263636363636365</v>
      </c>
      <c r="N4801" t="s">
        <v>93</v>
      </c>
    </row>
    <row r="4802" spans="1:14">
      <c r="A4802">
        <v>4801</v>
      </c>
      <c r="B4802">
        <v>22</v>
      </c>
      <c r="C4802" t="s">
        <v>11</v>
      </c>
      <c r="D4802" t="s">
        <v>20</v>
      </c>
      <c r="E4802" t="s">
        <v>36</v>
      </c>
      <c r="F4802">
        <v>136.51</v>
      </c>
      <c r="G4802" t="s">
        <v>19</v>
      </c>
      <c r="H4802" t="s">
        <v>15</v>
      </c>
      <c r="I4802">
        <v>4.5</v>
      </c>
      <c r="J4802">
        <v>22</v>
      </c>
      <c r="K4802">
        <v>6</v>
      </c>
      <c r="L4802" s="4">
        <v>175.0128205128205</v>
      </c>
      <c r="M4802" s="4">
        <v>38.502820512820506</v>
      </c>
      <c r="N4802" t="s">
        <v>100</v>
      </c>
    </row>
    <row r="4803" spans="1:14">
      <c r="A4803">
        <v>4802</v>
      </c>
      <c r="B4803">
        <v>67</v>
      </c>
      <c r="C4803" t="s">
        <v>11</v>
      </c>
      <c r="D4803" t="s">
        <v>41</v>
      </c>
      <c r="E4803" t="s">
        <v>46</v>
      </c>
      <c r="F4803">
        <v>81.05</v>
      </c>
      <c r="G4803" t="s">
        <v>19</v>
      </c>
      <c r="H4803" t="s">
        <v>37</v>
      </c>
      <c r="I4803">
        <v>4.5999999999999996</v>
      </c>
      <c r="J4803">
        <v>14</v>
      </c>
      <c r="K4803">
        <v>7</v>
      </c>
      <c r="L4803" s="4">
        <v>94.244186046511629</v>
      </c>
      <c r="M4803" s="4">
        <v>13.194186046511632</v>
      </c>
      <c r="N4803" t="s">
        <v>95</v>
      </c>
    </row>
    <row r="4804" spans="1:14">
      <c r="A4804">
        <v>4803</v>
      </c>
      <c r="B4804">
        <v>44</v>
      </c>
      <c r="C4804" t="s">
        <v>11</v>
      </c>
      <c r="D4804" t="s">
        <v>20</v>
      </c>
      <c r="E4804" t="s">
        <v>36</v>
      </c>
      <c r="F4804">
        <v>49.34</v>
      </c>
      <c r="G4804" t="s">
        <v>31</v>
      </c>
      <c r="H4804" t="s">
        <v>37</v>
      </c>
      <c r="I4804">
        <v>3.3</v>
      </c>
      <c r="J4804">
        <v>7</v>
      </c>
      <c r="K4804">
        <v>1</v>
      </c>
      <c r="L4804" s="4">
        <v>53.053763440860223</v>
      </c>
      <c r="M4804" s="4">
        <v>3.7137634408602196</v>
      </c>
      <c r="N4804" t="s">
        <v>92</v>
      </c>
    </row>
    <row r="4805" spans="1:14">
      <c r="A4805">
        <v>4804</v>
      </c>
      <c r="B4805">
        <v>31</v>
      </c>
      <c r="C4805" t="s">
        <v>16</v>
      </c>
      <c r="D4805" t="s">
        <v>20</v>
      </c>
      <c r="E4805" t="s">
        <v>36</v>
      </c>
      <c r="F4805">
        <v>83.98</v>
      </c>
      <c r="G4805" t="s">
        <v>24</v>
      </c>
      <c r="H4805" t="s">
        <v>37</v>
      </c>
      <c r="I4805">
        <v>4.0999999999999996</v>
      </c>
      <c r="J4805">
        <v>26</v>
      </c>
      <c r="K4805">
        <v>8</v>
      </c>
      <c r="L4805" s="4">
        <v>113.4864864864865</v>
      </c>
      <c r="M4805" s="4">
        <v>29.506486486486494</v>
      </c>
      <c r="N4805" t="s">
        <v>91</v>
      </c>
    </row>
    <row r="4806" spans="1:14">
      <c r="A4806">
        <v>4805</v>
      </c>
      <c r="B4806">
        <v>46</v>
      </c>
      <c r="C4806" t="s">
        <v>11</v>
      </c>
      <c r="D4806" t="s">
        <v>41</v>
      </c>
      <c r="E4806" t="s">
        <v>42</v>
      </c>
      <c r="F4806">
        <v>48.2</v>
      </c>
      <c r="G4806" t="s">
        <v>19</v>
      </c>
      <c r="H4806" t="s">
        <v>37</v>
      </c>
      <c r="I4806">
        <v>4.0999999999999996</v>
      </c>
      <c r="J4806">
        <v>12</v>
      </c>
      <c r="K4806">
        <v>6</v>
      </c>
      <c r="L4806" s="4">
        <v>54.772727272727273</v>
      </c>
      <c r="M4806" s="4">
        <v>6.5727272727272705</v>
      </c>
      <c r="N4806" t="s">
        <v>93</v>
      </c>
    </row>
    <row r="4807" spans="1:14">
      <c r="A4807">
        <v>4806</v>
      </c>
      <c r="B4807">
        <v>57</v>
      </c>
      <c r="C4807" t="s">
        <v>11</v>
      </c>
      <c r="D4807" t="s">
        <v>25</v>
      </c>
      <c r="E4807" t="s">
        <v>47</v>
      </c>
      <c r="F4807">
        <v>44.59</v>
      </c>
      <c r="G4807" t="s">
        <v>19</v>
      </c>
      <c r="H4807" t="s">
        <v>37</v>
      </c>
      <c r="I4807">
        <v>4.5</v>
      </c>
      <c r="J4807">
        <v>12</v>
      </c>
      <c r="K4807">
        <v>6</v>
      </c>
      <c r="L4807" s="4">
        <v>50.670454545454547</v>
      </c>
      <c r="M4807" s="4">
        <v>6.0804545454545433</v>
      </c>
      <c r="N4807" t="s">
        <v>94</v>
      </c>
    </row>
    <row r="4808" spans="1:14">
      <c r="A4808">
        <v>4807</v>
      </c>
      <c r="B4808">
        <v>35</v>
      </c>
      <c r="C4808" t="s">
        <v>11</v>
      </c>
      <c r="D4808" t="s">
        <v>12</v>
      </c>
      <c r="E4808" t="s">
        <v>50</v>
      </c>
      <c r="F4808">
        <v>99.42</v>
      </c>
      <c r="G4808" t="s">
        <v>19</v>
      </c>
      <c r="H4808" t="s">
        <v>15</v>
      </c>
      <c r="I4808">
        <v>4.3</v>
      </c>
      <c r="J4808">
        <v>8</v>
      </c>
      <c r="K4808">
        <v>4</v>
      </c>
      <c r="L4808" s="4">
        <v>108.06521739130434</v>
      </c>
      <c r="M4808" s="4">
        <v>8.6452173913043424</v>
      </c>
      <c r="N4808" t="s">
        <v>92</v>
      </c>
    </row>
    <row r="4809" spans="1:14">
      <c r="A4809">
        <v>4808</v>
      </c>
      <c r="B4809">
        <v>47</v>
      </c>
      <c r="C4809" t="s">
        <v>16</v>
      </c>
      <c r="D4809" t="s">
        <v>17</v>
      </c>
      <c r="E4809" t="s">
        <v>35</v>
      </c>
      <c r="F4809">
        <v>149.88999999999999</v>
      </c>
      <c r="G4809" t="s">
        <v>19</v>
      </c>
      <c r="H4809" t="s">
        <v>15</v>
      </c>
      <c r="I4809">
        <v>3.7</v>
      </c>
      <c r="J4809">
        <v>8</v>
      </c>
      <c r="K4809">
        <v>4</v>
      </c>
      <c r="L4809" s="4">
        <v>162.92391304347825</v>
      </c>
      <c r="M4809" s="4">
        <v>13.033913043478265</v>
      </c>
      <c r="N4809" t="s">
        <v>93</v>
      </c>
    </row>
    <row r="4810" spans="1:14">
      <c r="A4810">
        <v>4809</v>
      </c>
      <c r="B4810">
        <v>51</v>
      </c>
      <c r="C4810" t="s">
        <v>16</v>
      </c>
      <c r="D4810" t="s">
        <v>20</v>
      </c>
      <c r="E4810" t="s">
        <v>21</v>
      </c>
      <c r="F4810">
        <v>223.89</v>
      </c>
      <c r="G4810" t="s">
        <v>24</v>
      </c>
      <c r="H4810" t="s">
        <v>15</v>
      </c>
      <c r="I4810">
        <v>3.3</v>
      </c>
      <c r="J4810">
        <v>15</v>
      </c>
      <c r="K4810">
        <v>5</v>
      </c>
      <c r="L4810" s="4">
        <v>263.39999999999998</v>
      </c>
      <c r="M4810" s="4">
        <v>39.509999999999991</v>
      </c>
      <c r="N4810" t="s">
        <v>93</v>
      </c>
    </row>
    <row r="4811" spans="1:14">
      <c r="A4811">
        <v>4810</v>
      </c>
      <c r="B4811">
        <v>43</v>
      </c>
      <c r="C4811" t="s">
        <v>11</v>
      </c>
      <c r="D4811" t="s">
        <v>41</v>
      </c>
      <c r="E4811" t="s">
        <v>44</v>
      </c>
      <c r="F4811">
        <v>163.6</v>
      </c>
      <c r="G4811" t="s">
        <v>31</v>
      </c>
      <c r="H4811" t="s">
        <v>15</v>
      </c>
      <c r="I4811">
        <v>2.6</v>
      </c>
      <c r="J4811">
        <v>15</v>
      </c>
      <c r="K4811">
        <v>5</v>
      </c>
      <c r="L4811" s="4">
        <v>192.47058823529412</v>
      </c>
      <c r="M4811" s="4">
        <v>28.870588235294122</v>
      </c>
      <c r="N4811" t="s">
        <v>92</v>
      </c>
    </row>
    <row r="4812" spans="1:14">
      <c r="A4812">
        <v>4811</v>
      </c>
      <c r="B4812">
        <v>27</v>
      </c>
      <c r="C4812" t="s">
        <v>16</v>
      </c>
      <c r="D4812" t="s">
        <v>25</v>
      </c>
      <c r="E4812" t="s">
        <v>57</v>
      </c>
      <c r="F4812">
        <v>54.58</v>
      </c>
      <c r="G4812" t="s">
        <v>14</v>
      </c>
      <c r="H4812" t="s">
        <v>15</v>
      </c>
      <c r="I4812">
        <v>3.1</v>
      </c>
      <c r="J4812">
        <v>10</v>
      </c>
      <c r="K4812">
        <v>5</v>
      </c>
      <c r="L4812" s="4">
        <v>60.644444444444439</v>
      </c>
      <c r="M4812" s="4">
        <v>6.0644444444444403</v>
      </c>
      <c r="N4812" t="s">
        <v>91</v>
      </c>
    </row>
    <row r="4813" spans="1:14">
      <c r="A4813">
        <v>4812</v>
      </c>
      <c r="B4813">
        <v>34</v>
      </c>
      <c r="C4813" t="s">
        <v>16</v>
      </c>
      <c r="D4813" t="s">
        <v>33</v>
      </c>
      <c r="E4813" t="s">
        <v>40</v>
      </c>
      <c r="F4813">
        <v>107.13</v>
      </c>
      <c r="G4813" t="s">
        <v>24</v>
      </c>
      <c r="H4813" t="s">
        <v>15</v>
      </c>
      <c r="I4813">
        <v>3.4</v>
      </c>
      <c r="J4813">
        <v>26</v>
      </c>
      <c r="K4813">
        <v>8</v>
      </c>
      <c r="L4813" s="4">
        <v>144.77027027027026</v>
      </c>
      <c r="M4813" s="4">
        <v>37.640270270270264</v>
      </c>
      <c r="N4813" t="s">
        <v>91</v>
      </c>
    </row>
    <row r="4814" spans="1:14">
      <c r="A4814">
        <v>4813</v>
      </c>
      <c r="B4814">
        <v>55</v>
      </c>
      <c r="C4814" t="s">
        <v>11</v>
      </c>
      <c r="D4814" t="s">
        <v>33</v>
      </c>
      <c r="E4814" t="s">
        <v>38</v>
      </c>
      <c r="F4814">
        <v>105.16</v>
      </c>
      <c r="G4814" t="s">
        <v>31</v>
      </c>
      <c r="H4814" t="s">
        <v>15</v>
      </c>
      <c r="I4814">
        <v>3.9</v>
      </c>
      <c r="J4814">
        <v>20</v>
      </c>
      <c r="K4814">
        <v>5</v>
      </c>
      <c r="L4814" s="4">
        <v>131.44999999999999</v>
      </c>
      <c r="M4814" s="4">
        <v>26.289999999999992</v>
      </c>
      <c r="N4814" t="s">
        <v>94</v>
      </c>
    </row>
    <row r="4815" spans="1:14">
      <c r="A4815">
        <v>4814</v>
      </c>
      <c r="B4815">
        <v>30</v>
      </c>
      <c r="C4815" t="s">
        <v>16</v>
      </c>
      <c r="D4815" t="s">
        <v>27</v>
      </c>
      <c r="E4815" t="s">
        <v>32</v>
      </c>
      <c r="F4815">
        <v>1843.94</v>
      </c>
      <c r="G4815" t="s">
        <v>14</v>
      </c>
      <c r="H4815" t="s">
        <v>15</v>
      </c>
      <c r="I4815">
        <v>3.5</v>
      </c>
      <c r="J4815">
        <v>9</v>
      </c>
      <c r="K4815">
        <v>2</v>
      </c>
      <c r="L4815" s="4">
        <v>2026.3076923076924</v>
      </c>
      <c r="M4815" s="4">
        <v>182.36769230769232</v>
      </c>
      <c r="N4815" t="s">
        <v>91</v>
      </c>
    </row>
    <row r="4816" spans="1:14">
      <c r="A4816">
        <v>4815</v>
      </c>
      <c r="B4816">
        <v>58</v>
      </c>
      <c r="C4816" t="s">
        <v>16</v>
      </c>
      <c r="D4816" t="s">
        <v>33</v>
      </c>
      <c r="E4816" t="s">
        <v>38</v>
      </c>
      <c r="F4816">
        <v>64.59</v>
      </c>
      <c r="G4816" t="s">
        <v>24</v>
      </c>
      <c r="H4816" t="s">
        <v>15</v>
      </c>
      <c r="I4816">
        <v>4.0999999999999996</v>
      </c>
      <c r="J4816">
        <v>19</v>
      </c>
      <c r="K4816">
        <v>7</v>
      </c>
      <c r="L4816" s="4">
        <v>79.740740740740733</v>
      </c>
      <c r="M4816" s="4">
        <v>15.15074074074073</v>
      </c>
      <c r="N4816" t="s">
        <v>94</v>
      </c>
    </row>
    <row r="4817" spans="1:14">
      <c r="A4817">
        <v>4816</v>
      </c>
      <c r="B4817">
        <v>67</v>
      </c>
      <c r="C4817" t="s">
        <v>16</v>
      </c>
      <c r="D4817" t="s">
        <v>27</v>
      </c>
      <c r="E4817" t="s">
        <v>28</v>
      </c>
      <c r="F4817">
        <v>2035.13</v>
      </c>
      <c r="G4817" t="s">
        <v>19</v>
      </c>
      <c r="H4817" t="s">
        <v>15</v>
      </c>
      <c r="I4817">
        <v>3.7</v>
      </c>
      <c r="J4817">
        <v>13</v>
      </c>
      <c r="K4817">
        <v>4</v>
      </c>
      <c r="L4817" s="4">
        <v>2339.2298850574716</v>
      </c>
      <c r="M4817" s="4">
        <v>304.09988505747151</v>
      </c>
      <c r="N4817" t="s">
        <v>95</v>
      </c>
    </row>
    <row r="4818" spans="1:14">
      <c r="A4818">
        <v>4817</v>
      </c>
      <c r="B4818">
        <v>26</v>
      </c>
      <c r="C4818" t="s">
        <v>16</v>
      </c>
      <c r="D4818" t="s">
        <v>25</v>
      </c>
      <c r="E4818" t="s">
        <v>47</v>
      </c>
      <c r="F4818">
        <v>42.57</v>
      </c>
      <c r="G4818" t="s">
        <v>14</v>
      </c>
      <c r="H4818" t="s">
        <v>15</v>
      </c>
      <c r="I4818">
        <v>4.0999999999999996</v>
      </c>
      <c r="J4818">
        <v>9</v>
      </c>
      <c r="K4818">
        <v>2</v>
      </c>
      <c r="L4818" s="4">
        <v>46.780219780219781</v>
      </c>
      <c r="M4818" s="4">
        <v>4.2102197802197807</v>
      </c>
      <c r="N4818" t="s">
        <v>91</v>
      </c>
    </row>
    <row r="4819" spans="1:14">
      <c r="A4819">
        <v>4818</v>
      </c>
      <c r="B4819">
        <v>31</v>
      </c>
      <c r="C4819" t="s">
        <v>16</v>
      </c>
      <c r="D4819" t="s">
        <v>27</v>
      </c>
      <c r="E4819" t="s">
        <v>28</v>
      </c>
      <c r="F4819">
        <v>2124.87</v>
      </c>
      <c r="G4819" t="s">
        <v>24</v>
      </c>
      <c r="H4819" t="s">
        <v>15</v>
      </c>
      <c r="I4819">
        <v>3.4</v>
      </c>
      <c r="J4819">
        <v>13</v>
      </c>
      <c r="K4819">
        <v>4</v>
      </c>
      <c r="L4819" s="4">
        <v>2442.3793103448274</v>
      </c>
      <c r="M4819" s="4">
        <v>317.50931034482755</v>
      </c>
      <c r="N4819" t="s">
        <v>91</v>
      </c>
    </row>
    <row r="4820" spans="1:14">
      <c r="A4820">
        <v>4819</v>
      </c>
      <c r="B4820">
        <v>58</v>
      </c>
      <c r="C4820" t="s">
        <v>16</v>
      </c>
      <c r="D4820" t="s">
        <v>27</v>
      </c>
      <c r="E4820" t="s">
        <v>32</v>
      </c>
      <c r="F4820">
        <v>1687.48</v>
      </c>
      <c r="G4820" t="s">
        <v>31</v>
      </c>
      <c r="H4820" t="s">
        <v>15</v>
      </c>
      <c r="I4820">
        <v>3.8</v>
      </c>
      <c r="J4820">
        <v>13</v>
      </c>
      <c r="K4820">
        <v>4</v>
      </c>
      <c r="L4820" s="4">
        <v>1939.632183908046</v>
      </c>
      <c r="M4820" s="4">
        <v>252.15218390804603</v>
      </c>
      <c r="N4820" t="s">
        <v>94</v>
      </c>
    </row>
    <row r="4821" spans="1:14">
      <c r="A4821">
        <v>4820</v>
      </c>
      <c r="B4821">
        <v>38</v>
      </c>
      <c r="C4821" t="s">
        <v>16</v>
      </c>
      <c r="D4821" t="s">
        <v>27</v>
      </c>
      <c r="E4821" t="s">
        <v>28</v>
      </c>
      <c r="F4821">
        <v>1951.27</v>
      </c>
      <c r="G4821" t="s">
        <v>14</v>
      </c>
      <c r="H4821" t="s">
        <v>15</v>
      </c>
      <c r="I4821">
        <v>4.5999999999999996</v>
      </c>
      <c r="J4821">
        <v>6</v>
      </c>
      <c r="K4821">
        <v>3</v>
      </c>
      <c r="L4821" s="4">
        <v>2075.8191489361702</v>
      </c>
      <c r="M4821" s="4">
        <v>124.54914893617024</v>
      </c>
      <c r="N4821" t="s">
        <v>92</v>
      </c>
    </row>
    <row r="4822" spans="1:14">
      <c r="A4822">
        <v>4821</v>
      </c>
      <c r="B4822">
        <v>37</v>
      </c>
      <c r="C4822" t="s">
        <v>16</v>
      </c>
      <c r="D4822" t="s">
        <v>17</v>
      </c>
      <c r="E4822" t="s">
        <v>42</v>
      </c>
      <c r="F4822">
        <v>159.61000000000001</v>
      </c>
      <c r="G4822" t="s">
        <v>19</v>
      </c>
      <c r="H4822" t="s">
        <v>15</v>
      </c>
      <c r="I4822">
        <v>3.7</v>
      </c>
      <c r="J4822">
        <v>20</v>
      </c>
      <c r="K4822">
        <v>5</v>
      </c>
      <c r="L4822" s="4">
        <v>199.51250000000002</v>
      </c>
      <c r="M4822" s="4">
        <v>39.902500000000003</v>
      </c>
      <c r="N4822" t="s">
        <v>92</v>
      </c>
    </row>
    <row r="4823" spans="1:14">
      <c r="A4823">
        <v>4822</v>
      </c>
      <c r="B4823">
        <v>28</v>
      </c>
      <c r="C4823" t="s">
        <v>16</v>
      </c>
      <c r="D4823" t="s">
        <v>20</v>
      </c>
      <c r="E4823" t="s">
        <v>21</v>
      </c>
      <c r="F4823">
        <v>178.42</v>
      </c>
      <c r="G4823" t="s">
        <v>19</v>
      </c>
      <c r="H4823" t="s">
        <v>15</v>
      </c>
      <c r="I4823">
        <v>4.0999999999999996</v>
      </c>
      <c r="J4823">
        <v>22</v>
      </c>
      <c r="K4823">
        <v>6</v>
      </c>
      <c r="L4823" s="4">
        <v>228.74358974358972</v>
      </c>
      <c r="M4823" s="4">
        <v>50.323589743589736</v>
      </c>
      <c r="N4823" t="s">
        <v>91</v>
      </c>
    </row>
    <row r="4824" spans="1:14">
      <c r="A4824">
        <v>4823</v>
      </c>
      <c r="B4824">
        <v>48</v>
      </c>
      <c r="C4824" t="s">
        <v>16</v>
      </c>
      <c r="D4824" t="s">
        <v>33</v>
      </c>
      <c r="E4824" t="s">
        <v>38</v>
      </c>
      <c r="F4824">
        <v>92.46</v>
      </c>
      <c r="G4824" t="s">
        <v>19</v>
      </c>
      <c r="H4824" t="s">
        <v>15</v>
      </c>
      <c r="I4824">
        <v>3.3</v>
      </c>
      <c r="J4824">
        <v>14</v>
      </c>
      <c r="K4824">
        <v>7</v>
      </c>
      <c r="L4824" s="4">
        <v>107.51162790697674</v>
      </c>
      <c r="M4824" s="4">
        <v>15.051627906976748</v>
      </c>
      <c r="N4824" t="s">
        <v>93</v>
      </c>
    </row>
    <row r="4825" spans="1:14">
      <c r="A4825">
        <v>4824</v>
      </c>
      <c r="B4825">
        <v>36</v>
      </c>
      <c r="C4825" t="s">
        <v>11</v>
      </c>
      <c r="D4825" t="s">
        <v>12</v>
      </c>
      <c r="E4825" t="s">
        <v>56</v>
      </c>
      <c r="F4825">
        <v>35.9</v>
      </c>
      <c r="G4825" t="s">
        <v>19</v>
      </c>
      <c r="H4825" t="s">
        <v>37</v>
      </c>
      <c r="I4825">
        <v>4.2</v>
      </c>
      <c r="J4825">
        <v>11</v>
      </c>
      <c r="K4825">
        <v>3</v>
      </c>
      <c r="L4825" s="4">
        <v>40.337078651685388</v>
      </c>
      <c r="M4825" s="4">
        <v>4.4370786516853897</v>
      </c>
      <c r="N4825" t="s">
        <v>92</v>
      </c>
    </row>
    <row r="4826" spans="1:14">
      <c r="A4826">
        <v>4825</v>
      </c>
      <c r="B4826">
        <v>57</v>
      </c>
      <c r="C4826" t="s">
        <v>16</v>
      </c>
      <c r="D4826" t="s">
        <v>20</v>
      </c>
      <c r="E4826" t="s">
        <v>39</v>
      </c>
      <c r="F4826">
        <v>235.27</v>
      </c>
      <c r="G4826" t="s">
        <v>24</v>
      </c>
      <c r="H4826" t="s">
        <v>15</v>
      </c>
      <c r="I4826">
        <v>3.9</v>
      </c>
      <c r="J4826">
        <v>18</v>
      </c>
      <c r="K4826">
        <v>4</v>
      </c>
      <c r="L4826" s="4">
        <v>286.91463414634143</v>
      </c>
      <c r="M4826" s="4">
        <v>51.644634146341417</v>
      </c>
      <c r="N4826" t="s">
        <v>94</v>
      </c>
    </row>
    <row r="4827" spans="1:14">
      <c r="A4827">
        <v>4826</v>
      </c>
      <c r="B4827">
        <v>42</v>
      </c>
      <c r="C4827" t="s">
        <v>16</v>
      </c>
      <c r="D4827" t="s">
        <v>25</v>
      </c>
      <c r="E4827" t="s">
        <v>54</v>
      </c>
      <c r="F4827">
        <v>76.87</v>
      </c>
      <c r="G4827" t="s">
        <v>14</v>
      </c>
      <c r="H4827" t="s">
        <v>37</v>
      </c>
      <c r="I4827">
        <v>4.5</v>
      </c>
      <c r="J4827">
        <v>9</v>
      </c>
      <c r="K4827">
        <v>2</v>
      </c>
      <c r="L4827" s="4">
        <v>84.472527472527474</v>
      </c>
      <c r="M4827" s="4">
        <v>7.6025274725274699</v>
      </c>
      <c r="N4827" t="s">
        <v>92</v>
      </c>
    </row>
    <row r="4828" spans="1:14">
      <c r="A4828">
        <v>4827</v>
      </c>
      <c r="B4828">
        <v>47</v>
      </c>
      <c r="C4828" t="s">
        <v>16</v>
      </c>
      <c r="D4828" t="s">
        <v>27</v>
      </c>
      <c r="E4828" t="s">
        <v>32</v>
      </c>
      <c r="F4828">
        <v>692.45</v>
      </c>
      <c r="G4828" t="s">
        <v>31</v>
      </c>
      <c r="H4828" t="s">
        <v>15</v>
      </c>
      <c r="I4828">
        <v>4.3</v>
      </c>
      <c r="J4828">
        <v>9</v>
      </c>
      <c r="K4828">
        <v>2</v>
      </c>
      <c r="L4828" s="4">
        <v>760.93406593406598</v>
      </c>
      <c r="M4828" s="4">
        <v>68.484065934065939</v>
      </c>
      <c r="N4828" t="s">
        <v>93</v>
      </c>
    </row>
    <row r="4829" spans="1:14">
      <c r="A4829">
        <v>4828</v>
      </c>
      <c r="B4829">
        <v>56</v>
      </c>
      <c r="C4829" t="s">
        <v>11</v>
      </c>
      <c r="D4829" t="s">
        <v>41</v>
      </c>
      <c r="E4829" t="s">
        <v>42</v>
      </c>
      <c r="F4829">
        <v>128.72999999999999</v>
      </c>
      <c r="G4829" t="s">
        <v>31</v>
      </c>
      <c r="H4829" t="s">
        <v>15</v>
      </c>
      <c r="I4829">
        <v>4.9000000000000004</v>
      </c>
      <c r="J4829">
        <v>12</v>
      </c>
      <c r="K4829">
        <v>6</v>
      </c>
      <c r="L4829" s="4">
        <v>146.28409090909091</v>
      </c>
      <c r="M4829" s="4">
        <v>17.554090909090917</v>
      </c>
      <c r="N4829" t="s">
        <v>94</v>
      </c>
    </row>
    <row r="4830" spans="1:14">
      <c r="A4830">
        <v>4829</v>
      </c>
      <c r="B4830">
        <v>30</v>
      </c>
      <c r="C4830" t="s">
        <v>11</v>
      </c>
      <c r="D4830" t="s">
        <v>29</v>
      </c>
      <c r="E4830" t="s">
        <v>55</v>
      </c>
      <c r="F4830">
        <v>97.03</v>
      </c>
      <c r="G4830" t="s">
        <v>24</v>
      </c>
      <c r="H4830" t="s">
        <v>37</v>
      </c>
      <c r="I4830">
        <v>4.0999999999999996</v>
      </c>
      <c r="J4830">
        <v>19</v>
      </c>
      <c r="K4830">
        <v>7</v>
      </c>
      <c r="L4830" s="4">
        <v>119.79012345679011</v>
      </c>
      <c r="M4830" s="4">
        <v>22.760123456790112</v>
      </c>
      <c r="N4830" t="s">
        <v>91</v>
      </c>
    </row>
    <row r="4831" spans="1:14">
      <c r="A4831">
        <v>4830</v>
      </c>
      <c r="B4831">
        <v>24</v>
      </c>
      <c r="C4831" t="s">
        <v>11</v>
      </c>
      <c r="D4831" t="s">
        <v>12</v>
      </c>
      <c r="E4831" t="s">
        <v>56</v>
      </c>
      <c r="F4831">
        <v>156.83000000000001</v>
      </c>
      <c r="G4831" t="s">
        <v>31</v>
      </c>
      <c r="H4831" t="s">
        <v>15</v>
      </c>
      <c r="I4831">
        <v>2.8</v>
      </c>
      <c r="J4831">
        <v>8</v>
      </c>
      <c r="K4831">
        <v>4</v>
      </c>
      <c r="L4831" s="4">
        <v>170.46739130434784</v>
      </c>
      <c r="M4831" s="4">
        <v>13.63739130434783</v>
      </c>
      <c r="N4831" t="s">
        <v>100</v>
      </c>
    </row>
    <row r="4832" spans="1:14">
      <c r="A4832">
        <v>4831</v>
      </c>
      <c r="B4832">
        <v>35</v>
      </c>
      <c r="C4832" t="s">
        <v>11</v>
      </c>
      <c r="D4832" t="s">
        <v>33</v>
      </c>
      <c r="E4832" t="s">
        <v>34</v>
      </c>
      <c r="F4832">
        <v>233.18</v>
      </c>
      <c r="G4832" t="s">
        <v>19</v>
      </c>
      <c r="H4832" t="s">
        <v>15</v>
      </c>
      <c r="I4832">
        <v>3.1</v>
      </c>
      <c r="J4832">
        <v>11</v>
      </c>
      <c r="K4832">
        <v>3</v>
      </c>
      <c r="L4832" s="4">
        <v>262</v>
      </c>
      <c r="M4832" s="4">
        <v>28.819999999999993</v>
      </c>
      <c r="N4832" t="s">
        <v>92</v>
      </c>
    </row>
    <row r="4833" spans="1:14">
      <c r="A4833">
        <v>4832</v>
      </c>
      <c r="B4833">
        <v>52</v>
      </c>
      <c r="C4833" t="s">
        <v>11</v>
      </c>
      <c r="D4833" t="s">
        <v>20</v>
      </c>
      <c r="E4833" t="s">
        <v>36</v>
      </c>
      <c r="F4833">
        <v>65.760000000000005</v>
      </c>
      <c r="G4833" t="s">
        <v>24</v>
      </c>
      <c r="H4833" t="s">
        <v>37</v>
      </c>
      <c r="I4833">
        <v>3.5</v>
      </c>
      <c r="J4833">
        <v>32</v>
      </c>
      <c r="K4833">
        <v>11</v>
      </c>
      <c r="L4833" s="4">
        <v>96.705882352941188</v>
      </c>
      <c r="M4833" s="4">
        <v>30.945882352941183</v>
      </c>
      <c r="N4833" t="s">
        <v>93</v>
      </c>
    </row>
    <row r="4834" spans="1:14">
      <c r="A4834">
        <v>4833</v>
      </c>
      <c r="B4834">
        <v>55</v>
      </c>
      <c r="C4834" t="s">
        <v>16</v>
      </c>
      <c r="D4834" t="s">
        <v>20</v>
      </c>
      <c r="E4834" t="s">
        <v>21</v>
      </c>
      <c r="F4834">
        <v>245.22</v>
      </c>
      <c r="G4834" t="s">
        <v>31</v>
      </c>
      <c r="H4834" t="s">
        <v>15</v>
      </c>
      <c r="I4834">
        <v>5</v>
      </c>
      <c r="J4834">
        <v>22</v>
      </c>
      <c r="K4834">
        <v>11</v>
      </c>
      <c r="L4834" s="4">
        <v>314.38461538461536</v>
      </c>
      <c r="M4834" s="4">
        <v>69.16461538461536</v>
      </c>
      <c r="N4834" t="s">
        <v>94</v>
      </c>
    </row>
    <row r="4835" spans="1:14">
      <c r="A4835">
        <v>4834</v>
      </c>
      <c r="B4835">
        <v>27</v>
      </c>
      <c r="C4835" t="s">
        <v>16</v>
      </c>
      <c r="D4835" t="s">
        <v>27</v>
      </c>
      <c r="E4835" t="s">
        <v>28</v>
      </c>
      <c r="F4835">
        <v>540.45000000000005</v>
      </c>
      <c r="G4835" t="s">
        <v>19</v>
      </c>
      <c r="H4835" t="s">
        <v>15</v>
      </c>
      <c r="I4835">
        <v>3.5</v>
      </c>
      <c r="J4835">
        <v>20</v>
      </c>
      <c r="K4835">
        <v>5</v>
      </c>
      <c r="L4835" s="4">
        <v>675.5625</v>
      </c>
      <c r="M4835" s="4">
        <v>135.11249999999995</v>
      </c>
      <c r="N4835" t="s">
        <v>91</v>
      </c>
    </row>
    <row r="4836" spans="1:14">
      <c r="A4836">
        <v>4835</v>
      </c>
      <c r="B4836">
        <v>50</v>
      </c>
      <c r="C4836" t="s">
        <v>11</v>
      </c>
      <c r="D4836" t="s">
        <v>29</v>
      </c>
      <c r="E4836" t="s">
        <v>55</v>
      </c>
      <c r="F4836">
        <v>55.69</v>
      </c>
      <c r="G4836" t="s">
        <v>14</v>
      </c>
      <c r="H4836" t="s">
        <v>15</v>
      </c>
      <c r="I4836">
        <v>3.7</v>
      </c>
      <c r="J4836">
        <v>11</v>
      </c>
      <c r="K4836">
        <v>3</v>
      </c>
      <c r="L4836" s="4">
        <v>62.573033707865164</v>
      </c>
      <c r="M4836" s="4">
        <v>6.8830337078651667</v>
      </c>
      <c r="N4836" t="s">
        <v>93</v>
      </c>
    </row>
    <row r="4837" spans="1:14">
      <c r="A4837">
        <v>4836</v>
      </c>
      <c r="B4837">
        <v>62</v>
      </c>
      <c r="C4837" t="s">
        <v>11</v>
      </c>
      <c r="D4837" t="s">
        <v>33</v>
      </c>
      <c r="E4837" t="s">
        <v>40</v>
      </c>
      <c r="F4837">
        <v>204.43</v>
      </c>
      <c r="G4837" t="s">
        <v>14</v>
      </c>
      <c r="H4837" t="s">
        <v>15</v>
      </c>
      <c r="I4837">
        <v>4.5</v>
      </c>
      <c r="J4837">
        <v>14</v>
      </c>
      <c r="K4837">
        <v>7</v>
      </c>
      <c r="L4837" s="4">
        <v>237.7093023255814</v>
      </c>
      <c r="M4837" s="4">
        <v>33.279302325581398</v>
      </c>
      <c r="N4837" t="s">
        <v>94</v>
      </c>
    </row>
    <row r="4838" spans="1:14">
      <c r="A4838">
        <v>4837</v>
      </c>
      <c r="B4838">
        <v>64</v>
      </c>
      <c r="C4838" t="s">
        <v>16</v>
      </c>
      <c r="D4838" t="s">
        <v>17</v>
      </c>
      <c r="E4838" t="s">
        <v>48</v>
      </c>
      <c r="F4838">
        <v>187.34</v>
      </c>
      <c r="G4838" t="s">
        <v>19</v>
      </c>
      <c r="H4838" t="s">
        <v>15</v>
      </c>
      <c r="I4838">
        <v>3.8</v>
      </c>
      <c r="J4838">
        <v>16</v>
      </c>
      <c r="K4838">
        <v>3</v>
      </c>
      <c r="L4838" s="4">
        <v>223.02380952380955</v>
      </c>
      <c r="M4838" s="4">
        <v>35.683809523809543</v>
      </c>
      <c r="N4838" t="s">
        <v>94</v>
      </c>
    </row>
    <row r="4839" spans="1:14">
      <c r="A4839">
        <v>4838</v>
      </c>
      <c r="B4839">
        <v>70</v>
      </c>
      <c r="C4839" t="s">
        <v>11</v>
      </c>
      <c r="D4839" t="s">
        <v>29</v>
      </c>
      <c r="E4839" t="s">
        <v>30</v>
      </c>
      <c r="F4839">
        <v>119.95</v>
      </c>
      <c r="G4839" t="s">
        <v>31</v>
      </c>
      <c r="H4839" t="s">
        <v>15</v>
      </c>
      <c r="I4839">
        <v>4.2</v>
      </c>
      <c r="J4839">
        <v>22</v>
      </c>
      <c r="K4839">
        <v>6</v>
      </c>
      <c r="L4839" s="4">
        <v>153.78205128205127</v>
      </c>
      <c r="M4839" s="4">
        <v>33.832051282051268</v>
      </c>
      <c r="N4839" t="s">
        <v>95</v>
      </c>
    </row>
    <row r="4840" spans="1:14">
      <c r="A4840">
        <v>4839</v>
      </c>
      <c r="B4840">
        <v>38</v>
      </c>
      <c r="C4840" t="s">
        <v>16</v>
      </c>
      <c r="D4840" t="s">
        <v>17</v>
      </c>
      <c r="E4840" t="s">
        <v>35</v>
      </c>
      <c r="F4840">
        <v>90.72</v>
      </c>
      <c r="G4840" t="s">
        <v>14</v>
      </c>
      <c r="H4840" t="s">
        <v>37</v>
      </c>
      <c r="I4840">
        <v>4.4000000000000004</v>
      </c>
      <c r="J4840">
        <v>22</v>
      </c>
      <c r="K4840">
        <v>6</v>
      </c>
      <c r="L4840" s="4">
        <v>116.30769230769231</v>
      </c>
      <c r="M4840" s="4">
        <v>25.587692307692308</v>
      </c>
      <c r="N4840" t="s">
        <v>92</v>
      </c>
    </row>
    <row r="4841" spans="1:14">
      <c r="A4841">
        <v>4840</v>
      </c>
      <c r="B4841">
        <v>24</v>
      </c>
      <c r="C4841" t="s">
        <v>11</v>
      </c>
      <c r="D4841" t="s">
        <v>25</v>
      </c>
      <c r="E4841" t="s">
        <v>54</v>
      </c>
      <c r="F4841">
        <v>42.23</v>
      </c>
      <c r="G4841" t="s">
        <v>19</v>
      </c>
      <c r="H4841" t="s">
        <v>37</v>
      </c>
      <c r="I4841">
        <v>3.8</v>
      </c>
      <c r="J4841">
        <v>20</v>
      </c>
      <c r="K4841">
        <v>5</v>
      </c>
      <c r="L4841" s="4">
        <v>52.787499999999994</v>
      </c>
      <c r="M4841" s="4">
        <v>10.557499999999997</v>
      </c>
      <c r="N4841" t="s">
        <v>100</v>
      </c>
    </row>
    <row r="4842" spans="1:14">
      <c r="A4842">
        <v>4841</v>
      </c>
      <c r="B4842">
        <v>26</v>
      </c>
      <c r="C4842" t="s">
        <v>16</v>
      </c>
      <c r="D4842" t="s">
        <v>27</v>
      </c>
      <c r="E4842" t="s">
        <v>32</v>
      </c>
      <c r="F4842">
        <v>1499.25</v>
      </c>
      <c r="G4842" t="s">
        <v>19</v>
      </c>
      <c r="H4842" t="s">
        <v>15</v>
      </c>
      <c r="I4842">
        <v>3.3</v>
      </c>
      <c r="J4842">
        <v>15</v>
      </c>
      <c r="K4842">
        <v>5</v>
      </c>
      <c r="L4842" s="4">
        <v>1763.8235294117646</v>
      </c>
      <c r="M4842" s="4">
        <v>264.57352941176464</v>
      </c>
      <c r="N4842" t="s">
        <v>91</v>
      </c>
    </row>
    <row r="4843" spans="1:14">
      <c r="A4843">
        <v>4842</v>
      </c>
      <c r="B4843">
        <v>46</v>
      </c>
      <c r="C4843" t="s">
        <v>16</v>
      </c>
      <c r="D4843" t="s">
        <v>17</v>
      </c>
      <c r="E4843" t="s">
        <v>48</v>
      </c>
      <c r="F4843">
        <v>166.99</v>
      </c>
      <c r="G4843" t="s">
        <v>14</v>
      </c>
      <c r="H4843" t="s">
        <v>15</v>
      </c>
      <c r="I4843">
        <v>3.3</v>
      </c>
      <c r="J4843">
        <v>26</v>
      </c>
      <c r="K4843">
        <v>8</v>
      </c>
      <c r="L4843" s="4">
        <v>225.66216216216219</v>
      </c>
      <c r="M4843" s="4">
        <v>58.672162162162181</v>
      </c>
      <c r="N4843" t="s">
        <v>93</v>
      </c>
    </row>
    <row r="4844" spans="1:14">
      <c r="A4844">
        <v>4843</v>
      </c>
      <c r="B4844">
        <v>36</v>
      </c>
      <c r="C4844" t="s">
        <v>16</v>
      </c>
      <c r="D4844" t="s">
        <v>33</v>
      </c>
      <c r="E4844" t="s">
        <v>34</v>
      </c>
      <c r="F4844">
        <v>205.73</v>
      </c>
      <c r="G4844" t="s">
        <v>31</v>
      </c>
      <c r="H4844" t="s">
        <v>15</v>
      </c>
      <c r="I4844">
        <v>4.5999999999999996</v>
      </c>
      <c r="J4844">
        <v>11</v>
      </c>
      <c r="K4844">
        <v>3</v>
      </c>
      <c r="L4844" s="4">
        <v>231.15730337078651</v>
      </c>
      <c r="M4844" s="4">
        <v>25.427303370786518</v>
      </c>
      <c r="N4844" t="s">
        <v>92</v>
      </c>
    </row>
    <row r="4845" spans="1:14">
      <c r="A4845">
        <v>4844</v>
      </c>
      <c r="B4845">
        <v>36</v>
      </c>
      <c r="C4845" t="s">
        <v>11</v>
      </c>
      <c r="D4845" t="s">
        <v>22</v>
      </c>
      <c r="E4845" t="s">
        <v>43</v>
      </c>
      <c r="F4845">
        <v>279.89999999999998</v>
      </c>
      <c r="G4845" t="s">
        <v>14</v>
      </c>
      <c r="H4845" t="s">
        <v>15</v>
      </c>
      <c r="I4845">
        <v>4.4000000000000004</v>
      </c>
      <c r="J4845">
        <v>24</v>
      </c>
      <c r="K4845">
        <v>7</v>
      </c>
      <c r="L4845" s="4">
        <v>368.28947368421052</v>
      </c>
      <c r="M4845" s="4">
        <v>88.389473684210543</v>
      </c>
      <c r="N4845" t="s">
        <v>92</v>
      </c>
    </row>
    <row r="4846" spans="1:14">
      <c r="A4846">
        <v>4845</v>
      </c>
      <c r="B4846">
        <v>65</v>
      </c>
      <c r="C4846" t="s">
        <v>16</v>
      </c>
      <c r="D4846" t="s">
        <v>27</v>
      </c>
      <c r="E4846" t="s">
        <v>32</v>
      </c>
      <c r="F4846">
        <v>1117.23</v>
      </c>
      <c r="G4846" t="s">
        <v>19</v>
      </c>
      <c r="H4846" t="s">
        <v>15</v>
      </c>
      <c r="I4846">
        <v>3.8</v>
      </c>
      <c r="J4846">
        <v>22</v>
      </c>
      <c r="K4846">
        <v>6</v>
      </c>
      <c r="L4846" s="4">
        <v>1432.3461538461538</v>
      </c>
      <c r="M4846" s="4">
        <v>315.11615384615379</v>
      </c>
      <c r="N4846" t="s">
        <v>95</v>
      </c>
    </row>
    <row r="4847" spans="1:14">
      <c r="A4847">
        <v>4846</v>
      </c>
      <c r="B4847">
        <v>51</v>
      </c>
      <c r="C4847" t="s">
        <v>11</v>
      </c>
      <c r="D4847" t="s">
        <v>41</v>
      </c>
      <c r="E4847" t="s">
        <v>46</v>
      </c>
      <c r="F4847">
        <v>75.540000000000006</v>
      </c>
      <c r="G4847" t="s">
        <v>31</v>
      </c>
      <c r="H4847" t="s">
        <v>15</v>
      </c>
      <c r="I4847">
        <v>4.2</v>
      </c>
      <c r="J4847">
        <v>11</v>
      </c>
      <c r="K4847">
        <v>3</v>
      </c>
      <c r="L4847" s="4">
        <v>84.876404494382029</v>
      </c>
      <c r="M4847" s="4">
        <v>9.3364044943820232</v>
      </c>
      <c r="N4847" t="s">
        <v>93</v>
      </c>
    </row>
    <row r="4848" spans="1:14">
      <c r="A4848">
        <v>4847</v>
      </c>
      <c r="B4848">
        <v>21</v>
      </c>
      <c r="C4848" t="s">
        <v>11</v>
      </c>
      <c r="D4848" t="s">
        <v>12</v>
      </c>
      <c r="E4848" t="s">
        <v>50</v>
      </c>
      <c r="F4848">
        <v>31.69</v>
      </c>
      <c r="G4848" t="s">
        <v>24</v>
      </c>
      <c r="H4848" t="s">
        <v>37</v>
      </c>
      <c r="I4848">
        <v>2.6</v>
      </c>
      <c r="J4848">
        <v>20</v>
      </c>
      <c r="K4848">
        <v>5</v>
      </c>
      <c r="L4848" s="4">
        <v>39.612499999999997</v>
      </c>
      <c r="M4848" s="4">
        <v>7.9224999999999959</v>
      </c>
      <c r="N4848" t="s">
        <v>100</v>
      </c>
    </row>
    <row r="4849" spans="1:14">
      <c r="A4849">
        <v>4848</v>
      </c>
      <c r="B4849">
        <v>48</v>
      </c>
      <c r="C4849" t="s">
        <v>11</v>
      </c>
      <c r="D4849" t="s">
        <v>29</v>
      </c>
      <c r="E4849" t="s">
        <v>55</v>
      </c>
      <c r="F4849">
        <v>125.13</v>
      </c>
      <c r="G4849" t="s">
        <v>31</v>
      </c>
      <c r="H4849" t="s">
        <v>15</v>
      </c>
      <c r="I4849">
        <v>3.6</v>
      </c>
      <c r="J4849">
        <v>18</v>
      </c>
      <c r="K4849">
        <v>4</v>
      </c>
      <c r="L4849" s="4">
        <v>152.59756097560975</v>
      </c>
      <c r="M4849" s="4">
        <v>27.467560975609757</v>
      </c>
      <c r="N4849" t="s">
        <v>93</v>
      </c>
    </row>
    <row r="4850" spans="1:14">
      <c r="A4850">
        <v>4849</v>
      </c>
      <c r="B4850">
        <v>51</v>
      </c>
      <c r="C4850" t="s">
        <v>16</v>
      </c>
      <c r="D4850" t="s">
        <v>33</v>
      </c>
      <c r="E4850" t="s">
        <v>34</v>
      </c>
      <c r="F4850">
        <v>188.35</v>
      </c>
      <c r="G4850" t="s">
        <v>14</v>
      </c>
      <c r="H4850" t="s">
        <v>15</v>
      </c>
      <c r="I4850">
        <v>4.5999999999999996</v>
      </c>
      <c r="J4850">
        <v>16</v>
      </c>
      <c r="K4850">
        <v>8</v>
      </c>
      <c r="L4850" s="4">
        <v>224.22619047619048</v>
      </c>
      <c r="M4850" s="4">
        <v>35.876190476190487</v>
      </c>
      <c r="N4850" t="s">
        <v>93</v>
      </c>
    </row>
    <row r="4851" spans="1:14">
      <c r="A4851">
        <v>4850</v>
      </c>
      <c r="B4851">
        <v>46</v>
      </c>
      <c r="C4851" t="s">
        <v>11</v>
      </c>
      <c r="D4851" t="s">
        <v>12</v>
      </c>
      <c r="E4851" t="s">
        <v>56</v>
      </c>
      <c r="F4851">
        <v>72.39</v>
      </c>
      <c r="G4851" t="s">
        <v>14</v>
      </c>
      <c r="H4851" t="s">
        <v>37</v>
      </c>
      <c r="I4851">
        <v>4.5999999999999996</v>
      </c>
      <c r="J4851">
        <v>16</v>
      </c>
      <c r="K4851">
        <v>3</v>
      </c>
      <c r="L4851" s="4">
        <v>86.178571428571431</v>
      </c>
      <c r="M4851" s="4">
        <v>13.78857142857143</v>
      </c>
      <c r="N4851" t="s">
        <v>93</v>
      </c>
    </row>
    <row r="4852" spans="1:14">
      <c r="A4852">
        <v>4851</v>
      </c>
      <c r="B4852">
        <v>46</v>
      </c>
      <c r="C4852" t="s">
        <v>16</v>
      </c>
      <c r="D4852" t="s">
        <v>22</v>
      </c>
      <c r="E4852" t="s">
        <v>52</v>
      </c>
      <c r="F4852">
        <v>237.02</v>
      </c>
      <c r="G4852" t="s">
        <v>14</v>
      </c>
      <c r="H4852" t="s">
        <v>15</v>
      </c>
      <c r="I4852">
        <v>4.0999999999999996</v>
      </c>
      <c r="J4852">
        <v>12</v>
      </c>
      <c r="K4852">
        <v>6</v>
      </c>
      <c r="L4852" s="4">
        <v>269.34090909090912</v>
      </c>
      <c r="M4852" s="4">
        <v>32.320909090909112</v>
      </c>
      <c r="N4852" t="s">
        <v>93</v>
      </c>
    </row>
    <row r="4853" spans="1:14">
      <c r="A4853">
        <v>4852</v>
      </c>
      <c r="B4853">
        <v>52</v>
      </c>
      <c r="C4853" t="s">
        <v>11</v>
      </c>
      <c r="D4853" t="s">
        <v>41</v>
      </c>
      <c r="E4853" t="s">
        <v>42</v>
      </c>
      <c r="F4853">
        <v>177.68</v>
      </c>
      <c r="G4853" t="s">
        <v>19</v>
      </c>
      <c r="H4853" t="s">
        <v>15</v>
      </c>
      <c r="I4853">
        <v>3.8</v>
      </c>
      <c r="J4853">
        <v>6</v>
      </c>
      <c r="K4853">
        <v>3</v>
      </c>
      <c r="L4853" s="4">
        <v>189.02127659574469</v>
      </c>
      <c r="M4853" s="4">
        <v>11.341276595744688</v>
      </c>
      <c r="N4853" t="s">
        <v>93</v>
      </c>
    </row>
    <row r="4854" spans="1:14">
      <c r="A4854">
        <v>4853</v>
      </c>
      <c r="B4854">
        <v>67</v>
      </c>
      <c r="C4854" t="s">
        <v>16</v>
      </c>
      <c r="D4854" t="s">
        <v>27</v>
      </c>
      <c r="E4854" t="s">
        <v>49</v>
      </c>
      <c r="F4854">
        <v>1464.98</v>
      </c>
      <c r="G4854" t="s">
        <v>24</v>
      </c>
      <c r="H4854" t="s">
        <v>15</v>
      </c>
      <c r="I4854">
        <v>3.8</v>
      </c>
      <c r="J4854">
        <v>22</v>
      </c>
      <c r="K4854">
        <v>11</v>
      </c>
      <c r="L4854" s="4">
        <v>1878.1794871794871</v>
      </c>
      <c r="M4854" s="4">
        <v>413.19948717948705</v>
      </c>
      <c r="N4854" t="s">
        <v>95</v>
      </c>
    </row>
    <row r="4855" spans="1:14">
      <c r="A4855">
        <v>4854</v>
      </c>
      <c r="B4855">
        <v>36</v>
      </c>
      <c r="C4855" t="s">
        <v>16</v>
      </c>
      <c r="D4855" t="s">
        <v>33</v>
      </c>
      <c r="E4855" t="s">
        <v>34</v>
      </c>
      <c r="F4855">
        <v>236.57</v>
      </c>
      <c r="G4855" t="s">
        <v>14</v>
      </c>
      <c r="H4855" t="s">
        <v>15</v>
      </c>
      <c r="I4855">
        <v>3.2</v>
      </c>
      <c r="J4855">
        <v>22</v>
      </c>
      <c r="K4855">
        <v>6</v>
      </c>
      <c r="L4855" s="4">
        <v>303.29487179487177</v>
      </c>
      <c r="M4855" s="4">
        <v>66.724871794871774</v>
      </c>
      <c r="N4855" t="s">
        <v>92</v>
      </c>
    </row>
    <row r="4856" spans="1:14">
      <c r="A4856">
        <v>4855</v>
      </c>
      <c r="B4856">
        <v>38</v>
      </c>
      <c r="C4856" t="s">
        <v>16</v>
      </c>
      <c r="D4856" t="s">
        <v>22</v>
      </c>
      <c r="E4856" t="s">
        <v>43</v>
      </c>
      <c r="F4856">
        <v>109.44</v>
      </c>
      <c r="G4856" t="s">
        <v>14</v>
      </c>
      <c r="H4856" t="s">
        <v>15</v>
      </c>
      <c r="I4856">
        <v>2.7</v>
      </c>
      <c r="J4856">
        <v>10</v>
      </c>
      <c r="K4856">
        <v>0</v>
      </c>
      <c r="L4856" s="4">
        <v>121.6</v>
      </c>
      <c r="M4856" s="4">
        <v>12.159999999999997</v>
      </c>
      <c r="N4856" t="s">
        <v>92</v>
      </c>
    </row>
    <row r="4857" spans="1:14">
      <c r="A4857">
        <v>4856</v>
      </c>
      <c r="B4857">
        <v>45</v>
      </c>
      <c r="C4857" t="s">
        <v>16</v>
      </c>
      <c r="D4857" t="s">
        <v>22</v>
      </c>
      <c r="E4857" t="s">
        <v>43</v>
      </c>
      <c r="F4857">
        <v>220.75</v>
      </c>
      <c r="G4857" t="s">
        <v>31</v>
      </c>
      <c r="H4857" t="s">
        <v>15</v>
      </c>
      <c r="I4857">
        <v>4</v>
      </c>
      <c r="J4857">
        <v>8</v>
      </c>
      <c r="K4857">
        <v>4</v>
      </c>
      <c r="L4857" s="4">
        <v>239.94565217391303</v>
      </c>
      <c r="M4857" s="4">
        <v>19.195652173913032</v>
      </c>
      <c r="N4857" t="s">
        <v>93</v>
      </c>
    </row>
    <row r="4858" spans="1:14">
      <c r="A4858">
        <v>4857</v>
      </c>
      <c r="B4858">
        <v>22</v>
      </c>
      <c r="C4858" t="s">
        <v>11</v>
      </c>
      <c r="D4858" t="s">
        <v>41</v>
      </c>
      <c r="E4858" t="s">
        <v>44</v>
      </c>
      <c r="F4858">
        <v>171.72</v>
      </c>
      <c r="G4858" t="s">
        <v>24</v>
      </c>
      <c r="H4858" t="s">
        <v>15</v>
      </c>
      <c r="I4858">
        <v>3.9</v>
      </c>
      <c r="J4858">
        <v>12</v>
      </c>
      <c r="K4858">
        <v>6</v>
      </c>
      <c r="L4858" s="4">
        <v>195.13636363636363</v>
      </c>
      <c r="M4858" s="4">
        <v>23.416363636363627</v>
      </c>
      <c r="N4858" t="s">
        <v>100</v>
      </c>
    </row>
    <row r="4859" spans="1:14">
      <c r="A4859">
        <v>4858</v>
      </c>
      <c r="B4859">
        <v>33</v>
      </c>
      <c r="C4859" t="s">
        <v>11</v>
      </c>
      <c r="D4859" t="s">
        <v>12</v>
      </c>
      <c r="E4859" t="s">
        <v>13</v>
      </c>
      <c r="F4859">
        <v>83.46</v>
      </c>
      <c r="G4859" t="s">
        <v>31</v>
      </c>
      <c r="H4859" t="s">
        <v>37</v>
      </c>
      <c r="I4859">
        <v>3.7</v>
      </c>
      <c r="J4859">
        <v>25</v>
      </c>
      <c r="K4859">
        <v>10</v>
      </c>
      <c r="L4859" s="4">
        <v>111.27999999999999</v>
      </c>
      <c r="M4859" s="4">
        <v>27.819999999999993</v>
      </c>
      <c r="N4859" t="s">
        <v>91</v>
      </c>
    </row>
    <row r="4860" spans="1:14">
      <c r="A4860">
        <v>4859</v>
      </c>
      <c r="B4860">
        <v>60</v>
      </c>
      <c r="C4860" t="s">
        <v>16</v>
      </c>
      <c r="D4860" t="s">
        <v>20</v>
      </c>
      <c r="E4860" t="s">
        <v>21</v>
      </c>
      <c r="F4860">
        <v>224.01</v>
      </c>
      <c r="G4860" t="s">
        <v>19</v>
      </c>
      <c r="H4860" t="s">
        <v>15</v>
      </c>
      <c r="I4860">
        <v>3.2</v>
      </c>
      <c r="J4860">
        <v>23</v>
      </c>
      <c r="K4860">
        <v>9</v>
      </c>
      <c r="L4860" s="4">
        <v>290.9220779220779</v>
      </c>
      <c r="M4860" s="4">
        <v>66.912077922077913</v>
      </c>
      <c r="N4860" t="s">
        <v>94</v>
      </c>
    </row>
    <row r="4861" spans="1:14">
      <c r="A4861">
        <v>4860</v>
      </c>
      <c r="B4861">
        <v>38</v>
      </c>
      <c r="C4861" t="s">
        <v>11</v>
      </c>
      <c r="D4861" t="s">
        <v>33</v>
      </c>
      <c r="E4861" t="s">
        <v>40</v>
      </c>
      <c r="F4861">
        <v>211.8</v>
      </c>
      <c r="G4861" t="s">
        <v>24</v>
      </c>
      <c r="H4861" t="s">
        <v>15</v>
      </c>
      <c r="I4861">
        <v>3.6</v>
      </c>
      <c r="J4861">
        <v>15</v>
      </c>
      <c r="K4861">
        <v>5</v>
      </c>
      <c r="L4861" s="4">
        <v>249.1764705882353</v>
      </c>
      <c r="M4861" s="4">
        <v>37.376470588235293</v>
      </c>
      <c r="N4861" t="s">
        <v>92</v>
      </c>
    </row>
    <row r="4862" spans="1:14">
      <c r="A4862">
        <v>4861</v>
      </c>
      <c r="B4862">
        <v>57</v>
      </c>
      <c r="C4862" t="s">
        <v>11</v>
      </c>
      <c r="D4862" t="s">
        <v>12</v>
      </c>
      <c r="E4862" t="s">
        <v>50</v>
      </c>
      <c r="F4862">
        <v>97.86</v>
      </c>
      <c r="G4862" t="s">
        <v>31</v>
      </c>
      <c r="H4862" t="s">
        <v>15</v>
      </c>
      <c r="I4862">
        <v>4.2</v>
      </c>
      <c r="J4862">
        <v>16</v>
      </c>
      <c r="K4862">
        <v>8</v>
      </c>
      <c r="L4862" s="4">
        <v>116.5</v>
      </c>
      <c r="M4862" s="4">
        <v>18.64</v>
      </c>
      <c r="N4862" t="s">
        <v>94</v>
      </c>
    </row>
    <row r="4863" spans="1:14">
      <c r="A4863">
        <v>4862</v>
      </c>
      <c r="B4863">
        <v>61</v>
      </c>
      <c r="C4863" t="s">
        <v>16</v>
      </c>
      <c r="D4863" t="s">
        <v>20</v>
      </c>
      <c r="E4863" t="s">
        <v>39</v>
      </c>
      <c r="F4863">
        <v>166.73</v>
      </c>
      <c r="G4863" t="s">
        <v>19</v>
      </c>
      <c r="H4863" t="s">
        <v>15</v>
      </c>
      <c r="I4863">
        <v>3.5</v>
      </c>
      <c r="J4863">
        <v>12</v>
      </c>
      <c r="K4863">
        <v>1</v>
      </c>
      <c r="L4863" s="4">
        <v>189.46590909090907</v>
      </c>
      <c r="M4863" s="4">
        <v>22.735909090909075</v>
      </c>
      <c r="N4863" t="s">
        <v>94</v>
      </c>
    </row>
    <row r="4864" spans="1:14">
      <c r="A4864">
        <v>4863</v>
      </c>
      <c r="B4864">
        <v>45</v>
      </c>
      <c r="C4864" t="s">
        <v>16</v>
      </c>
      <c r="D4864" t="s">
        <v>27</v>
      </c>
      <c r="E4864" t="s">
        <v>28</v>
      </c>
      <c r="F4864">
        <v>2482.54</v>
      </c>
      <c r="G4864" t="s">
        <v>31</v>
      </c>
      <c r="H4864" t="s">
        <v>15</v>
      </c>
      <c r="I4864">
        <v>4.0999999999999996</v>
      </c>
      <c r="J4864">
        <v>4</v>
      </c>
      <c r="K4864">
        <v>2</v>
      </c>
      <c r="L4864" s="4">
        <v>2585.9791666666665</v>
      </c>
      <c r="M4864" s="4">
        <v>103.43916666666655</v>
      </c>
      <c r="N4864" t="s">
        <v>93</v>
      </c>
    </row>
    <row r="4865" spans="1:14">
      <c r="A4865">
        <v>4864</v>
      </c>
      <c r="B4865">
        <v>26</v>
      </c>
      <c r="C4865" t="s">
        <v>16</v>
      </c>
      <c r="D4865" t="s">
        <v>20</v>
      </c>
      <c r="E4865" t="s">
        <v>36</v>
      </c>
      <c r="F4865">
        <v>125.43</v>
      </c>
      <c r="G4865" t="s">
        <v>19</v>
      </c>
      <c r="H4865" t="s">
        <v>15</v>
      </c>
      <c r="I4865">
        <v>2.5</v>
      </c>
      <c r="J4865">
        <v>18</v>
      </c>
      <c r="K4865">
        <v>4</v>
      </c>
      <c r="L4865" s="4">
        <v>152.96341463414635</v>
      </c>
      <c r="M4865" s="4">
        <v>27.533414634146339</v>
      </c>
      <c r="N4865" t="s">
        <v>91</v>
      </c>
    </row>
    <row r="4866" spans="1:14">
      <c r="A4866">
        <v>4865</v>
      </c>
      <c r="B4866">
        <v>25</v>
      </c>
      <c r="C4866" t="s">
        <v>11</v>
      </c>
      <c r="D4866" t="s">
        <v>29</v>
      </c>
      <c r="E4866" t="s">
        <v>55</v>
      </c>
      <c r="F4866">
        <v>62.35</v>
      </c>
      <c r="G4866" t="s">
        <v>19</v>
      </c>
      <c r="H4866" t="s">
        <v>37</v>
      </c>
      <c r="I4866">
        <v>4</v>
      </c>
      <c r="J4866">
        <v>18</v>
      </c>
      <c r="K4866">
        <v>9</v>
      </c>
      <c r="L4866" s="4">
        <v>76.036585365853654</v>
      </c>
      <c r="M4866" s="4">
        <v>13.686585365853652</v>
      </c>
      <c r="N4866" t="s">
        <v>91</v>
      </c>
    </row>
    <row r="4867" spans="1:14">
      <c r="A4867">
        <v>4866</v>
      </c>
      <c r="B4867">
        <v>22</v>
      </c>
      <c r="C4867" t="s">
        <v>11</v>
      </c>
      <c r="D4867" t="s">
        <v>29</v>
      </c>
      <c r="E4867" t="s">
        <v>51</v>
      </c>
      <c r="F4867">
        <v>93.53</v>
      </c>
      <c r="G4867" t="s">
        <v>14</v>
      </c>
      <c r="H4867" t="s">
        <v>15</v>
      </c>
      <c r="I4867">
        <v>3.3</v>
      </c>
      <c r="J4867">
        <v>10</v>
      </c>
      <c r="K4867">
        <v>5</v>
      </c>
      <c r="L4867" s="4">
        <v>103.92222222222222</v>
      </c>
      <c r="M4867" s="4">
        <v>10.392222222222216</v>
      </c>
      <c r="N4867" t="s">
        <v>100</v>
      </c>
    </row>
    <row r="4868" spans="1:14">
      <c r="A4868">
        <v>4867</v>
      </c>
      <c r="B4868">
        <v>61</v>
      </c>
      <c r="C4868" t="s">
        <v>16</v>
      </c>
      <c r="D4868" t="s">
        <v>20</v>
      </c>
      <c r="E4868" t="s">
        <v>21</v>
      </c>
      <c r="F4868">
        <v>193.47</v>
      </c>
      <c r="G4868" t="s">
        <v>31</v>
      </c>
      <c r="H4868" t="s">
        <v>15</v>
      </c>
      <c r="I4868">
        <v>4.0999999999999996</v>
      </c>
      <c r="J4868">
        <v>15</v>
      </c>
      <c r="K4868">
        <v>5</v>
      </c>
      <c r="L4868" s="4">
        <v>227.61176470588236</v>
      </c>
      <c r="M4868" s="4">
        <v>34.141764705882366</v>
      </c>
      <c r="N4868" t="s">
        <v>94</v>
      </c>
    </row>
    <row r="4869" spans="1:14">
      <c r="A4869">
        <v>4868</v>
      </c>
      <c r="B4869">
        <v>34</v>
      </c>
      <c r="C4869" t="s">
        <v>11</v>
      </c>
      <c r="D4869" t="s">
        <v>41</v>
      </c>
      <c r="E4869" t="s">
        <v>42</v>
      </c>
      <c r="F4869">
        <v>86.21</v>
      </c>
      <c r="G4869" t="s">
        <v>24</v>
      </c>
      <c r="H4869" t="s">
        <v>37</v>
      </c>
      <c r="I4869">
        <v>3.5</v>
      </c>
      <c r="J4869">
        <v>24</v>
      </c>
      <c r="K4869">
        <v>7</v>
      </c>
      <c r="L4869" s="4">
        <v>113.43421052631578</v>
      </c>
      <c r="M4869" s="4">
        <v>27.224210526315787</v>
      </c>
      <c r="N4869" t="s">
        <v>91</v>
      </c>
    </row>
    <row r="4870" spans="1:14">
      <c r="A4870">
        <v>4869</v>
      </c>
      <c r="B4870">
        <v>56</v>
      </c>
      <c r="C4870" t="s">
        <v>16</v>
      </c>
      <c r="D4870" t="s">
        <v>20</v>
      </c>
      <c r="E4870" t="s">
        <v>39</v>
      </c>
      <c r="F4870">
        <v>184.93</v>
      </c>
      <c r="G4870" t="s">
        <v>31</v>
      </c>
      <c r="H4870" t="s">
        <v>15</v>
      </c>
      <c r="I4870">
        <v>4.0999999999999996</v>
      </c>
      <c r="J4870">
        <v>12</v>
      </c>
      <c r="K4870">
        <v>6</v>
      </c>
      <c r="L4870" s="4">
        <v>210.14772727272728</v>
      </c>
      <c r="M4870" s="4">
        <v>25.217727272727274</v>
      </c>
      <c r="N4870" t="s">
        <v>94</v>
      </c>
    </row>
    <row r="4871" spans="1:14">
      <c r="A4871">
        <v>4870</v>
      </c>
      <c r="B4871">
        <v>53</v>
      </c>
      <c r="C4871" t="s">
        <v>16</v>
      </c>
      <c r="D4871" t="s">
        <v>17</v>
      </c>
      <c r="E4871" t="s">
        <v>35</v>
      </c>
      <c r="F4871">
        <v>162.06</v>
      </c>
      <c r="G4871" t="s">
        <v>31</v>
      </c>
      <c r="H4871" t="s">
        <v>15</v>
      </c>
      <c r="I4871">
        <v>5</v>
      </c>
      <c r="J4871">
        <v>20</v>
      </c>
      <c r="K4871">
        <v>5</v>
      </c>
      <c r="L4871" s="4">
        <v>202.57499999999999</v>
      </c>
      <c r="M4871" s="4">
        <v>40.514999999999986</v>
      </c>
      <c r="N4871" t="s">
        <v>93</v>
      </c>
    </row>
    <row r="4872" spans="1:14">
      <c r="A4872">
        <v>4871</v>
      </c>
      <c r="B4872">
        <v>34</v>
      </c>
      <c r="C4872" t="s">
        <v>16</v>
      </c>
      <c r="D4872" t="s">
        <v>20</v>
      </c>
      <c r="E4872" t="s">
        <v>36</v>
      </c>
      <c r="F4872">
        <v>75.709999999999994</v>
      </c>
      <c r="G4872" t="s">
        <v>19</v>
      </c>
      <c r="H4872" t="s">
        <v>37</v>
      </c>
      <c r="I4872">
        <v>4.3</v>
      </c>
      <c r="J4872">
        <v>26</v>
      </c>
      <c r="K4872">
        <v>8</v>
      </c>
      <c r="L4872" s="4">
        <v>102.31081081081081</v>
      </c>
      <c r="M4872" s="4">
        <v>26.600810810810813</v>
      </c>
      <c r="N4872" t="s">
        <v>91</v>
      </c>
    </row>
    <row r="4873" spans="1:14">
      <c r="A4873">
        <v>4872</v>
      </c>
      <c r="B4873">
        <v>20</v>
      </c>
      <c r="C4873" t="s">
        <v>16</v>
      </c>
      <c r="D4873" t="s">
        <v>25</v>
      </c>
      <c r="E4873" t="s">
        <v>26</v>
      </c>
      <c r="F4873">
        <v>59.59</v>
      </c>
      <c r="G4873" t="s">
        <v>31</v>
      </c>
      <c r="H4873" t="s">
        <v>15</v>
      </c>
      <c r="I4873">
        <v>4.8</v>
      </c>
      <c r="J4873">
        <v>14</v>
      </c>
      <c r="K4873">
        <v>2</v>
      </c>
      <c r="L4873" s="4">
        <v>69.29069767441861</v>
      </c>
      <c r="M4873" s="4">
        <v>9.7006976744186062</v>
      </c>
      <c r="N4873" t="s">
        <v>100</v>
      </c>
    </row>
    <row r="4874" spans="1:14">
      <c r="A4874">
        <v>4873</v>
      </c>
      <c r="B4874">
        <v>30</v>
      </c>
      <c r="C4874" t="s">
        <v>16</v>
      </c>
      <c r="D4874" t="s">
        <v>33</v>
      </c>
      <c r="E4874" t="s">
        <v>38</v>
      </c>
      <c r="F4874">
        <v>113.81</v>
      </c>
      <c r="G4874" t="s">
        <v>19</v>
      </c>
      <c r="H4874" t="s">
        <v>15</v>
      </c>
      <c r="I4874">
        <v>3.6</v>
      </c>
      <c r="J4874">
        <v>13</v>
      </c>
      <c r="K4874">
        <v>4</v>
      </c>
      <c r="L4874" s="4">
        <v>130.81609195402299</v>
      </c>
      <c r="M4874" s="4">
        <v>17.006091954022992</v>
      </c>
      <c r="N4874" t="s">
        <v>91</v>
      </c>
    </row>
    <row r="4875" spans="1:14">
      <c r="A4875">
        <v>4874</v>
      </c>
      <c r="B4875">
        <v>28</v>
      </c>
      <c r="C4875" t="s">
        <v>16</v>
      </c>
      <c r="D4875" t="s">
        <v>17</v>
      </c>
      <c r="E4875" t="s">
        <v>35</v>
      </c>
      <c r="F4875">
        <v>109.99</v>
      </c>
      <c r="G4875" t="s">
        <v>19</v>
      </c>
      <c r="H4875" t="s">
        <v>15</v>
      </c>
      <c r="I4875">
        <v>4.5999999999999996</v>
      </c>
      <c r="J4875">
        <v>19</v>
      </c>
      <c r="K4875">
        <v>7</v>
      </c>
      <c r="L4875" s="4">
        <v>135.7901234567901</v>
      </c>
      <c r="M4875" s="4">
        <v>25.800123456790104</v>
      </c>
      <c r="N4875" t="s">
        <v>91</v>
      </c>
    </row>
    <row r="4876" spans="1:14">
      <c r="A4876">
        <v>4875</v>
      </c>
      <c r="B4876">
        <v>27</v>
      </c>
      <c r="C4876" t="s">
        <v>11</v>
      </c>
      <c r="D4876" t="s">
        <v>12</v>
      </c>
      <c r="E4876" t="s">
        <v>50</v>
      </c>
      <c r="F4876">
        <v>161.53</v>
      </c>
      <c r="G4876" t="s">
        <v>31</v>
      </c>
      <c r="H4876" t="s">
        <v>15</v>
      </c>
      <c r="I4876">
        <v>3.8</v>
      </c>
      <c r="J4876">
        <v>12</v>
      </c>
      <c r="K4876">
        <v>1</v>
      </c>
      <c r="L4876" s="4">
        <v>183.55681818181819</v>
      </c>
      <c r="M4876" s="4">
        <v>22.026818181818186</v>
      </c>
      <c r="N4876" t="s">
        <v>91</v>
      </c>
    </row>
    <row r="4877" spans="1:14">
      <c r="A4877">
        <v>4876</v>
      </c>
      <c r="B4877">
        <v>38</v>
      </c>
      <c r="C4877" t="s">
        <v>11</v>
      </c>
      <c r="D4877" t="s">
        <v>33</v>
      </c>
      <c r="E4877" t="s">
        <v>38</v>
      </c>
      <c r="F4877">
        <v>78.34</v>
      </c>
      <c r="G4877" t="s">
        <v>24</v>
      </c>
      <c r="H4877" t="s">
        <v>15</v>
      </c>
      <c r="I4877">
        <v>3.7</v>
      </c>
      <c r="J4877">
        <v>15</v>
      </c>
      <c r="K4877">
        <v>5</v>
      </c>
      <c r="L4877" s="4">
        <v>92.164705882352948</v>
      </c>
      <c r="M4877" s="4">
        <v>13.824705882352944</v>
      </c>
      <c r="N4877" t="s">
        <v>92</v>
      </c>
    </row>
    <row r="4878" spans="1:14">
      <c r="A4878">
        <v>4877</v>
      </c>
      <c r="B4878">
        <v>48</v>
      </c>
      <c r="C4878" t="s">
        <v>16</v>
      </c>
      <c r="D4878" t="s">
        <v>33</v>
      </c>
      <c r="E4878" t="s">
        <v>38</v>
      </c>
      <c r="F4878">
        <v>228.07</v>
      </c>
      <c r="G4878" t="s">
        <v>14</v>
      </c>
      <c r="H4878" t="s">
        <v>15</v>
      </c>
      <c r="I4878">
        <v>3.4</v>
      </c>
      <c r="J4878">
        <v>21</v>
      </c>
      <c r="K4878">
        <v>8</v>
      </c>
      <c r="L4878" s="4">
        <v>288.69620253164555</v>
      </c>
      <c r="M4878" s="4">
        <v>60.626202531645561</v>
      </c>
      <c r="N4878" t="s">
        <v>93</v>
      </c>
    </row>
    <row r="4879" spans="1:14">
      <c r="A4879">
        <v>4878</v>
      </c>
      <c r="B4879">
        <v>30</v>
      </c>
      <c r="C4879" t="s">
        <v>11</v>
      </c>
      <c r="D4879" t="s">
        <v>29</v>
      </c>
      <c r="E4879" t="s">
        <v>30</v>
      </c>
      <c r="F4879">
        <v>45.1</v>
      </c>
      <c r="G4879" t="s">
        <v>19</v>
      </c>
      <c r="H4879" t="s">
        <v>15</v>
      </c>
      <c r="I4879">
        <v>3.1</v>
      </c>
      <c r="J4879">
        <v>26</v>
      </c>
      <c r="K4879">
        <v>8</v>
      </c>
      <c r="L4879" s="4">
        <v>60.945945945945951</v>
      </c>
      <c r="M4879" s="4">
        <v>15.84594594594595</v>
      </c>
      <c r="N4879" t="s">
        <v>91</v>
      </c>
    </row>
    <row r="4880" spans="1:14">
      <c r="A4880">
        <v>4879</v>
      </c>
      <c r="B4880">
        <v>50</v>
      </c>
      <c r="C4880" t="s">
        <v>11</v>
      </c>
      <c r="D4880" t="s">
        <v>41</v>
      </c>
      <c r="E4880" t="s">
        <v>46</v>
      </c>
      <c r="F4880">
        <v>177.6</v>
      </c>
      <c r="G4880" t="s">
        <v>31</v>
      </c>
      <c r="H4880" t="s">
        <v>15</v>
      </c>
      <c r="I4880">
        <v>3.1</v>
      </c>
      <c r="J4880">
        <v>8</v>
      </c>
      <c r="K4880">
        <v>4</v>
      </c>
      <c r="L4880" s="4">
        <v>193.04347826086956</v>
      </c>
      <c r="M4880" s="4">
        <v>15.443478260869568</v>
      </c>
      <c r="N4880" t="s">
        <v>93</v>
      </c>
    </row>
    <row r="4881" spans="1:14">
      <c r="A4881">
        <v>4880</v>
      </c>
      <c r="B4881">
        <v>45</v>
      </c>
      <c r="C4881" t="s">
        <v>16</v>
      </c>
      <c r="D4881" t="s">
        <v>27</v>
      </c>
      <c r="E4881" t="s">
        <v>28</v>
      </c>
      <c r="F4881">
        <v>1054.2</v>
      </c>
      <c r="G4881" t="s">
        <v>14</v>
      </c>
      <c r="H4881" t="s">
        <v>15</v>
      </c>
      <c r="I4881">
        <v>4.5999999999999996</v>
      </c>
      <c r="J4881">
        <v>10</v>
      </c>
      <c r="K4881">
        <v>5</v>
      </c>
      <c r="L4881" s="4">
        <v>1171.3333333333333</v>
      </c>
      <c r="M4881" s="4">
        <v>117.13333333333321</v>
      </c>
      <c r="N4881" t="s">
        <v>93</v>
      </c>
    </row>
    <row r="4882" spans="1:14">
      <c r="A4882">
        <v>4881</v>
      </c>
      <c r="B4882">
        <v>67</v>
      </c>
      <c r="C4882" t="s">
        <v>16</v>
      </c>
      <c r="D4882" t="s">
        <v>33</v>
      </c>
      <c r="E4882" t="s">
        <v>38</v>
      </c>
      <c r="F4882">
        <v>86.51</v>
      </c>
      <c r="G4882" t="s">
        <v>31</v>
      </c>
      <c r="H4882" t="s">
        <v>37</v>
      </c>
      <c r="I4882">
        <v>4</v>
      </c>
      <c r="J4882">
        <v>10</v>
      </c>
      <c r="K4882">
        <v>5</v>
      </c>
      <c r="L4882" s="4">
        <v>96.12222222222222</v>
      </c>
      <c r="M4882" s="4">
        <v>9.6122222222222149</v>
      </c>
      <c r="N4882" t="s">
        <v>95</v>
      </c>
    </row>
    <row r="4883" spans="1:14">
      <c r="A4883">
        <v>4882</v>
      </c>
      <c r="B4883">
        <v>48</v>
      </c>
      <c r="C4883" t="s">
        <v>16</v>
      </c>
      <c r="D4883" t="s">
        <v>27</v>
      </c>
      <c r="E4883" t="s">
        <v>28</v>
      </c>
      <c r="F4883">
        <v>2184.4</v>
      </c>
      <c r="G4883" t="s">
        <v>14</v>
      </c>
      <c r="H4883" t="s">
        <v>15</v>
      </c>
      <c r="I4883">
        <v>4</v>
      </c>
      <c r="J4883">
        <v>8</v>
      </c>
      <c r="K4883">
        <v>4</v>
      </c>
      <c r="L4883" s="4">
        <v>2374.3478260869565</v>
      </c>
      <c r="M4883" s="4">
        <v>189.94782608695641</v>
      </c>
      <c r="N4883" t="s">
        <v>93</v>
      </c>
    </row>
    <row r="4884" spans="1:14">
      <c r="A4884">
        <v>4883</v>
      </c>
      <c r="B4884">
        <v>42</v>
      </c>
      <c r="C4884" t="s">
        <v>11</v>
      </c>
      <c r="D4884" t="s">
        <v>12</v>
      </c>
      <c r="E4884" t="s">
        <v>13</v>
      </c>
      <c r="F4884">
        <v>128.68</v>
      </c>
      <c r="G4884" t="s">
        <v>19</v>
      </c>
      <c r="H4884" t="s">
        <v>15</v>
      </c>
      <c r="I4884">
        <v>5</v>
      </c>
      <c r="J4884">
        <v>19</v>
      </c>
      <c r="K4884">
        <v>7</v>
      </c>
      <c r="L4884" s="4">
        <v>158.8641975308642</v>
      </c>
      <c r="M4884" s="4">
        <v>30.184197530864196</v>
      </c>
      <c r="N4884" t="s">
        <v>92</v>
      </c>
    </row>
    <row r="4885" spans="1:14">
      <c r="A4885">
        <v>4884</v>
      </c>
      <c r="B4885">
        <v>26</v>
      </c>
      <c r="C4885" t="s">
        <v>11</v>
      </c>
      <c r="D4885" t="s">
        <v>29</v>
      </c>
      <c r="E4885" t="s">
        <v>55</v>
      </c>
      <c r="F4885">
        <v>104.48</v>
      </c>
      <c r="G4885" t="s">
        <v>14</v>
      </c>
      <c r="H4885" t="s">
        <v>15</v>
      </c>
      <c r="I4885">
        <v>4.2</v>
      </c>
      <c r="J4885">
        <v>20</v>
      </c>
      <c r="K4885">
        <v>5</v>
      </c>
      <c r="L4885" s="4">
        <v>130.6</v>
      </c>
      <c r="M4885" s="4">
        <v>26.11999999999999</v>
      </c>
      <c r="N4885" t="s">
        <v>91</v>
      </c>
    </row>
    <row r="4886" spans="1:14">
      <c r="A4886">
        <v>4885</v>
      </c>
      <c r="B4886">
        <v>47</v>
      </c>
      <c r="C4886" t="s">
        <v>16</v>
      </c>
      <c r="D4886" t="s">
        <v>17</v>
      </c>
      <c r="E4886" t="s">
        <v>35</v>
      </c>
      <c r="F4886">
        <v>77.72</v>
      </c>
      <c r="G4886" t="s">
        <v>14</v>
      </c>
      <c r="H4886" t="s">
        <v>15</v>
      </c>
      <c r="I4886">
        <v>4.4000000000000004</v>
      </c>
      <c r="J4886">
        <v>20</v>
      </c>
      <c r="K4886">
        <v>5</v>
      </c>
      <c r="L4886" s="4">
        <v>97.149999999999991</v>
      </c>
      <c r="M4886" s="4">
        <v>19.429999999999993</v>
      </c>
      <c r="N4886" t="s">
        <v>93</v>
      </c>
    </row>
    <row r="4887" spans="1:14">
      <c r="A4887">
        <v>4886</v>
      </c>
      <c r="B4887">
        <v>65</v>
      </c>
      <c r="C4887" t="s">
        <v>11</v>
      </c>
      <c r="D4887" t="s">
        <v>12</v>
      </c>
      <c r="E4887" t="s">
        <v>56</v>
      </c>
      <c r="F4887">
        <v>44.5</v>
      </c>
      <c r="G4887" t="s">
        <v>19</v>
      </c>
      <c r="H4887" t="s">
        <v>37</v>
      </c>
      <c r="I4887">
        <v>3.9</v>
      </c>
      <c r="J4887">
        <v>14</v>
      </c>
      <c r="K4887">
        <v>2</v>
      </c>
      <c r="L4887" s="4">
        <v>51.744186046511629</v>
      </c>
      <c r="M4887" s="4">
        <v>7.2441860465116292</v>
      </c>
      <c r="N4887" t="s">
        <v>95</v>
      </c>
    </row>
    <row r="4888" spans="1:14">
      <c r="A4888">
        <v>4887</v>
      </c>
      <c r="B4888">
        <v>67</v>
      </c>
      <c r="C4888" t="s">
        <v>16</v>
      </c>
      <c r="D4888" t="s">
        <v>17</v>
      </c>
      <c r="E4888" t="s">
        <v>48</v>
      </c>
      <c r="F4888">
        <v>194.11</v>
      </c>
      <c r="G4888" t="s">
        <v>19</v>
      </c>
      <c r="H4888" t="s">
        <v>15</v>
      </c>
      <c r="I4888">
        <v>3.6</v>
      </c>
      <c r="J4888">
        <v>16</v>
      </c>
      <c r="K4888">
        <v>3</v>
      </c>
      <c r="L4888" s="4">
        <v>231.08333333333337</v>
      </c>
      <c r="M4888" s="4">
        <v>36.973333333333358</v>
      </c>
      <c r="N4888" t="s">
        <v>95</v>
      </c>
    </row>
    <row r="4889" spans="1:14">
      <c r="A4889">
        <v>4888</v>
      </c>
      <c r="B4889">
        <v>42</v>
      </c>
      <c r="C4889" t="s">
        <v>11</v>
      </c>
      <c r="D4889" t="s">
        <v>29</v>
      </c>
      <c r="E4889" t="s">
        <v>55</v>
      </c>
      <c r="F4889">
        <v>125.66</v>
      </c>
      <c r="G4889" t="s">
        <v>31</v>
      </c>
      <c r="H4889" t="s">
        <v>15</v>
      </c>
      <c r="I4889">
        <v>3.6</v>
      </c>
      <c r="J4889">
        <v>12</v>
      </c>
      <c r="K4889">
        <v>6</v>
      </c>
      <c r="L4889" s="4">
        <v>142.79545454545453</v>
      </c>
      <c r="M4889" s="4">
        <v>17.135454545454536</v>
      </c>
      <c r="N4889" t="s">
        <v>92</v>
      </c>
    </row>
    <row r="4890" spans="1:14">
      <c r="A4890">
        <v>4889</v>
      </c>
      <c r="B4890">
        <v>57</v>
      </c>
      <c r="C4890" t="s">
        <v>11</v>
      </c>
      <c r="D4890" t="s">
        <v>29</v>
      </c>
      <c r="E4890" t="s">
        <v>30</v>
      </c>
      <c r="F4890">
        <v>35.130000000000003</v>
      </c>
      <c r="G4890" t="s">
        <v>19</v>
      </c>
      <c r="H4890" t="s">
        <v>15</v>
      </c>
      <c r="I4890">
        <v>3.8</v>
      </c>
      <c r="J4890">
        <v>11</v>
      </c>
      <c r="K4890">
        <v>3</v>
      </c>
      <c r="L4890" s="4">
        <v>39.471910112359552</v>
      </c>
      <c r="M4890" s="4">
        <v>4.3419101123595496</v>
      </c>
      <c r="N4890" t="s">
        <v>94</v>
      </c>
    </row>
    <row r="4891" spans="1:14">
      <c r="A4891">
        <v>4890</v>
      </c>
      <c r="B4891">
        <v>37</v>
      </c>
      <c r="C4891" t="s">
        <v>16</v>
      </c>
      <c r="D4891" t="s">
        <v>33</v>
      </c>
      <c r="E4891" t="s">
        <v>38</v>
      </c>
      <c r="F4891">
        <v>62.42</v>
      </c>
      <c r="G4891" t="s">
        <v>14</v>
      </c>
      <c r="H4891" t="s">
        <v>37</v>
      </c>
      <c r="I4891">
        <v>3.7</v>
      </c>
      <c r="J4891">
        <v>12</v>
      </c>
      <c r="K4891">
        <v>6</v>
      </c>
      <c r="L4891" s="4">
        <v>70.931818181818187</v>
      </c>
      <c r="M4891" s="4">
        <v>8.5118181818181853</v>
      </c>
      <c r="N4891" t="s">
        <v>92</v>
      </c>
    </row>
    <row r="4892" spans="1:14">
      <c r="A4892">
        <v>4891</v>
      </c>
      <c r="B4892">
        <v>61</v>
      </c>
      <c r="C4892" t="s">
        <v>11</v>
      </c>
      <c r="D4892" t="s">
        <v>12</v>
      </c>
      <c r="E4892" t="s">
        <v>13</v>
      </c>
      <c r="F4892">
        <v>148.01</v>
      </c>
      <c r="G4892" t="s">
        <v>14</v>
      </c>
      <c r="H4892" t="s">
        <v>15</v>
      </c>
      <c r="I4892">
        <v>3.5</v>
      </c>
      <c r="J4892">
        <v>10</v>
      </c>
      <c r="K4892">
        <v>5</v>
      </c>
      <c r="L4892" s="4">
        <v>164.45555555555555</v>
      </c>
      <c r="M4892" s="4">
        <v>16.445555555555558</v>
      </c>
      <c r="N4892" t="s">
        <v>94</v>
      </c>
    </row>
    <row r="4893" spans="1:14">
      <c r="A4893">
        <v>4892</v>
      </c>
      <c r="B4893">
        <v>55</v>
      </c>
      <c r="C4893" t="s">
        <v>11</v>
      </c>
      <c r="D4893" t="s">
        <v>20</v>
      </c>
      <c r="E4893" t="s">
        <v>21</v>
      </c>
      <c r="F4893">
        <v>121.55</v>
      </c>
      <c r="G4893" t="s">
        <v>14</v>
      </c>
      <c r="H4893" t="s">
        <v>15</v>
      </c>
      <c r="I4893">
        <v>3.5</v>
      </c>
      <c r="J4893">
        <v>22</v>
      </c>
      <c r="K4893">
        <v>6</v>
      </c>
      <c r="L4893" s="4">
        <v>155.83333333333331</v>
      </c>
      <c r="M4893" s="4">
        <v>34.283333333333317</v>
      </c>
      <c r="N4893" t="s">
        <v>94</v>
      </c>
    </row>
    <row r="4894" spans="1:14">
      <c r="A4894">
        <v>4893</v>
      </c>
      <c r="B4894">
        <v>70</v>
      </c>
      <c r="C4894" t="s">
        <v>11</v>
      </c>
      <c r="D4894" t="s">
        <v>20</v>
      </c>
      <c r="E4894" t="s">
        <v>21</v>
      </c>
      <c r="F4894">
        <v>126.71</v>
      </c>
      <c r="G4894" t="s">
        <v>24</v>
      </c>
      <c r="H4894" t="s">
        <v>15</v>
      </c>
      <c r="I4894">
        <v>4.2</v>
      </c>
      <c r="J4894">
        <v>14</v>
      </c>
      <c r="K4894">
        <v>7</v>
      </c>
      <c r="L4894" s="4">
        <v>147.33720930232559</v>
      </c>
      <c r="M4894" s="4">
        <v>20.627209302325596</v>
      </c>
      <c r="N4894" t="s">
        <v>95</v>
      </c>
    </row>
    <row r="4895" spans="1:14">
      <c r="A4895">
        <v>4894</v>
      </c>
      <c r="B4895">
        <v>47</v>
      </c>
      <c r="C4895" t="s">
        <v>16</v>
      </c>
      <c r="D4895" t="s">
        <v>20</v>
      </c>
      <c r="E4895" t="s">
        <v>21</v>
      </c>
      <c r="F4895">
        <v>187.3</v>
      </c>
      <c r="G4895" t="s">
        <v>19</v>
      </c>
      <c r="H4895" t="s">
        <v>15</v>
      </c>
      <c r="I4895">
        <v>5</v>
      </c>
      <c r="J4895">
        <v>24</v>
      </c>
      <c r="K4895">
        <v>7</v>
      </c>
      <c r="L4895" s="4">
        <v>246.44736842105263</v>
      </c>
      <c r="M4895" s="4">
        <v>59.147368421052619</v>
      </c>
      <c r="N4895" t="s">
        <v>93</v>
      </c>
    </row>
    <row r="4896" spans="1:14">
      <c r="A4896">
        <v>4895</v>
      </c>
      <c r="B4896">
        <v>31</v>
      </c>
      <c r="C4896" t="s">
        <v>11</v>
      </c>
      <c r="D4896" t="s">
        <v>41</v>
      </c>
      <c r="E4896" t="s">
        <v>44</v>
      </c>
      <c r="F4896">
        <v>128.52000000000001</v>
      </c>
      <c r="G4896" t="s">
        <v>24</v>
      </c>
      <c r="H4896" t="s">
        <v>15</v>
      </c>
      <c r="I4896">
        <v>3.2</v>
      </c>
      <c r="J4896">
        <v>10</v>
      </c>
      <c r="K4896">
        <v>5</v>
      </c>
      <c r="L4896" s="4">
        <v>142.80000000000001</v>
      </c>
      <c r="M4896" s="4">
        <v>14.280000000000001</v>
      </c>
      <c r="N4896" t="s">
        <v>91</v>
      </c>
    </row>
    <row r="4897" spans="1:14">
      <c r="A4897">
        <v>4896</v>
      </c>
      <c r="B4897">
        <v>40</v>
      </c>
      <c r="C4897" t="s">
        <v>11</v>
      </c>
      <c r="D4897" t="s">
        <v>29</v>
      </c>
      <c r="E4897" t="s">
        <v>55</v>
      </c>
      <c r="F4897">
        <v>125.95</v>
      </c>
      <c r="G4897" t="s">
        <v>14</v>
      </c>
      <c r="H4897" t="s">
        <v>15</v>
      </c>
      <c r="I4897">
        <v>4.0999999999999996</v>
      </c>
      <c r="J4897">
        <v>15</v>
      </c>
      <c r="K4897">
        <v>5</v>
      </c>
      <c r="L4897" s="4">
        <v>148.1764705882353</v>
      </c>
      <c r="M4897" s="4">
        <v>22.226470588235301</v>
      </c>
      <c r="N4897" t="s">
        <v>92</v>
      </c>
    </row>
    <row r="4898" spans="1:14">
      <c r="A4898">
        <v>4897</v>
      </c>
      <c r="B4898">
        <v>64</v>
      </c>
      <c r="C4898" t="s">
        <v>16</v>
      </c>
      <c r="D4898" t="s">
        <v>20</v>
      </c>
      <c r="E4898" t="s">
        <v>21</v>
      </c>
      <c r="F4898">
        <v>131.15</v>
      </c>
      <c r="G4898" t="s">
        <v>24</v>
      </c>
      <c r="H4898" t="s">
        <v>15</v>
      </c>
      <c r="I4898">
        <v>3.8</v>
      </c>
      <c r="J4898">
        <v>18</v>
      </c>
      <c r="K4898">
        <v>4</v>
      </c>
      <c r="L4898" s="4">
        <v>159.9390243902439</v>
      </c>
      <c r="M4898" s="4">
        <v>28.789024390243895</v>
      </c>
      <c r="N4898" t="s">
        <v>94</v>
      </c>
    </row>
    <row r="4899" spans="1:14">
      <c r="A4899">
        <v>4898</v>
      </c>
      <c r="B4899">
        <v>57</v>
      </c>
      <c r="C4899" t="s">
        <v>11</v>
      </c>
      <c r="D4899" t="s">
        <v>41</v>
      </c>
      <c r="E4899" t="s">
        <v>44</v>
      </c>
      <c r="F4899">
        <v>128.19999999999999</v>
      </c>
      <c r="G4899" t="s">
        <v>14</v>
      </c>
      <c r="H4899" t="s">
        <v>15</v>
      </c>
      <c r="I4899">
        <v>4.2</v>
      </c>
      <c r="J4899">
        <v>30</v>
      </c>
      <c r="K4899">
        <v>10</v>
      </c>
      <c r="L4899" s="4">
        <v>183.14285714285714</v>
      </c>
      <c r="M4899" s="4">
        <v>54.94285714285715</v>
      </c>
      <c r="N4899" t="s">
        <v>94</v>
      </c>
    </row>
    <row r="4900" spans="1:14">
      <c r="A4900">
        <v>4899</v>
      </c>
      <c r="B4900">
        <v>55</v>
      </c>
      <c r="C4900" t="s">
        <v>16</v>
      </c>
      <c r="D4900" t="s">
        <v>27</v>
      </c>
      <c r="E4900" t="s">
        <v>28</v>
      </c>
      <c r="F4900">
        <v>1091.19</v>
      </c>
      <c r="G4900" t="s">
        <v>31</v>
      </c>
      <c r="H4900" t="s">
        <v>15</v>
      </c>
      <c r="I4900">
        <v>4.7</v>
      </c>
      <c r="J4900">
        <v>16</v>
      </c>
      <c r="K4900">
        <v>3</v>
      </c>
      <c r="L4900" s="4">
        <v>1299.0357142857144</v>
      </c>
      <c r="M4900" s="4">
        <v>207.84571428571439</v>
      </c>
      <c r="N4900" t="s">
        <v>94</v>
      </c>
    </row>
    <row r="4901" spans="1:14">
      <c r="A4901">
        <v>4900</v>
      </c>
      <c r="B4901">
        <v>48</v>
      </c>
      <c r="C4901" t="s">
        <v>16</v>
      </c>
      <c r="D4901" t="s">
        <v>22</v>
      </c>
      <c r="E4901" t="s">
        <v>23</v>
      </c>
      <c r="F4901">
        <v>212.33</v>
      </c>
      <c r="G4901" t="s">
        <v>14</v>
      </c>
      <c r="H4901" t="s">
        <v>15</v>
      </c>
      <c r="I4901">
        <v>3.7</v>
      </c>
      <c r="J4901">
        <v>12</v>
      </c>
      <c r="K4901">
        <v>6</v>
      </c>
      <c r="L4901" s="4">
        <v>241.28409090909093</v>
      </c>
      <c r="M4901" s="4">
        <v>28.954090909090922</v>
      </c>
      <c r="N4901" t="s">
        <v>93</v>
      </c>
    </row>
    <row r="4902" spans="1:14">
      <c r="A4902">
        <v>4901</v>
      </c>
      <c r="B4902">
        <v>29</v>
      </c>
      <c r="C4902" t="s">
        <v>16</v>
      </c>
      <c r="D4902" t="s">
        <v>27</v>
      </c>
      <c r="E4902" t="s">
        <v>32</v>
      </c>
      <c r="F4902">
        <v>2200.34</v>
      </c>
      <c r="G4902" t="s">
        <v>14</v>
      </c>
      <c r="H4902" t="s">
        <v>15</v>
      </c>
      <c r="I4902">
        <v>4.8</v>
      </c>
      <c r="J4902">
        <v>19</v>
      </c>
      <c r="K4902">
        <v>7</v>
      </c>
      <c r="L4902" s="4">
        <v>2716.4691358024693</v>
      </c>
      <c r="M4902" s="4">
        <v>516.12913580246914</v>
      </c>
      <c r="N4902" t="s">
        <v>91</v>
      </c>
    </row>
    <row r="4903" spans="1:14">
      <c r="A4903">
        <v>4902</v>
      </c>
      <c r="B4903">
        <v>69</v>
      </c>
      <c r="C4903" t="s">
        <v>16</v>
      </c>
      <c r="D4903" t="s">
        <v>27</v>
      </c>
      <c r="E4903" t="s">
        <v>28</v>
      </c>
      <c r="F4903">
        <v>2612.62</v>
      </c>
      <c r="G4903" t="s">
        <v>31</v>
      </c>
      <c r="H4903" t="s">
        <v>15</v>
      </c>
      <c r="I4903">
        <v>4.4000000000000004</v>
      </c>
      <c r="J4903">
        <v>26</v>
      </c>
      <c r="K4903">
        <v>8</v>
      </c>
      <c r="L4903" s="4">
        <v>3530.5675675675675</v>
      </c>
      <c r="M4903" s="4">
        <v>917.9475675675676</v>
      </c>
      <c r="N4903" t="s">
        <v>95</v>
      </c>
    </row>
    <row r="4904" spans="1:14">
      <c r="A4904">
        <v>4903</v>
      </c>
      <c r="B4904">
        <v>23</v>
      </c>
      <c r="C4904" t="s">
        <v>11</v>
      </c>
      <c r="D4904" t="s">
        <v>33</v>
      </c>
      <c r="E4904" t="s">
        <v>38</v>
      </c>
      <c r="F4904">
        <v>115.83</v>
      </c>
      <c r="G4904" t="s">
        <v>19</v>
      </c>
      <c r="H4904" t="s">
        <v>15</v>
      </c>
      <c r="I4904">
        <v>5</v>
      </c>
      <c r="J4904">
        <v>14</v>
      </c>
      <c r="K4904">
        <v>2</v>
      </c>
      <c r="L4904" s="4">
        <v>134.68604651162789</v>
      </c>
      <c r="M4904" s="4">
        <v>18.856046511627895</v>
      </c>
      <c r="N4904" t="s">
        <v>100</v>
      </c>
    </row>
    <row r="4905" spans="1:14">
      <c r="A4905">
        <v>4904</v>
      </c>
      <c r="B4905">
        <v>23</v>
      </c>
      <c r="C4905" t="s">
        <v>16</v>
      </c>
      <c r="D4905" t="s">
        <v>17</v>
      </c>
      <c r="E4905" t="s">
        <v>18</v>
      </c>
      <c r="F4905">
        <v>75.36</v>
      </c>
      <c r="G4905" t="s">
        <v>31</v>
      </c>
      <c r="H4905" t="s">
        <v>15</v>
      </c>
      <c r="I4905">
        <v>4.2</v>
      </c>
      <c r="J4905">
        <v>17</v>
      </c>
      <c r="K4905">
        <v>6</v>
      </c>
      <c r="L4905" s="4">
        <v>90.795180722891573</v>
      </c>
      <c r="M4905" s="4">
        <v>15.435180722891573</v>
      </c>
      <c r="N4905" t="s">
        <v>100</v>
      </c>
    </row>
    <row r="4906" spans="1:14">
      <c r="A4906">
        <v>4905</v>
      </c>
      <c r="B4906">
        <v>30</v>
      </c>
      <c r="C4906" t="s">
        <v>11</v>
      </c>
      <c r="D4906" t="s">
        <v>29</v>
      </c>
      <c r="E4906" t="s">
        <v>51</v>
      </c>
      <c r="F4906">
        <v>54.87</v>
      </c>
      <c r="G4906" t="s">
        <v>31</v>
      </c>
      <c r="H4906" t="s">
        <v>37</v>
      </c>
      <c r="I4906">
        <v>4.0999999999999996</v>
      </c>
      <c r="J4906">
        <v>6</v>
      </c>
      <c r="K4906">
        <v>3</v>
      </c>
      <c r="L4906" s="4">
        <v>58.372340425531917</v>
      </c>
      <c r="M4906" s="4">
        <v>3.5023404255319193</v>
      </c>
      <c r="N4906" t="s">
        <v>91</v>
      </c>
    </row>
    <row r="4907" spans="1:14">
      <c r="A4907">
        <v>4906</v>
      </c>
      <c r="B4907">
        <v>41</v>
      </c>
      <c r="C4907" t="s">
        <v>11</v>
      </c>
      <c r="D4907" t="s">
        <v>22</v>
      </c>
      <c r="E4907" t="s">
        <v>43</v>
      </c>
      <c r="F4907">
        <v>151.15</v>
      </c>
      <c r="G4907" t="s">
        <v>24</v>
      </c>
      <c r="H4907" t="s">
        <v>15</v>
      </c>
      <c r="I4907">
        <v>3.2</v>
      </c>
      <c r="J4907">
        <v>8</v>
      </c>
      <c r="K4907">
        <v>4</v>
      </c>
      <c r="L4907" s="4">
        <v>164.29347826086956</v>
      </c>
      <c r="M4907" s="4">
        <v>13.143478260869557</v>
      </c>
      <c r="N4907" t="s">
        <v>92</v>
      </c>
    </row>
    <row r="4908" spans="1:14">
      <c r="A4908">
        <v>4907</v>
      </c>
      <c r="B4908">
        <v>69</v>
      </c>
      <c r="C4908" t="s">
        <v>11</v>
      </c>
      <c r="D4908" t="s">
        <v>25</v>
      </c>
      <c r="E4908" t="s">
        <v>57</v>
      </c>
      <c r="F4908">
        <v>13.72</v>
      </c>
      <c r="G4908" t="s">
        <v>24</v>
      </c>
      <c r="H4908" t="s">
        <v>37</v>
      </c>
      <c r="I4908">
        <v>3.5</v>
      </c>
      <c r="J4908">
        <v>17</v>
      </c>
      <c r="K4908">
        <v>6</v>
      </c>
      <c r="L4908" s="4">
        <v>16.530120481927714</v>
      </c>
      <c r="M4908" s="4">
        <v>2.8101204819277132</v>
      </c>
      <c r="N4908" t="s">
        <v>95</v>
      </c>
    </row>
    <row r="4909" spans="1:14">
      <c r="A4909">
        <v>4908</v>
      </c>
      <c r="B4909">
        <v>36</v>
      </c>
      <c r="C4909" t="s">
        <v>11</v>
      </c>
      <c r="D4909" t="s">
        <v>33</v>
      </c>
      <c r="E4909" t="s">
        <v>38</v>
      </c>
      <c r="F4909">
        <v>46.3</v>
      </c>
      <c r="G4909" t="s">
        <v>19</v>
      </c>
      <c r="H4909" t="s">
        <v>15</v>
      </c>
      <c r="I4909">
        <v>4.0999999999999996</v>
      </c>
      <c r="J4909">
        <v>32</v>
      </c>
      <c r="K4909">
        <v>11</v>
      </c>
      <c r="L4909" s="4">
        <v>68.088235294117652</v>
      </c>
      <c r="M4909" s="4">
        <v>21.788235294117655</v>
      </c>
      <c r="N4909" t="s">
        <v>92</v>
      </c>
    </row>
    <row r="4910" spans="1:14">
      <c r="A4910">
        <v>4909</v>
      </c>
      <c r="B4910">
        <v>68</v>
      </c>
      <c r="C4910" t="s">
        <v>11</v>
      </c>
      <c r="D4910" t="s">
        <v>12</v>
      </c>
      <c r="E4910" t="s">
        <v>13</v>
      </c>
      <c r="F4910">
        <v>133.47</v>
      </c>
      <c r="G4910" t="s">
        <v>31</v>
      </c>
      <c r="H4910" t="s">
        <v>15</v>
      </c>
      <c r="I4910">
        <v>4</v>
      </c>
      <c r="J4910">
        <v>26</v>
      </c>
      <c r="K4910">
        <v>8</v>
      </c>
      <c r="L4910" s="4">
        <v>180.36486486486487</v>
      </c>
      <c r="M4910" s="4">
        <v>46.894864864864871</v>
      </c>
      <c r="N4910" t="s">
        <v>95</v>
      </c>
    </row>
    <row r="4911" spans="1:14">
      <c r="A4911">
        <v>4910</v>
      </c>
      <c r="B4911">
        <v>47</v>
      </c>
      <c r="C4911" t="s">
        <v>11</v>
      </c>
      <c r="D4911" t="s">
        <v>20</v>
      </c>
      <c r="E4911" t="s">
        <v>36</v>
      </c>
      <c r="F4911">
        <v>61.86</v>
      </c>
      <c r="G4911" t="s">
        <v>24</v>
      </c>
      <c r="H4911" t="s">
        <v>15</v>
      </c>
      <c r="I4911">
        <v>4.2</v>
      </c>
      <c r="J4911">
        <v>8</v>
      </c>
      <c r="K4911">
        <v>4</v>
      </c>
      <c r="L4911" s="4">
        <v>67.239130434782609</v>
      </c>
      <c r="M4911" s="4">
        <v>5.3791304347826099</v>
      </c>
      <c r="N4911" t="s">
        <v>93</v>
      </c>
    </row>
    <row r="4912" spans="1:14">
      <c r="A4912">
        <v>4911</v>
      </c>
      <c r="B4912">
        <v>26</v>
      </c>
      <c r="C4912" t="s">
        <v>11</v>
      </c>
      <c r="D4912" t="s">
        <v>20</v>
      </c>
      <c r="E4912" t="s">
        <v>36</v>
      </c>
      <c r="F4912">
        <v>72.040000000000006</v>
      </c>
      <c r="G4912" t="s">
        <v>19</v>
      </c>
      <c r="H4912" t="s">
        <v>15</v>
      </c>
      <c r="I4912">
        <v>3.7</v>
      </c>
      <c r="J4912">
        <v>18</v>
      </c>
      <c r="K4912">
        <v>4</v>
      </c>
      <c r="L4912" s="4">
        <v>87.853658536585371</v>
      </c>
      <c r="M4912" s="4">
        <v>15.813658536585365</v>
      </c>
      <c r="N4912" t="s">
        <v>91</v>
      </c>
    </row>
    <row r="4913" spans="1:14">
      <c r="A4913">
        <v>4912</v>
      </c>
      <c r="B4913">
        <v>62</v>
      </c>
      <c r="C4913" t="s">
        <v>16</v>
      </c>
      <c r="D4913" t="s">
        <v>17</v>
      </c>
      <c r="E4913" t="s">
        <v>18</v>
      </c>
      <c r="F4913">
        <v>84.61</v>
      </c>
      <c r="G4913" t="s">
        <v>14</v>
      </c>
      <c r="H4913" t="s">
        <v>15</v>
      </c>
      <c r="I4913">
        <v>3.9</v>
      </c>
      <c r="J4913">
        <v>19</v>
      </c>
      <c r="K4913">
        <v>7</v>
      </c>
      <c r="L4913" s="4">
        <v>104.45679012345678</v>
      </c>
      <c r="M4913" s="4">
        <v>19.846790123456785</v>
      </c>
      <c r="N4913" t="s">
        <v>94</v>
      </c>
    </row>
    <row r="4914" spans="1:14">
      <c r="A4914">
        <v>4913</v>
      </c>
      <c r="B4914">
        <v>30</v>
      </c>
      <c r="C4914" t="s">
        <v>16</v>
      </c>
      <c r="D4914" t="s">
        <v>17</v>
      </c>
      <c r="E4914" t="s">
        <v>42</v>
      </c>
      <c r="F4914">
        <v>123.73</v>
      </c>
      <c r="G4914" t="s">
        <v>14</v>
      </c>
      <c r="H4914" t="s">
        <v>15</v>
      </c>
      <c r="I4914">
        <v>2.1</v>
      </c>
      <c r="J4914">
        <v>11</v>
      </c>
      <c r="K4914">
        <v>3</v>
      </c>
      <c r="L4914" s="4">
        <v>139.02247191011236</v>
      </c>
      <c r="M4914" s="4">
        <v>15.292471910112354</v>
      </c>
      <c r="N4914" t="s">
        <v>91</v>
      </c>
    </row>
    <row r="4915" spans="1:14">
      <c r="A4915">
        <v>4914</v>
      </c>
      <c r="B4915">
        <v>44</v>
      </c>
      <c r="C4915" t="s">
        <v>16</v>
      </c>
      <c r="D4915" t="s">
        <v>33</v>
      </c>
      <c r="E4915" t="s">
        <v>34</v>
      </c>
      <c r="F4915">
        <v>114.66</v>
      </c>
      <c r="G4915" t="s">
        <v>31</v>
      </c>
      <c r="H4915" t="s">
        <v>15</v>
      </c>
      <c r="I4915">
        <v>4</v>
      </c>
      <c r="J4915">
        <v>22</v>
      </c>
      <c r="K4915">
        <v>6</v>
      </c>
      <c r="L4915" s="4">
        <v>147</v>
      </c>
      <c r="M4915" s="4">
        <v>32.340000000000003</v>
      </c>
      <c r="N4915" t="s">
        <v>92</v>
      </c>
    </row>
    <row r="4916" spans="1:14">
      <c r="A4916">
        <v>4915</v>
      </c>
      <c r="B4916">
        <v>44</v>
      </c>
      <c r="C4916" t="s">
        <v>11</v>
      </c>
      <c r="D4916" t="s">
        <v>33</v>
      </c>
      <c r="E4916" t="s">
        <v>38</v>
      </c>
      <c r="F4916">
        <v>235.77</v>
      </c>
      <c r="G4916" t="s">
        <v>14</v>
      </c>
      <c r="H4916" t="s">
        <v>15</v>
      </c>
      <c r="I4916">
        <v>2</v>
      </c>
      <c r="J4916">
        <v>12</v>
      </c>
      <c r="K4916">
        <v>6</v>
      </c>
      <c r="L4916" s="4">
        <v>267.92045454545456</v>
      </c>
      <c r="M4916" s="4">
        <v>32.150454545454551</v>
      </c>
      <c r="N4916" t="s">
        <v>92</v>
      </c>
    </row>
    <row r="4917" spans="1:14">
      <c r="A4917">
        <v>4916</v>
      </c>
      <c r="B4917">
        <v>44</v>
      </c>
      <c r="C4917" t="s">
        <v>11</v>
      </c>
      <c r="D4917" t="s">
        <v>25</v>
      </c>
      <c r="E4917" t="s">
        <v>54</v>
      </c>
      <c r="F4917">
        <v>62.94</v>
      </c>
      <c r="G4917" t="s">
        <v>31</v>
      </c>
      <c r="H4917" t="s">
        <v>37</v>
      </c>
      <c r="I4917">
        <v>3.6</v>
      </c>
      <c r="J4917">
        <v>2</v>
      </c>
      <c r="K4917">
        <v>1</v>
      </c>
      <c r="L4917" s="4">
        <v>64.224489795918373</v>
      </c>
      <c r="M4917" s="4">
        <v>1.2844897959183754</v>
      </c>
      <c r="N4917" t="s">
        <v>92</v>
      </c>
    </row>
    <row r="4918" spans="1:14">
      <c r="A4918">
        <v>4917</v>
      </c>
      <c r="B4918">
        <v>39</v>
      </c>
      <c r="C4918" t="s">
        <v>11</v>
      </c>
      <c r="D4918" t="s">
        <v>25</v>
      </c>
      <c r="E4918" t="s">
        <v>54</v>
      </c>
      <c r="F4918">
        <v>70.150000000000006</v>
      </c>
      <c r="G4918" t="s">
        <v>14</v>
      </c>
      <c r="H4918" t="s">
        <v>37</v>
      </c>
      <c r="I4918">
        <v>4.0999999999999996</v>
      </c>
      <c r="J4918">
        <v>14</v>
      </c>
      <c r="K4918">
        <v>2</v>
      </c>
      <c r="L4918" s="4">
        <v>81.569767441860478</v>
      </c>
      <c r="M4918" s="4">
        <v>11.419767441860472</v>
      </c>
      <c r="N4918" t="s">
        <v>92</v>
      </c>
    </row>
    <row r="4919" spans="1:14">
      <c r="A4919">
        <v>4918</v>
      </c>
      <c r="B4919">
        <v>35</v>
      </c>
      <c r="C4919" t="s">
        <v>11</v>
      </c>
      <c r="D4919" t="s">
        <v>25</v>
      </c>
      <c r="E4919" t="s">
        <v>26</v>
      </c>
      <c r="F4919">
        <v>69.099999999999994</v>
      </c>
      <c r="G4919" t="s">
        <v>14</v>
      </c>
      <c r="H4919" t="s">
        <v>15</v>
      </c>
      <c r="I4919">
        <v>4.3</v>
      </c>
      <c r="J4919">
        <v>22</v>
      </c>
      <c r="K4919">
        <v>6</v>
      </c>
      <c r="L4919" s="4">
        <v>88.589743589743577</v>
      </c>
      <c r="M4919" s="4">
        <v>19.489743589743583</v>
      </c>
      <c r="N4919" t="s">
        <v>92</v>
      </c>
    </row>
    <row r="4920" spans="1:14">
      <c r="A4920">
        <v>4919</v>
      </c>
      <c r="B4920">
        <v>43</v>
      </c>
      <c r="C4920" t="s">
        <v>11</v>
      </c>
      <c r="D4920" t="s">
        <v>33</v>
      </c>
      <c r="E4920" t="s">
        <v>40</v>
      </c>
      <c r="F4920">
        <v>63.79</v>
      </c>
      <c r="G4920" t="s">
        <v>19</v>
      </c>
      <c r="H4920" t="s">
        <v>37</v>
      </c>
      <c r="I4920">
        <v>4.0999999999999996</v>
      </c>
      <c r="J4920">
        <v>14</v>
      </c>
      <c r="K4920">
        <v>7</v>
      </c>
      <c r="L4920" s="4">
        <v>74.174418604651166</v>
      </c>
      <c r="M4920" s="4">
        <v>10.384418604651167</v>
      </c>
      <c r="N4920" t="s">
        <v>92</v>
      </c>
    </row>
    <row r="4921" spans="1:14">
      <c r="A4921">
        <v>4920</v>
      </c>
      <c r="B4921">
        <v>44</v>
      </c>
      <c r="C4921" t="s">
        <v>11</v>
      </c>
      <c r="D4921" t="s">
        <v>41</v>
      </c>
      <c r="E4921" t="s">
        <v>42</v>
      </c>
      <c r="F4921">
        <v>47.12</v>
      </c>
      <c r="G4921" t="s">
        <v>14</v>
      </c>
      <c r="H4921" t="s">
        <v>37</v>
      </c>
      <c r="I4921">
        <v>2.2999999999999998</v>
      </c>
      <c r="J4921">
        <v>9</v>
      </c>
      <c r="K4921">
        <v>2</v>
      </c>
      <c r="L4921" s="4">
        <v>51.780219780219774</v>
      </c>
      <c r="M4921" s="4">
        <v>4.6602197802197765</v>
      </c>
      <c r="N4921" t="s">
        <v>92</v>
      </c>
    </row>
    <row r="4922" spans="1:14">
      <c r="A4922">
        <v>4921</v>
      </c>
      <c r="B4922">
        <v>69</v>
      </c>
      <c r="C4922" t="s">
        <v>16</v>
      </c>
      <c r="D4922" t="s">
        <v>20</v>
      </c>
      <c r="E4922" t="s">
        <v>21</v>
      </c>
      <c r="F4922">
        <v>205.85</v>
      </c>
      <c r="G4922" t="s">
        <v>24</v>
      </c>
      <c r="H4922" t="s">
        <v>15</v>
      </c>
      <c r="I4922">
        <v>3.3</v>
      </c>
      <c r="J4922">
        <v>16</v>
      </c>
      <c r="K4922">
        <v>3</v>
      </c>
      <c r="L4922" s="4">
        <v>245.05952380952382</v>
      </c>
      <c r="M4922" s="4">
        <v>39.20952380952383</v>
      </c>
      <c r="N4922" t="s">
        <v>95</v>
      </c>
    </row>
    <row r="4923" spans="1:14">
      <c r="A4923">
        <v>4922</v>
      </c>
      <c r="B4923">
        <v>25</v>
      </c>
      <c r="C4923" t="s">
        <v>11</v>
      </c>
      <c r="D4923" t="s">
        <v>12</v>
      </c>
      <c r="E4923" t="s">
        <v>50</v>
      </c>
      <c r="F4923">
        <v>33.380000000000003</v>
      </c>
      <c r="G4923" t="s">
        <v>14</v>
      </c>
      <c r="H4923" t="s">
        <v>15</v>
      </c>
      <c r="I4923">
        <v>3.5</v>
      </c>
      <c r="J4923">
        <v>8</v>
      </c>
      <c r="K4923">
        <v>4</v>
      </c>
      <c r="L4923" s="4">
        <v>36.282608695652172</v>
      </c>
      <c r="M4923" s="4">
        <v>2.9026086956521695</v>
      </c>
      <c r="N4923" t="s">
        <v>91</v>
      </c>
    </row>
    <row r="4924" spans="1:14">
      <c r="A4924">
        <v>4923</v>
      </c>
      <c r="B4924">
        <v>24</v>
      </c>
      <c r="C4924" t="s">
        <v>16</v>
      </c>
      <c r="D4924" t="s">
        <v>25</v>
      </c>
      <c r="E4924" t="s">
        <v>54</v>
      </c>
      <c r="F4924">
        <v>60.32</v>
      </c>
      <c r="G4924" t="s">
        <v>24</v>
      </c>
      <c r="H4924" t="s">
        <v>37</v>
      </c>
      <c r="I4924">
        <v>2.7</v>
      </c>
      <c r="J4924">
        <v>12</v>
      </c>
      <c r="K4924">
        <v>6</v>
      </c>
      <c r="L4924" s="4">
        <v>68.545454545454547</v>
      </c>
      <c r="M4924" s="4">
        <v>8.2254545454545465</v>
      </c>
      <c r="N4924" t="s">
        <v>100</v>
      </c>
    </row>
    <row r="4925" spans="1:14">
      <c r="A4925">
        <v>4924</v>
      </c>
      <c r="B4925">
        <v>45</v>
      </c>
      <c r="C4925" t="s">
        <v>16</v>
      </c>
      <c r="D4925" t="s">
        <v>20</v>
      </c>
      <c r="E4925" t="s">
        <v>39</v>
      </c>
      <c r="F4925">
        <v>82.4</v>
      </c>
      <c r="G4925" t="s">
        <v>19</v>
      </c>
      <c r="H4925" t="s">
        <v>15</v>
      </c>
      <c r="I4925">
        <v>3.4</v>
      </c>
      <c r="J4925">
        <v>10</v>
      </c>
      <c r="K4925">
        <v>5</v>
      </c>
      <c r="L4925" s="4">
        <v>91.555555555555557</v>
      </c>
      <c r="M4925" s="4">
        <v>9.1555555555555515</v>
      </c>
      <c r="N4925" t="s">
        <v>93</v>
      </c>
    </row>
    <row r="4926" spans="1:14">
      <c r="A4926">
        <v>4925</v>
      </c>
      <c r="B4926">
        <v>55</v>
      </c>
      <c r="C4926" t="s">
        <v>16</v>
      </c>
      <c r="D4926" t="s">
        <v>25</v>
      </c>
      <c r="E4926" t="s">
        <v>26</v>
      </c>
      <c r="F4926">
        <v>32.01</v>
      </c>
      <c r="G4926" t="s">
        <v>24</v>
      </c>
      <c r="H4926" t="s">
        <v>15</v>
      </c>
      <c r="I4926">
        <v>3.7</v>
      </c>
      <c r="J4926">
        <v>15</v>
      </c>
      <c r="K4926">
        <v>5</v>
      </c>
      <c r="L4926" s="4">
        <v>37.658823529411762</v>
      </c>
      <c r="M4926" s="4">
        <v>5.6488235294117644</v>
      </c>
      <c r="N4926" t="s">
        <v>94</v>
      </c>
    </row>
    <row r="4927" spans="1:14">
      <c r="A4927">
        <v>4926</v>
      </c>
      <c r="B4927">
        <v>33</v>
      </c>
      <c r="C4927" t="s">
        <v>16</v>
      </c>
      <c r="D4927" t="s">
        <v>20</v>
      </c>
      <c r="E4927" t="s">
        <v>39</v>
      </c>
      <c r="F4927">
        <v>40.549999999999997</v>
      </c>
      <c r="G4927" t="s">
        <v>24</v>
      </c>
      <c r="H4927" t="s">
        <v>37</v>
      </c>
      <c r="I4927">
        <v>4.5999999999999996</v>
      </c>
      <c r="J4927">
        <v>4</v>
      </c>
      <c r="K4927">
        <v>2</v>
      </c>
      <c r="L4927" s="4">
        <v>42.239583333333329</v>
      </c>
      <c r="M4927" s="4">
        <v>1.6895833333333314</v>
      </c>
      <c r="N4927" t="s">
        <v>91</v>
      </c>
    </row>
    <row r="4928" spans="1:14">
      <c r="A4928">
        <v>4927</v>
      </c>
      <c r="B4928">
        <v>47</v>
      </c>
      <c r="C4928" t="s">
        <v>11</v>
      </c>
      <c r="D4928" t="s">
        <v>29</v>
      </c>
      <c r="E4928" t="s">
        <v>51</v>
      </c>
      <c r="F4928">
        <v>100.37</v>
      </c>
      <c r="G4928" t="s">
        <v>19</v>
      </c>
      <c r="H4928" t="s">
        <v>15</v>
      </c>
      <c r="I4928">
        <v>3</v>
      </c>
      <c r="J4928">
        <v>4</v>
      </c>
      <c r="K4928">
        <v>2</v>
      </c>
      <c r="L4928" s="4">
        <v>104.55208333333334</v>
      </c>
      <c r="M4928" s="4">
        <v>4.1820833333333383</v>
      </c>
      <c r="N4928" t="s">
        <v>93</v>
      </c>
    </row>
    <row r="4929" spans="1:14">
      <c r="A4929">
        <v>4928</v>
      </c>
      <c r="B4929">
        <v>67</v>
      </c>
      <c r="C4929" t="s">
        <v>16</v>
      </c>
      <c r="D4929" t="s">
        <v>27</v>
      </c>
      <c r="E4929" t="s">
        <v>28</v>
      </c>
      <c r="F4929">
        <v>1360.46</v>
      </c>
      <c r="G4929" t="s">
        <v>31</v>
      </c>
      <c r="H4929" t="s">
        <v>15</v>
      </c>
      <c r="I4929">
        <v>5</v>
      </c>
      <c r="J4929">
        <v>24</v>
      </c>
      <c r="K4929">
        <v>7</v>
      </c>
      <c r="L4929" s="4">
        <v>1790.078947368421</v>
      </c>
      <c r="M4929" s="4">
        <v>429.618947368421</v>
      </c>
      <c r="N4929" t="s">
        <v>95</v>
      </c>
    </row>
    <row r="4930" spans="1:14">
      <c r="A4930">
        <v>4929</v>
      </c>
      <c r="B4930">
        <v>36</v>
      </c>
      <c r="C4930" t="s">
        <v>11</v>
      </c>
      <c r="D4930" t="s">
        <v>12</v>
      </c>
      <c r="E4930" t="s">
        <v>50</v>
      </c>
      <c r="F4930">
        <v>141.63</v>
      </c>
      <c r="G4930" t="s">
        <v>14</v>
      </c>
      <c r="H4930" t="s">
        <v>15</v>
      </c>
      <c r="I4930">
        <v>4.4000000000000004</v>
      </c>
      <c r="J4930">
        <v>17</v>
      </c>
      <c r="K4930">
        <v>6</v>
      </c>
      <c r="L4930" s="4">
        <v>170.63855421686748</v>
      </c>
      <c r="M4930" s="4">
        <v>29.008554216867481</v>
      </c>
      <c r="N4930" t="s">
        <v>92</v>
      </c>
    </row>
    <row r="4931" spans="1:14">
      <c r="A4931">
        <v>4930</v>
      </c>
      <c r="B4931">
        <v>30</v>
      </c>
      <c r="C4931" t="s">
        <v>16</v>
      </c>
      <c r="D4931" t="s">
        <v>33</v>
      </c>
      <c r="E4931" t="s">
        <v>34</v>
      </c>
      <c r="F4931">
        <v>131.47</v>
      </c>
      <c r="G4931" t="s">
        <v>31</v>
      </c>
      <c r="H4931" t="s">
        <v>15</v>
      </c>
      <c r="I4931">
        <v>3.9</v>
      </c>
      <c r="J4931">
        <v>18</v>
      </c>
      <c r="K4931">
        <v>4</v>
      </c>
      <c r="L4931" s="4">
        <v>160.32926829268291</v>
      </c>
      <c r="M4931" s="4">
        <v>28.859268292682913</v>
      </c>
      <c r="N4931" t="s">
        <v>91</v>
      </c>
    </row>
    <row r="4932" spans="1:14">
      <c r="A4932">
        <v>4931</v>
      </c>
      <c r="B4932">
        <v>36</v>
      </c>
      <c r="C4932" t="s">
        <v>16</v>
      </c>
      <c r="D4932" t="s">
        <v>17</v>
      </c>
      <c r="E4932" t="s">
        <v>42</v>
      </c>
      <c r="F4932">
        <v>106.54</v>
      </c>
      <c r="G4932" t="s">
        <v>24</v>
      </c>
      <c r="H4932" t="s">
        <v>15</v>
      </c>
      <c r="I4932">
        <v>5</v>
      </c>
      <c r="J4932">
        <v>22</v>
      </c>
      <c r="K4932">
        <v>6</v>
      </c>
      <c r="L4932" s="4">
        <v>136.58974358974359</v>
      </c>
      <c r="M4932" s="4">
        <v>30.049743589743585</v>
      </c>
      <c r="N4932" t="s">
        <v>92</v>
      </c>
    </row>
    <row r="4933" spans="1:14">
      <c r="A4933">
        <v>4932</v>
      </c>
      <c r="B4933">
        <v>21</v>
      </c>
      <c r="C4933" t="s">
        <v>16</v>
      </c>
      <c r="D4933" t="s">
        <v>27</v>
      </c>
      <c r="E4933" t="s">
        <v>28</v>
      </c>
      <c r="F4933">
        <v>845.23</v>
      </c>
      <c r="G4933" t="s">
        <v>24</v>
      </c>
      <c r="H4933" t="s">
        <v>15</v>
      </c>
      <c r="I4933">
        <v>3.7</v>
      </c>
      <c r="J4933">
        <v>16</v>
      </c>
      <c r="K4933">
        <v>8</v>
      </c>
      <c r="L4933" s="4">
        <v>1006.2261904761905</v>
      </c>
      <c r="M4933" s="4">
        <v>160.99619047619046</v>
      </c>
      <c r="N4933" t="s">
        <v>100</v>
      </c>
    </row>
    <row r="4934" spans="1:14">
      <c r="A4934">
        <v>4933</v>
      </c>
      <c r="B4934">
        <v>49</v>
      </c>
      <c r="C4934" t="s">
        <v>16</v>
      </c>
      <c r="D4934" t="s">
        <v>27</v>
      </c>
      <c r="E4934" t="s">
        <v>28</v>
      </c>
      <c r="F4934">
        <v>2662.07</v>
      </c>
      <c r="G4934" t="s">
        <v>24</v>
      </c>
      <c r="H4934" t="s">
        <v>15</v>
      </c>
      <c r="I4934">
        <v>4.7</v>
      </c>
      <c r="J4934">
        <v>20</v>
      </c>
      <c r="K4934">
        <v>5</v>
      </c>
      <c r="L4934" s="4">
        <v>3327.5875000000001</v>
      </c>
      <c r="M4934" s="4">
        <v>665.51749999999993</v>
      </c>
      <c r="N4934" t="s">
        <v>93</v>
      </c>
    </row>
    <row r="4935" spans="1:14">
      <c r="A4935">
        <v>4934</v>
      </c>
      <c r="B4935">
        <v>50</v>
      </c>
      <c r="C4935" t="s">
        <v>16</v>
      </c>
      <c r="D4935" t="s">
        <v>20</v>
      </c>
      <c r="E4935" t="s">
        <v>39</v>
      </c>
      <c r="F4935">
        <v>186.83</v>
      </c>
      <c r="G4935" t="s">
        <v>19</v>
      </c>
      <c r="H4935" t="s">
        <v>15</v>
      </c>
      <c r="I4935">
        <v>3</v>
      </c>
      <c r="J4935">
        <v>11</v>
      </c>
      <c r="K4935">
        <v>3</v>
      </c>
      <c r="L4935" s="4">
        <v>209.92134831460675</v>
      </c>
      <c r="M4935" s="4">
        <v>23.091348314606734</v>
      </c>
      <c r="N4935" t="s">
        <v>93</v>
      </c>
    </row>
    <row r="4936" spans="1:14">
      <c r="A4936">
        <v>4935</v>
      </c>
      <c r="B4936">
        <v>66</v>
      </c>
      <c r="C4936" t="s">
        <v>11</v>
      </c>
      <c r="D4936" t="s">
        <v>12</v>
      </c>
      <c r="E4936" t="s">
        <v>13</v>
      </c>
      <c r="F4936">
        <v>143.75</v>
      </c>
      <c r="G4936" t="s">
        <v>14</v>
      </c>
      <c r="H4936" t="s">
        <v>15</v>
      </c>
      <c r="I4936">
        <v>3.7</v>
      </c>
      <c r="J4936">
        <v>20</v>
      </c>
      <c r="K4936">
        <v>5</v>
      </c>
      <c r="L4936" s="4">
        <v>179.6875</v>
      </c>
      <c r="M4936" s="4">
        <v>35.9375</v>
      </c>
      <c r="N4936" t="s">
        <v>95</v>
      </c>
    </row>
    <row r="4937" spans="1:14">
      <c r="A4937">
        <v>4936</v>
      </c>
      <c r="B4937">
        <v>23</v>
      </c>
      <c r="C4937" t="s">
        <v>16</v>
      </c>
      <c r="D4937" t="s">
        <v>27</v>
      </c>
      <c r="E4937" t="s">
        <v>28</v>
      </c>
      <c r="F4937">
        <v>2876.27</v>
      </c>
      <c r="G4937" t="s">
        <v>19</v>
      </c>
      <c r="H4937" t="s">
        <v>15</v>
      </c>
      <c r="I4937">
        <v>3</v>
      </c>
      <c r="J4937">
        <v>16</v>
      </c>
      <c r="K4937">
        <v>3</v>
      </c>
      <c r="L4937" s="4">
        <v>3424.1309523809523</v>
      </c>
      <c r="M4937" s="4">
        <v>547.86095238095231</v>
      </c>
      <c r="N4937" t="s">
        <v>100</v>
      </c>
    </row>
    <row r="4938" spans="1:14">
      <c r="A4938">
        <v>4937</v>
      </c>
      <c r="B4938">
        <v>31</v>
      </c>
      <c r="C4938" t="s">
        <v>16</v>
      </c>
      <c r="D4938" t="s">
        <v>27</v>
      </c>
      <c r="E4938" t="s">
        <v>49</v>
      </c>
      <c r="F4938">
        <v>2686.88</v>
      </c>
      <c r="G4938" t="s">
        <v>24</v>
      </c>
      <c r="H4938" t="s">
        <v>15</v>
      </c>
      <c r="I4938">
        <v>3.3</v>
      </c>
      <c r="J4938">
        <v>9</v>
      </c>
      <c r="K4938">
        <v>2</v>
      </c>
      <c r="L4938" s="4">
        <v>2952.6153846153848</v>
      </c>
      <c r="M4938" s="4">
        <v>265.73538461538465</v>
      </c>
      <c r="N4938" t="s">
        <v>91</v>
      </c>
    </row>
    <row r="4939" spans="1:14">
      <c r="A4939">
        <v>4938</v>
      </c>
      <c r="B4939">
        <v>54</v>
      </c>
      <c r="C4939" t="s">
        <v>11</v>
      </c>
      <c r="D4939" t="s">
        <v>41</v>
      </c>
      <c r="E4939" t="s">
        <v>42</v>
      </c>
      <c r="F4939">
        <v>35.299999999999997</v>
      </c>
      <c r="G4939" t="s">
        <v>14</v>
      </c>
      <c r="H4939" t="s">
        <v>15</v>
      </c>
      <c r="I4939">
        <v>3.6</v>
      </c>
      <c r="J4939">
        <v>26</v>
      </c>
      <c r="K4939">
        <v>8</v>
      </c>
      <c r="L4939" s="4">
        <v>47.702702702702702</v>
      </c>
      <c r="M4939" s="4">
        <v>12.402702702702705</v>
      </c>
      <c r="N4939" t="s">
        <v>93</v>
      </c>
    </row>
    <row r="4940" spans="1:14">
      <c r="A4940">
        <v>4939</v>
      </c>
      <c r="B4940">
        <v>64</v>
      </c>
      <c r="C4940" t="s">
        <v>16</v>
      </c>
      <c r="D4940" t="s">
        <v>27</v>
      </c>
      <c r="E4940" t="s">
        <v>53</v>
      </c>
      <c r="F4940">
        <v>2546.2600000000002</v>
      </c>
      <c r="G4940" t="s">
        <v>14</v>
      </c>
      <c r="H4940" t="s">
        <v>15</v>
      </c>
      <c r="I4940">
        <v>4.9000000000000004</v>
      </c>
      <c r="J4940">
        <v>15</v>
      </c>
      <c r="K4940">
        <v>5</v>
      </c>
      <c r="L4940" s="4">
        <v>2995.6000000000004</v>
      </c>
      <c r="M4940" s="4">
        <v>449.34000000000015</v>
      </c>
      <c r="N4940" t="s">
        <v>94</v>
      </c>
    </row>
    <row r="4941" spans="1:14">
      <c r="A4941">
        <v>4940</v>
      </c>
      <c r="B4941">
        <v>31</v>
      </c>
      <c r="C4941" t="s">
        <v>16</v>
      </c>
      <c r="D4941" t="s">
        <v>33</v>
      </c>
      <c r="E4941" t="s">
        <v>38</v>
      </c>
      <c r="F4941">
        <v>248.37</v>
      </c>
      <c r="G4941" t="s">
        <v>31</v>
      </c>
      <c r="H4941" t="s">
        <v>15</v>
      </c>
      <c r="I4941">
        <v>4.4000000000000004</v>
      </c>
      <c r="J4941">
        <v>20</v>
      </c>
      <c r="K4941">
        <v>5</v>
      </c>
      <c r="L4941" s="4">
        <v>310.46249999999998</v>
      </c>
      <c r="M4941" s="4">
        <v>62.092499999999973</v>
      </c>
      <c r="N4941" t="s">
        <v>91</v>
      </c>
    </row>
    <row r="4942" spans="1:14">
      <c r="A4942">
        <v>4941</v>
      </c>
      <c r="B4942">
        <v>31</v>
      </c>
      <c r="C4942" t="s">
        <v>11</v>
      </c>
      <c r="D4942" t="s">
        <v>29</v>
      </c>
      <c r="E4942" t="s">
        <v>30</v>
      </c>
      <c r="F4942">
        <v>45.08</v>
      </c>
      <c r="G4942" t="s">
        <v>24</v>
      </c>
      <c r="H4942" t="s">
        <v>37</v>
      </c>
      <c r="I4942">
        <v>4.0999999999999996</v>
      </c>
      <c r="J4942">
        <v>22</v>
      </c>
      <c r="K4942">
        <v>6</v>
      </c>
      <c r="L4942" s="4">
        <v>57.794871794871788</v>
      </c>
      <c r="M4942" s="4">
        <v>12.71487179487179</v>
      </c>
      <c r="N4942" t="s">
        <v>91</v>
      </c>
    </row>
    <row r="4943" spans="1:14">
      <c r="A4943">
        <v>4942</v>
      </c>
      <c r="B4943">
        <v>22</v>
      </c>
      <c r="C4943" t="s">
        <v>16</v>
      </c>
      <c r="D4943" t="s">
        <v>20</v>
      </c>
      <c r="E4943" t="s">
        <v>36</v>
      </c>
      <c r="F4943">
        <v>193.77</v>
      </c>
      <c r="G4943" t="s">
        <v>14</v>
      </c>
      <c r="H4943" t="s">
        <v>15</v>
      </c>
      <c r="I4943">
        <v>4.9000000000000004</v>
      </c>
      <c r="J4943">
        <v>14</v>
      </c>
      <c r="K4943">
        <v>7</v>
      </c>
      <c r="L4943" s="4">
        <v>225.31395348837211</v>
      </c>
      <c r="M4943" s="4">
        <v>31.543953488372097</v>
      </c>
      <c r="N4943" t="s">
        <v>100</v>
      </c>
    </row>
    <row r="4944" spans="1:14">
      <c r="A4944">
        <v>4943</v>
      </c>
      <c r="B4944">
        <v>40</v>
      </c>
      <c r="C4944" t="s">
        <v>11</v>
      </c>
      <c r="D4944" t="s">
        <v>29</v>
      </c>
      <c r="E4944" t="s">
        <v>30</v>
      </c>
      <c r="F4944">
        <v>98.85</v>
      </c>
      <c r="G4944" t="s">
        <v>14</v>
      </c>
      <c r="H4944" t="s">
        <v>15</v>
      </c>
      <c r="I4944">
        <v>4.7</v>
      </c>
      <c r="J4944">
        <v>16</v>
      </c>
      <c r="K4944">
        <v>3</v>
      </c>
      <c r="L4944" s="4">
        <v>117.67857142857143</v>
      </c>
      <c r="M4944" s="4">
        <v>18.828571428571436</v>
      </c>
      <c r="N4944" t="s">
        <v>92</v>
      </c>
    </row>
    <row r="4945" spans="1:14">
      <c r="A4945">
        <v>4944</v>
      </c>
      <c r="B4945">
        <v>28</v>
      </c>
      <c r="C4945" t="s">
        <v>16</v>
      </c>
      <c r="D4945" t="s">
        <v>33</v>
      </c>
      <c r="E4945" t="s">
        <v>40</v>
      </c>
      <c r="F4945">
        <v>216.39</v>
      </c>
      <c r="G4945" t="s">
        <v>14</v>
      </c>
      <c r="H4945" t="s">
        <v>15</v>
      </c>
      <c r="I4945">
        <v>1.5</v>
      </c>
      <c r="J4945">
        <v>7</v>
      </c>
      <c r="K4945">
        <v>1</v>
      </c>
      <c r="L4945" s="4">
        <v>232.67741935483872</v>
      </c>
      <c r="M4945" s="4">
        <v>16.287419354838732</v>
      </c>
      <c r="N4945" t="s">
        <v>91</v>
      </c>
    </row>
    <row r="4946" spans="1:14">
      <c r="A4946">
        <v>4945</v>
      </c>
      <c r="B4946">
        <v>64</v>
      </c>
      <c r="C4946" t="s">
        <v>11</v>
      </c>
      <c r="D4946" t="s">
        <v>33</v>
      </c>
      <c r="E4946" t="s">
        <v>38</v>
      </c>
      <c r="F4946">
        <v>197.46</v>
      </c>
      <c r="G4946" t="s">
        <v>14</v>
      </c>
      <c r="H4946" t="s">
        <v>15</v>
      </c>
      <c r="I4946">
        <v>4.4000000000000004</v>
      </c>
      <c r="J4946">
        <v>10</v>
      </c>
      <c r="K4946">
        <v>5</v>
      </c>
      <c r="L4946" s="4">
        <v>219.4</v>
      </c>
      <c r="M4946" s="4">
        <v>21.939999999999998</v>
      </c>
      <c r="N4946" t="s">
        <v>94</v>
      </c>
    </row>
    <row r="4947" spans="1:14">
      <c r="A4947">
        <v>4946</v>
      </c>
      <c r="B4947">
        <v>48</v>
      </c>
      <c r="C4947" t="s">
        <v>11</v>
      </c>
      <c r="D4947" t="s">
        <v>25</v>
      </c>
      <c r="E4947" t="s">
        <v>47</v>
      </c>
      <c r="F4947">
        <v>75.400000000000006</v>
      </c>
      <c r="G4947" t="s">
        <v>19</v>
      </c>
      <c r="H4947" t="s">
        <v>15</v>
      </c>
      <c r="I4947">
        <v>3.7</v>
      </c>
      <c r="J4947">
        <v>8</v>
      </c>
      <c r="K4947">
        <v>4</v>
      </c>
      <c r="L4947" s="4">
        <v>81.956521739130437</v>
      </c>
      <c r="M4947" s="4">
        <v>6.5565217391304316</v>
      </c>
      <c r="N4947" t="s">
        <v>93</v>
      </c>
    </row>
    <row r="4948" spans="1:14">
      <c r="A4948">
        <v>4947</v>
      </c>
      <c r="B4948">
        <v>24</v>
      </c>
      <c r="C4948" t="s">
        <v>11</v>
      </c>
      <c r="D4948" t="s">
        <v>29</v>
      </c>
      <c r="E4948" t="s">
        <v>55</v>
      </c>
      <c r="F4948">
        <v>78.11</v>
      </c>
      <c r="G4948" t="s">
        <v>31</v>
      </c>
      <c r="H4948" t="s">
        <v>37</v>
      </c>
      <c r="I4948">
        <v>3.6</v>
      </c>
      <c r="J4948">
        <v>12</v>
      </c>
      <c r="K4948">
        <v>6</v>
      </c>
      <c r="L4948" s="4">
        <v>88.76136363636364</v>
      </c>
      <c r="M4948" s="4">
        <v>10.651363636363641</v>
      </c>
      <c r="N4948" t="s">
        <v>100</v>
      </c>
    </row>
    <row r="4949" spans="1:14">
      <c r="A4949">
        <v>4948</v>
      </c>
      <c r="B4949">
        <v>20</v>
      </c>
      <c r="C4949" t="s">
        <v>11</v>
      </c>
      <c r="D4949" t="s">
        <v>29</v>
      </c>
      <c r="E4949" t="s">
        <v>55</v>
      </c>
      <c r="F4949">
        <v>32.659999999999997</v>
      </c>
      <c r="G4949" t="s">
        <v>19</v>
      </c>
      <c r="H4949" t="s">
        <v>37</v>
      </c>
      <c r="I4949">
        <v>2.9</v>
      </c>
      <c r="J4949">
        <v>8</v>
      </c>
      <c r="K4949">
        <v>4</v>
      </c>
      <c r="L4949" s="4">
        <v>35.499999999999993</v>
      </c>
      <c r="M4949" s="4">
        <v>2.8399999999999963</v>
      </c>
      <c r="N4949" t="s">
        <v>100</v>
      </c>
    </row>
    <row r="4950" spans="1:14">
      <c r="A4950">
        <v>4949</v>
      </c>
      <c r="B4950">
        <v>21</v>
      </c>
      <c r="C4950" t="s">
        <v>11</v>
      </c>
      <c r="D4950" t="s">
        <v>33</v>
      </c>
      <c r="E4950" t="s">
        <v>34</v>
      </c>
      <c r="F4950">
        <v>91.71</v>
      </c>
      <c r="G4950" t="s">
        <v>14</v>
      </c>
      <c r="H4950" t="s">
        <v>37</v>
      </c>
      <c r="I4950">
        <v>3</v>
      </c>
      <c r="J4950">
        <v>8</v>
      </c>
      <c r="K4950">
        <v>4</v>
      </c>
      <c r="L4950" s="4">
        <v>99.684782608695642</v>
      </c>
      <c r="M4950" s="4">
        <v>7.9747826086956479</v>
      </c>
      <c r="N4950" t="s">
        <v>100</v>
      </c>
    </row>
    <row r="4951" spans="1:14">
      <c r="A4951">
        <v>4950</v>
      </c>
      <c r="B4951">
        <v>70</v>
      </c>
      <c r="C4951" t="s">
        <v>11</v>
      </c>
      <c r="D4951" t="s">
        <v>29</v>
      </c>
      <c r="E4951" t="s">
        <v>55</v>
      </c>
      <c r="F4951">
        <v>70.739999999999995</v>
      </c>
      <c r="G4951" t="s">
        <v>14</v>
      </c>
      <c r="H4951" t="s">
        <v>37</v>
      </c>
      <c r="I4951">
        <v>4.7</v>
      </c>
      <c r="J4951">
        <v>28</v>
      </c>
      <c r="K4951">
        <v>9</v>
      </c>
      <c r="L4951" s="4">
        <v>98.25</v>
      </c>
      <c r="M4951" s="4">
        <v>27.510000000000005</v>
      </c>
      <c r="N4951" t="s">
        <v>95</v>
      </c>
    </row>
    <row r="4952" spans="1:14">
      <c r="A4952">
        <v>4951</v>
      </c>
      <c r="B4952">
        <v>39</v>
      </c>
      <c r="C4952" t="s">
        <v>11</v>
      </c>
      <c r="D4952" t="s">
        <v>33</v>
      </c>
      <c r="E4952" t="s">
        <v>38</v>
      </c>
      <c r="F4952">
        <v>92.58</v>
      </c>
      <c r="G4952" t="s">
        <v>31</v>
      </c>
      <c r="H4952" t="s">
        <v>15</v>
      </c>
      <c r="I4952">
        <v>3.6</v>
      </c>
      <c r="J4952">
        <v>11</v>
      </c>
      <c r="K4952">
        <v>3</v>
      </c>
      <c r="L4952" s="4">
        <v>104.02247191011236</v>
      </c>
      <c r="M4952" s="4">
        <v>11.44247191011236</v>
      </c>
      <c r="N4952" t="s">
        <v>92</v>
      </c>
    </row>
    <row r="4953" spans="1:14">
      <c r="A4953">
        <v>4952</v>
      </c>
      <c r="B4953">
        <v>53</v>
      </c>
      <c r="C4953" t="s">
        <v>11</v>
      </c>
      <c r="D4953" t="s">
        <v>29</v>
      </c>
      <c r="E4953" t="s">
        <v>51</v>
      </c>
      <c r="F4953">
        <v>92.62</v>
      </c>
      <c r="G4953" t="s">
        <v>31</v>
      </c>
      <c r="H4953" t="s">
        <v>15</v>
      </c>
      <c r="I4953">
        <v>4.9000000000000004</v>
      </c>
      <c r="J4953">
        <v>11</v>
      </c>
      <c r="K4953">
        <v>3</v>
      </c>
      <c r="L4953" s="4">
        <v>104.06741573033709</v>
      </c>
      <c r="M4953" s="4">
        <v>11.447415730337084</v>
      </c>
      <c r="N4953" t="s">
        <v>93</v>
      </c>
    </row>
    <row r="4954" spans="1:14">
      <c r="A4954">
        <v>4953</v>
      </c>
      <c r="B4954">
        <v>24</v>
      </c>
      <c r="C4954" t="s">
        <v>16</v>
      </c>
      <c r="D4954" t="s">
        <v>33</v>
      </c>
      <c r="E4954" t="s">
        <v>40</v>
      </c>
      <c r="F4954">
        <v>201.33</v>
      </c>
      <c r="G4954" t="s">
        <v>24</v>
      </c>
      <c r="H4954" t="s">
        <v>15</v>
      </c>
      <c r="I4954">
        <v>3.4</v>
      </c>
      <c r="J4954">
        <v>0</v>
      </c>
      <c r="K4954">
        <v>0</v>
      </c>
      <c r="L4954" s="4">
        <v>201.33</v>
      </c>
      <c r="M4954" s="4">
        <v>0</v>
      </c>
      <c r="N4954" t="s">
        <v>100</v>
      </c>
    </row>
    <row r="4955" spans="1:14">
      <c r="A4955">
        <v>4954</v>
      </c>
      <c r="B4955">
        <v>22</v>
      </c>
      <c r="C4955" t="s">
        <v>11</v>
      </c>
      <c r="D4955" t="s">
        <v>41</v>
      </c>
      <c r="E4955" t="s">
        <v>44</v>
      </c>
      <c r="F4955">
        <v>107.7</v>
      </c>
      <c r="G4955" t="s">
        <v>14</v>
      </c>
      <c r="H4955" t="s">
        <v>15</v>
      </c>
      <c r="I4955">
        <v>3.2</v>
      </c>
      <c r="J4955">
        <v>28</v>
      </c>
      <c r="K4955">
        <v>9</v>
      </c>
      <c r="L4955" s="4">
        <v>149.58333333333334</v>
      </c>
      <c r="M4955" s="4">
        <v>41.88333333333334</v>
      </c>
      <c r="N4955" t="s">
        <v>100</v>
      </c>
    </row>
    <row r="4956" spans="1:14">
      <c r="A4956">
        <v>4955</v>
      </c>
      <c r="B4956">
        <v>29</v>
      </c>
      <c r="C4956" t="s">
        <v>16</v>
      </c>
      <c r="D4956" t="s">
        <v>20</v>
      </c>
      <c r="E4956" t="s">
        <v>21</v>
      </c>
      <c r="F4956">
        <v>48.66</v>
      </c>
      <c r="G4956" t="s">
        <v>19</v>
      </c>
      <c r="H4956" t="s">
        <v>15</v>
      </c>
      <c r="I4956">
        <v>3.5</v>
      </c>
      <c r="J4956">
        <v>4</v>
      </c>
      <c r="K4956">
        <v>2</v>
      </c>
      <c r="L4956" s="4">
        <v>50.6875</v>
      </c>
      <c r="M4956" s="4">
        <v>2.0275000000000034</v>
      </c>
      <c r="N4956" t="s">
        <v>91</v>
      </c>
    </row>
    <row r="4957" spans="1:14">
      <c r="A4957">
        <v>4956</v>
      </c>
      <c r="B4957">
        <v>37</v>
      </c>
      <c r="C4957" t="s">
        <v>16</v>
      </c>
      <c r="D4957" t="s">
        <v>25</v>
      </c>
      <c r="E4957" t="s">
        <v>47</v>
      </c>
      <c r="F4957">
        <v>43.47</v>
      </c>
      <c r="G4957" t="s">
        <v>14</v>
      </c>
      <c r="H4957" t="s">
        <v>37</v>
      </c>
      <c r="I4957">
        <v>4.0999999999999996</v>
      </c>
      <c r="J4957">
        <v>16</v>
      </c>
      <c r="K4957">
        <v>3</v>
      </c>
      <c r="L4957" s="4">
        <v>51.75</v>
      </c>
      <c r="M4957" s="4">
        <v>8.2800000000000011</v>
      </c>
      <c r="N4957" t="s">
        <v>92</v>
      </c>
    </row>
    <row r="4958" spans="1:14">
      <c r="A4958">
        <v>4957</v>
      </c>
      <c r="B4958">
        <v>47</v>
      </c>
      <c r="C4958" t="s">
        <v>16</v>
      </c>
      <c r="D4958" t="s">
        <v>17</v>
      </c>
      <c r="E4958" t="s">
        <v>42</v>
      </c>
      <c r="F4958">
        <v>179.91</v>
      </c>
      <c r="G4958" t="s">
        <v>31</v>
      </c>
      <c r="H4958" t="s">
        <v>15</v>
      </c>
      <c r="I4958">
        <v>4.4000000000000004</v>
      </c>
      <c r="J4958">
        <v>12</v>
      </c>
      <c r="K4958">
        <v>6</v>
      </c>
      <c r="L4958" s="4">
        <v>204.44318181818181</v>
      </c>
      <c r="M4958" s="4">
        <v>24.533181818181816</v>
      </c>
      <c r="N4958" t="s">
        <v>93</v>
      </c>
    </row>
    <row r="4959" spans="1:14">
      <c r="A4959">
        <v>4958</v>
      </c>
      <c r="B4959">
        <v>69</v>
      </c>
      <c r="C4959" t="s">
        <v>16</v>
      </c>
      <c r="D4959" t="s">
        <v>25</v>
      </c>
      <c r="E4959" t="s">
        <v>57</v>
      </c>
      <c r="F4959">
        <v>60.23</v>
      </c>
      <c r="G4959" t="s">
        <v>14</v>
      </c>
      <c r="H4959" t="s">
        <v>37</v>
      </c>
      <c r="I4959">
        <v>3.3</v>
      </c>
      <c r="J4959">
        <v>14</v>
      </c>
      <c r="K4959">
        <v>7</v>
      </c>
      <c r="L4959" s="4">
        <v>70.034883720930225</v>
      </c>
      <c r="M4959" s="4">
        <v>9.8048837209302278</v>
      </c>
      <c r="N4959" t="s">
        <v>95</v>
      </c>
    </row>
    <row r="4960" spans="1:14">
      <c r="A4960">
        <v>4959</v>
      </c>
      <c r="B4960">
        <v>36</v>
      </c>
      <c r="C4960" t="s">
        <v>11</v>
      </c>
      <c r="D4960" t="s">
        <v>25</v>
      </c>
      <c r="E4960" t="s">
        <v>57</v>
      </c>
      <c r="F4960">
        <v>33.119999999999997</v>
      </c>
      <c r="G4960" t="s">
        <v>19</v>
      </c>
      <c r="H4960" t="s">
        <v>15</v>
      </c>
      <c r="I4960">
        <v>4.3</v>
      </c>
      <c r="J4960">
        <v>15</v>
      </c>
      <c r="K4960">
        <v>5</v>
      </c>
      <c r="L4960" s="4">
        <v>38.964705882352938</v>
      </c>
      <c r="M4960" s="4">
        <v>5.8447058823529403</v>
      </c>
      <c r="N4960" t="s">
        <v>92</v>
      </c>
    </row>
    <row r="4961" spans="1:14">
      <c r="A4961">
        <v>4960</v>
      </c>
      <c r="B4961">
        <v>42</v>
      </c>
      <c r="C4961" t="s">
        <v>16</v>
      </c>
      <c r="D4961" t="s">
        <v>27</v>
      </c>
      <c r="E4961" t="s">
        <v>28</v>
      </c>
      <c r="F4961">
        <v>2340.63</v>
      </c>
      <c r="G4961" t="s">
        <v>14</v>
      </c>
      <c r="H4961" t="s">
        <v>15</v>
      </c>
      <c r="I4961">
        <v>3.1</v>
      </c>
      <c r="J4961">
        <v>9</v>
      </c>
      <c r="K4961">
        <v>2</v>
      </c>
      <c r="L4961" s="4">
        <v>2572.1208791208792</v>
      </c>
      <c r="M4961" s="4">
        <v>231.49087912087907</v>
      </c>
      <c r="N4961" t="s">
        <v>92</v>
      </c>
    </row>
    <row r="4962" spans="1:14">
      <c r="A4962">
        <v>4961</v>
      </c>
      <c r="B4962">
        <v>23</v>
      </c>
      <c r="C4962" t="s">
        <v>11</v>
      </c>
      <c r="D4962" t="s">
        <v>20</v>
      </c>
      <c r="E4962" t="s">
        <v>39</v>
      </c>
      <c r="F4962">
        <v>124.64</v>
      </c>
      <c r="G4962" t="s">
        <v>19</v>
      </c>
      <c r="H4962" t="s">
        <v>15</v>
      </c>
      <c r="I4962">
        <v>4.9000000000000004</v>
      </c>
      <c r="J4962">
        <v>20</v>
      </c>
      <c r="K4962">
        <v>5</v>
      </c>
      <c r="L4962" s="4">
        <v>155.79999999999998</v>
      </c>
      <c r="M4962" s="4">
        <v>31.159999999999982</v>
      </c>
      <c r="N4962" t="s">
        <v>100</v>
      </c>
    </row>
    <row r="4963" spans="1:14">
      <c r="A4963">
        <v>4962</v>
      </c>
      <c r="B4963">
        <v>52</v>
      </c>
      <c r="C4963" t="s">
        <v>16</v>
      </c>
      <c r="D4963" t="s">
        <v>25</v>
      </c>
      <c r="E4963" t="s">
        <v>26</v>
      </c>
      <c r="F4963">
        <v>69.010000000000005</v>
      </c>
      <c r="G4963" t="s">
        <v>31</v>
      </c>
      <c r="H4963" t="s">
        <v>37</v>
      </c>
      <c r="I4963">
        <v>3.6</v>
      </c>
      <c r="J4963">
        <v>8</v>
      </c>
      <c r="K4963">
        <v>4</v>
      </c>
      <c r="L4963" s="4">
        <v>75.010869565217391</v>
      </c>
      <c r="M4963" s="4">
        <v>6.0008695652173856</v>
      </c>
      <c r="N4963" t="s">
        <v>93</v>
      </c>
    </row>
    <row r="4964" spans="1:14">
      <c r="A4964">
        <v>4963</v>
      </c>
      <c r="B4964">
        <v>59</v>
      </c>
      <c r="C4964" t="s">
        <v>11</v>
      </c>
      <c r="D4964" t="s">
        <v>12</v>
      </c>
      <c r="E4964" t="s">
        <v>50</v>
      </c>
      <c r="F4964">
        <v>67.83</v>
      </c>
      <c r="G4964" t="s">
        <v>24</v>
      </c>
      <c r="H4964" t="s">
        <v>37</v>
      </c>
      <c r="I4964">
        <v>2.7</v>
      </c>
      <c r="J4964">
        <v>13</v>
      </c>
      <c r="K4964">
        <v>4</v>
      </c>
      <c r="L4964" s="4">
        <v>77.965517241379303</v>
      </c>
      <c r="M4964" s="4">
        <v>10.135517241379304</v>
      </c>
      <c r="N4964" t="s">
        <v>94</v>
      </c>
    </row>
    <row r="4965" spans="1:14">
      <c r="A4965">
        <v>4964</v>
      </c>
      <c r="B4965">
        <v>21</v>
      </c>
      <c r="C4965" t="s">
        <v>16</v>
      </c>
      <c r="D4965" t="s">
        <v>17</v>
      </c>
      <c r="E4965" t="s">
        <v>35</v>
      </c>
      <c r="F4965">
        <v>80.010000000000005</v>
      </c>
      <c r="G4965" t="s">
        <v>19</v>
      </c>
      <c r="H4965" t="s">
        <v>15</v>
      </c>
      <c r="I4965">
        <v>4.5</v>
      </c>
      <c r="J4965">
        <v>19</v>
      </c>
      <c r="K4965">
        <v>7</v>
      </c>
      <c r="L4965" s="4">
        <v>98.777777777777771</v>
      </c>
      <c r="M4965" s="4">
        <v>18.767777777777766</v>
      </c>
      <c r="N4965" t="s">
        <v>100</v>
      </c>
    </row>
    <row r="4966" spans="1:14">
      <c r="A4966">
        <v>4965</v>
      </c>
      <c r="B4966">
        <v>50</v>
      </c>
      <c r="C4966" t="s">
        <v>16</v>
      </c>
      <c r="D4966" t="s">
        <v>20</v>
      </c>
      <c r="E4966" t="s">
        <v>36</v>
      </c>
      <c r="F4966">
        <v>65.650000000000006</v>
      </c>
      <c r="G4966" t="s">
        <v>14</v>
      </c>
      <c r="H4966" t="s">
        <v>37</v>
      </c>
      <c r="I4966">
        <v>4</v>
      </c>
      <c r="J4966">
        <v>16</v>
      </c>
      <c r="K4966">
        <v>8</v>
      </c>
      <c r="L4966" s="4">
        <v>78.154761904761912</v>
      </c>
      <c r="M4966" s="4">
        <v>12.504761904761907</v>
      </c>
      <c r="N4966" t="s">
        <v>93</v>
      </c>
    </row>
    <row r="4967" spans="1:14">
      <c r="A4967">
        <v>4966</v>
      </c>
      <c r="B4967">
        <v>50</v>
      </c>
      <c r="C4967" t="s">
        <v>16</v>
      </c>
      <c r="D4967" t="s">
        <v>33</v>
      </c>
      <c r="E4967" t="s">
        <v>34</v>
      </c>
      <c r="F4967">
        <v>64.930000000000007</v>
      </c>
      <c r="G4967" t="s">
        <v>19</v>
      </c>
      <c r="H4967" t="s">
        <v>15</v>
      </c>
      <c r="I4967">
        <v>4.4000000000000004</v>
      </c>
      <c r="J4967">
        <v>9</v>
      </c>
      <c r="K4967">
        <v>2</v>
      </c>
      <c r="L4967" s="4">
        <v>71.35164835164835</v>
      </c>
      <c r="M4967" s="4">
        <v>6.4216483516483436</v>
      </c>
      <c r="N4967" t="s">
        <v>93</v>
      </c>
    </row>
    <row r="4968" spans="1:14">
      <c r="A4968">
        <v>4967</v>
      </c>
      <c r="B4968">
        <v>57</v>
      </c>
      <c r="C4968" t="s">
        <v>16</v>
      </c>
      <c r="D4968" t="s">
        <v>17</v>
      </c>
      <c r="E4968" t="s">
        <v>42</v>
      </c>
      <c r="F4968">
        <v>185.82</v>
      </c>
      <c r="G4968" t="s">
        <v>19</v>
      </c>
      <c r="H4968" t="s">
        <v>15</v>
      </c>
      <c r="I4968">
        <v>3.6</v>
      </c>
      <c r="J4968">
        <v>17</v>
      </c>
      <c r="K4968">
        <v>6</v>
      </c>
      <c r="L4968" s="4">
        <v>223.87951807228916</v>
      </c>
      <c r="M4968" s="4">
        <v>38.059518072289166</v>
      </c>
      <c r="N4968" t="s">
        <v>94</v>
      </c>
    </row>
    <row r="4969" spans="1:14">
      <c r="A4969">
        <v>4968</v>
      </c>
      <c r="B4969">
        <v>58</v>
      </c>
      <c r="C4969" t="s">
        <v>11</v>
      </c>
      <c r="D4969" t="s">
        <v>12</v>
      </c>
      <c r="E4969" t="s">
        <v>13</v>
      </c>
      <c r="F4969">
        <v>60.51</v>
      </c>
      <c r="G4969" t="s">
        <v>31</v>
      </c>
      <c r="H4969" t="s">
        <v>15</v>
      </c>
      <c r="I4969">
        <v>3.9</v>
      </c>
      <c r="J4969">
        <v>8</v>
      </c>
      <c r="K4969">
        <v>4</v>
      </c>
      <c r="L4969" s="4">
        <v>65.771739130434781</v>
      </c>
      <c r="M4969" s="4">
        <v>5.2617391304347834</v>
      </c>
      <c r="N4969" t="s">
        <v>94</v>
      </c>
    </row>
    <row r="4970" spans="1:14">
      <c r="A4970">
        <v>4969</v>
      </c>
      <c r="B4970">
        <v>34</v>
      </c>
      <c r="C4970" t="s">
        <v>16</v>
      </c>
      <c r="D4970" t="s">
        <v>22</v>
      </c>
      <c r="E4970" t="s">
        <v>43</v>
      </c>
      <c r="F4970">
        <v>34.950000000000003</v>
      </c>
      <c r="G4970" t="s">
        <v>24</v>
      </c>
      <c r="H4970" t="s">
        <v>37</v>
      </c>
      <c r="I4970">
        <v>3.6</v>
      </c>
      <c r="J4970">
        <v>8</v>
      </c>
      <c r="K4970">
        <v>4</v>
      </c>
      <c r="L4970" s="4">
        <v>37.989130434782609</v>
      </c>
      <c r="M4970" s="4">
        <v>3.0391304347826065</v>
      </c>
      <c r="N4970" t="s">
        <v>91</v>
      </c>
    </row>
    <row r="4971" spans="1:14">
      <c r="A4971">
        <v>4970</v>
      </c>
      <c r="B4971">
        <v>41</v>
      </c>
      <c r="C4971" t="s">
        <v>16</v>
      </c>
      <c r="D4971" t="s">
        <v>27</v>
      </c>
      <c r="E4971" t="s">
        <v>49</v>
      </c>
      <c r="F4971">
        <v>2442.98</v>
      </c>
      <c r="G4971" t="s">
        <v>19</v>
      </c>
      <c r="H4971" t="s">
        <v>15</v>
      </c>
      <c r="I4971">
        <v>4.8</v>
      </c>
      <c r="J4971">
        <v>10</v>
      </c>
      <c r="K4971">
        <v>5</v>
      </c>
      <c r="L4971" s="4">
        <v>2714.422222222222</v>
      </c>
      <c r="M4971" s="4">
        <v>271.44222222222197</v>
      </c>
      <c r="N4971" t="s">
        <v>92</v>
      </c>
    </row>
    <row r="4972" spans="1:14">
      <c r="A4972">
        <v>4971</v>
      </c>
      <c r="B4972">
        <v>52</v>
      </c>
      <c r="C4972" t="s">
        <v>11</v>
      </c>
      <c r="D4972" t="s">
        <v>12</v>
      </c>
      <c r="E4972" t="s">
        <v>56</v>
      </c>
      <c r="F4972">
        <v>177.26</v>
      </c>
      <c r="G4972" t="s">
        <v>31</v>
      </c>
      <c r="H4972" t="s">
        <v>15</v>
      </c>
      <c r="I4972">
        <v>3.3</v>
      </c>
      <c r="J4972">
        <v>16</v>
      </c>
      <c r="K4972">
        <v>3</v>
      </c>
      <c r="L4972" s="4">
        <v>211.02380952380952</v>
      </c>
      <c r="M4972" s="4">
        <v>33.763809523809527</v>
      </c>
      <c r="N4972" t="s">
        <v>93</v>
      </c>
    </row>
    <row r="4973" spans="1:14">
      <c r="A4973">
        <v>4972</v>
      </c>
      <c r="B4973">
        <v>24</v>
      </c>
      <c r="C4973" t="s">
        <v>16</v>
      </c>
      <c r="D4973" t="s">
        <v>17</v>
      </c>
      <c r="E4973" t="s">
        <v>48</v>
      </c>
      <c r="F4973">
        <v>161.44</v>
      </c>
      <c r="G4973" t="s">
        <v>24</v>
      </c>
      <c r="H4973" t="s">
        <v>15</v>
      </c>
      <c r="I4973">
        <v>3.7</v>
      </c>
      <c r="J4973">
        <v>16</v>
      </c>
      <c r="K4973">
        <v>3</v>
      </c>
      <c r="L4973" s="4">
        <v>192.1904761904762</v>
      </c>
      <c r="M4973" s="4">
        <v>30.750476190476206</v>
      </c>
      <c r="N4973" t="s">
        <v>100</v>
      </c>
    </row>
    <row r="4974" spans="1:14">
      <c r="A4974">
        <v>4973</v>
      </c>
      <c r="B4974">
        <v>42</v>
      </c>
      <c r="C4974" t="s">
        <v>11</v>
      </c>
      <c r="D4974" t="s">
        <v>29</v>
      </c>
      <c r="E4974" t="s">
        <v>30</v>
      </c>
      <c r="F4974">
        <v>106.4</v>
      </c>
      <c r="G4974" t="s">
        <v>14</v>
      </c>
      <c r="H4974" t="s">
        <v>15</v>
      </c>
      <c r="I4974">
        <v>3.4</v>
      </c>
      <c r="J4974">
        <v>6</v>
      </c>
      <c r="K4974">
        <v>3</v>
      </c>
      <c r="L4974" s="4">
        <v>113.19148936170214</v>
      </c>
      <c r="M4974" s="4">
        <v>6.7914893617021335</v>
      </c>
      <c r="N4974" t="s">
        <v>92</v>
      </c>
    </row>
    <row r="4975" spans="1:14">
      <c r="A4975">
        <v>4974</v>
      </c>
      <c r="B4975">
        <v>53</v>
      </c>
      <c r="C4975" t="s">
        <v>16</v>
      </c>
      <c r="D4975" t="s">
        <v>20</v>
      </c>
      <c r="E4975" t="s">
        <v>21</v>
      </c>
      <c r="F4975">
        <v>130.37</v>
      </c>
      <c r="G4975" t="s">
        <v>19</v>
      </c>
      <c r="H4975" t="s">
        <v>15</v>
      </c>
      <c r="I4975">
        <v>4.5</v>
      </c>
      <c r="J4975">
        <v>6</v>
      </c>
      <c r="K4975">
        <v>3</v>
      </c>
      <c r="L4975" s="4">
        <v>138.69148936170214</v>
      </c>
      <c r="M4975" s="4">
        <v>8.3214893617021346</v>
      </c>
      <c r="N4975" t="s">
        <v>93</v>
      </c>
    </row>
    <row r="4976" spans="1:14">
      <c r="A4976">
        <v>4975</v>
      </c>
      <c r="B4976">
        <v>50</v>
      </c>
      <c r="C4976" t="s">
        <v>11</v>
      </c>
      <c r="D4976" t="s">
        <v>33</v>
      </c>
      <c r="E4976" t="s">
        <v>40</v>
      </c>
      <c r="F4976">
        <v>243.99</v>
      </c>
      <c r="G4976" t="s">
        <v>19</v>
      </c>
      <c r="H4976" t="s">
        <v>15</v>
      </c>
      <c r="I4976">
        <v>3.7</v>
      </c>
      <c r="J4976">
        <v>18</v>
      </c>
      <c r="K4976">
        <v>4</v>
      </c>
      <c r="L4976" s="4">
        <v>297.54878048780489</v>
      </c>
      <c r="M4976" s="4">
        <v>53.558780487804881</v>
      </c>
      <c r="N4976" t="s">
        <v>93</v>
      </c>
    </row>
    <row r="4977" spans="1:14">
      <c r="A4977">
        <v>4976</v>
      </c>
      <c r="B4977">
        <v>47</v>
      </c>
      <c r="C4977" t="s">
        <v>11</v>
      </c>
      <c r="D4977" t="s">
        <v>12</v>
      </c>
      <c r="E4977" t="s">
        <v>13</v>
      </c>
      <c r="F4977">
        <v>162.51</v>
      </c>
      <c r="G4977" t="s">
        <v>31</v>
      </c>
      <c r="H4977" t="s">
        <v>15</v>
      </c>
      <c r="I4977">
        <v>5</v>
      </c>
      <c r="J4977">
        <v>22</v>
      </c>
      <c r="K4977">
        <v>6</v>
      </c>
      <c r="L4977" s="4">
        <v>208.34615384615384</v>
      </c>
      <c r="M4977" s="4">
        <v>45.836153846153849</v>
      </c>
      <c r="N4977" t="s">
        <v>93</v>
      </c>
    </row>
    <row r="4978" spans="1:14">
      <c r="A4978">
        <v>4977</v>
      </c>
      <c r="B4978">
        <v>32</v>
      </c>
      <c r="C4978" t="s">
        <v>16</v>
      </c>
      <c r="D4978" t="s">
        <v>20</v>
      </c>
      <c r="E4978" t="s">
        <v>36</v>
      </c>
      <c r="F4978">
        <v>49.17</v>
      </c>
      <c r="G4978" t="s">
        <v>14</v>
      </c>
      <c r="H4978" t="s">
        <v>15</v>
      </c>
      <c r="I4978">
        <v>4.0999999999999996</v>
      </c>
      <c r="J4978">
        <v>10</v>
      </c>
      <c r="K4978">
        <v>5</v>
      </c>
      <c r="L4978" s="4">
        <v>54.633333333333333</v>
      </c>
      <c r="M4978" s="4">
        <v>5.4633333333333312</v>
      </c>
      <c r="N4978" t="s">
        <v>91</v>
      </c>
    </row>
    <row r="4979" spans="1:14">
      <c r="A4979">
        <v>4978</v>
      </c>
      <c r="B4979">
        <v>28</v>
      </c>
      <c r="C4979" t="s">
        <v>11</v>
      </c>
      <c r="D4979" t="s">
        <v>33</v>
      </c>
      <c r="E4979" t="s">
        <v>40</v>
      </c>
      <c r="F4979">
        <v>46.58</v>
      </c>
      <c r="G4979" t="s">
        <v>31</v>
      </c>
      <c r="H4979" t="s">
        <v>37</v>
      </c>
      <c r="I4979">
        <v>4.3</v>
      </c>
      <c r="J4979">
        <v>15</v>
      </c>
      <c r="K4979">
        <v>5</v>
      </c>
      <c r="L4979" s="4">
        <v>54.8</v>
      </c>
      <c r="M4979" s="4">
        <v>8.2199999999999989</v>
      </c>
      <c r="N4979" t="s">
        <v>91</v>
      </c>
    </row>
    <row r="4980" spans="1:14">
      <c r="A4980">
        <v>4979</v>
      </c>
      <c r="B4980">
        <v>48</v>
      </c>
      <c r="C4980" t="s">
        <v>16</v>
      </c>
      <c r="D4980" t="s">
        <v>27</v>
      </c>
      <c r="E4980" t="s">
        <v>28</v>
      </c>
      <c r="F4980">
        <v>1886.39</v>
      </c>
      <c r="G4980" t="s">
        <v>19</v>
      </c>
      <c r="H4980" t="s">
        <v>15</v>
      </c>
      <c r="I4980">
        <v>4.2</v>
      </c>
      <c r="J4980">
        <v>22</v>
      </c>
      <c r="K4980">
        <v>6</v>
      </c>
      <c r="L4980" s="4">
        <v>2418.4487179487178</v>
      </c>
      <c r="M4980" s="4">
        <v>532.05871794871769</v>
      </c>
      <c r="N4980" t="s">
        <v>93</v>
      </c>
    </row>
    <row r="4981" spans="1:14">
      <c r="A4981">
        <v>4980</v>
      </c>
      <c r="B4981">
        <v>65</v>
      </c>
      <c r="C4981" t="s">
        <v>11</v>
      </c>
      <c r="D4981" t="s">
        <v>41</v>
      </c>
      <c r="E4981" t="s">
        <v>42</v>
      </c>
      <c r="F4981">
        <v>150.06</v>
      </c>
      <c r="G4981" t="s">
        <v>24</v>
      </c>
      <c r="H4981" t="s">
        <v>15</v>
      </c>
      <c r="I4981">
        <v>3.4</v>
      </c>
      <c r="J4981">
        <v>12</v>
      </c>
      <c r="K4981">
        <v>6</v>
      </c>
      <c r="L4981" s="4">
        <v>170.52272727272728</v>
      </c>
      <c r="M4981" s="4">
        <v>20.462727272727278</v>
      </c>
      <c r="N4981" t="s">
        <v>95</v>
      </c>
    </row>
    <row r="4982" spans="1:14">
      <c r="A4982">
        <v>4981</v>
      </c>
      <c r="B4982">
        <v>58</v>
      </c>
      <c r="C4982" t="s">
        <v>11</v>
      </c>
      <c r="D4982" t="s">
        <v>29</v>
      </c>
      <c r="E4982" t="s">
        <v>51</v>
      </c>
      <c r="F4982">
        <v>21.63</v>
      </c>
      <c r="G4982" t="s">
        <v>14</v>
      </c>
      <c r="H4982" t="s">
        <v>15</v>
      </c>
      <c r="I4982">
        <v>3.8</v>
      </c>
      <c r="J4982">
        <v>18</v>
      </c>
      <c r="K4982">
        <v>4</v>
      </c>
      <c r="L4982" s="4">
        <v>26.378048780487802</v>
      </c>
      <c r="M4982" s="4">
        <v>4.7480487804878031</v>
      </c>
      <c r="N4982" t="s">
        <v>94</v>
      </c>
    </row>
    <row r="4983" spans="1:14">
      <c r="A4983">
        <v>4982</v>
      </c>
      <c r="B4983">
        <v>31</v>
      </c>
      <c r="C4983" t="s">
        <v>11</v>
      </c>
      <c r="D4983" t="s">
        <v>33</v>
      </c>
      <c r="E4983" t="s">
        <v>40</v>
      </c>
      <c r="F4983">
        <v>180.25</v>
      </c>
      <c r="G4983" t="s">
        <v>31</v>
      </c>
      <c r="H4983" t="s">
        <v>15</v>
      </c>
      <c r="I4983">
        <v>5</v>
      </c>
      <c r="J4983">
        <v>29</v>
      </c>
      <c r="K4983">
        <v>12</v>
      </c>
      <c r="L4983" s="4">
        <v>253.87323943661974</v>
      </c>
      <c r="M4983" s="4">
        <v>73.623239436619741</v>
      </c>
      <c r="N4983" t="s">
        <v>91</v>
      </c>
    </row>
    <row r="4984" spans="1:14">
      <c r="A4984">
        <v>4983</v>
      </c>
      <c r="B4984">
        <v>31</v>
      </c>
      <c r="C4984" t="s">
        <v>16</v>
      </c>
      <c r="D4984" t="s">
        <v>27</v>
      </c>
      <c r="E4984" t="s">
        <v>32</v>
      </c>
      <c r="F4984">
        <v>2163.69</v>
      </c>
      <c r="G4984" t="s">
        <v>31</v>
      </c>
      <c r="H4984" t="s">
        <v>15</v>
      </c>
      <c r="I4984">
        <v>4.0999999999999996</v>
      </c>
      <c r="J4984">
        <v>10</v>
      </c>
      <c r="K4984">
        <v>5</v>
      </c>
      <c r="L4984" s="4">
        <v>2404.1</v>
      </c>
      <c r="M4984" s="4">
        <v>240.40999999999985</v>
      </c>
      <c r="N4984" t="s">
        <v>91</v>
      </c>
    </row>
    <row r="4985" spans="1:14">
      <c r="A4985">
        <v>4984</v>
      </c>
      <c r="B4985">
        <v>47</v>
      </c>
      <c r="C4985" t="s">
        <v>11</v>
      </c>
      <c r="D4985" t="s">
        <v>33</v>
      </c>
      <c r="E4985" t="s">
        <v>34</v>
      </c>
      <c r="F4985">
        <v>231.35</v>
      </c>
      <c r="G4985" t="s">
        <v>19</v>
      </c>
      <c r="H4985" t="s">
        <v>15</v>
      </c>
      <c r="I4985">
        <v>2.7</v>
      </c>
      <c r="J4985">
        <v>16</v>
      </c>
      <c r="K4985">
        <v>3</v>
      </c>
      <c r="L4985" s="4">
        <v>275.41666666666669</v>
      </c>
      <c r="M4985" s="4">
        <v>44.066666666666691</v>
      </c>
      <c r="N4985" t="s">
        <v>93</v>
      </c>
    </row>
    <row r="4986" spans="1:14">
      <c r="A4986">
        <v>4985</v>
      </c>
      <c r="B4986">
        <v>50</v>
      </c>
      <c r="C4986" t="s">
        <v>16</v>
      </c>
      <c r="D4986" t="s">
        <v>20</v>
      </c>
      <c r="E4986" t="s">
        <v>36</v>
      </c>
      <c r="F4986">
        <v>133.91</v>
      </c>
      <c r="G4986" t="s">
        <v>14</v>
      </c>
      <c r="H4986" t="s">
        <v>15</v>
      </c>
      <c r="I4986">
        <v>5</v>
      </c>
      <c r="J4986">
        <v>12</v>
      </c>
      <c r="K4986">
        <v>6</v>
      </c>
      <c r="L4986" s="4">
        <v>152.17045454545453</v>
      </c>
      <c r="M4986" s="4">
        <v>18.260454545454536</v>
      </c>
      <c r="N4986" t="s">
        <v>93</v>
      </c>
    </row>
    <row r="4987" spans="1:14">
      <c r="A4987">
        <v>4986</v>
      </c>
      <c r="B4987">
        <v>22</v>
      </c>
      <c r="C4987" t="s">
        <v>11</v>
      </c>
      <c r="D4987" t="s">
        <v>33</v>
      </c>
      <c r="E4987" t="s">
        <v>40</v>
      </c>
      <c r="F4987">
        <v>158.22999999999999</v>
      </c>
      <c r="G4987" t="s">
        <v>31</v>
      </c>
      <c r="H4987" t="s">
        <v>15</v>
      </c>
      <c r="I4987">
        <v>3.7</v>
      </c>
      <c r="J4987">
        <v>9</v>
      </c>
      <c r="K4987">
        <v>2</v>
      </c>
      <c r="L4987" s="4">
        <v>173.87912087912088</v>
      </c>
      <c r="M4987" s="4">
        <v>15.649120879120886</v>
      </c>
      <c r="N4987" t="s">
        <v>100</v>
      </c>
    </row>
    <row r="4988" spans="1:14">
      <c r="A4988">
        <v>4987</v>
      </c>
      <c r="B4988">
        <v>29</v>
      </c>
      <c r="C4988" t="s">
        <v>16</v>
      </c>
      <c r="D4988" t="s">
        <v>17</v>
      </c>
      <c r="E4988" t="s">
        <v>48</v>
      </c>
      <c r="F4988">
        <v>62.95</v>
      </c>
      <c r="G4988" t="s">
        <v>24</v>
      </c>
      <c r="H4988" t="s">
        <v>37</v>
      </c>
      <c r="I4988">
        <v>5</v>
      </c>
      <c r="J4988">
        <v>22</v>
      </c>
      <c r="K4988">
        <v>6</v>
      </c>
      <c r="L4988" s="4">
        <v>80.705128205128204</v>
      </c>
      <c r="M4988" s="4">
        <v>17.755128205128202</v>
      </c>
      <c r="N4988" t="s">
        <v>91</v>
      </c>
    </row>
    <row r="4989" spans="1:14">
      <c r="A4989">
        <v>4988</v>
      </c>
      <c r="B4989">
        <v>45</v>
      </c>
      <c r="C4989" t="s">
        <v>16</v>
      </c>
      <c r="D4989" t="s">
        <v>33</v>
      </c>
      <c r="E4989" t="s">
        <v>34</v>
      </c>
      <c r="F4989">
        <v>214.69</v>
      </c>
      <c r="G4989" t="s">
        <v>31</v>
      </c>
      <c r="H4989" t="s">
        <v>15</v>
      </c>
      <c r="I4989">
        <v>4.5</v>
      </c>
      <c r="J4989">
        <v>20</v>
      </c>
      <c r="K4989">
        <v>5</v>
      </c>
      <c r="L4989" s="4">
        <v>268.36249999999995</v>
      </c>
      <c r="M4989" s="4">
        <v>53.672499999999957</v>
      </c>
      <c r="N4989" t="s">
        <v>93</v>
      </c>
    </row>
    <row r="4990" spans="1:14">
      <c r="A4990">
        <v>4989</v>
      </c>
      <c r="B4990">
        <v>69</v>
      </c>
      <c r="C4990" t="s">
        <v>16</v>
      </c>
      <c r="D4990" t="s">
        <v>33</v>
      </c>
      <c r="E4990" t="s">
        <v>34</v>
      </c>
      <c r="F4990">
        <v>172.99</v>
      </c>
      <c r="G4990" t="s">
        <v>19</v>
      </c>
      <c r="H4990" t="s">
        <v>15</v>
      </c>
      <c r="I4990">
        <v>3.9</v>
      </c>
      <c r="J4990">
        <v>2</v>
      </c>
      <c r="K4990">
        <v>1</v>
      </c>
      <c r="L4990" s="4">
        <v>176.52040816326533</v>
      </c>
      <c r="M4990" s="4">
        <v>3.5304081632653208</v>
      </c>
      <c r="N4990" t="s">
        <v>95</v>
      </c>
    </row>
    <row r="4991" spans="1:14">
      <c r="A4991">
        <v>4990</v>
      </c>
      <c r="B4991">
        <v>39</v>
      </c>
      <c r="C4991" t="s">
        <v>11</v>
      </c>
      <c r="D4991" t="s">
        <v>12</v>
      </c>
      <c r="E4991" t="s">
        <v>50</v>
      </c>
      <c r="F4991">
        <v>147.24</v>
      </c>
      <c r="G4991" t="s">
        <v>24</v>
      </c>
      <c r="H4991" t="s">
        <v>15</v>
      </c>
      <c r="I4991">
        <v>3.7</v>
      </c>
      <c r="J4991">
        <v>4</v>
      </c>
      <c r="K4991">
        <v>2</v>
      </c>
      <c r="L4991" s="4">
        <v>153.37500000000003</v>
      </c>
      <c r="M4991" s="4">
        <v>6.1350000000000193</v>
      </c>
      <c r="N4991" t="s">
        <v>92</v>
      </c>
    </row>
    <row r="4992" spans="1:14">
      <c r="A4992">
        <v>4991</v>
      </c>
      <c r="B4992">
        <v>28</v>
      </c>
      <c r="C4992" t="s">
        <v>11</v>
      </c>
      <c r="D4992" t="s">
        <v>25</v>
      </c>
      <c r="E4992" t="s">
        <v>26</v>
      </c>
      <c r="F4992">
        <v>55.74</v>
      </c>
      <c r="G4992" t="s">
        <v>24</v>
      </c>
      <c r="H4992" t="s">
        <v>15</v>
      </c>
      <c r="I4992">
        <v>2.6</v>
      </c>
      <c r="J4992">
        <v>24</v>
      </c>
      <c r="K4992">
        <v>7</v>
      </c>
      <c r="L4992" s="4">
        <v>73.34210526315789</v>
      </c>
      <c r="M4992" s="4">
        <v>17.602105263157888</v>
      </c>
      <c r="N4992" t="s">
        <v>91</v>
      </c>
    </row>
    <row r="4993" spans="1:14">
      <c r="A4993">
        <v>4992</v>
      </c>
      <c r="B4993">
        <v>41</v>
      </c>
      <c r="C4993" t="s">
        <v>16</v>
      </c>
      <c r="D4993" t="s">
        <v>20</v>
      </c>
      <c r="E4993" t="s">
        <v>21</v>
      </c>
      <c r="F4993">
        <v>167.22</v>
      </c>
      <c r="G4993" t="s">
        <v>31</v>
      </c>
      <c r="H4993" t="s">
        <v>15</v>
      </c>
      <c r="I4993">
        <v>3</v>
      </c>
      <c r="J4993">
        <v>11</v>
      </c>
      <c r="K4993">
        <v>3</v>
      </c>
      <c r="L4993" s="4">
        <v>187.88764044943821</v>
      </c>
      <c r="M4993" s="4">
        <v>20.66764044943821</v>
      </c>
      <c r="N4993" t="s">
        <v>92</v>
      </c>
    </row>
    <row r="4994" spans="1:14">
      <c r="A4994">
        <v>4993</v>
      </c>
      <c r="B4994">
        <v>48</v>
      </c>
      <c r="C4994" t="s">
        <v>16</v>
      </c>
      <c r="D4994" t="s">
        <v>20</v>
      </c>
      <c r="E4994" t="s">
        <v>21</v>
      </c>
      <c r="F4994">
        <v>152.94</v>
      </c>
      <c r="G4994" t="s">
        <v>24</v>
      </c>
      <c r="H4994" t="s">
        <v>15</v>
      </c>
      <c r="I4994">
        <v>4.7</v>
      </c>
      <c r="J4994">
        <v>12</v>
      </c>
      <c r="K4994">
        <v>6</v>
      </c>
      <c r="L4994" s="4">
        <v>173.79545454545453</v>
      </c>
      <c r="M4994" s="4">
        <v>20.855454545454535</v>
      </c>
      <c r="N4994" t="s">
        <v>93</v>
      </c>
    </row>
    <row r="4995" spans="1:14">
      <c r="A4995">
        <v>4994</v>
      </c>
      <c r="B4995">
        <v>69</v>
      </c>
      <c r="C4995" t="s">
        <v>11</v>
      </c>
      <c r="D4995" t="s">
        <v>41</v>
      </c>
      <c r="E4995" t="s">
        <v>42</v>
      </c>
      <c r="F4995">
        <v>63.26</v>
      </c>
      <c r="G4995" t="s">
        <v>14</v>
      </c>
      <c r="H4995" t="s">
        <v>37</v>
      </c>
      <c r="I4995">
        <v>3.2</v>
      </c>
      <c r="J4995">
        <v>28</v>
      </c>
      <c r="K4995">
        <v>9</v>
      </c>
      <c r="L4995" s="4">
        <v>87.861111111111114</v>
      </c>
      <c r="M4995" s="4">
        <v>24.601111111111116</v>
      </c>
      <c r="N4995" t="s">
        <v>95</v>
      </c>
    </row>
    <row r="4996" spans="1:14">
      <c r="A4996">
        <v>4995</v>
      </c>
      <c r="B4996">
        <v>20</v>
      </c>
      <c r="C4996" t="s">
        <v>16</v>
      </c>
      <c r="D4996" t="s">
        <v>20</v>
      </c>
      <c r="E4996" t="s">
        <v>39</v>
      </c>
      <c r="F4996">
        <v>124.24</v>
      </c>
      <c r="G4996" t="s">
        <v>19</v>
      </c>
      <c r="H4996" t="s">
        <v>15</v>
      </c>
      <c r="I4996">
        <v>4.4000000000000004</v>
      </c>
      <c r="J4996">
        <v>14</v>
      </c>
      <c r="K4996">
        <v>2</v>
      </c>
      <c r="L4996" s="4">
        <v>144.46511627906978</v>
      </c>
      <c r="M4996" s="4">
        <v>20.22511627906978</v>
      </c>
      <c r="N4996" t="s">
        <v>100</v>
      </c>
    </row>
    <row r="4997" spans="1:14">
      <c r="A4997">
        <v>4996</v>
      </c>
      <c r="B4997">
        <v>44</v>
      </c>
      <c r="C4997" t="s">
        <v>11</v>
      </c>
      <c r="D4997" t="s">
        <v>12</v>
      </c>
      <c r="E4997" t="s">
        <v>50</v>
      </c>
      <c r="F4997">
        <v>172.64</v>
      </c>
      <c r="G4997" t="s">
        <v>24</v>
      </c>
      <c r="H4997" t="s">
        <v>15</v>
      </c>
      <c r="I4997">
        <v>3.6</v>
      </c>
      <c r="J4997">
        <v>20</v>
      </c>
      <c r="K4997">
        <v>5</v>
      </c>
      <c r="L4997" s="4">
        <v>215.79999999999998</v>
      </c>
      <c r="M4997" s="4">
        <v>43.16</v>
      </c>
      <c r="N4997" t="s">
        <v>92</v>
      </c>
    </row>
    <row r="4998" spans="1:14">
      <c r="A4998">
        <v>4997</v>
      </c>
      <c r="B4998">
        <v>59</v>
      </c>
      <c r="C4998" t="s">
        <v>16</v>
      </c>
      <c r="D4998" t="s">
        <v>25</v>
      </c>
      <c r="E4998" t="s">
        <v>57</v>
      </c>
      <c r="F4998">
        <v>54</v>
      </c>
      <c r="G4998" t="s">
        <v>19</v>
      </c>
      <c r="H4998" t="s">
        <v>37</v>
      </c>
      <c r="I4998">
        <v>3.8</v>
      </c>
      <c r="J4998">
        <v>14</v>
      </c>
      <c r="K4998">
        <v>2</v>
      </c>
      <c r="L4998" s="4">
        <v>62.790697674418603</v>
      </c>
      <c r="M4998" s="4">
        <v>8.7906976744186025</v>
      </c>
      <c r="N4998" t="s">
        <v>94</v>
      </c>
    </row>
    <row r="4999" spans="1:14">
      <c r="A4999">
        <v>4998</v>
      </c>
      <c r="B4999">
        <v>41</v>
      </c>
      <c r="C4999" t="s">
        <v>11</v>
      </c>
      <c r="D4999" t="s">
        <v>12</v>
      </c>
      <c r="E4999" t="s">
        <v>13</v>
      </c>
      <c r="F4999">
        <v>159.33000000000001</v>
      </c>
      <c r="G4999" t="s">
        <v>14</v>
      </c>
      <c r="H4999" t="s">
        <v>15</v>
      </c>
      <c r="I4999">
        <v>4.3</v>
      </c>
      <c r="J4999">
        <v>26</v>
      </c>
      <c r="K4999">
        <v>8</v>
      </c>
      <c r="L4999" s="4">
        <v>215.31081081081084</v>
      </c>
      <c r="M4999" s="4">
        <v>55.980810810810823</v>
      </c>
      <c r="N4999" t="s">
        <v>92</v>
      </c>
    </row>
    <row r="5000" spans="1:14">
      <c r="A5000">
        <v>4999</v>
      </c>
      <c r="B5000">
        <v>63</v>
      </c>
      <c r="C5000" t="s">
        <v>11</v>
      </c>
      <c r="D5000" t="s">
        <v>41</v>
      </c>
      <c r="E5000" t="s">
        <v>44</v>
      </c>
      <c r="F5000">
        <v>173.82</v>
      </c>
      <c r="G5000" t="s">
        <v>14</v>
      </c>
      <c r="H5000" t="s">
        <v>15</v>
      </c>
      <c r="I5000">
        <v>4.8</v>
      </c>
      <c r="J5000">
        <v>26</v>
      </c>
      <c r="K5000">
        <v>8</v>
      </c>
      <c r="L5000" s="4">
        <v>234.89189189189187</v>
      </c>
      <c r="M5000" s="4">
        <v>61.07189189189188</v>
      </c>
      <c r="N5000" t="s">
        <v>94</v>
      </c>
    </row>
    <row r="5001" spans="1:14">
      <c r="A5001">
        <v>5000</v>
      </c>
      <c r="B5001">
        <v>41</v>
      </c>
      <c r="C5001" t="s">
        <v>11</v>
      </c>
      <c r="D5001" t="s">
        <v>33</v>
      </c>
      <c r="E5001" t="s">
        <v>38</v>
      </c>
      <c r="F5001">
        <v>55.39</v>
      </c>
      <c r="G5001" t="s">
        <v>14</v>
      </c>
      <c r="H5001" t="s">
        <v>37</v>
      </c>
      <c r="I5001">
        <v>4.0999999999999996</v>
      </c>
      <c r="J5001">
        <v>19</v>
      </c>
      <c r="K5001">
        <v>7</v>
      </c>
      <c r="L5001" s="4">
        <v>68.382716049382708</v>
      </c>
      <c r="M5001" s="4">
        <v>12.992716049382707</v>
      </c>
      <c r="N5001" t="s">
        <v>92</v>
      </c>
    </row>
  </sheetData>
  <phoneticPr fontId="2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A9A0-CCD3-4641-B4FF-B3F57F2A9D1B}">
  <dimension ref="A1:AH11"/>
  <sheetViews>
    <sheetView showGridLines="0" zoomScale="97" workbookViewId="0">
      <selection activeCell="AH1" sqref="AH1:AH1048576"/>
    </sheetView>
  </sheetViews>
  <sheetFormatPr baseColWidth="10" defaultRowHeight="16"/>
  <cols>
    <col min="14" max="14" width="15.33203125" bestFit="1" customWidth="1"/>
    <col min="15" max="15" width="19.83203125" bestFit="1" customWidth="1"/>
    <col min="33" max="33" width="15.33203125" bestFit="1" customWidth="1"/>
    <col min="34" max="34" width="9" hidden="1" customWidth="1"/>
    <col min="36" max="36" width="13" bestFit="1" customWidth="1"/>
    <col min="37" max="37" width="13.6640625" bestFit="1" customWidth="1"/>
    <col min="39" max="39" width="13" bestFit="1" customWidth="1"/>
    <col min="40" max="40" width="13.6640625" bestFit="1" customWidth="1"/>
    <col min="42" max="42" width="13" bestFit="1" customWidth="1"/>
    <col min="43" max="43" width="21.1640625" bestFit="1" customWidth="1"/>
  </cols>
  <sheetData>
    <row r="1" spans="1:34" ht="27">
      <c r="A1" s="11" t="s">
        <v>72</v>
      </c>
    </row>
    <row r="2" spans="1:34" ht="18">
      <c r="A2" s="12" t="s">
        <v>73</v>
      </c>
    </row>
    <row r="3" spans="1:34" ht="18">
      <c r="A3" s="12"/>
    </row>
    <row r="5" spans="1:34">
      <c r="B5" s="18" t="s">
        <v>65</v>
      </c>
      <c r="C5" s="18"/>
      <c r="D5" s="18"/>
      <c r="E5" s="18" t="s">
        <v>66</v>
      </c>
      <c r="F5" s="18"/>
      <c r="G5" s="18"/>
      <c r="H5" s="18" t="s">
        <v>67</v>
      </c>
      <c r="I5" s="18"/>
      <c r="J5" s="18"/>
      <c r="K5" s="18" t="s">
        <v>68</v>
      </c>
      <c r="L5" s="18"/>
      <c r="M5" s="18"/>
    </row>
    <row r="7" spans="1:34">
      <c r="AG7" s="7"/>
      <c r="AH7" s="5">
        <f>SUM(Sales_Data_Clean!F:F)</f>
        <v>1425452.6099999989</v>
      </c>
    </row>
    <row r="8" spans="1:34">
      <c r="AG8" s="7"/>
      <c r="AH8" s="9">
        <f>COUNT(Sales_Data_Clean!A2:A5001)</f>
        <v>5000</v>
      </c>
    </row>
    <row r="9" spans="1:34">
      <c r="AG9" s="7"/>
      <c r="AH9" s="10">
        <f>AVERAGE(Sales_Data_Clean!F:F)</f>
        <v>285.09052199999979</v>
      </c>
    </row>
    <row r="10" spans="1:34">
      <c r="AG10" s="7"/>
      <c r="AH10" s="8">
        <f>SUM(Sales_Data_Clean!M:M)</f>
        <v>260783.3097843483</v>
      </c>
    </row>
    <row r="11" spans="1:34" ht="18">
      <c r="AG11" s="6"/>
    </row>
  </sheetData>
  <mergeCells count="4">
    <mergeCell ref="B5:D5"/>
    <mergeCell ref="E5:G5"/>
    <mergeCell ref="H5:J5"/>
    <mergeCell ref="K5: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B460-DFB1-FA49-A106-541B4B1860A2}">
  <dimension ref="A2:U55"/>
  <sheetViews>
    <sheetView workbookViewId="0">
      <selection activeCell="T24" sqref="T24"/>
    </sheetView>
  </sheetViews>
  <sheetFormatPr baseColWidth="10" defaultRowHeight="16"/>
  <cols>
    <col min="1" max="1" width="15.33203125" bestFit="1" customWidth="1"/>
    <col min="2" max="2" width="13.6640625" bestFit="1" customWidth="1"/>
    <col min="3" max="3" width="10.1640625" bestFit="1" customWidth="1"/>
    <col min="4" max="4" width="13" bestFit="1" customWidth="1"/>
    <col min="5" max="5" width="13.6640625" bestFit="1" customWidth="1"/>
    <col min="6" max="6" width="11.1640625" bestFit="1" customWidth="1"/>
    <col min="7" max="7" width="13" bestFit="1" customWidth="1"/>
    <col min="8" max="8" width="13.6640625" bestFit="1" customWidth="1"/>
    <col min="9" max="9" width="16.83203125" bestFit="1" customWidth="1"/>
    <col min="10" max="10" width="13" bestFit="1" customWidth="1"/>
    <col min="11" max="11" width="21.1640625" bestFit="1" customWidth="1"/>
    <col min="12" max="12" width="13" bestFit="1" customWidth="1"/>
    <col min="13" max="13" width="19.5" bestFit="1" customWidth="1"/>
    <col min="14" max="14" width="18.83203125" bestFit="1" customWidth="1"/>
    <col min="15" max="15" width="13" bestFit="1" customWidth="1"/>
    <col min="16" max="16" width="19.5" bestFit="1" customWidth="1"/>
    <col min="17" max="17" width="13.6640625" bestFit="1" customWidth="1"/>
    <col min="18" max="18" width="9.1640625" bestFit="1" customWidth="1"/>
    <col min="19" max="19" width="13" bestFit="1" customWidth="1"/>
    <col min="20" max="20" width="13.6640625" bestFit="1" customWidth="1"/>
    <col min="21" max="21" width="9.1640625" bestFit="1" customWidth="1"/>
    <col min="22" max="22" width="10.6640625" bestFit="1" customWidth="1"/>
    <col min="23" max="23" width="13.6640625" bestFit="1" customWidth="1"/>
    <col min="24" max="24" width="10.6640625" bestFit="1" customWidth="1"/>
    <col min="25" max="25" width="9.1640625" bestFit="1" customWidth="1"/>
    <col min="26" max="26" width="10.5" bestFit="1" customWidth="1"/>
    <col min="27" max="27" width="9.1640625" bestFit="1" customWidth="1"/>
    <col min="28" max="28" width="10.6640625" bestFit="1" customWidth="1"/>
    <col min="29" max="29" width="8.1640625" bestFit="1" customWidth="1"/>
    <col min="30" max="30" width="9.33203125" bestFit="1" customWidth="1"/>
    <col min="31" max="31" width="9.83203125" bestFit="1" customWidth="1"/>
    <col min="32" max="32" width="11.1640625" bestFit="1" customWidth="1"/>
  </cols>
  <sheetData>
    <row r="2" spans="1:21">
      <c r="A2" s="13" t="s">
        <v>69</v>
      </c>
      <c r="D2" s="13" t="s">
        <v>74</v>
      </c>
      <c r="G2" s="13" t="s">
        <v>70</v>
      </c>
      <c r="J2" s="13" t="s">
        <v>71</v>
      </c>
      <c r="M2" s="13" t="s">
        <v>97</v>
      </c>
      <c r="R2" s="13" t="s">
        <v>89</v>
      </c>
    </row>
    <row r="3" spans="1:21">
      <c r="A3" s="1" t="s">
        <v>58</v>
      </c>
      <c r="B3" t="s">
        <v>60</v>
      </c>
      <c r="D3" s="1" t="s">
        <v>58</v>
      </c>
      <c r="E3" t="s">
        <v>60</v>
      </c>
      <c r="G3" s="1" t="s">
        <v>58</v>
      </c>
      <c r="H3" t="s">
        <v>60</v>
      </c>
      <c r="J3" s="1" t="s">
        <v>58</v>
      </c>
      <c r="K3" t="s">
        <v>63</v>
      </c>
      <c r="M3" s="1" t="s">
        <v>58</v>
      </c>
      <c r="N3" t="s">
        <v>96</v>
      </c>
      <c r="O3" t="s">
        <v>99</v>
      </c>
      <c r="P3" t="s">
        <v>60</v>
      </c>
      <c r="R3" s="1" t="s">
        <v>58</v>
      </c>
      <c r="S3" t="s">
        <v>96</v>
      </c>
      <c r="T3" t="s">
        <v>99</v>
      </c>
      <c r="U3" t="s">
        <v>60</v>
      </c>
    </row>
    <row r="4" spans="1:21">
      <c r="A4" s="2" t="s">
        <v>27</v>
      </c>
      <c r="B4" s="19">
        <v>895402.34999999974</v>
      </c>
      <c r="D4" s="2" t="s">
        <v>49</v>
      </c>
      <c r="E4" s="19">
        <v>265862.26</v>
      </c>
      <c r="G4" s="2" t="s">
        <v>14</v>
      </c>
      <c r="H4" s="19">
        <v>343677.89000000019</v>
      </c>
      <c r="J4" s="2" t="s">
        <v>11</v>
      </c>
      <c r="K4" s="3">
        <v>0.1933805801124247</v>
      </c>
      <c r="M4" s="2" t="s">
        <v>11</v>
      </c>
      <c r="N4">
        <v>2504</v>
      </c>
      <c r="O4" s="3">
        <v>0.50080000000000002</v>
      </c>
      <c r="P4">
        <v>275738.65000000066</v>
      </c>
      <c r="R4" s="2" t="s">
        <v>91</v>
      </c>
      <c r="S4">
        <v>918</v>
      </c>
      <c r="T4" s="3">
        <v>0.18360000000000001</v>
      </c>
      <c r="U4">
        <v>251306.39000000019</v>
      </c>
    </row>
    <row r="5" spans="1:21">
      <c r="A5" s="2" t="s">
        <v>33</v>
      </c>
      <c r="B5" s="19">
        <v>141142.23999999993</v>
      </c>
      <c r="D5" s="2" t="s">
        <v>28</v>
      </c>
      <c r="E5" s="19">
        <v>233026.68000000002</v>
      </c>
      <c r="G5" s="2" t="s">
        <v>19</v>
      </c>
      <c r="H5" s="19">
        <v>376029.39999999956</v>
      </c>
      <c r="J5" s="2" t="s">
        <v>16</v>
      </c>
      <c r="K5" s="3">
        <v>0.80661941988757535</v>
      </c>
      <c r="M5" s="2" t="s">
        <v>16</v>
      </c>
      <c r="N5">
        <v>2496</v>
      </c>
      <c r="O5" s="3">
        <v>0.49919999999999998</v>
      </c>
      <c r="P5">
        <v>1149713.9599999988</v>
      </c>
      <c r="R5" s="2" t="s">
        <v>92</v>
      </c>
      <c r="S5">
        <v>1010</v>
      </c>
      <c r="T5" s="3">
        <v>0.20200000000000001</v>
      </c>
      <c r="U5">
        <v>291542.71000000031</v>
      </c>
    </row>
    <row r="6" spans="1:21">
      <c r="A6" s="2" t="s">
        <v>20</v>
      </c>
      <c r="B6" s="19">
        <v>115598.11000000013</v>
      </c>
      <c r="D6" s="2" t="s">
        <v>53</v>
      </c>
      <c r="E6" s="19">
        <v>204660.33999999997</v>
      </c>
      <c r="G6" s="2" t="s">
        <v>31</v>
      </c>
      <c r="H6" s="19">
        <v>350860.36000000045</v>
      </c>
      <c r="J6" s="2" t="s">
        <v>59</v>
      </c>
      <c r="K6" s="3">
        <v>1</v>
      </c>
      <c r="M6" s="2" t="s">
        <v>59</v>
      </c>
      <c r="N6">
        <v>5000</v>
      </c>
      <c r="O6" s="3">
        <v>1</v>
      </c>
      <c r="P6">
        <v>1425452.6099999973</v>
      </c>
      <c r="R6" s="2" t="s">
        <v>93</v>
      </c>
      <c r="S6">
        <v>985</v>
      </c>
      <c r="T6" s="3">
        <v>0.19700000000000001</v>
      </c>
      <c r="U6">
        <v>297957.4800000001</v>
      </c>
    </row>
    <row r="7" spans="1:21">
      <c r="A7" s="2" t="s">
        <v>41</v>
      </c>
      <c r="B7" s="19">
        <v>61718.40999999996</v>
      </c>
      <c r="D7" s="2" t="s">
        <v>32</v>
      </c>
      <c r="E7" s="19">
        <v>191853.07000000004</v>
      </c>
      <c r="G7" s="2" t="s">
        <v>24</v>
      </c>
      <c r="H7" s="19">
        <v>354884.96000000037</v>
      </c>
      <c r="R7" s="2" t="s">
        <v>94</v>
      </c>
      <c r="S7">
        <v>1031</v>
      </c>
      <c r="T7" s="3">
        <v>0.20619999999999999</v>
      </c>
      <c r="U7">
        <v>280097.47000000009</v>
      </c>
    </row>
    <row r="8" spans="1:21">
      <c r="A8" s="2" t="s">
        <v>17</v>
      </c>
      <c r="B8" s="19">
        <v>59680.429999999964</v>
      </c>
      <c r="D8" s="2" t="s">
        <v>40</v>
      </c>
      <c r="E8" s="19">
        <v>47798.270000000011</v>
      </c>
      <c r="G8" s="2" t="s">
        <v>59</v>
      </c>
      <c r="H8" s="19">
        <v>1425452.6100000008</v>
      </c>
      <c r="R8" s="2" t="s">
        <v>95</v>
      </c>
      <c r="S8">
        <v>569</v>
      </c>
      <c r="T8" s="3">
        <v>0.1138</v>
      </c>
      <c r="U8">
        <v>166032.87999999995</v>
      </c>
    </row>
    <row r="9" spans="1:21">
      <c r="A9" s="2" t="s">
        <v>12</v>
      </c>
      <c r="B9" s="19">
        <v>47633.830000000031</v>
      </c>
      <c r="D9" s="2" t="s">
        <v>59</v>
      </c>
      <c r="E9" s="19">
        <v>943200.62000000011</v>
      </c>
      <c r="R9" s="2" t="s">
        <v>100</v>
      </c>
      <c r="S9">
        <v>487</v>
      </c>
      <c r="T9" s="3">
        <v>9.74E-2</v>
      </c>
      <c r="U9">
        <v>138515.68000000002</v>
      </c>
    </row>
    <row r="10" spans="1:21">
      <c r="A10" s="2" t="s">
        <v>22</v>
      </c>
      <c r="B10" s="19">
        <v>46374.220000000023</v>
      </c>
      <c r="R10" s="2" t="s">
        <v>59</v>
      </c>
      <c r="S10">
        <v>5000</v>
      </c>
      <c r="T10" s="3">
        <v>1</v>
      </c>
      <c r="U10">
        <v>1425452.6099999971</v>
      </c>
    </row>
    <row r="11" spans="1:21">
      <c r="A11" s="2" t="s">
        <v>29</v>
      </c>
      <c r="B11" s="19">
        <v>43887.059999999976</v>
      </c>
    </row>
    <row r="12" spans="1:21">
      <c r="A12" s="2" t="s">
        <v>25</v>
      </c>
      <c r="B12" s="19">
        <v>14015.960000000001</v>
      </c>
    </row>
    <row r="13" spans="1:21">
      <c r="A13" s="2" t="s">
        <v>59</v>
      </c>
      <c r="B13" s="19">
        <v>1425452.6099999996</v>
      </c>
    </row>
    <row r="14" spans="1:21">
      <c r="A14" s="2"/>
    </row>
    <row r="15" spans="1:21">
      <c r="A15" s="2"/>
    </row>
    <row r="16" spans="1:21">
      <c r="A16" s="2"/>
    </row>
    <row r="17" spans="1:20">
      <c r="A17" s="2"/>
    </row>
    <row r="18" spans="1:20">
      <c r="A18" s="2"/>
    </row>
    <row r="21" spans="1:20">
      <c r="A21" s="14" t="s">
        <v>75</v>
      </c>
      <c r="H21" s="13" t="s">
        <v>78</v>
      </c>
      <c r="L21" s="13" t="s">
        <v>86</v>
      </c>
      <c r="O21" s="13" t="s">
        <v>87</v>
      </c>
      <c r="S21" s="13" t="s">
        <v>98</v>
      </c>
    </row>
    <row r="22" spans="1:20">
      <c r="A22" s="1" t="s">
        <v>60</v>
      </c>
      <c r="B22" s="1" t="s">
        <v>76</v>
      </c>
      <c r="H22" s="1" t="s">
        <v>58</v>
      </c>
      <c r="I22" t="s">
        <v>77</v>
      </c>
      <c r="J22" t="s">
        <v>79</v>
      </c>
      <c r="L22" s="1" t="s">
        <v>58</v>
      </c>
      <c r="M22" t="s">
        <v>85</v>
      </c>
      <c r="O22" s="1" t="s">
        <v>58</v>
      </c>
      <c r="P22" t="s">
        <v>85</v>
      </c>
      <c r="Q22" t="s">
        <v>60</v>
      </c>
      <c r="S22" s="1" t="s">
        <v>58</v>
      </c>
      <c r="T22" t="s">
        <v>60</v>
      </c>
    </row>
    <row r="23" spans="1:20">
      <c r="A23" s="1" t="s">
        <v>58</v>
      </c>
      <c r="B23" t="s">
        <v>14</v>
      </c>
      <c r="C23" t="s">
        <v>31</v>
      </c>
      <c r="D23" t="s">
        <v>24</v>
      </c>
      <c r="E23" t="s">
        <v>19</v>
      </c>
      <c r="F23" t="s">
        <v>59</v>
      </c>
      <c r="H23" s="2">
        <v>0</v>
      </c>
      <c r="I23" s="4">
        <v>373.36444444444447</v>
      </c>
      <c r="J23" s="15">
        <v>9</v>
      </c>
      <c r="L23" s="2" t="s">
        <v>35</v>
      </c>
      <c r="M23" s="4">
        <v>3.9082706766917297</v>
      </c>
      <c r="O23" s="2" t="s">
        <v>35</v>
      </c>
      <c r="P23" s="4">
        <v>3.9082706766917297</v>
      </c>
      <c r="Q23">
        <v>15444.710000000003</v>
      </c>
      <c r="S23" s="2" t="s">
        <v>90</v>
      </c>
      <c r="T23">
        <v>158685.2300000003</v>
      </c>
    </row>
    <row r="24" spans="1:20">
      <c r="A24" s="2" t="s">
        <v>57</v>
      </c>
      <c r="B24">
        <v>838.95000000000016</v>
      </c>
      <c r="C24">
        <v>639.18999999999994</v>
      </c>
      <c r="D24">
        <v>603.30000000000007</v>
      </c>
      <c r="E24">
        <v>951.99000000000012</v>
      </c>
      <c r="F24">
        <v>3033.4300000000003</v>
      </c>
      <c r="H24" s="2">
        <v>2</v>
      </c>
      <c r="I24" s="4">
        <v>195.59909090909093</v>
      </c>
      <c r="J24" s="15">
        <v>55</v>
      </c>
      <c r="L24" s="2" t="s">
        <v>28</v>
      </c>
      <c r="M24" s="4">
        <v>3.8821428571428598</v>
      </c>
      <c r="O24" s="2" t="s">
        <v>28</v>
      </c>
      <c r="P24" s="4">
        <v>3.8821428571428598</v>
      </c>
      <c r="Q24">
        <v>233026.68000000002</v>
      </c>
      <c r="S24" s="2" t="s">
        <v>91</v>
      </c>
      <c r="T24">
        <v>263505.49000000017</v>
      </c>
    </row>
    <row r="25" spans="1:20">
      <c r="A25" s="2" t="s">
        <v>47</v>
      </c>
      <c r="B25">
        <v>1154.1699999999998</v>
      </c>
      <c r="C25">
        <v>1033.9800000000002</v>
      </c>
      <c r="D25">
        <v>727.39</v>
      </c>
      <c r="E25">
        <v>559.44000000000005</v>
      </c>
      <c r="F25">
        <v>3474.98</v>
      </c>
      <c r="H25" s="2">
        <v>4</v>
      </c>
      <c r="I25" s="4">
        <v>300.04115942028989</v>
      </c>
      <c r="J25" s="15">
        <v>138</v>
      </c>
      <c r="L25" s="2" t="s">
        <v>55</v>
      </c>
      <c r="M25" s="4">
        <v>3.8813471502590673</v>
      </c>
      <c r="O25" s="2" t="s">
        <v>55</v>
      </c>
      <c r="P25" s="4">
        <v>3.8813471502590673</v>
      </c>
      <c r="Q25">
        <v>16275.77000000001</v>
      </c>
      <c r="S25" s="2" t="s">
        <v>92</v>
      </c>
      <c r="T25">
        <v>287695.58000000007</v>
      </c>
    </row>
    <row r="26" spans="1:20">
      <c r="A26" s="2" t="s">
        <v>26</v>
      </c>
      <c r="B26">
        <v>1242.1599999999999</v>
      </c>
      <c r="C26">
        <v>872.34</v>
      </c>
      <c r="D26" s="4">
        <v>824.2</v>
      </c>
      <c r="E26" s="4">
        <v>562.99999999999989</v>
      </c>
      <c r="F26" s="4">
        <v>3501.7</v>
      </c>
      <c r="H26" s="2">
        <v>5</v>
      </c>
      <c r="I26" s="4">
        <v>154.61583333333331</v>
      </c>
      <c r="J26" s="15">
        <v>12</v>
      </c>
      <c r="L26" s="2" t="s">
        <v>47</v>
      </c>
      <c r="M26" s="4">
        <v>3.8807228915662648</v>
      </c>
      <c r="O26" s="2" t="s">
        <v>47</v>
      </c>
      <c r="P26" s="4">
        <v>3.8807228915662648</v>
      </c>
      <c r="Q26">
        <v>3474.9800000000009</v>
      </c>
      <c r="S26" s="2" t="s">
        <v>93</v>
      </c>
      <c r="T26">
        <v>302503.81000000006</v>
      </c>
    </row>
    <row r="27" spans="1:20">
      <c r="A27" s="2" t="s">
        <v>54</v>
      </c>
      <c r="B27">
        <v>860.97</v>
      </c>
      <c r="C27">
        <v>856.28</v>
      </c>
      <c r="D27">
        <v>1031.0999999999999</v>
      </c>
      <c r="E27">
        <v>1257.4999999999995</v>
      </c>
      <c r="F27">
        <v>4005.849999999999</v>
      </c>
      <c r="H27" s="2">
        <v>6</v>
      </c>
      <c r="I27" s="4">
        <v>264.30544117647065</v>
      </c>
      <c r="J27" s="15">
        <v>204</v>
      </c>
      <c r="L27" s="2" t="s">
        <v>30</v>
      </c>
      <c r="M27" s="4">
        <v>3.8750000000000013</v>
      </c>
      <c r="O27" s="2" t="s">
        <v>30</v>
      </c>
      <c r="P27" s="4">
        <v>3.8750000000000013</v>
      </c>
      <c r="Q27">
        <v>12607.450000000003</v>
      </c>
      <c r="S27" s="2" t="s">
        <v>94</v>
      </c>
      <c r="T27">
        <v>269658.07000000012</v>
      </c>
    </row>
    <row r="28" spans="1:20">
      <c r="A28" s="2" t="s">
        <v>30</v>
      </c>
      <c r="B28">
        <v>3218.2799999999997</v>
      </c>
      <c r="C28">
        <v>2492.71</v>
      </c>
      <c r="D28">
        <v>3717.5299999999993</v>
      </c>
      <c r="E28">
        <v>3178.9300000000007</v>
      </c>
      <c r="F28">
        <v>12607.45</v>
      </c>
      <c r="H28" s="2">
        <v>7</v>
      </c>
      <c r="I28" s="4">
        <v>196.29333333333332</v>
      </c>
      <c r="J28" s="15">
        <v>48</v>
      </c>
      <c r="L28" s="2" t="s">
        <v>13</v>
      </c>
      <c r="M28" s="4">
        <v>3.8697368421052629</v>
      </c>
      <c r="O28" s="2" t="s">
        <v>59</v>
      </c>
      <c r="P28" s="4">
        <v>3.885049365303241</v>
      </c>
      <c r="Q28">
        <v>280829.58999999991</v>
      </c>
      <c r="S28" s="2" t="s">
        <v>95</v>
      </c>
      <c r="T28">
        <v>143404.42999999993</v>
      </c>
    </row>
    <row r="29" spans="1:20">
      <c r="A29" s="2" t="s">
        <v>52</v>
      </c>
      <c r="B29">
        <v>2628.45</v>
      </c>
      <c r="C29">
        <v>3514.33</v>
      </c>
      <c r="D29">
        <v>2999.71</v>
      </c>
      <c r="E29">
        <v>4376.9799999999996</v>
      </c>
      <c r="F29">
        <v>13519.469999999998</v>
      </c>
      <c r="H29" s="2">
        <v>8</v>
      </c>
      <c r="I29" s="4">
        <v>309.00332236842115</v>
      </c>
      <c r="J29" s="15">
        <v>304</v>
      </c>
      <c r="L29" s="2" t="s">
        <v>57</v>
      </c>
      <c r="M29" s="4">
        <v>3.861038961038961</v>
      </c>
      <c r="S29" s="2" t="s">
        <v>59</v>
      </c>
      <c r="T29">
        <v>1425452.6100000006</v>
      </c>
    </row>
    <row r="30" spans="1:20">
      <c r="A30" s="2" t="s">
        <v>46</v>
      </c>
      <c r="B30">
        <v>3055.2899999999995</v>
      </c>
      <c r="C30">
        <v>3689.55</v>
      </c>
      <c r="D30">
        <v>3443.0999999999995</v>
      </c>
      <c r="E30">
        <v>3422.2200000000012</v>
      </c>
      <c r="F30">
        <v>13610.16</v>
      </c>
      <c r="H30" s="2">
        <v>9</v>
      </c>
      <c r="I30" s="4">
        <v>316.07916083916086</v>
      </c>
      <c r="J30" s="15">
        <v>143</v>
      </c>
      <c r="L30" s="2" t="s">
        <v>23</v>
      </c>
      <c r="M30" s="4">
        <v>3.8575757575757592</v>
      </c>
      <c r="O30" s="13" t="s">
        <v>88</v>
      </c>
    </row>
    <row r="31" spans="1:20">
      <c r="A31" s="2" t="s">
        <v>50</v>
      </c>
      <c r="B31">
        <v>3130.1000000000004</v>
      </c>
      <c r="C31">
        <v>4040.8900000000012</v>
      </c>
      <c r="D31">
        <v>3770.5699999999993</v>
      </c>
      <c r="E31">
        <v>3320.1100000000006</v>
      </c>
      <c r="F31">
        <v>14261.670000000002</v>
      </c>
      <c r="H31" s="2">
        <v>10</v>
      </c>
      <c r="I31" s="4">
        <v>261.58295597484272</v>
      </c>
      <c r="J31" s="15">
        <v>318</v>
      </c>
      <c r="L31" s="2" t="s">
        <v>38</v>
      </c>
      <c r="M31" s="4">
        <v>3.8321533923303859</v>
      </c>
      <c r="O31" s="1" t="s">
        <v>58</v>
      </c>
      <c r="P31" t="s">
        <v>85</v>
      </c>
      <c r="Q31" t="s">
        <v>60</v>
      </c>
    </row>
    <row r="32" spans="1:20">
      <c r="A32" s="2" t="s">
        <v>18</v>
      </c>
      <c r="B32">
        <v>2842.44</v>
      </c>
      <c r="C32">
        <v>3685.3500000000004</v>
      </c>
      <c r="D32">
        <v>3928.7400000000011</v>
      </c>
      <c r="E32">
        <v>4238.6500000000005</v>
      </c>
      <c r="F32">
        <v>14695.180000000002</v>
      </c>
      <c r="H32" s="2">
        <v>11</v>
      </c>
      <c r="I32" s="4">
        <v>291.7543644067797</v>
      </c>
      <c r="J32" s="15">
        <v>236</v>
      </c>
      <c r="L32" s="2" t="s">
        <v>26</v>
      </c>
      <c r="M32" s="4">
        <v>3.8177215189873412</v>
      </c>
      <c r="O32" s="2" t="s">
        <v>51</v>
      </c>
      <c r="P32" s="4">
        <v>3.6909090909090883</v>
      </c>
      <c r="Q32">
        <v>15003.839999999998</v>
      </c>
    </row>
    <row r="33" spans="1:17">
      <c r="A33" s="2" t="s">
        <v>51</v>
      </c>
      <c r="B33">
        <v>3907.4100000000008</v>
      </c>
      <c r="C33">
        <v>3774.13</v>
      </c>
      <c r="D33">
        <v>3856.2300000000005</v>
      </c>
      <c r="E33">
        <v>3466.07</v>
      </c>
      <c r="F33">
        <v>15003.84</v>
      </c>
      <c r="H33" s="2">
        <v>12</v>
      </c>
      <c r="I33" s="4">
        <v>308.68376470588254</v>
      </c>
      <c r="J33" s="15">
        <v>340</v>
      </c>
      <c r="L33" s="2" t="s">
        <v>43</v>
      </c>
      <c r="M33" s="4">
        <v>3.8132653061224495</v>
      </c>
      <c r="O33" s="2" t="s">
        <v>39</v>
      </c>
      <c r="P33" s="4">
        <v>3.7021660649819497</v>
      </c>
      <c r="Q33">
        <v>39047.340000000004</v>
      </c>
    </row>
    <row r="34" spans="1:17">
      <c r="A34" s="2" t="s">
        <v>35</v>
      </c>
      <c r="B34">
        <v>3068.5099999999998</v>
      </c>
      <c r="C34">
        <v>4412.8200000000006</v>
      </c>
      <c r="D34">
        <v>5002.4000000000005</v>
      </c>
      <c r="E34">
        <v>2960.9799999999996</v>
      </c>
      <c r="F34">
        <v>15444.710000000003</v>
      </c>
      <c r="H34" s="2">
        <v>13</v>
      </c>
      <c r="I34" s="4">
        <v>292.29383333333311</v>
      </c>
      <c r="J34" s="15">
        <v>300</v>
      </c>
      <c r="L34" s="2" t="s">
        <v>49</v>
      </c>
      <c r="M34" s="4">
        <v>3.7922535211267596</v>
      </c>
      <c r="O34" s="2" t="s">
        <v>32</v>
      </c>
      <c r="P34" s="4">
        <v>3.7026548672566402</v>
      </c>
      <c r="Q34">
        <v>191853.07000000004</v>
      </c>
    </row>
    <row r="35" spans="1:17">
      <c r="A35" s="2" t="s">
        <v>13</v>
      </c>
      <c r="B35">
        <v>4359.8499999999995</v>
      </c>
      <c r="C35">
        <v>3880.8199999999997</v>
      </c>
      <c r="D35">
        <v>2861.5399999999995</v>
      </c>
      <c r="E35">
        <v>4388.82</v>
      </c>
      <c r="F35">
        <v>15491.029999999997</v>
      </c>
      <c r="H35" s="2">
        <v>14</v>
      </c>
      <c r="I35" s="4">
        <v>296.74220735785946</v>
      </c>
      <c r="J35" s="15">
        <v>299</v>
      </c>
      <c r="L35" s="2" t="s">
        <v>46</v>
      </c>
      <c r="M35" s="4">
        <v>3.7894308943089428</v>
      </c>
      <c r="O35" s="2" t="s">
        <v>54</v>
      </c>
      <c r="P35" s="4">
        <v>3.7075268817204319</v>
      </c>
      <c r="Q35">
        <v>4005.85</v>
      </c>
    </row>
    <row r="36" spans="1:17">
      <c r="A36" s="2" t="s">
        <v>44</v>
      </c>
      <c r="B36">
        <v>4284.2099999999991</v>
      </c>
      <c r="C36">
        <v>3284.5399999999995</v>
      </c>
      <c r="D36">
        <v>4025.9100000000003</v>
      </c>
      <c r="E36">
        <v>4055.1599999999994</v>
      </c>
      <c r="F36">
        <v>15649.819999999998</v>
      </c>
      <c r="H36" s="2">
        <v>15</v>
      </c>
      <c r="I36" s="4">
        <v>269.46227722772244</v>
      </c>
      <c r="J36" s="15">
        <v>303</v>
      </c>
      <c r="L36" s="2" t="s">
        <v>40</v>
      </c>
      <c r="M36" s="4">
        <v>3.7837499999999968</v>
      </c>
      <c r="O36" s="2" t="s">
        <v>48</v>
      </c>
      <c r="P36" s="4">
        <v>3.715942028985507</v>
      </c>
      <c r="Q36">
        <v>16304.97</v>
      </c>
    </row>
    <row r="37" spans="1:17">
      <c r="A37" s="2" t="s">
        <v>43</v>
      </c>
      <c r="B37">
        <v>4664.26</v>
      </c>
      <c r="C37">
        <v>4099.93</v>
      </c>
      <c r="D37">
        <v>3527.96</v>
      </c>
      <c r="E37">
        <v>3854.7599999999993</v>
      </c>
      <c r="F37">
        <v>16146.91</v>
      </c>
      <c r="H37" s="2">
        <v>16</v>
      </c>
      <c r="I37" s="4">
        <v>289.22754985755006</v>
      </c>
      <c r="J37" s="15">
        <v>351</v>
      </c>
      <c r="L37" s="2" t="s">
        <v>21</v>
      </c>
      <c r="M37" s="4">
        <v>3.7818181818181809</v>
      </c>
      <c r="O37" s="2" t="s">
        <v>59</v>
      </c>
      <c r="P37" s="4">
        <v>3.702760351317449</v>
      </c>
      <c r="Q37">
        <v>266215.07000000007</v>
      </c>
    </row>
    <row r="38" spans="1:17">
      <c r="A38" s="2" t="s">
        <v>55</v>
      </c>
      <c r="B38">
        <v>4059.8999999999987</v>
      </c>
      <c r="C38">
        <v>2991.1900000000005</v>
      </c>
      <c r="D38">
        <v>4228.1899999999996</v>
      </c>
      <c r="E38">
        <v>4996.4900000000016</v>
      </c>
      <c r="F38">
        <v>16275.77</v>
      </c>
      <c r="H38" s="2">
        <v>17</v>
      </c>
      <c r="I38" s="4">
        <v>234.98329113924044</v>
      </c>
      <c r="J38" s="15">
        <v>237</v>
      </c>
      <c r="L38" s="2" t="s">
        <v>52</v>
      </c>
      <c r="M38" s="4">
        <v>3.7786516853932586</v>
      </c>
    </row>
    <row r="39" spans="1:17">
      <c r="A39" s="2" t="s">
        <v>48</v>
      </c>
      <c r="B39">
        <v>3982.3200000000006</v>
      </c>
      <c r="C39">
        <v>5312.5900000000011</v>
      </c>
      <c r="D39">
        <v>4087.43</v>
      </c>
      <c r="E39">
        <v>2922.6300000000006</v>
      </c>
      <c r="F39">
        <v>16304.970000000001</v>
      </c>
      <c r="H39" s="2">
        <v>18</v>
      </c>
      <c r="I39" s="4">
        <v>319.2415895953759</v>
      </c>
      <c r="J39" s="15">
        <v>346</v>
      </c>
      <c r="L39" s="2" t="s">
        <v>42</v>
      </c>
      <c r="M39" s="4">
        <v>3.7764705882352931</v>
      </c>
    </row>
    <row r="40" spans="1:17">
      <c r="A40" s="2" t="s">
        <v>23</v>
      </c>
      <c r="B40">
        <v>4443.45</v>
      </c>
      <c r="C40">
        <v>3597.9600000000009</v>
      </c>
      <c r="D40">
        <v>3371.1400000000003</v>
      </c>
      <c r="E40">
        <v>5295.29</v>
      </c>
      <c r="F40">
        <v>16707.84</v>
      </c>
      <c r="H40" s="2">
        <v>19</v>
      </c>
      <c r="I40" s="4">
        <v>217.8544444444444</v>
      </c>
      <c r="J40" s="15">
        <v>171</v>
      </c>
      <c r="L40" s="2" t="s">
        <v>34</v>
      </c>
      <c r="M40" s="4">
        <v>3.7592592592592586</v>
      </c>
    </row>
    <row r="41" spans="1:17">
      <c r="A41" s="2" t="s">
        <v>56</v>
      </c>
      <c r="B41">
        <v>3610.4700000000003</v>
      </c>
      <c r="C41">
        <v>4183.8399999999992</v>
      </c>
      <c r="D41">
        <v>5315.2099999999991</v>
      </c>
      <c r="E41">
        <v>4771.6099999999997</v>
      </c>
      <c r="F41">
        <v>17881.129999999997</v>
      </c>
      <c r="H41" s="2">
        <v>20</v>
      </c>
      <c r="I41" s="4">
        <v>322.06405660377317</v>
      </c>
      <c r="J41" s="15">
        <v>318</v>
      </c>
      <c r="L41" s="2" t="s">
        <v>44</v>
      </c>
      <c r="M41" s="4">
        <v>3.7551470588235305</v>
      </c>
    </row>
    <row r="42" spans="1:17">
      <c r="A42" s="2" t="s">
        <v>45</v>
      </c>
      <c r="B42">
        <v>4940.83</v>
      </c>
      <c r="C42">
        <v>4089.81</v>
      </c>
      <c r="D42">
        <v>4565.5200000000004</v>
      </c>
      <c r="E42">
        <v>5187.0400000000018</v>
      </c>
      <c r="F42" s="4">
        <v>18783.200000000004</v>
      </c>
      <c r="H42" s="2">
        <v>21</v>
      </c>
      <c r="I42" s="4">
        <v>244.80329896907219</v>
      </c>
      <c r="J42" s="15">
        <v>97</v>
      </c>
      <c r="L42" s="2" t="s">
        <v>18</v>
      </c>
      <c r="M42" s="4">
        <v>3.7538461538461543</v>
      </c>
    </row>
    <row r="43" spans="1:17">
      <c r="A43" s="2" t="s">
        <v>42</v>
      </c>
      <c r="B43">
        <v>7126.74</v>
      </c>
      <c r="C43">
        <v>6419.94</v>
      </c>
      <c r="D43">
        <v>6411.510000000002</v>
      </c>
      <c r="E43">
        <v>6952.61</v>
      </c>
      <c r="F43" s="4">
        <v>26910.799999999999</v>
      </c>
      <c r="H43" s="2">
        <v>22</v>
      </c>
      <c r="I43" s="4">
        <v>236.04313725490192</v>
      </c>
      <c r="J43" s="15">
        <v>255</v>
      </c>
      <c r="L43" s="2" t="s">
        <v>45</v>
      </c>
      <c r="M43" s="4">
        <v>3.7493749999999983</v>
      </c>
    </row>
    <row r="44" spans="1:17">
      <c r="A44" s="2" t="s">
        <v>21</v>
      </c>
      <c r="B44">
        <v>10548.559999999996</v>
      </c>
      <c r="C44">
        <v>8617.0500000000011</v>
      </c>
      <c r="D44">
        <v>10580.360000000002</v>
      </c>
      <c r="E44">
        <v>8087.19</v>
      </c>
      <c r="F44">
        <v>37833.159999999996</v>
      </c>
      <c r="H44" s="2">
        <v>23</v>
      </c>
      <c r="I44" s="4">
        <v>422.50909090909084</v>
      </c>
      <c r="J44" s="15">
        <v>55</v>
      </c>
      <c r="L44" s="2" t="s">
        <v>56</v>
      </c>
      <c r="M44" s="4">
        <v>3.7435294117647051</v>
      </c>
    </row>
    <row r="45" spans="1:17">
      <c r="A45" s="2" t="s">
        <v>36</v>
      </c>
      <c r="B45">
        <v>8870.32</v>
      </c>
      <c r="C45">
        <v>8142.5600000000022</v>
      </c>
      <c r="D45">
        <v>10974.689999999999</v>
      </c>
      <c r="E45">
        <v>10730.040000000003</v>
      </c>
      <c r="F45">
        <v>38717.61</v>
      </c>
      <c r="H45" s="2">
        <v>24</v>
      </c>
      <c r="I45" s="4">
        <v>304.77547486033512</v>
      </c>
      <c r="J45" s="15">
        <v>179</v>
      </c>
      <c r="L45" s="2" t="s">
        <v>53</v>
      </c>
      <c r="M45" s="4">
        <v>3.7428571428571424</v>
      </c>
    </row>
    <row r="46" spans="1:17">
      <c r="A46" s="2" t="s">
        <v>39</v>
      </c>
      <c r="B46">
        <v>9581.3700000000008</v>
      </c>
      <c r="C46">
        <v>10356.19</v>
      </c>
      <c r="D46">
        <v>10040.120000000001</v>
      </c>
      <c r="E46">
        <v>9069.659999999998</v>
      </c>
      <c r="F46">
        <v>39047.340000000004</v>
      </c>
      <c r="H46" s="2">
        <v>25</v>
      </c>
      <c r="I46" s="4">
        <v>287.73387096774184</v>
      </c>
      <c r="J46" s="15">
        <v>31</v>
      </c>
      <c r="L46" s="2" t="s">
        <v>36</v>
      </c>
      <c r="M46" s="4">
        <v>3.7420494699646629</v>
      </c>
    </row>
    <row r="47" spans="1:17">
      <c r="A47" s="2" t="s">
        <v>38</v>
      </c>
      <c r="B47">
        <v>12081.37</v>
      </c>
      <c r="C47">
        <v>10716.970000000005</v>
      </c>
      <c r="D47">
        <v>10625.91</v>
      </c>
      <c r="E47">
        <v>12618.239999999996</v>
      </c>
      <c r="F47">
        <v>46042.490000000005</v>
      </c>
      <c r="H47" s="2">
        <v>26</v>
      </c>
      <c r="I47" s="4">
        <v>273.92606837606843</v>
      </c>
      <c r="J47" s="15">
        <v>117</v>
      </c>
      <c r="L47" s="2" t="s">
        <v>50</v>
      </c>
      <c r="M47" s="4">
        <v>3.727702702702703</v>
      </c>
    </row>
    <row r="48" spans="1:17">
      <c r="A48" s="2" t="s">
        <v>34</v>
      </c>
      <c r="B48">
        <v>12033.729999999994</v>
      </c>
      <c r="C48">
        <v>10383.419999999998</v>
      </c>
      <c r="D48">
        <v>10783.19</v>
      </c>
      <c r="E48">
        <v>14101.14</v>
      </c>
      <c r="F48">
        <v>47301.479999999996</v>
      </c>
      <c r="H48" s="2">
        <v>27</v>
      </c>
      <c r="I48" s="4">
        <v>117.73428571428569</v>
      </c>
      <c r="J48" s="15">
        <v>7</v>
      </c>
      <c r="L48" s="2" t="s">
        <v>48</v>
      </c>
      <c r="M48" s="4">
        <v>3.715942028985507</v>
      </c>
    </row>
    <row r="49" spans="1:13">
      <c r="A49" s="2" t="s">
        <v>40</v>
      </c>
      <c r="B49">
        <v>8798.01</v>
      </c>
      <c r="C49">
        <v>13134.629999999997</v>
      </c>
      <c r="D49">
        <v>12127.689999999997</v>
      </c>
      <c r="E49">
        <v>13737.94000000001</v>
      </c>
      <c r="F49">
        <v>47798.270000000004</v>
      </c>
      <c r="H49" s="2">
        <v>28</v>
      </c>
      <c r="I49" s="4">
        <v>299.23281249999985</v>
      </c>
      <c r="J49" s="15">
        <v>64</v>
      </c>
      <c r="L49" s="2" t="s">
        <v>54</v>
      </c>
      <c r="M49" s="4">
        <v>3.7075268817204319</v>
      </c>
    </row>
    <row r="50" spans="1:13">
      <c r="A50" s="2" t="s">
        <v>32</v>
      </c>
      <c r="B50">
        <v>33351.289999999994</v>
      </c>
      <c r="C50">
        <v>54704.590000000004</v>
      </c>
      <c r="D50">
        <v>39817.07</v>
      </c>
      <c r="E50">
        <v>63980.12</v>
      </c>
      <c r="F50">
        <v>191853.07</v>
      </c>
      <c r="H50" s="2">
        <v>29</v>
      </c>
      <c r="I50" s="4">
        <v>133.97</v>
      </c>
      <c r="J50" s="15">
        <v>6</v>
      </c>
      <c r="L50" s="2" t="s">
        <v>32</v>
      </c>
      <c r="M50" s="4">
        <v>3.7026548672566402</v>
      </c>
    </row>
    <row r="51" spans="1:13">
      <c r="A51" s="2" t="s">
        <v>53</v>
      </c>
      <c r="B51">
        <v>68866.77</v>
      </c>
      <c r="C51">
        <v>40255.89</v>
      </c>
      <c r="D51">
        <v>35803.660000000003</v>
      </c>
      <c r="E51">
        <v>59734.020000000011</v>
      </c>
      <c r="F51">
        <v>204660.34</v>
      </c>
      <c r="H51" s="2">
        <v>30</v>
      </c>
      <c r="I51" s="4">
        <v>332.2317142857143</v>
      </c>
      <c r="J51" s="15">
        <v>35</v>
      </c>
      <c r="L51" s="2" t="s">
        <v>39</v>
      </c>
      <c r="M51" s="4">
        <v>3.7021660649819497</v>
      </c>
    </row>
    <row r="52" spans="1:13">
      <c r="A52" s="2" t="s">
        <v>28</v>
      </c>
      <c r="B52">
        <v>60393.11</v>
      </c>
      <c r="C52">
        <v>57167.640000000007</v>
      </c>
      <c r="D52">
        <v>69551.059999999983</v>
      </c>
      <c r="E52">
        <v>45914.869999999995</v>
      </c>
      <c r="F52">
        <v>233026.68</v>
      </c>
      <c r="H52" s="2">
        <v>32</v>
      </c>
      <c r="I52" s="4">
        <v>475.47562500000004</v>
      </c>
      <c r="J52" s="15">
        <v>16</v>
      </c>
      <c r="L52" s="2" t="s">
        <v>51</v>
      </c>
      <c r="M52" s="4">
        <v>3.6909090909090883</v>
      </c>
    </row>
    <row r="53" spans="1:13">
      <c r="A53" s="2" t="s">
        <v>49</v>
      </c>
      <c r="B53">
        <v>51734.6</v>
      </c>
      <c r="C53">
        <v>70509.23000000001</v>
      </c>
      <c r="D53">
        <v>76282.53</v>
      </c>
      <c r="E53">
        <v>67335.900000000009</v>
      </c>
      <c r="F53">
        <v>265862.26</v>
      </c>
      <c r="H53" s="2">
        <v>34</v>
      </c>
      <c r="I53" s="4">
        <v>65.271999999999991</v>
      </c>
      <c r="J53" s="15">
        <v>5</v>
      </c>
      <c r="L53" s="2" t="s">
        <v>59</v>
      </c>
      <c r="M53" s="4">
        <v>3.7841600000000022</v>
      </c>
    </row>
    <row r="54" spans="1:13">
      <c r="A54" s="2" t="s">
        <v>59</v>
      </c>
      <c r="B54">
        <v>343677.89</v>
      </c>
      <c r="C54">
        <v>350860.36000000016</v>
      </c>
      <c r="D54">
        <v>354884.96000000008</v>
      </c>
      <c r="E54">
        <v>376029.39999999991</v>
      </c>
      <c r="F54">
        <v>1425452.6099999996</v>
      </c>
      <c r="H54" s="2">
        <v>36</v>
      </c>
      <c r="I54" s="4">
        <v>168.81</v>
      </c>
      <c r="J54" s="15">
        <v>1</v>
      </c>
    </row>
    <row r="55" spans="1:13">
      <c r="H55" s="2" t="s">
        <v>59</v>
      </c>
      <c r="I55" s="4">
        <v>285.09052199999957</v>
      </c>
      <c r="J55" s="15">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4E5D-C17E-9344-A567-E5D4EB753884}">
  <dimension ref="A1:C2"/>
  <sheetViews>
    <sheetView tabSelected="1" workbookViewId="0">
      <selection activeCell="B3" sqref="B3"/>
    </sheetView>
  </sheetViews>
  <sheetFormatPr baseColWidth="10" defaultRowHeight="16"/>
  <cols>
    <col min="1" max="1" width="28.5" bestFit="1" customWidth="1"/>
    <col min="3" max="3" width="61.83203125" customWidth="1"/>
  </cols>
  <sheetData>
    <row r="1" spans="1:3">
      <c r="A1" s="13" t="s">
        <v>82</v>
      </c>
      <c r="B1" s="13" t="s">
        <v>83</v>
      </c>
      <c r="C1" s="13" t="s">
        <v>84</v>
      </c>
    </row>
    <row r="2" spans="1:3" ht="34">
      <c r="A2" s="16" t="s">
        <v>80</v>
      </c>
      <c r="B2" s="17">
        <f>CORREL(Sales_Data_Clean!J:J,Sales_Data_Clean!F:F)</f>
        <v>4.291058632322842E-3</v>
      </c>
      <c r="C2" s="16"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6AA8FE-6CDE-3E4A-8E4A-71D9D07133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Sales_Data_Clean</vt:lpstr>
      <vt:lpstr>Dashboard</vt:lpstr>
      <vt:lpstr>Pivot Analysis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Hakeem Braimah</dc:creator>
  <cp:lastModifiedBy>Hakeem Braimah</cp:lastModifiedBy>
  <dcterms:created xsi:type="dcterms:W3CDTF">2026-08-11T15:08:09Z</dcterms:created>
  <dcterms:modified xsi:type="dcterms:W3CDTF">2026-08-16T02:43:59Z</dcterms:modified>
</cp:coreProperties>
</file>